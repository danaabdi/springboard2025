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anaabdirakhym/Desktop/"/>
    </mc:Choice>
  </mc:AlternateContent>
  <xr:revisionPtr revIDLastSave="0" documentId="8_{69B8C877-2B64-4126-A8F0-975A0843DFBB}" xr6:coauthVersionLast="47" xr6:coauthVersionMax="47" xr10:uidLastSave="{00000000-0000-0000-0000-000000000000}"/>
  <bookViews>
    <workbookView xWindow="0" yWindow="500" windowWidth="28800" windowHeight="16280" firstSheet="4" activeTab="4" xr2:uid="{E66001F5-4F5B-4F87-B618-1207EBEEE667}"/>
  </bookViews>
  <sheets>
    <sheet name="READ ME " sheetId="11" r:id="rId1"/>
    <sheet name="FamInsureCo Desc. Stats Data" sheetId="3" r:id="rId2"/>
    <sheet name="FamInsureCo Int. Stats Data" sheetId="6" r:id="rId3"/>
    <sheet name="Answer_Check_Regression_Table" sheetId="7" state="hidden" r:id="rId4"/>
    <sheet name="Intermediate Desc. Statistics" sheetId="10" r:id="rId5"/>
  </sheets>
  <definedNames>
    <definedName name="_xlnm._FilterDatabase" localSheetId="1" hidden="1">'FamInsureCo Desc. Stats Data'!$A$1:$F$1339</definedName>
    <definedName name="_xlnm._FilterDatabase" localSheetId="2" hidden="1">'FamInsureCo Int. Stats Data'!$A$1:$Q$1339</definedName>
    <definedName name="_xlchart.v1.0" hidden="1">'FamInsureCo Desc. Stats Data'!$E$2:$E$1339</definedName>
    <definedName name="_xlchart.v1.1" hidden="1">'FamInsureCo Desc. Stats Data'!$F$1</definedName>
    <definedName name="_xlchart.v1.10" hidden="1">'FamInsureCo Int. Stats Data'!$K$1</definedName>
    <definedName name="_xlchart.v1.11" hidden="1">'FamInsureCo Int. Stats Data'!$K$2:$K$1339</definedName>
    <definedName name="_xlchart.v1.12" hidden="1">'FamInsureCo Int. Stats Data'!$L$1</definedName>
    <definedName name="_xlchart.v1.13" hidden="1">'FamInsureCo Int. Stats Data'!$L$2:$L$1339</definedName>
    <definedName name="_xlchart.v1.14" hidden="1">'FamInsureCo Int. Stats Data'!$Q$1</definedName>
    <definedName name="_xlchart.v1.15" hidden="1">'FamInsureCo Int. Stats Data'!$Q$2:$Q$1339</definedName>
    <definedName name="_xlchart.v1.16" hidden="1">'FamInsureCo Desc. Stats Data'!$E$2:$E$1339</definedName>
    <definedName name="_xlchart.v1.17" hidden="1">'FamInsureCo Desc. Stats Data'!$F$1</definedName>
    <definedName name="_xlchart.v1.18" hidden="1">'FamInsureCo Desc. Stats Data'!$F$2:$F$1339</definedName>
    <definedName name="_xlchart.v1.19" hidden="1">'FamInsureCo Desc. Stats Data'!$B$2:$B$1339</definedName>
    <definedName name="_xlchart.v1.2" hidden="1">'FamInsureCo Desc. Stats Data'!$F$2:$F$1339</definedName>
    <definedName name="_xlchart.v1.20" hidden="1">'FamInsureCo Desc. Stats Data'!$F$1</definedName>
    <definedName name="_xlchart.v1.21" hidden="1">'FamInsureCo Desc. Stats Data'!$F$2:$F$1339</definedName>
    <definedName name="_xlchart.v1.3" hidden="1">'FamInsureCo Desc. Stats Data'!$B$2:$B$1339</definedName>
    <definedName name="_xlchart.v1.4" hidden="1">'FamInsureCo Desc. Stats Data'!$F$1</definedName>
    <definedName name="_xlchart.v1.5" hidden="1">'FamInsureCo Desc. Stats Data'!$F$2:$F$1339</definedName>
    <definedName name="_xlchart.v1.6" hidden="1">'FamInsureCo Int. Stats Data'!$I$1</definedName>
    <definedName name="_xlchart.v1.7" hidden="1">'FamInsureCo Int. Stats Data'!$I$2:$I$1339</definedName>
    <definedName name="_xlchart.v1.8" hidden="1">'FamInsureCo Int. Stats Data'!$J$1</definedName>
    <definedName name="_xlchart.v1.9" hidden="1">'FamInsureCo Int. Stats Data'!$J$2:$J$1339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47" i="10" l="1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06" i="10"/>
  <c r="D116" i="10"/>
  <c r="E116" i="10"/>
  <c r="F116" i="10"/>
  <c r="G116" i="10"/>
  <c r="C116" i="10"/>
  <c r="N125" i="10"/>
  <c r="O125" i="10"/>
  <c r="P125" i="10"/>
  <c r="Q125" i="10"/>
  <c r="R125" i="10"/>
  <c r="I125" i="10"/>
  <c r="J125" i="10"/>
  <c r="K125" i="10"/>
  <c r="L125" i="10"/>
  <c r="M125" i="10"/>
  <c r="E125" i="10"/>
  <c r="F125" i="10"/>
  <c r="G125" i="10"/>
  <c r="H125" i="10"/>
  <c r="D125" i="10"/>
  <c r="C125" i="10"/>
  <c r="F20" i="10"/>
  <c r="E20" i="10"/>
  <c r="C22" i="10" s="1"/>
  <c r="D20" i="10"/>
  <c r="C20" i="10"/>
</calcChain>
</file>

<file path=xl/sharedStrings.xml><?xml version="1.0" encoding="utf-8"?>
<sst xmlns="http://schemas.openxmlformats.org/spreadsheetml/2006/main" count="4208" uniqueCount="132">
  <si>
    <t>FamInsureCo Data Analysis</t>
  </si>
  <si>
    <t>Now it's time for us to get started on our Data Analysis for FamInsureCo!</t>
  </si>
  <si>
    <t>As we've mentioned previously, there are a number of questions Management have expressed an interest in answering.</t>
  </si>
  <si>
    <t xml:space="preserve">•	Do individuals who tend to have a higher Body Mass Index (BMI), have higher insurance costs?
•	Does region (geography) appear to have any impact on insurance costs?
•	Does the biological marker have any bearing with insurance costs?
•	Does the biological marker have any impact regarding insurance costs? (i.e. Do Men have higher insurance costs than women?)
•	Does smoking have any impact regarding insurance costs? 
•	Do any correlations exist between medical charges and lifestyle?
</t>
  </si>
  <si>
    <t>We'll seek to tackle this assignment in three parts.</t>
  </si>
  <si>
    <r>
      <t xml:space="preserve">Firstly, you'll work on the </t>
    </r>
    <r>
      <rPr>
        <b/>
        <sz val="12"/>
        <color rgb="FF00705B"/>
        <rFont val="Arial"/>
        <family val="2"/>
      </rPr>
      <t xml:space="preserve">Basic Desc. Statistics Tab </t>
    </r>
    <r>
      <rPr>
        <sz val="12"/>
        <color rgb="FF00705B"/>
        <rFont val="Arial"/>
        <family val="2"/>
      </rPr>
      <t xml:space="preserve">where you'll make use of your knowledge of descriptive stats, to visualise the Medical Charges data. You'll be using the data in the </t>
    </r>
    <r>
      <rPr>
        <b/>
        <u/>
        <sz val="12"/>
        <color rgb="FF00705B"/>
        <rFont val="Arial"/>
        <family val="2"/>
      </rPr>
      <t>FamInsureCo. Desc Stats Data Tab.</t>
    </r>
  </si>
  <si>
    <r>
      <t xml:space="preserve">Secondly, you'll work on the </t>
    </r>
    <r>
      <rPr>
        <b/>
        <sz val="12"/>
        <color rgb="FF00705B"/>
        <rFont val="Arial"/>
        <family val="2"/>
      </rPr>
      <t xml:space="preserve">Intermediate Desc. Statistics Tab </t>
    </r>
    <r>
      <rPr>
        <sz val="12"/>
        <color rgb="FF00705B"/>
        <rFont val="Arial"/>
        <family val="2"/>
      </rPr>
      <t xml:space="preserve">where you'll make use of your intermediate statistics knowledge, where you'll apply box and whisker plots and correlation analyses to identify the variables that have a linear relationship with medical charges.  You'll be using the data in the </t>
    </r>
    <r>
      <rPr>
        <b/>
        <u/>
        <sz val="12"/>
        <color rgb="FF00705B"/>
        <rFont val="Arial"/>
        <family val="2"/>
      </rPr>
      <t>FamInsureCo Int. Stats Data Tab.</t>
    </r>
  </si>
  <si>
    <t>Thirdly, you'll then build out your presentation where you'll synthesize your insights for the FamInsureCo team!</t>
  </si>
  <si>
    <t>With this in mind, let's get started!</t>
  </si>
  <si>
    <t>Definitions</t>
  </si>
  <si>
    <t>We've included a high-level breakdown that explains the different columns you'll deal with in the FamInsureCo Desc. Stats Data Tab</t>
  </si>
  <si>
    <t>Age</t>
  </si>
  <si>
    <t>This column provides information on how old the individual is.</t>
  </si>
  <si>
    <t>Biological Marker</t>
  </si>
  <si>
    <t>This is a column filled with the individuals biological marker (i.e. Are they male or female).</t>
  </si>
  <si>
    <t>BMI</t>
  </si>
  <si>
    <t>This is a column that represents the Body Mass Index (BMI) of the respective individual. This is a commonly used metric to assess overhealth.</t>
  </si>
  <si>
    <t>Smoker</t>
  </si>
  <si>
    <t>This is a column that indicates whether the individual is a smoker or not.</t>
  </si>
  <si>
    <t>Region</t>
  </si>
  <si>
    <t>This is a column that indicates the geographical location of where the individual resides (i.e. Northwest, Northeast etc.)</t>
  </si>
  <si>
    <t>Medical_Insurance_Charges</t>
  </si>
  <si>
    <t>This is a column that represents the medical insurance charges incurred by that individual.</t>
  </si>
  <si>
    <t>age</t>
  </si>
  <si>
    <t>biological marker</t>
  </si>
  <si>
    <t>bmi</t>
  </si>
  <si>
    <t>smoker</t>
  </si>
  <si>
    <t>region</t>
  </si>
  <si>
    <t>medical_insurance_charges</t>
  </si>
  <si>
    <t>female</t>
  </si>
  <si>
    <t>no</t>
  </si>
  <si>
    <t>southeast</t>
  </si>
  <si>
    <t>southwest</t>
  </si>
  <si>
    <t>northwest</t>
  </si>
  <si>
    <t>northeast</t>
  </si>
  <si>
    <t>male</t>
  </si>
  <si>
    <t>yes</t>
  </si>
  <si>
    <t>BMI_Healthy</t>
  </si>
  <si>
    <t>BMI_Overweight</t>
  </si>
  <si>
    <t>BMI_Slightly_Overweight</t>
  </si>
  <si>
    <t>BMI_Underweight</t>
  </si>
  <si>
    <t>Young Adult</t>
  </si>
  <si>
    <t>Adult</t>
  </si>
  <si>
    <t>Mature Age Adult</t>
  </si>
  <si>
    <t>Senior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</si>
  <si>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</si>
  <si>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</si>
  <si>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</si>
  <si>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</si>
  <si>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</si>
  <si>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</si>
  <si>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</si>
  <si>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</si>
  <si>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</si>
  <si>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</si>
  <si>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</si>
  <si>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</si>
  <si>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</si>
  <si>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</si>
  <si>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</si>
  <si>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</si>
  <si>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</si>
  <si>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</si>
  <si>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</si>
  <si>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</si>
  <si>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</si>
  <si>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</si>
  <si>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Gender</t>
  </si>
  <si>
    <t>Descriptive Statistics Analysis - Part II</t>
  </si>
  <si>
    <t>We've introduced you now to the concepts of intermediate statistics.</t>
  </si>
  <si>
    <t>Often in our data analysis, we need to move beyond simple statistics covering mean, mode, median and histograms and dive a bit deeper in our analysis.</t>
  </si>
  <si>
    <t>Using our previous Walmart example, say we've identified the average sales on the weekends versus weekdays and we've created a histogram showing the overall distribution of sales.</t>
  </si>
  <si>
    <r>
      <t xml:space="preserve">What if we want to understand just how distributed the data is via the quartiles, or to view </t>
    </r>
    <r>
      <rPr>
        <b/>
        <sz val="11"/>
        <color rgb="FF000000"/>
        <rFont val="Arial"/>
        <family val="2"/>
      </rPr>
      <t>how much variability in sales exist for a specific day?</t>
    </r>
  </si>
  <si>
    <t>Lastly, what about if we want to examine the relationship between sales and the discounts provided?</t>
  </si>
  <si>
    <r>
      <t xml:space="preserve">Well, to answer those questions we'd seek to use </t>
    </r>
    <r>
      <rPr>
        <b/>
        <sz val="11"/>
        <color theme="1"/>
        <rFont val="Arial"/>
        <family val="2"/>
      </rPr>
      <t xml:space="preserve">quartiles, box plots and correlation analyses </t>
    </r>
    <r>
      <rPr>
        <sz val="11"/>
        <color theme="1"/>
        <rFont val="Arial"/>
        <family val="2"/>
      </rPr>
      <t>to better understand how we could answer these questions!</t>
    </r>
  </si>
  <si>
    <t>With that in mind, let's get started!</t>
  </si>
  <si>
    <t>Previously we observed the overall distribution of medical insurance charges via a Histogram.</t>
  </si>
  <si>
    <t>While this helped us understand how medical charges were distributed - we don't have a hard metric regarding just how dispersed the medical insurance charges are.</t>
  </si>
  <si>
    <t>Wouldn't it be nice if we had a method to split our medical insurance into 4 neat quartiles, to help us better understand just how distributed our data is?</t>
  </si>
  <si>
    <t>That's exactly what we'll do in this question!</t>
  </si>
  <si>
    <t>Q7. Using the quartile function you've learned about previously, calculate the 25th, 50th, 75th and 100th percentile for medical insurance charges.</t>
  </si>
  <si>
    <t>After completing the quartile calculations, calculate the Interquartile Range (3rd Quartile - 1st Quartile).</t>
  </si>
  <si>
    <t>Note: We use the phrase quartile and percentile interchangeably. Use the Quantile() function to answer this question.</t>
  </si>
  <si>
    <t>Percentile</t>
  </si>
  <si>
    <t>Interquantile Range</t>
  </si>
  <si>
    <t>Having now calculated the Interquartile Range, we have a better idea regarding how distributed the values are in our Medical Insurance Charges dataset.</t>
  </si>
  <si>
    <t xml:space="preserve">You might have recalled that we previously covered Box and Whisker Plots that enable us to see how the data is distributed based off quartiles. </t>
  </si>
  <si>
    <t>We've identified that smoking status, age and gender all seem to impact medical insurance charges to an extent.</t>
  </si>
  <si>
    <t>We haven't yet explored regions - so we'll look at this next with a box plot.</t>
  </si>
  <si>
    <t>Q8. Create a box plot using the Medical Insurance Charges and the Regions column, showing how costs are distributed across different living regions.</t>
  </si>
  <si>
    <t>Note: We've included an example of what your box and whisker plot should look like below!</t>
  </si>
  <si>
    <r>
      <t xml:space="preserve">Observing our Box Plots, we don't see any particular changes with respect to </t>
    </r>
    <r>
      <rPr>
        <b/>
        <sz val="11"/>
        <color theme="0"/>
        <rFont val="Arial"/>
        <family val="2"/>
      </rPr>
      <t>Median Medical Charges.</t>
    </r>
  </si>
  <si>
    <t>How about if we filter on Smoking Status? Do we see any substantial changes here?</t>
  </si>
  <si>
    <t>Q9. Create 2 Box Plots where Smoking Status = Yes and Smoking Status = No, using the Region and Medical Insurance Charges Columns. Does there appear to be a difference in costs regarding geography?</t>
  </si>
  <si>
    <t>Note: We've included an example for you so you'll know what to expect when you create your visualisation!</t>
  </si>
  <si>
    <t>Place your chart below here (Smoking = No )</t>
  </si>
  <si>
    <t>Place your chart below here (Smoking = Yes )</t>
  </si>
  <si>
    <t>It seems that the prevalence of smoking seems to be quite a substantial factor when taking into lifestyle factors.</t>
  </si>
  <si>
    <t>Whilst we might be tempted to discount looking at gender, we haven't looked at the medical insurance charges of males/females who smoke. Let's investigate!</t>
  </si>
  <si>
    <t>Q10. Create two box plots using the Medical Insurance Column and the Sex Column. Please filter your Box Plots to account for the periods where the Smoking Status = Yes or the Smoking Status = No. From your box plots, what do you observe?</t>
  </si>
  <si>
    <t>Great job so far! We're now ready to move onto the last part of our assignment - correlations!</t>
  </si>
  <si>
    <t>We know that correlation helps us understand the relationship between two variables and whether they share a linear relationship or not.</t>
  </si>
  <si>
    <t>Here we've noted age, BMI classification and regions - all might be related to our medical insurance charges.</t>
  </si>
  <si>
    <t>Q11. Using the CORREL() function, calculate the Correlation Value using the BMI and Medical Insurance Columns.</t>
  </si>
  <si>
    <t>Note: If you're stuck, please reference this link: https://support.microsoft.com/en-us/office/correl-function-995dcef7-0c0a-4bed-a3fb-239d7b68ca92</t>
  </si>
  <si>
    <t>What do you observe from the Correlation Value?</t>
  </si>
  <si>
    <t>Fill in the Correlation ( R ) value below</t>
  </si>
  <si>
    <t>Medical Insurance Charges</t>
  </si>
  <si>
    <t xml:space="preserve">Now you might be surprised. Previously we thought we saw some clear relationships between BMI and Medical Insurance Charges. </t>
  </si>
  <si>
    <r>
      <t xml:space="preserve">Again, our R Value is a reflection of the </t>
    </r>
    <r>
      <rPr>
        <b/>
        <sz val="12"/>
        <color theme="0"/>
        <rFont val="Arial"/>
        <family val="2"/>
      </rPr>
      <t xml:space="preserve">linear relationship </t>
    </r>
    <r>
      <rPr>
        <sz val="12"/>
        <color theme="0"/>
        <rFont val="Arial"/>
        <family val="2"/>
      </rPr>
      <t>between medical charges and BMI. We have lots of noise in our data.</t>
    </r>
  </si>
  <si>
    <r>
      <t xml:space="preserve">We've already prepared the data for you in the </t>
    </r>
    <r>
      <rPr>
        <b/>
        <u/>
        <sz val="12"/>
        <color theme="0"/>
        <rFont val="Arial"/>
        <family val="2"/>
      </rPr>
      <t>FamInsureCo Int Stats Data Tab</t>
    </r>
    <r>
      <rPr>
        <sz val="12"/>
        <color theme="0"/>
        <rFont val="Arial"/>
        <family val="2"/>
      </rPr>
      <t>, so there's no conversions you need to do.</t>
    </r>
  </si>
  <si>
    <t>Q12. Using the CORREL() function, fill out the Corrrelation Table below.</t>
  </si>
  <si>
    <t>Now you've probably observed that since we've converted some of our textual categories, to numerical columns, we can now calculate some additional correlations.</t>
  </si>
  <si>
    <t>This is what we've done for our remaining textual columns where we've done all the categorical conversions for you!</t>
  </si>
  <si>
    <t>Q13. Using the CORREL() function, fill out the Correlation Table below.</t>
  </si>
  <si>
    <t>Now that we've got our correlation values calculated against our Medical Insurance Variable. Let's visualise this in an organised manner with a Bar Chart sorting the correlation values in descending order!</t>
  </si>
  <si>
    <r>
      <t xml:space="preserve">Q14. Using the Correlation Table you created in Q14, create a Correlated Bar Plot, with the Correlation Values organised in </t>
    </r>
    <r>
      <rPr>
        <b/>
        <sz val="11"/>
        <color theme="0"/>
        <rFont val="Arial"/>
        <family val="2"/>
      </rPr>
      <t xml:space="preserve">descending </t>
    </r>
    <r>
      <rPr>
        <sz val="11"/>
        <color theme="0"/>
        <rFont val="Arial"/>
        <family val="2"/>
      </rPr>
      <t>order.</t>
    </r>
  </si>
  <si>
    <t>Strongest Positive Correlation:</t>
  </si>
  <si>
    <r>
      <t>Smoker (0.79)</t>
    </r>
    <r>
      <rPr>
        <sz val="11"/>
        <color theme="1"/>
        <rFont val="Calibri"/>
        <family val="2"/>
        <scheme val="minor"/>
      </rPr>
      <t xml:space="preserve"> → The highest correlation, meaning that being a smoker has the strongest impact on increasing medical insurance charges.</t>
    </r>
  </si>
  <si>
    <r>
      <t>Age (0.30)</t>
    </r>
    <r>
      <rPr>
        <sz val="11"/>
        <color theme="1"/>
        <rFont val="Calibri"/>
        <family val="2"/>
        <scheme val="minor"/>
      </rPr>
      <t xml:space="preserve"> → Older individuals tend to have higher insurance charges.</t>
    </r>
  </si>
  <si>
    <r>
      <t>Senior (0.20), BMI (0.20), and BMI_Overweight (0.20)</t>
    </r>
    <r>
      <rPr>
        <sz val="11"/>
        <color theme="1"/>
        <rFont val="Calibri"/>
        <family val="2"/>
        <scheme val="minor"/>
      </rPr>
      <t xml:space="preserve"> → Older age and higher BMI are associated with increased charges.</t>
    </r>
  </si>
  <si>
    <t>Moderate Positive Correlation:</t>
  </si>
  <si>
    <r>
      <t>Mature Age Adult (0.14)</t>
    </r>
    <r>
      <rPr>
        <sz val="11"/>
        <color theme="1"/>
        <rFont val="Calibri"/>
        <family val="2"/>
        <scheme val="minor"/>
      </rPr>
      <t xml:space="preserve"> → Middle-aged adults have slightly higher medical costs.</t>
    </r>
  </si>
  <si>
    <r>
      <t>Southeast (0.07) and Gender (0.06)</t>
    </r>
    <r>
      <rPr>
        <sz val="11"/>
        <color theme="1"/>
        <rFont val="Calibri"/>
        <family val="2"/>
        <scheme val="minor"/>
      </rPr>
      <t xml:space="preserve"> → Living in the Southeast region and gender has a minor positive effect on insurance costs.</t>
    </r>
  </si>
  <si>
    <t>Near Zero Correlation:</t>
  </si>
  <si>
    <r>
      <t>Northeast (0.01), Northwest (-0.04), Southwest (-0.04)</t>
    </r>
    <r>
      <rPr>
        <sz val="11"/>
        <color theme="1"/>
        <rFont val="Calibri"/>
        <family val="2"/>
        <scheme val="minor"/>
      </rPr>
      <t xml:space="preserve"> → Regional impact is negligible.</t>
    </r>
  </si>
  <si>
    <r>
      <t>BMI_Underweight (-0.04)</t>
    </r>
    <r>
      <rPr>
        <sz val="11"/>
        <color theme="1"/>
        <rFont val="Calibri"/>
        <family val="2"/>
        <scheme val="minor"/>
      </rPr>
      <t xml:space="preserve"> → Being underweight has little effect on insurance charges.</t>
    </r>
  </si>
  <si>
    <t>And that's a wrap! We've now covered both basic and intermediate statistics! Let's pull together the visualizations you've created into the presentation template and close out this analysis! Well done!</t>
  </si>
  <si>
    <t>Negative Correlation (Lower Medical Charges):</t>
  </si>
  <si>
    <r>
      <t>BMI_Healthy (-0.11) and Adult (-0.11)</t>
    </r>
    <r>
      <rPr>
        <sz val="11"/>
        <color theme="1"/>
        <rFont val="Calibri"/>
        <family val="2"/>
        <scheme val="minor"/>
      </rPr>
      <t xml:space="preserve"> → Healthy BMI individuals and general adults tend to have lower medical insurance costs.</t>
    </r>
  </si>
  <si>
    <r>
      <t>BMI_Slightly_Overweight (-0.12)</t>
    </r>
    <r>
      <rPr>
        <sz val="11"/>
        <color theme="1"/>
        <rFont val="Calibri"/>
        <family val="2"/>
        <scheme val="minor"/>
      </rPr>
      <t xml:space="preserve"> → Slightly overweight individuals tend to have lower charges than overweight individuals.</t>
    </r>
  </si>
  <si>
    <r>
      <t>Young Adult (-0.19)</t>
    </r>
    <r>
      <rPr>
        <sz val="11"/>
        <color theme="1"/>
        <rFont val="Calibri"/>
        <family val="2"/>
        <scheme val="minor"/>
      </rPr>
      <t xml:space="preserve"> → Young adults have lower medical insurance costs, likely due to lower health risks.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</si>
</sst>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4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Open Sans"/>
      <family val="2"/>
    </font>
    <font>
      <b/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Arial"/>
      <family val="2"/>
    </font>
    <font>
      <sz val="11"/>
      <color theme="0"/>
      <name val="Arial"/>
      <family val="2"/>
    </font>
    <font>
      <sz val="12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20"/>
      <color theme="0"/>
      <name val="Arial"/>
      <family val="2"/>
    </font>
    <font>
      <sz val="20"/>
      <color theme="0"/>
      <name val="Arial"/>
      <family val="2"/>
    </font>
    <font>
      <sz val="2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u/>
      <sz val="12"/>
      <color theme="0"/>
      <name val="Arial"/>
      <family val="2"/>
    </font>
    <font>
      <sz val="11"/>
      <color rgb="FF000000"/>
      <name val="Calibri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sz val="10"/>
      <color rgb="FF000000"/>
      <name val="Arial"/>
      <family val="2"/>
    </font>
    <font>
      <b/>
      <sz val="15.5"/>
      <color theme="1"/>
      <name val="Arial"/>
      <family val="2"/>
    </font>
    <font>
      <sz val="15.5"/>
      <color theme="1"/>
      <name val="Arial"/>
      <family val="2"/>
    </font>
    <font>
      <sz val="14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3"/>
      <name val="Arial"/>
      <family val="2"/>
    </font>
    <font>
      <sz val="13"/>
      <color theme="1"/>
      <name val="Arial"/>
      <family val="2"/>
    </font>
    <font>
      <sz val="13"/>
      <color rgb="FF000000"/>
      <name val="Calibri"/>
      <family val="2"/>
    </font>
    <font>
      <sz val="12"/>
      <color rgb="FF00705B"/>
      <name val="Arial"/>
      <family val="2"/>
    </font>
    <font>
      <sz val="11"/>
      <color rgb="FF00705B"/>
      <name val="Arial"/>
      <family val="2"/>
    </font>
    <font>
      <b/>
      <sz val="12"/>
      <color rgb="FF00705B"/>
      <name val="Arial"/>
      <family val="2"/>
    </font>
    <font>
      <b/>
      <u/>
      <sz val="12"/>
      <color rgb="FF00705B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5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</fills>
  <borders count="19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7" fillId="0" borderId="0"/>
  </cellStyleXfs>
  <cellXfs count="10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0" fillId="3" borderId="0" xfId="0" applyFill="1"/>
    <xf numFmtId="0" fontId="6" fillId="3" borderId="0" xfId="0" applyFont="1" applyFill="1"/>
    <xf numFmtId="0" fontId="6" fillId="5" borderId="0" xfId="0" applyFont="1" applyFill="1"/>
    <xf numFmtId="0" fontId="1" fillId="5" borderId="0" xfId="0" applyFont="1" applyFill="1"/>
    <xf numFmtId="0" fontId="9" fillId="0" borderId="1" xfId="0" applyFont="1" applyBorder="1"/>
    <xf numFmtId="0" fontId="0" fillId="0" borderId="3" xfId="0" applyBorder="1"/>
    <xf numFmtId="0" fontId="1" fillId="0" borderId="3" xfId="0" applyFont="1" applyBorder="1"/>
    <xf numFmtId="0" fontId="0" fillId="5" borderId="0" xfId="0" applyFill="1"/>
    <xf numFmtId="0" fontId="2" fillId="5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2" fontId="9" fillId="0" borderId="4" xfId="0" applyNumberFormat="1" applyFont="1" applyBorder="1"/>
    <xf numFmtId="0" fontId="7" fillId="0" borderId="0" xfId="0" applyFont="1" applyAlignment="1">
      <alignment wrapText="1"/>
    </xf>
    <xf numFmtId="2" fontId="9" fillId="0" borderId="0" xfId="0" applyNumberFormat="1" applyFont="1"/>
    <xf numFmtId="2" fontId="2" fillId="5" borderId="0" xfId="0" applyNumberFormat="1" applyFont="1" applyFill="1" applyAlignment="1">
      <alignment wrapText="1"/>
    </xf>
    <xf numFmtId="0" fontId="10" fillId="6" borderId="6" xfId="0" applyFont="1" applyFill="1" applyBorder="1" applyAlignment="1">
      <alignment wrapText="1"/>
    </xf>
    <xf numFmtId="0" fontId="10" fillId="6" borderId="5" xfId="0" applyFont="1" applyFill="1" applyBorder="1" applyAlignment="1">
      <alignment wrapText="1"/>
    </xf>
    <xf numFmtId="0" fontId="12" fillId="0" borderId="0" xfId="0" applyFont="1"/>
    <xf numFmtId="164" fontId="12" fillId="0" borderId="0" xfId="0" applyNumberFormat="1" applyFont="1"/>
    <xf numFmtId="0" fontId="13" fillId="0" borderId="0" xfId="0" applyFont="1"/>
    <xf numFmtId="0" fontId="11" fillId="2" borderId="0" xfId="0" applyFont="1" applyFill="1" applyAlignment="1">
      <alignment horizontal="center" wrapText="1"/>
    </xf>
    <xf numFmtId="0" fontId="0" fillId="0" borderId="7" xfId="0" applyBorder="1"/>
    <xf numFmtId="0" fontId="14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Continuous"/>
    </xf>
    <xf numFmtId="0" fontId="6" fillId="0" borderId="0" xfId="0" applyFont="1"/>
    <xf numFmtId="0" fontId="17" fillId="7" borderId="0" xfId="0" applyFont="1" applyFill="1"/>
    <xf numFmtId="0" fontId="18" fillId="7" borderId="0" xfId="0" applyFont="1" applyFill="1"/>
    <xf numFmtId="0" fontId="19" fillId="7" borderId="0" xfId="0" applyFont="1" applyFill="1"/>
    <xf numFmtId="0" fontId="20" fillId="7" borderId="0" xfId="0" applyFont="1" applyFill="1"/>
    <xf numFmtId="0" fontId="22" fillId="7" borderId="0" xfId="0" applyFont="1" applyFill="1"/>
    <xf numFmtId="0" fontId="23" fillId="7" borderId="0" xfId="0" applyFont="1" applyFill="1"/>
    <xf numFmtId="0" fontId="24" fillId="7" borderId="0" xfId="0" applyFont="1" applyFill="1"/>
    <xf numFmtId="0" fontId="8" fillId="7" borderId="0" xfId="0" applyFont="1" applyFill="1"/>
    <xf numFmtId="0" fontId="16" fillId="7" borderId="0" xfId="0" applyFont="1" applyFill="1"/>
    <xf numFmtId="0" fontId="16" fillId="8" borderId="0" xfId="0" applyFont="1" applyFill="1"/>
    <xf numFmtId="0" fontId="18" fillId="8" borderId="0" xfId="0" applyFont="1" applyFill="1"/>
    <xf numFmtId="0" fontId="21" fillId="7" borderId="0" xfId="0" applyFont="1" applyFill="1"/>
    <xf numFmtId="0" fontId="19" fillId="8" borderId="0" xfId="0" applyFont="1" applyFill="1"/>
    <xf numFmtId="0" fontId="8" fillId="8" borderId="0" xfId="0" applyFont="1" applyFill="1"/>
    <xf numFmtId="0" fontId="15" fillId="7" borderId="0" xfId="0" applyFont="1" applyFill="1"/>
    <xf numFmtId="164" fontId="3" fillId="4" borderId="0" xfId="0" applyNumberFormat="1" applyFont="1" applyFill="1"/>
    <xf numFmtId="0" fontId="15" fillId="8" borderId="0" xfId="0" applyFont="1" applyFill="1"/>
    <xf numFmtId="0" fontId="8" fillId="9" borderId="0" xfId="0" applyFont="1" applyFill="1"/>
    <xf numFmtId="0" fontId="20" fillId="8" borderId="0" xfId="0" applyFont="1" applyFill="1"/>
    <xf numFmtId="0" fontId="7" fillId="6" borderId="2" xfId="0" applyFont="1" applyFill="1" applyBorder="1" applyAlignment="1">
      <alignment wrapText="1"/>
    </xf>
    <xf numFmtId="0" fontId="7" fillId="6" borderId="9" xfId="0" applyFont="1" applyFill="1" applyBorder="1"/>
    <xf numFmtId="0" fontId="25" fillId="2" borderId="10" xfId="0" applyFont="1" applyFill="1" applyBorder="1" applyAlignment="1">
      <alignment horizontal="center" wrapText="1"/>
    </xf>
    <xf numFmtId="0" fontId="25" fillId="2" borderId="11" xfId="0" applyFont="1" applyFill="1" applyBorder="1" applyAlignment="1">
      <alignment horizontal="center" wrapText="1"/>
    </xf>
    <xf numFmtId="0" fontId="25" fillId="2" borderId="12" xfId="0" applyFont="1" applyFill="1" applyBorder="1" applyAlignment="1">
      <alignment horizontal="center" wrapText="1"/>
    </xf>
    <xf numFmtId="0" fontId="8" fillId="7" borderId="0" xfId="0" applyFont="1" applyFill="1" applyAlignment="1">
      <alignment horizontal="center"/>
    </xf>
    <xf numFmtId="164" fontId="8" fillId="7" borderId="0" xfId="0" applyNumberFormat="1" applyFont="1" applyFill="1" applyAlignment="1">
      <alignment horizontal="center"/>
    </xf>
    <xf numFmtId="0" fontId="0" fillId="7" borderId="0" xfId="0" applyFill="1"/>
    <xf numFmtId="0" fontId="11" fillId="7" borderId="0" xfId="0" applyFont="1" applyFill="1" applyAlignment="1">
      <alignment horizontal="center"/>
    </xf>
    <xf numFmtId="164" fontId="11" fillId="7" borderId="0" xfId="0" applyNumberFormat="1" applyFont="1" applyFill="1" applyAlignment="1">
      <alignment horizontal="center"/>
    </xf>
    <xf numFmtId="0" fontId="17" fillId="7" borderId="0" xfId="1" applyFont="1" applyFill="1"/>
    <xf numFmtId="0" fontId="28" fillId="7" borderId="0" xfId="1" applyFont="1" applyFill="1"/>
    <xf numFmtId="0" fontId="29" fillId="7" borderId="0" xfId="1" applyFont="1" applyFill="1"/>
    <xf numFmtId="0" fontId="30" fillId="0" borderId="0" xfId="1" applyFont="1"/>
    <xf numFmtId="0" fontId="31" fillId="0" borderId="15" xfId="1" applyFont="1" applyBorder="1"/>
    <xf numFmtId="0" fontId="33" fillId="0" borderId="0" xfId="1" applyFont="1"/>
    <xf numFmtId="0" fontId="33" fillId="0" borderId="16" xfId="1" applyFont="1" applyBorder="1"/>
    <xf numFmtId="0" fontId="32" fillId="0" borderId="0" xfId="1" applyFont="1"/>
    <xf numFmtId="0" fontId="31" fillId="0" borderId="15" xfId="1" applyFont="1" applyBorder="1" applyAlignment="1">
      <alignment horizontal="left"/>
    </xf>
    <xf numFmtId="0" fontId="30" fillId="0" borderId="0" xfId="0" applyFont="1"/>
    <xf numFmtId="0" fontId="32" fillId="0" borderId="7" xfId="1" applyFont="1" applyBorder="1"/>
    <xf numFmtId="0" fontId="33" fillId="0" borderId="7" xfId="1" applyFont="1" applyBorder="1"/>
    <xf numFmtId="0" fontId="33" fillId="0" borderId="18" xfId="1" applyFont="1" applyBorder="1"/>
    <xf numFmtId="0" fontId="30" fillId="0" borderId="7" xfId="1" applyFont="1" applyBorder="1"/>
    <xf numFmtId="0" fontId="36" fillId="0" borderId="14" xfId="1" applyFont="1" applyBorder="1"/>
    <xf numFmtId="0" fontId="36" fillId="0" borderId="16" xfId="1" applyFont="1" applyBorder="1"/>
    <xf numFmtId="0" fontId="31" fillId="0" borderId="17" xfId="1" applyFont="1" applyBorder="1"/>
    <xf numFmtId="0" fontId="38" fillId="0" borderId="0" xfId="0" applyFont="1"/>
    <xf numFmtId="0" fontId="39" fillId="0" borderId="0" xfId="0" applyFont="1"/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0" fontId="36" fillId="0" borderId="13" xfId="1" applyFont="1" applyBorder="1"/>
    <xf numFmtId="0" fontId="36" fillId="0" borderId="0" xfId="1" applyFont="1"/>
    <xf numFmtId="0" fontId="19" fillId="7" borderId="0" xfId="0" applyFont="1" applyFill="1" applyAlignment="1">
      <alignment wrapText="1"/>
    </xf>
    <xf numFmtId="0" fontId="20" fillId="7" borderId="0" xfId="0" applyFont="1" applyFill="1" applyAlignment="1">
      <alignment wrapText="1"/>
    </xf>
    <xf numFmtId="0" fontId="20" fillId="8" borderId="0" xfId="0" applyFont="1" applyFill="1" applyAlignment="1">
      <alignment wrapText="1"/>
    </xf>
    <xf numFmtId="0" fontId="42" fillId="0" borderId="0" xfId="0" applyFont="1"/>
    <xf numFmtId="0" fontId="21" fillId="7" borderId="0" xfId="0" applyFont="1" applyFill="1" applyAlignment="1">
      <alignment wrapText="1"/>
    </xf>
    <xf numFmtId="0" fontId="34" fillId="7" borderId="0" xfId="0" applyFont="1" applyFill="1" applyAlignment="1">
      <alignment wrapText="1"/>
    </xf>
    <xf numFmtId="0" fontId="36" fillId="0" borderId="0" xfId="1" applyFont="1" applyAlignment="1">
      <alignment wrapText="1"/>
    </xf>
    <xf numFmtId="0" fontId="21" fillId="7" borderId="0" xfId="0" applyFont="1" applyFill="1" applyAlignment="1">
      <alignment horizontal="left" vertical="center" wrapText="1"/>
    </xf>
    <xf numFmtId="0" fontId="15" fillId="7" borderId="0" xfId="0" applyFont="1" applyFill="1" applyAlignment="1">
      <alignment wrapText="1"/>
    </xf>
    <xf numFmtId="0" fontId="19" fillId="7" borderId="0" xfId="0" applyFont="1" applyFill="1" applyAlignment="1">
      <alignment wrapText="1"/>
    </xf>
    <xf numFmtId="0" fontId="20" fillId="7" borderId="0" xfId="0" applyFont="1" applyFill="1" applyAlignment="1">
      <alignment wrapText="1"/>
    </xf>
    <xf numFmtId="0" fontId="21" fillId="8" borderId="0" xfId="0" applyFont="1" applyFill="1" applyAlignment="1">
      <alignment wrapText="1"/>
    </xf>
    <xf numFmtId="0" fontId="16" fillId="8" borderId="0" xfId="0" applyFont="1" applyFill="1" applyAlignment="1">
      <alignment wrapText="1"/>
    </xf>
    <xf numFmtId="0" fontId="19" fillId="8" borderId="0" xfId="0" applyFont="1" applyFill="1" applyAlignment="1">
      <alignment wrapText="1"/>
    </xf>
    <xf numFmtId="0" fontId="20" fillId="8" borderId="0" xfId="0" applyFont="1" applyFill="1" applyAlignment="1">
      <alignment wrapText="1"/>
    </xf>
    <xf numFmtId="0" fontId="8" fillId="7" borderId="0" xfId="0" applyFont="1" applyFill="1" applyAlignment="1">
      <alignment wrapText="1"/>
    </xf>
    <xf numFmtId="0" fontId="19" fillId="7" borderId="0" xfId="0" applyFont="1" applyFill="1" applyAlignment="1">
      <alignment horizontal="left" vertical="center" wrapText="1"/>
    </xf>
    <xf numFmtId="0" fontId="16" fillId="7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6" fillId="0" borderId="13" xfId="1" applyFont="1" applyBorder="1" applyAlignment="1"/>
    <xf numFmtId="0" fontId="37" fillId="0" borderId="13" xfId="1" applyFont="1" applyBorder="1" applyAlignment="1"/>
    <xf numFmtId="0" fontId="36" fillId="0" borderId="0" xfId="1" applyFont="1" applyAlignment="1"/>
    <xf numFmtId="0" fontId="37" fillId="0" borderId="0" xfId="1" applyFont="1" applyAlignment="1"/>
    <xf numFmtId="0" fontId="37" fillId="0" borderId="16" xfId="1" applyFont="1" applyBorder="1" applyAlignment="1"/>
  </cellXfs>
  <cellStyles count="2">
    <cellStyle name="Normal" xfId="0" builtinId="0"/>
    <cellStyle name="Normal 2" xfId="1" xr:uid="{09364C7B-126D-41B2-A053-E2C1D879BCCB}"/>
  </cellStyles>
  <dxfs count="0"/>
  <tableStyles count="0" defaultTableStyle="TableStyleMedium2" defaultPivotStyle="PivotStyleLight16"/>
  <colors>
    <mruColors>
      <color rgb="FF00705B"/>
      <color rgb="FFEE226E"/>
      <color rgb="FFF14989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medical charges based on region (smoking = yes)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medical charges based on region (smoking = yes)</a:t>
          </a:r>
        </a:p>
      </cx:txPr>
    </cx:title>
    <cx:plotArea>
      <cx:plotAreaRegion>
        <cx:series layoutId="boxWhisker" uniqueId="{5FD4DE39-423B-F249-B63A-39F39CBB5F2D}">
          <cx:tx>
            <cx:txData>
              <cx:f>_xlchart.v1.1</cx:f>
              <cx:v>medical_insurance_charges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Insurance charge based on gender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Insurance charge based on gender</a:t>
          </a:r>
        </a:p>
      </cx:txPr>
    </cx:title>
    <cx:plotArea>
      <cx:plotAreaRegion>
        <cx:series layoutId="boxWhisker" uniqueId="{BA763230-5A35-B247-B42F-D16AB54004B5}">
          <cx:tx>
            <cx:txData>
              <cx:f>_xlchart.v1.4</cx:f>
              <cx:v>medical_insurance_charges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10000002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  <cx:data id="3">
      <cx:numDim type="val">
        <cx:f>_xlchart.v1.11</cx:f>
      </cx:numDim>
    </cx:data>
    <cx:data id="4">
      <cx:numDim type="val">
        <cx:f>_xlchart.v1.13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boxWhisker" uniqueId="{4AAC3FE3-EDDE-8045-9B3F-25CAD0FE05A6}">
          <cx:tx>
            <cx:txData>
              <cx:f>_xlchart.v1.14</cx:f>
              <cx:v>medical_insurance_charges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F9E4594-05E0-9342-844E-55B74B41FDFF}">
          <cx:tx>
            <cx:txData>
              <cx:f>_xlchart.v1.6</cx:f>
              <cx:v>southeast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E02A544-0F8F-BA40-838E-F31C1BF1EDF4}">
          <cx:tx>
            <cx:txData>
              <cx:f>_xlchart.v1.8</cx:f>
              <cx:v>southwest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3F92E8E-8C07-4C47-88D4-D329B2B202AE}">
          <cx:tx>
            <cx:txData>
              <cx:f>_xlchart.v1.10</cx:f>
              <cx:v>northwest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8AF89E85-E941-4746-BB0C-2FD71C665FB3}">
          <cx:tx>
            <cx:txData>
              <cx:f>_xlchart.v1.12</cx:f>
              <cx:v>northeast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_xlchart.v1.18</cx:f>
      </cx:numDim>
    </cx:data>
  </cx:chartData>
  <cx:chart>
    <cx:title pos="t" align="ctr" overlay="0">
      <cx:tx>
        <cx:txData>
          <cx:v>medical charges based on region (smoking = yes)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medical charges based on region (smoking = yes)</a:t>
          </a:r>
        </a:p>
      </cx:txPr>
    </cx:title>
    <cx:plotArea>
      <cx:plotAreaRegion>
        <cx:series layoutId="boxWhisker" uniqueId="{99021662-F7CB-B441-AFF3-6CBD1D338EEF}">
          <cx:tx>
            <cx:txData>
              <cx:f>_xlchart.v1.17</cx:f>
              <cx:v>medical_insurance_charges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val">
        <cx:f>_xlchart.v1.21</cx:f>
      </cx:numDim>
    </cx:data>
  </cx:chartData>
  <cx:chart>
    <cx:title pos="t" align="ctr" overlay="0">
      <cx:tx>
        <cx:txData>
          <cx:v>Insurance charge based on gender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rPr>
            <a:t>Insurance charge based on gender</a:t>
          </a:r>
        </a:p>
      </cx:txPr>
    </cx:title>
    <cx:plotArea>
      <cx:plotAreaRegion>
        <cx:series layoutId="boxWhisker" uniqueId="{BA763230-5A35-B247-B42F-D16AB54004B5}">
          <cx:tx>
            <cx:txData>
              <cx:f>_xlchart.v1.20</cx:f>
              <cx:v>medical_insurance_charges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10000002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microsoft.com/office/2014/relationships/chartEx" Target="../charts/chartEx5.xml"/><Relationship Id="rId5" Type="http://schemas.microsoft.com/office/2014/relationships/chartEx" Target="../charts/chartEx4.xml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111240" cy="3182620"/>
    <xdr:pic>
      <xdr:nvPicPr>
        <xdr:cNvPr id="2" name="Picture 1" descr="Graphical user interface, website&#10;&#10;Description automatically generated">
          <a:extLst>
            <a:ext uri="{FF2B5EF4-FFF2-40B4-BE49-F238E27FC236}">
              <a16:creationId xmlns:a16="http://schemas.microsoft.com/office/drawing/2014/main" id="{54A1FB0D-086C-4EE9-B7CB-FDFA6AB3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7200"/>
          <a:ext cx="6111240" cy="31826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337206</xdr:colOff>
      <xdr:row>1199</xdr:row>
      <xdr:rowOff>148020</xdr:rowOff>
    </xdr:from>
    <xdr:to>
      <xdr:col>8</xdr:col>
      <xdr:colOff>486103</xdr:colOff>
      <xdr:row>1214</xdr:row>
      <xdr:rowOff>876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81B0C4F-61C7-121E-38F7-203B315D35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604344</xdr:colOff>
      <xdr:row>1069</xdr:row>
      <xdr:rowOff>156780</xdr:rowOff>
    </xdr:from>
    <xdr:to>
      <xdr:col>10</xdr:col>
      <xdr:colOff>201447</xdr:colOff>
      <xdr:row>1084</xdr:row>
      <xdr:rowOff>9635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B540339-7D9C-858F-5C28-124C54FF41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376115</xdr:colOff>
      <xdr:row>95</xdr:row>
      <xdr:rowOff>44939</xdr:rowOff>
    </xdr:from>
    <xdr:to>
      <xdr:col>16</xdr:col>
      <xdr:colOff>1450731</xdr:colOff>
      <xdr:row>109</xdr:row>
      <xdr:rowOff>52754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8DCC153-DBA0-4F4D-4915-DBAE9F2CB7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363562</xdr:colOff>
      <xdr:row>55</xdr:row>
      <xdr:rowOff>11137</xdr:rowOff>
    </xdr:from>
    <xdr:to>
      <xdr:col>4</xdr:col>
      <xdr:colOff>172562</xdr:colOff>
      <xdr:row>68</xdr:row>
      <xdr:rowOff>171465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B087BD-DCB0-4C8F-BDC8-3E0816111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562" y="10180906"/>
          <a:ext cx="4296301" cy="2526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211455</xdr:colOff>
      <xdr:row>77</xdr:row>
      <xdr:rowOff>58614</xdr:rowOff>
    </xdr:from>
    <xdr:to>
      <xdr:col>3</xdr:col>
      <xdr:colOff>1007533</xdr:colOff>
      <xdr:row>94</xdr:row>
      <xdr:rowOff>153864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F7A541-8E59-4F92-B938-C8F5D3D0F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5" y="14214229"/>
          <a:ext cx="4198994" cy="3209193"/>
        </a:xfrm>
        <a:prstGeom prst="rect">
          <a:avLst/>
        </a:prstGeom>
      </xdr:spPr>
    </xdr:pic>
    <xdr:clientData/>
  </xdr:twoCellAnchor>
  <xdr:twoCellAnchor editAs="oneCell">
    <xdr:from>
      <xdr:col>0</xdr:col>
      <xdr:colOff>7327</xdr:colOff>
      <xdr:row>30</xdr:row>
      <xdr:rowOff>181561</xdr:rowOff>
    </xdr:from>
    <xdr:to>
      <xdr:col>4</xdr:col>
      <xdr:colOff>246448</xdr:colOff>
      <xdr:row>46</xdr:row>
      <xdr:rowOff>18383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E005A67-3C55-47E6-A952-87E6CBBFC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27" y="5815965"/>
          <a:ext cx="4749282" cy="278283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868386</xdr:colOff>
      <xdr:row>131</xdr:row>
      <xdr:rowOff>10843</xdr:rowOff>
    </xdr:from>
    <xdr:to>
      <xdr:col>12</xdr:col>
      <xdr:colOff>21798</xdr:colOff>
      <xdr:row>146</xdr:row>
      <xdr:rowOff>113519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5AB280-D8A6-1420-607B-BB5852AF8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2732" y="25515862"/>
          <a:ext cx="7366893" cy="350969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55</xdr:row>
      <xdr:rowOff>0</xdr:rowOff>
    </xdr:from>
    <xdr:to>
      <xdr:col>9</xdr:col>
      <xdr:colOff>381000</xdr:colOff>
      <xdr:row>69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81EECCD-BCB1-9342-B990-9B35987428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78</xdr:row>
      <xdr:rowOff>0</xdr:rowOff>
    </xdr:from>
    <xdr:to>
      <xdr:col>9</xdr:col>
      <xdr:colOff>381000</xdr:colOff>
      <xdr:row>92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7556F73-4A72-BF47-B658-E66483D50D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F0EE-BF8B-4BF2-9BD4-996D25070664}">
  <sheetPr>
    <tabColor rgb="FF00705B"/>
  </sheetPr>
  <dimension ref="A1:AL51"/>
  <sheetViews>
    <sheetView showGridLines="0" zoomScaleNormal="100" workbookViewId="0">
      <selection activeCell="H1" sqref="H1"/>
    </sheetView>
  </sheetViews>
  <sheetFormatPr defaultColWidth="9.140625" defaultRowHeight="14.1"/>
  <cols>
    <col min="1" max="1" width="31.7109375" style="1" customWidth="1"/>
    <col min="2" max="16384" width="9.140625" style="1"/>
  </cols>
  <sheetData>
    <row r="1" spans="1:1" s="31" customFormat="1" ht="23.1">
      <c r="A1" s="30" t="s">
        <v>0</v>
      </c>
    </row>
    <row r="2" spans="1:1" s="31" customFormat="1"/>
    <row r="22" spans="1:13" s="77" customFormat="1" ht="15.95">
      <c r="A22" s="76" t="s">
        <v>1</v>
      </c>
    </row>
    <row r="23" spans="1:13" s="77" customFormat="1" ht="15.95">
      <c r="A23" s="76" t="s">
        <v>2</v>
      </c>
    </row>
    <row r="25" spans="1:13" s="37" customFormat="1" ht="135.6" customHeight="1">
      <c r="A25" s="86" t="s">
        <v>3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</row>
    <row r="27" spans="1:13" s="77" customFormat="1">
      <c r="A27" s="77" t="s">
        <v>4</v>
      </c>
    </row>
    <row r="28" spans="1:13" s="77" customFormat="1"/>
    <row r="29" spans="1:13" s="77" customFormat="1" ht="15.95">
      <c r="A29" s="76" t="s">
        <v>5</v>
      </c>
    </row>
    <row r="30" spans="1:13" s="77" customFormat="1" ht="15.95">
      <c r="A30" s="76" t="s">
        <v>6</v>
      </c>
    </row>
    <row r="31" spans="1:13" s="77" customFormat="1" ht="15.95">
      <c r="A31" s="76" t="s">
        <v>7</v>
      </c>
    </row>
    <row r="32" spans="1:13" s="77" customFormat="1"/>
    <row r="33" spans="1:38" s="77" customFormat="1" ht="15.95">
      <c r="A33" s="76" t="s">
        <v>8</v>
      </c>
    </row>
    <row r="35" spans="1:38" s="60" customFormat="1" ht="27.95" customHeight="1">
      <c r="A35" s="59" t="s">
        <v>9</v>
      </c>
    </row>
    <row r="36" spans="1:38" s="60" customFormat="1" ht="27.95" customHeight="1">
      <c r="A36" s="61" t="s">
        <v>10</v>
      </c>
    </row>
    <row r="37" spans="1:38" s="62" customFormat="1" thickBot="1">
      <c r="A37" s="72"/>
    </row>
    <row r="38" spans="1:38" s="62" customFormat="1" ht="17.100000000000001">
      <c r="A38" s="78" t="s">
        <v>11</v>
      </c>
      <c r="B38" s="102" t="s">
        <v>12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73"/>
    </row>
    <row r="39" spans="1:38" s="62" customFormat="1" ht="17.100000000000001">
      <c r="A39" s="78" t="s">
        <v>13</v>
      </c>
      <c r="B39" s="104" t="s">
        <v>14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74"/>
    </row>
    <row r="40" spans="1:38" s="62" customFormat="1" ht="17.100000000000001">
      <c r="A40" s="78" t="s">
        <v>15</v>
      </c>
      <c r="B40" s="81" t="s">
        <v>16</v>
      </c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74"/>
    </row>
    <row r="41" spans="1:38" s="62" customFormat="1" ht="17.100000000000001">
      <c r="A41" s="78" t="s">
        <v>17</v>
      </c>
      <c r="B41" s="81" t="s">
        <v>18</v>
      </c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74"/>
    </row>
    <row r="42" spans="1:38" s="62" customFormat="1" ht="17.100000000000001">
      <c r="A42" s="78" t="s">
        <v>19</v>
      </c>
      <c r="B42" s="81" t="s">
        <v>20</v>
      </c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74"/>
    </row>
    <row r="43" spans="1:38" s="62" customFormat="1" ht="17.100000000000001">
      <c r="A43" s="79" t="s">
        <v>21</v>
      </c>
      <c r="B43" s="88" t="s">
        <v>22</v>
      </c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6"/>
    </row>
    <row r="44" spans="1:38" s="72" customFormat="1" ht="21" thickBot="1">
      <c r="A44" s="75"/>
      <c r="B44" s="69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1"/>
    </row>
    <row r="45" spans="1:38" s="62" customFormat="1" ht="20.100000000000001">
      <c r="A45" s="63"/>
      <c r="B45" s="66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5"/>
    </row>
    <row r="46" spans="1:38" s="62" customFormat="1" ht="20.100000000000001">
      <c r="A46" s="67"/>
      <c r="B46" s="66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5"/>
    </row>
    <row r="47" spans="1:38" s="62" customFormat="1" ht="20.100000000000001">
      <c r="A47" s="67"/>
      <c r="B47" s="66"/>
      <c r="C47" s="66"/>
      <c r="D47" s="68"/>
      <c r="E47" s="68"/>
      <c r="F47" s="68"/>
      <c r="G47" s="68"/>
      <c r="H47" s="68"/>
      <c r="I47" s="68"/>
      <c r="J47" s="68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5"/>
    </row>
    <row r="48" spans="1:38" s="62" customFormat="1" ht="20.100000000000001">
      <c r="A48" s="67"/>
      <c r="B48" s="66"/>
      <c r="C48" s="66"/>
      <c r="D48" s="68"/>
      <c r="E48" s="68"/>
      <c r="F48" s="68"/>
      <c r="G48" s="68"/>
      <c r="H48" s="68"/>
      <c r="I48" s="68"/>
      <c r="J48" s="68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5"/>
    </row>
    <row r="49" spans="1:38" s="62" customFormat="1" ht="20.100000000000001">
      <c r="A49" s="67"/>
      <c r="B49" s="66"/>
      <c r="C49" s="66"/>
      <c r="D49" s="68"/>
      <c r="E49" s="68"/>
      <c r="F49" s="68"/>
      <c r="G49" s="68"/>
      <c r="H49" s="68"/>
      <c r="I49" s="68"/>
      <c r="J49" s="68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5"/>
    </row>
    <row r="50" spans="1:38" s="62" customFormat="1" ht="20.100000000000001">
      <c r="A50" s="67"/>
      <c r="B50" s="66"/>
      <c r="C50" s="66"/>
      <c r="D50" s="68"/>
      <c r="E50" s="68"/>
      <c r="F50" s="68"/>
      <c r="G50" s="68"/>
      <c r="H50" s="68"/>
      <c r="I50" s="68"/>
      <c r="J50" s="68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5"/>
    </row>
    <row r="51" spans="1:38" s="62" customFormat="1" ht="20.100000000000001">
      <c r="A51" s="67"/>
      <c r="B51" s="66"/>
      <c r="C51" s="66"/>
      <c r="D51" s="68"/>
      <c r="E51" s="68"/>
      <c r="F51" s="68"/>
      <c r="G51" s="68"/>
      <c r="H51" s="68"/>
      <c r="I51" s="68"/>
      <c r="J51" s="68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5"/>
    </row>
  </sheetData>
  <mergeCells count="4">
    <mergeCell ref="A25:M25"/>
    <mergeCell ref="B38:AA38"/>
    <mergeCell ref="B39:AA39"/>
    <mergeCell ref="B43:AL4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8054-B3BF-4E6B-9AC7-A8AD2BFC5D9E}">
  <sheetPr filterMode="1">
    <tabColor rgb="FF00705B"/>
  </sheetPr>
  <dimension ref="A1:F1339"/>
  <sheetViews>
    <sheetView zoomScale="145" zoomScaleNormal="145" workbookViewId="0">
      <selection activeCell="F1" activeCellId="1" sqref="B1:B1048576 F1:F1048576"/>
    </sheetView>
  </sheetViews>
  <sheetFormatPr defaultColWidth="8.85546875" defaultRowHeight="15"/>
  <cols>
    <col min="1" max="1" width="9.140625" customWidth="1"/>
    <col min="2" max="2" width="20.7109375" customWidth="1"/>
    <col min="3" max="3" width="7.85546875" bestFit="1" customWidth="1"/>
    <col min="4" max="4" width="8.42578125" bestFit="1" customWidth="1"/>
    <col min="5" max="5" width="10.42578125" bestFit="1" customWidth="1"/>
    <col min="6" max="6" width="29.85546875" style="3" bestFit="1" customWidth="1"/>
  </cols>
  <sheetData>
    <row r="1" spans="1:6" s="56" customFormat="1">
      <c r="A1" s="54" t="s">
        <v>23</v>
      </c>
      <c r="B1" s="54" t="s">
        <v>24</v>
      </c>
      <c r="C1" s="54" t="s">
        <v>25</v>
      </c>
      <c r="D1" s="54" t="s">
        <v>26</v>
      </c>
      <c r="E1" s="54" t="s">
        <v>27</v>
      </c>
      <c r="F1" s="55" t="s">
        <v>28</v>
      </c>
    </row>
    <row r="2" spans="1:6" hidden="1">
      <c r="A2" s="1">
        <v>18</v>
      </c>
      <c r="B2" s="1" t="s">
        <v>29</v>
      </c>
      <c r="C2" s="1">
        <v>20.79</v>
      </c>
      <c r="D2" s="1" t="s">
        <v>30</v>
      </c>
      <c r="E2" s="1" t="s">
        <v>31</v>
      </c>
      <c r="F2" s="2">
        <v>1607.5101</v>
      </c>
    </row>
    <row r="3" spans="1:6" hidden="1">
      <c r="A3" s="1">
        <v>18</v>
      </c>
      <c r="B3" s="1" t="s">
        <v>29</v>
      </c>
      <c r="C3" s="1">
        <v>24.09</v>
      </c>
      <c r="D3" s="1" t="s">
        <v>30</v>
      </c>
      <c r="E3" s="1" t="s">
        <v>31</v>
      </c>
      <c r="F3" s="2">
        <v>2201.0971</v>
      </c>
    </row>
    <row r="4" spans="1:6" hidden="1">
      <c r="A4" s="1">
        <v>19</v>
      </c>
      <c r="B4" s="1" t="s">
        <v>29</v>
      </c>
      <c r="C4" s="1">
        <v>24.7</v>
      </c>
      <c r="D4" s="1" t="s">
        <v>30</v>
      </c>
      <c r="E4" s="1" t="s">
        <v>32</v>
      </c>
      <c r="F4" s="2">
        <v>1737.376</v>
      </c>
    </row>
    <row r="5" spans="1:6" hidden="1">
      <c r="A5" s="1">
        <v>19</v>
      </c>
      <c r="B5" s="1" t="s">
        <v>29</v>
      </c>
      <c r="C5" s="1">
        <v>24.51</v>
      </c>
      <c r="D5" s="1" t="s">
        <v>30</v>
      </c>
      <c r="E5" s="1" t="s">
        <v>33</v>
      </c>
      <c r="F5" s="2">
        <v>2709.1118999999999</v>
      </c>
    </row>
    <row r="6" spans="1:6" hidden="1">
      <c r="A6" s="1">
        <v>19</v>
      </c>
      <c r="B6" s="1" t="s">
        <v>29</v>
      </c>
      <c r="C6" s="1">
        <v>22.515000000000001</v>
      </c>
      <c r="D6" s="1" t="s">
        <v>30</v>
      </c>
      <c r="E6" s="1" t="s">
        <v>33</v>
      </c>
      <c r="F6" s="2">
        <v>2117.3388500000001</v>
      </c>
    </row>
    <row r="7" spans="1:6" hidden="1">
      <c r="A7" s="1">
        <v>19</v>
      </c>
      <c r="B7" s="1" t="s">
        <v>29</v>
      </c>
      <c r="C7" s="1">
        <v>23.4</v>
      </c>
      <c r="D7" s="1" t="s">
        <v>30</v>
      </c>
      <c r="E7" s="1" t="s">
        <v>32</v>
      </c>
      <c r="F7" s="2">
        <v>2913.569</v>
      </c>
    </row>
    <row r="8" spans="1:6" hidden="1">
      <c r="A8" s="1">
        <v>19</v>
      </c>
      <c r="B8" s="1" t="s">
        <v>29</v>
      </c>
      <c r="C8" s="1">
        <v>24.605</v>
      </c>
      <c r="D8" s="1" t="s">
        <v>30</v>
      </c>
      <c r="E8" s="1" t="s">
        <v>33</v>
      </c>
      <c r="F8" s="2">
        <v>2709.24395</v>
      </c>
    </row>
    <row r="9" spans="1:6" hidden="1">
      <c r="A9" s="1">
        <v>19</v>
      </c>
      <c r="B9" s="1" t="s">
        <v>29</v>
      </c>
      <c r="C9" s="1">
        <v>18.600000000000001</v>
      </c>
      <c r="D9" s="1" t="s">
        <v>30</v>
      </c>
      <c r="E9" s="1" t="s">
        <v>32</v>
      </c>
      <c r="F9" s="2">
        <v>1728.8969999999999</v>
      </c>
    </row>
    <row r="10" spans="1:6" hidden="1">
      <c r="A10" s="1">
        <v>19</v>
      </c>
      <c r="B10" s="1" t="s">
        <v>29</v>
      </c>
      <c r="C10" s="1">
        <v>20.6</v>
      </c>
      <c r="D10" s="1" t="s">
        <v>30</v>
      </c>
      <c r="E10" s="1" t="s">
        <v>32</v>
      </c>
      <c r="F10" s="2">
        <v>1731.6769999999999</v>
      </c>
    </row>
    <row r="11" spans="1:6" hidden="1">
      <c r="A11" s="1">
        <v>21</v>
      </c>
      <c r="B11" s="1" t="s">
        <v>29</v>
      </c>
      <c r="C11" s="1">
        <v>21.89</v>
      </c>
      <c r="D11" s="1" t="s">
        <v>30</v>
      </c>
      <c r="E11" s="1" t="s">
        <v>31</v>
      </c>
      <c r="F11" s="2">
        <v>3180.5101</v>
      </c>
    </row>
    <row r="12" spans="1:6" hidden="1">
      <c r="A12" s="1">
        <v>21</v>
      </c>
      <c r="B12" s="1" t="s">
        <v>29</v>
      </c>
      <c r="C12" s="1">
        <v>22.135000000000002</v>
      </c>
      <c r="D12" s="1" t="s">
        <v>30</v>
      </c>
      <c r="E12" s="1" t="s">
        <v>34</v>
      </c>
      <c r="F12" s="2">
        <v>2585.8506499999999</v>
      </c>
    </row>
    <row r="13" spans="1:6" hidden="1">
      <c r="A13" s="1">
        <v>22</v>
      </c>
      <c r="B13" s="1" t="s">
        <v>29</v>
      </c>
      <c r="C13" s="1">
        <v>24.3</v>
      </c>
      <c r="D13" s="1" t="s">
        <v>30</v>
      </c>
      <c r="E13" s="1" t="s">
        <v>32</v>
      </c>
      <c r="F13" s="2">
        <v>2150.4690000000001</v>
      </c>
    </row>
    <row r="14" spans="1:6" hidden="1">
      <c r="A14" s="1">
        <v>22</v>
      </c>
      <c r="B14" s="1" t="s">
        <v>29</v>
      </c>
      <c r="C14" s="1">
        <v>23.18</v>
      </c>
      <c r="D14" s="1" t="s">
        <v>30</v>
      </c>
      <c r="E14" s="1" t="s">
        <v>34</v>
      </c>
      <c r="F14" s="2">
        <v>2731.9122000000002</v>
      </c>
    </row>
    <row r="15" spans="1:6" hidden="1">
      <c r="A15" s="1">
        <v>22</v>
      </c>
      <c r="B15" s="1" t="s">
        <v>29</v>
      </c>
      <c r="C15" s="1">
        <v>20.234999999999999</v>
      </c>
      <c r="D15" s="1" t="s">
        <v>30</v>
      </c>
      <c r="E15" s="1" t="s">
        <v>33</v>
      </c>
      <c r="F15" s="2">
        <v>2527.8186500000002</v>
      </c>
    </row>
    <row r="16" spans="1:6" hidden="1">
      <c r="A16" s="1">
        <v>22</v>
      </c>
      <c r="B16" s="1" t="s">
        <v>29</v>
      </c>
      <c r="C16" s="1">
        <v>21.28</v>
      </c>
      <c r="D16" s="1" t="s">
        <v>30</v>
      </c>
      <c r="E16" s="1" t="s">
        <v>33</v>
      </c>
      <c r="F16" s="2">
        <v>4296.2712000000001</v>
      </c>
    </row>
    <row r="17" spans="1:6" hidden="1">
      <c r="A17" s="1">
        <v>23</v>
      </c>
      <c r="B17" s="1" t="s">
        <v>29</v>
      </c>
      <c r="C17" s="1">
        <v>23.18</v>
      </c>
      <c r="D17" s="1" t="s">
        <v>30</v>
      </c>
      <c r="E17" s="1" t="s">
        <v>33</v>
      </c>
      <c r="F17" s="2">
        <v>14426.073850000001</v>
      </c>
    </row>
    <row r="18" spans="1:6" hidden="1">
      <c r="A18" s="1">
        <v>23</v>
      </c>
      <c r="B18" s="1" t="s">
        <v>29</v>
      </c>
      <c r="C18" s="1">
        <v>24.225000000000001</v>
      </c>
      <c r="D18" s="1" t="s">
        <v>30</v>
      </c>
      <c r="E18" s="1" t="s">
        <v>34</v>
      </c>
      <c r="F18" s="2">
        <v>22395.74424</v>
      </c>
    </row>
    <row r="19" spans="1:6" hidden="1">
      <c r="A19" s="1">
        <v>24</v>
      </c>
      <c r="B19" s="1" t="s">
        <v>29</v>
      </c>
      <c r="C19" s="1">
        <v>23.21</v>
      </c>
      <c r="D19" s="1" t="s">
        <v>30</v>
      </c>
      <c r="E19" s="1" t="s">
        <v>31</v>
      </c>
      <c r="F19" s="2">
        <v>25081.76784</v>
      </c>
    </row>
    <row r="20" spans="1:6" hidden="1">
      <c r="A20" s="1">
        <v>24</v>
      </c>
      <c r="B20" s="1" t="s">
        <v>29</v>
      </c>
      <c r="C20" s="1">
        <v>22.6</v>
      </c>
      <c r="D20" s="1" t="s">
        <v>30</v>
      </c>
      <c r="E20" s="1" t="s">
        <v>32</v>
      </c>
      <c r="F20" s="2">
        <v>2457.502</v>
      </c>
    </row>
    <row r="21" spans="1:6" hidden="1">
      <c r="A21" s="1">
        <v>24</v>
      </c>
      <c r="B21" s="1" t="s">
        <v>29</v>
      </c>
      <c r="C21" s="1">
        <v>24.225000000000001</v>
      </c>
      <c r="D21" s="1" t="s">
        <v>30</v>
      </c>
      <c r="E21" s="1" t="s">
        <v>33</v>
      </c>
      <c r="F21" s="2">
        <v>2842.7607499999999</v>
      </c>
    </row>
    <row r="22" spans="1:6" hidden="1">
      <c r="A22" s="1">
        <v>25</v>
      </c>
      <c r="B22" s="1" t="s">
        <v>29</v>
      </c>
      <c r="C22" s="1">
        <v>23.465</v>
      </c>
      <c r="D22" s="1" t="s">
        <v>30</v>
      </c>
      <c r="E22" s="1" t="s">
        <v>34</v>
      </c>
      <c r="F22" s="2">
        <v>3206.4913499999998</v>
      </c>
    </row>
    <row r="23" spans="1:6" hidden="1">
      <c r="A23" s="1">
        <v>25</v>
      </c>
      <c r="B23" s="1" t="s">
        <v>29</v>
      </c>
      <c r="C23" s="1">
        <v>24.3</v>
      </c>
      <c r="D23" s="1" t="s">
        <v>30</v>
      </c>
      <c r="E23" s="1" t="s">
        <v>32</v>
      </c>
      <c r="F23" s="2">
        <v>4391.652</v>
      </c>
    </row>
    <row r="24" spans="1:6" hidden="1">
      <c r="A24" s="1">
        <v>25</v>
      </c>
      <c r="B24" s="1" t="s">
        <v>29</v>
      </c>
      <c r="C24" s="1">
        <v>22.515000000000001</v>
      </c>
      <c r="D24" s="1" t="s">
        <v>30</v>
      </c>
      <c r="E24" s="1" t="s">
        <v>33</v>
      </c>
      <c r="F24" s="2">
        <v>3594.17085</v>
      </c>
    </row>
    <row r="25" spans="1:6" hidden="1">
      <c r="A25" s="1">
        <v>25</v>
      </c>
      <c r="B25" s="1" t="s">
        <v>29</v>
      </c>
      <c r="C25" s="1">
        <v>20.8</v>
      </c>
      <c r="D25" s="1" t="s">
        <v>30</v>
      </c>
      <c r="E25" s="1" t="s">
        <v>32</v>
      </c>
      <c r="F25" s="2">
        <v>3208.7869999999998</v>
      </c>
    </row>
    <row r="26" spans="1:6" hidden="1">
      <c r="A26" s="1">
        <v>26</v>
      </c>
      <c r="B26" s="1" t="s">
        <v>29</v>
      </c>
      <c r="C26" s="1">
        <v>22.61</v>
      </c>
      <c r="D26" s="1" t="s">
        <v>30</v>
      </c>
      <c r="E26" s="1" t="s">
        <v>33</v>
      </c>
      <c r="F26" s="2">
        <v>3176.8159000000001</v>
      </c>
    </row>
    <row r="27" spans="1:6" hidden="1">
      <c r="A27" s="1">
        <v>26</v>
      </c>
      <c r="B27" s="1" t="s">
        <v>29</v>
      </c>
      <c r="C27" s="1">
        <v>19.8</v>
      </c>
      <c r="D27" s="1" t="s">
        <v>30</v>
      </c>
      <c r="E27" s="1" t="s">
        <v>32</v>
      </c>
      <c r="F27" s="2">
        <v>3378.91</v>
      </c>
    </row>
    <row r="28" spans="1:6" hidden="1">
      <c r="A28" s="1">
        <v>26</v>
      </c>
      <c r="B28" s="1" t="s">
        <v>29</v>
      </c>
      <c r="C28" s="1">
        <v>22.23</v>
      </c>
      <c r="D28" s="1" t="s">
        <v>30</v>
      </c>
      <c r="E28" s="1" t="s">
        <v>33</v>
      </c>
      <c r="F28" s="2">
        <v>3176.2876999999999</v>
      </c>
    </row>
    <row r="29" spans="1:6" hidden="1">
      <c r="A29" s="1">
        <v>27</v>
      </c>
      <c r="B29" s="1" t="s">
        <v>29</v>
      </c>
      <c r="C29" s="1">
        <v>23.21</v>
      </c>
      <c r="D29" s="1" t="s">
        <v>30</v>
      </c>
      <c r="E29" s="1" t="s">
        <v>31</v>
      </c>
      <c r="F29" s="2">
        <v>3561.8888999999999</v>
      </c>
    </row>
    <row r="30" spans="1:6" hidden="1">
      <c r="A30" s="1">
        <v>27</v>
      </c>
      <c r="B30" s="1" t="s">
        <v>29</v>
      </c>
      <c r="C30" s="1">
        <v>24.1</v>
      </c>
      <c r="D30" s="1" t="s">
        <v>30</v>
      </c>
      <c r="E30" s="1" t="s">
        <v>32</v>
      </c>
      <c r="F30" s="2">
        <v>2974.1260000000002</v>
      </c>
    </row>
    <row r="31" spans="1:6" hidden="1">
      <c r="A31" s="1">
        <v>27</v>
      </c>
      <c r="B31" s="1" t="s">
        <v>29</v>
      </c>
      <c r="C31" s="1">
        <v>21.47</v>
      </c>
      <c r="D31" s="1" t="s">
        <v>30</v>
      </c>
      <c r="E31" s="1" t="s">
        <v>33</v>
      </c>
      <c r="F31" s="2">
        <v>3353.4703</v>
      </c>
    </row>
    <row r="32" spans="1:6" hidden="1">
      <c r="A32" s="1">
        <v>28</v>
      </c>
      <c r="B32" s="1" t="s">
        <v>29</v>
      </c>
      <c r="C32" s="1">
        <v>24.32</v>
      </c>
      <c r="D32" s="1" t="s">
        <v>30</v>
      </c>
      <c r="E32" s="1" t="s">
        <v>34</v>
      </c>
      <c r="F32" s="2">
        <v>23288.928400000001</v>
      </c>
    </row>
    <row r="33" spans="1:6" hidden="1">
      <c r="A33" s="1">
        <v>28</v>
      </c>
      <c r="B33" s="1" t="s">
        <v>29</v>
      </c>
      <c r="C33" s="1">
        <v>23.844999999999999</v>
      </c>
      <c r="D33" s="1" t="s">
        <v>30</v>
      </c>
      <c r="E33" s="1" t="s">
        <v>33</v>
      </c>
      <c r="F33" s="2">
        <v>4719.7365499999996</v>
      </c>
    </row>
    <row r="34" spans="1:6" hidden="1">
      <c r="A34" s="1">
        <v>29</v>
      </c>
      <c r="B34" s="1" t="s">
        <v>29</v>
      </c>
      <c r="C34" s="1">
        <v>20.234999999999999</v>
      </c>
      <c r="D34" s="1" t="s">
        <v>30</v>
      </c>
      <c r="E34" s="1" t="s">
        <v>33</v>
      </c>
      <c r="F34" s="2">
        <v>4906.4096499999996</v>
      </c>
    </row>
    <row r="35" spans="1:6" hidden="1">
      <c r="A35" s="1">
        <v>29</v>
      </c>
      <c r="B35" s="1" t="s">
        <v>29</v>
      </c>
      <c r="C35" s="1">
        <v>24.6</v>
      </c>
      <c r="D35" s="1" t="s">
        <v>30</v>
      </c>
      <c r="E35" s="1" t="s">
        <v>32</v>
      </c>
      <c r="F35" s="2">
        <v>4529.4769999999999</v>
      </c>
    </row>
    <row r="36" spans="1:6" hidden="1">
      <c r="A36" s="1">
        <v>30</v>
      </c>
      <c r="B36" s="1" t="s">
        <v>29</v>
      </c>
      <c r="C36" s="1">
        <v>22.895</v>
      </c>
      <c r="D36" s="1" t="s">
        <v>30</v>
      </c>
      <c r="E36" s="1" t="s">
        <v>34</v>
      </c>
      <c r="F36" s="2">
        <v>4719.52405</v>
      </c>
    </row>
    <row r="37" spans="1:6" hidden="1">
      <c r="A37" s="1">
        <v>30</v>
      </c>
      <c r="B37" s="1" t="s">
        <v>29</v>
      </c>
      <c r="C37" s="1">
        <v>19.95</v>
      </c>
      <c r="D37" s="1" t="s">
        <v>30</v>
      </c>
      <c r="E37" s="1" t="s">
        <v>33</v>
      </c>
      <c r="F37" s="2">
        <v>5693.4305000000004</v>
      </c>
    </row>
    <row r="38" spans="1:6" hidden="1">
      <c r="A38" s="1">
        <v>30</v>
      </c>
      <c r="B38" s="1" t="s">
        <v>29</v>
      </c>
      <c r="C38" s="1">
        <v>21.945</v>
      </c>
      <c r="D38" s="1" t="s">
        <v>30</v>
      </c>
      <c r="E38" s="1" t="s">
        <v>34</v>
      </c>
      <c r="F38" s="2">
        <v>4718.2035500000002</v>
      </c>
    </row>
    <row r="39" spans="1:6" hidden="1">
      <c r="A39" s="1">
        <v>31</v>
      </c>
      <c r="B39" s="1" t="s">
        <v>29</v>
      </c>
      <c r="C39" s="1">
        <v>23.6</v>
      </c>
      <c r="D39" s="1" t="s">
        <v>30</v>
      </c>
      <c r="E39" s="1" t="s">
        <v>32</v>
      </c>
      <c r="F39" s="2">
        <v>4931.6469999999999</v>
      </c>
    </row>
    <row r="40" spans="1:6" hidden="1">
      <c r="A40" s="1">
        <v>31</v>
      </c>
      <c r="B40" s="1" t="s">
        <v>29</v>
      </c>
      <c r="C40" s="1">
        <v>21.754999999999999</v>
      </c>
      <c r="D40" s="1" t="s">
        <v>30</v>
      </c>
      <c r="E40" s="1" t="s">
        <v>33</v>
      </c>
      <c r="F40" s="2">
        <v>4134.0824499999999</v>
      </c>
    </row>
    <row r="41" spans="1:6" hidden="1">
      <c r="A41" s="1">
        <v>32</v>
      </c>
      <c r="B41" s="1" t="s">
        <v>29</v>
      </c>
      <c r="C41" s="1">
        <v>23.65</v>
      </c>
      <c r="D41" s="1" t="s">
        <v>30</v>
      </c>
      <c r="E41" s="1" t="s">
        <v>31</v>
      </c>
      <c r="F41" s="2">
        <v>17626.239509999999</v>
      </c>
    </row>
    <row r="42" spans="1:6" hidden="1">
      <c r="A42" s="1">
        <v>32</v>
      </c>
      <c r="B42" s="1" t="s">
        <v>29</v>
      </c>
      <c r="C42" s="1">
        <v>20.52</v>
      </c>
      <c r="D42" s="1" t="s">
        <v>30</v>
      </c>
      <c r="E42" s="1" t="s">
        <v>34</v>
      </c>
      <c r="F42" s="2">
        <v>4544.2348000000002</v>
      </c>
    </row>
    <row r="43" spans="1:6" hidden="1">
      <c r="A43" s="1">
        <v>33</v>
      </c>
      <c r="B43" s="1" t="s">
        <v>29</v>
      </c>
      <c r="C43" s="1">
        <v>22.135000000000002</v>
      </c>
      <c r="D43" s="1" t="s">
        <v>30</v>
      </c>
      <c r="E43" s="1" t="s">
        <v>34</v>
      </c>
      <c r="F43" s="2">
        <v>5354.0746499999996</v>
      </c>
    </row>
    <row r="44" spans="1:6" hidden="1">
      <c r="A44" s="1">
        <v>33</v>
      </c>
      <c r="B44" s="1" t="s">
        <v>29</v>
      </c>
      <c r="C44" s="1">
        <v>24.31</v>
      </c>
      <c r="D44" s="1" t="s">
        <v>30</v>
      </c>
      <c r="E44" s="1" t="s">
        <v>31</v>
      </c>
      <c r="F44" s="2">
        <v>4185.0978999999998</v>
      </c>
    </row>
    <row r="45" spans="1:6" hidden="1">
      <c r="A45" s="1">
        <v>33</v>
      </c>
      <c r="B45" s="1" t="s">
        <v>29</v>
      </c>
      <c r="C45" s="1">
        <v>18.5</v>
      </c>
      <c r="D45" s="1" t="s">
        <v>30</v>
      </c>
      <c r="E45" s="1" t="s">
        <v>32</v>
      </c>
      <c r="F45" s="2">
        <v>4766.0219999999999</v>
      </c>
    </row>
    <row r="46" spans="1:6" hidden="1">
      <c r="A46" s="1">
        <v>34</v>
      </c>
      <c r="B46" s="1" t="s">
        <v>29</v>
      </c>
      <c r="C46" s="1">
        <v>19</v>
      </c>
      <c r="D46" s="1" t="s">
        <v>30</v>
      </c>
      <c r="E46" s="1" t="s">
        <v>34</v>
      </c>
      <c r="F46" s="2">
        <v>6753.0379999999996</v>
      </c>
    </row>
    <row r="47" spans="1:6" hidden="1">
      <c r="A47" s="1">
        <v>34</v>
      </c>
      <c r="B47" s="1" t="s">
        <v>29</v>
      </c>
      <c r="C47" s="1">
        <v>23.56</v>
      </c>
      <c r="D47" s="1" t="s">
        <v>30</v>
      </c>
      <c r="E47" s="1" t="s">
        <v>34</v>
      </c>
      <c r="F47" s="2">
        <v>4992.3764000000001</v>
      </c>
    </row>
    <row r="48" spans="1:6" hidden="1">
      <c r="A48" s="1">
        <v>35</v>
      </c>
      <c r="B48" s="1" t="s">
        <v>29</v>
      </c>
      <c r="C48" s="1">
        <v>23.465</v>
      </c>
      <c r="D48" s="1" t="s">
        <v>30</v>
      </c>
      <c r="E48" s="1" t="s">
        <v>34</v>
      </c>
      <c r="F48" s="2">
        <v>6402.2913500000004</v>
      </c>
    </row>
    <row r="49" spans="1:6" hidden="1">
      <c r="A49" s="1">
        <v>36</v>
      </c>
      <c r="B49" s="1" t="s">
        <v>29</v>
      </c>
      <c r="C49" s="1">
        <v>19.855</v>
      </c>
      <c r="D49" s="1" t="s">
        <v>30</v>
      </c>
      <c r="E49" s="1" t="s">
        <v>34</v>
      </c>
      <c r="F49" s="2">
        <v>5458.0464499999998</v>
      </c>
    </row>
    <row r="50" spans="1:6" hidden="1">
      <c r="A50" s="1">
        <v>36</v>
      </c>
      <c r="B50" s="1" t="s">
        <v>29</v>
      </c>
      <c r="C50" s="1">
        <v>22.135000000000002</v>
      </c>
      <c r="D50" s="1" t="s">
        <v>30</v>
      </c>
      <c r="E50" s="1" t="s">
        <v>34</v>
      </c>
      <c r="F50" s="2">
        <v>7228.2156500000001</v>
      </c>
    </row>
    <row r="51" spans="1:6" hidden="1">
      <c r="A51" s="1">
        <v>37</v>
      </c>
      <c r="B51" s="1" t="s">
        <v>29</v>
      </c>
      <c r="C51" s="1">
        <v>23.37</v>
      </c>
      <c r="D51" s="1" t="s">
        <v>30</v>
      </c>
      <c r="E51" s="1" t="s">
        <v>33</v>
      </c>
      <c r="F51" s="2">
        <v>6686.4313000000002</v>
      </c>
    </row>
    <row r="52" spans="1:6" hidden="1">
      <c r="A52" s="1">
        <v>38</v>
      </c>
      <c r="B52" s="1" t="s">
        <v>29</v>
      </c>
      <c r="C52" s="1">
        <v>19.475000000000001</v>
      </c>
      <c r="D52" s="1" t="s">
        <v>30</v>
      </c>
      <c r="E52" s="1" t="s">
        <v>33</v>
      </c>
      <c r="F52" s="2">
        <v>6933.2422500000002</v>
      </c>
    </row>
    <row r="53" spans="1:6" hidden="1">
      <c r="A53" s="1">
        <v>38</v>
      </c>
      <c r="B53" s="1" t="s">
        <v>29</v>
      </c>
      <c r="C53" s="1">
        <v>19.95</v>
      </c>
      <c r="D53" s="1" t="s">
        <v>30</v>
      </c>
      <c r="E53" s="1" t="s">
        <v>34</v>
      </c>
      <c r="F53" s="2">
        <v>7133.9025000000001</v>
      </c>
    </row>
    <row r="54" spans="1:6" hidden="1">
      <c r="A54" s="1">
        <v>39</v>
      </c>
      <c r="B54" s="1" t="s">
        <v>29</v>
      </c>
      <c r="C54" s="1">
        <v>22.8</v>
      </c>
      <c r="D54" s="1" t="s">
        <v>30</v>
      </c>
      <c r="E54" s="1" t="s">
        <v>34</v>
      </c>
      <c r="F54" s="2">
        <v>7985.8149999999996</v>
      </c>
    </row>
    <row r="55" spans="1:6" hidden="1">
      <c r="A55" s="1">
        <v>39</v>
      </c>
      <c r="B55" s="1" t="s">
        <v>29</v>
      </c>
      <c r="C55" s="1">
        <v>24.225000000000001</v>
      </c>
      <c r="D55" s="1" t="s">
        <v>30</v>
      </c>
      <c r="E55" s="1" t="s">
        <v>33</v>
      </c>
      <c r="F55" s="2">
        <v>8965.7957499999993</v>
      </c>
    </row>
    <row r="56" spans="1:6" hidden="1">
      <c r="A56" s="1">
        <v>39</v>
      </c>
      <c r="B56" s="1" t="s">
        <v>29</v>
      </c>
      <c r="C56" s="1">
        <v>23.274999999999999</v>
      </c>
      <c r="D56" s="1" t="s">
        <v>30</v>
      </c>
      <c r="E56" s="1" t="s">
        <v>34</v>
      </c>
      <c r="F56" s="2">
        <v>7986.4752500000004</v>
      </c>
    </row>
    <row r="57" spans="1:6" hidden="1">
      <c r="A57" s="1">
        <v>39</v>
      </c>
      <c r="B57" s="1" t="s">
        <v>29</v>
      </c>
      <c r="C57" s="1">
        <v>23.87</v>
      </c>
      <c r="D57" s="1" t="s">
        <v>30</v>
      </c>
      <c r="E57" s="1" t="s">
        <v>31</v>
      </c>
      <c r="F57" s="2">
        <v>8582.3022999999994</v>
      </c>
    </row>
    <row r="58" spans="1:6" hidden="1">
      <c r="A58" s="1">
        <v>40</v>
      </c>
      <c r="B58" s="1" t="s">
        <v>29</v>
      </c>
      <c r="C58" s="1">
        <v>23.37</v>
      </c>
      <c r="D58" s="1" t="s">
        <v>30</v>
      </c>
      <c r="E58" s="1" t="s">
        <v>34</v>
      </c>
      <c r="F58" s="2">
        <v>8252.2842999999993</v>
      </c>
    </row>
    <row r="59" spans="1:6" hidden="1">
      <c r="A59" s="1">
        <v>41</v>
      </c>
      <c r="B59" s="1" t="s">
        <v>29</v>
      </c>
      <c r="C59" s="1">
        <v>21.754999999999999</v>
      </c>
      <c r="D59" s="1" t="s">
        <v>30</v>
      </c>
      <c r="E59" s="1" t="s">
        <v>34</v>
      </c>
      <c r="F59" s="2">
        <v>13725.47184</v>
      </c>
    </row>
    <row r="60" spans="1:6" hidden="1">
      <c r="A60" s="1">
        <v>44</v>
      </c>
      <c r="B60" s="1" t="s">
        <v>29</v>
      </c>
      <c r="C60" s="1">
        <v>23.98</v>
      </c>
      <c r="D60" s="1" t="s">
        <v>30</v>
      </c>
      <c r="E60" s="1" t="s">
        <v>31</v>
      </c>
      <c r="F60" s="2">
        <v>8211.1002000000008</v>
      </c>
    </row>
    <row r="61" spans="1:6" hidden="1">
      <c r="A61" s="1">
        <v>46</v>
      </c>
      <c r="B61" s="1" t="s">
        <v>29</v>
      </c>
      <c r="C61" s="1">
        <v>19.95</v>
      </c>
      <c r="D61" s="1" t="s">
        <v>30</v>
      </c>
      <c r="E61" s="1" t="s">
        <v>33</v>
      </c>
      <c r="F61" s="2">
        <v>9193.8384999999998</v>
      </c>
    </row>
    <row r="62" spans="1:6" hidden="1">
      <c r="A62" s="1">
        <v>47</v>
      </c>
      <c r="B62" s="1" t="s">
        <v>29</v>
      </c>
      <c r="C62" s="1">
        <v>23.6</v>
      </c>
      <c r="D62" s="1" t="s">
        <v>30</v>
      </c>
      <c r="E62" s="1" t="s">
        <v>32</v>
      </c>
      <c r="F62" s="2">
        <v>8539.6710000000003</v>
      </c>
    </row>
    <row r="63" spans="1:6" hidden="1">
      <c r="A63" s="1">
        <v>47</v>
      </c>
      <c r="B63" s="1" t="s">
        <v>29</v>
      </c>
      <c r="C63" s="1">
        <v>24.1</v>
      </c>
      <c r="D63" s="1" t="s">
        <v>30</v>
      </c>
      <c r="E63" s="1" t="s">
        <v>32</v>
      </c>
      <c r="F63" s="2">
        <v>26236.579969999999</v>
      </c>
    </row>
    <row r="64" spans="1:6" hidden="1">
      <c r="A64" s="1">
        <v>47</v>
      </c>
      <c r="B64" s="1" t="s">
        <v>29</v>
      </c>
      <c r="C64" s="1">
        <v>24.32</v>
      </c>
      <c r="D64" s="1" t="s">
        <v>30</v>
      </c>
      <c r="E64" s="1" t="s">
        <v>34</v>
      </c>
      <c r="F64" s="2">
        <v>8534.6718000000001</v>
      </c>
    </row>
    <row r="65" spans="1:6" hidden="1">
      <c r="A65" s="1">
        <v>48</v>
      </c>
      <c r="B65" s="1" t="s">
        <v>29</v>
      </c>
      <c r="C65" s="1">
        <v>22.8</v>
      </c>
      <c r="D65" s="1" t="s">
        <v>30</v>
      </c>
      <c r="E65" s="1" t="s">
        <v>32</v>
      </c>
      <c r="F65" s="2">
        <v>8269.0439999999999</v>
      </c>
    </row>
    <row r="66" spans="1:6" hidden="1">
      <c r="A66" s="1">
        <v>49</v>
      </c>
      <c r="B66" s="1" t="s">
        <v>29</v>
      </c>
      <c r="C66" s="1">
        <v>21.3</v>
      </c>
      <c r="D66" s="1" t="s">
        <v>30</v>
      </c>
      <c r="E66" s="1" t="s">
        <v>32</v>
      </c>
      <c r="F66" s="2">
        <v>9182.17</v>
      </c>
    </row>
    <row r="67" spans="1:6" hidden="1">
      <c r="A67" s="1">
        <v>49</v>
      </c>
      <c r="B67" s="1" t="s">
        <v>29</v>
      </c>
      <c r="C67" s="1">
        <v>23.18</v>
      </c>
      <c r="D67" s="1" t="s">
        <v>30</v>
      </c>
      <c r="E67" s="1" t="s">
        <v>33</v>
      </c>
      <c r="F67" s="2">
        <v>10156.7832</v>
      </c>
    </row>
    <row r="68" spans="1:6" hidden="1">
      <c r="A68" s="1">
        <v>49</v>
      </c>
      <c r="B68" s="1" t="s">
        <v>29</v>
      </c>
      <c r="C68" s="1">
        <v>22.61</v>
      </c>
      <c r="D68" s="1" t="s">
        <v>30</v>
      </c>
      <c r="E68" s="1" t="s">
        <v>33</v>
      </c>
      <c r="F68" s="2">
        <v>9566.9909000000007</v>
      </c>
    </row>
    <row r="69" spans="1:6" hidden="1">
      <c r="A69" s="1">
        <v>50</v>
      </c>
      <c r="B69" s="1" t="s">
        <v>29</v>
      </c>
      <c r="C69" s="1">
        <v>23.54</v>
      </c>
      <c r="D69" s="1" t="s">
        <v>30</v>
      </c>
      <c r="E69" s="1" t="s">
        <v>31</v>
      </c>
      <c r="F69" s="2">
        <v>10107.220600000001</v>
      </c>
    </row>
    <row r="70" spans="1:6" hidden="1">
      <c r="A70" s="1">
        <v>51</v>
      </c>
      <c r="B70" s="1" t="s">
        <v>29</v>
      </c>
      <c r="C70" s="1">
        <v>21.56</v>
      </c>
      <c r="D70" s="1" t="s">
        <v>30</v>
      </c>
      <c r="E70" s="1" t="s">
        <v>31</v>
      </c>
      <c r="F70" s="2">
        <v>9855.1314000000002</v>
      </c>
    </row>
    <row r="71" spans="1:6" hidden="1">
      <c r="A71" s="1">
        <v>51</v>
      </c>
      <c r="B71" s="1" t="s">
        <v>29</v>
      </c>
      <c r="C71" s="1">
        <v>20.6</v>
      </c>
      <c r="D71" s="1" t="s">
        <v>30</v>
      </c>
      <c r="E71" s="1" t="s">
        <v>32</v>
      </c>
      <c r="F71" s="2">
        <v>9264.7970000000005</v>
      </c>
    </row>
    <row r="72" spans="1:6" hidden="1">
      <c r="A72" s="1">
        <v>52</v>
      </c>
      <c r="B72" s="1" t="s">
        <v>29</v>
      </c>
      <c r="C72" s="1">
        <v>24.86</v>
      </c>
      <c r="D72" s="1" t="s">
        <v>30</v>
      </c>
      <c r="E72" s="1" t="s">
        <v>31</v>
      </c>
      <c r="F72" s="2">
        <v>27117.993780000001</v>
      </c>
    </row>
    <row r="73" spans="1:6" hidden="1">
      <c r="A73" s="1">
        <v>52</v>
      </c>
      <c r="B73" s="1" t="s">
        <v>29</v>
      </c>
      <c r="C73" s="1">
        <v>23.18</v>
      </c>
      <c r="D73" s="1" t="s">
        <v>30</v>
      </c>
      <c r="E73" s="1" t="s">
        <v>34</v>
      </c>
      <c r="F73" s="2">
        <v>10197.772199999999</v>
      </c>
    </row>
    <row r="74" spans="1:6" hidden="1">
      <c r="A74" s="1">
        <v>53</v>
      </c>
      <c r="B74" s="1" t="s">
        <v>29</v>
      </c>
      <c r="C74" s="1">
        <v>24.795000000000002</v>
      </c>
      <c r="D74" s="1" t="s">
        <v>30</v>
      </c>
      <c r="E74" s="1" t="s">
        <v>33</v>
      </c>
      <c r="F74" s="2">
        <v>10942.13205</v>
      </c>
    </row>
    <row r="75" spans="1:6" hidden="1">
      <c r="A75" s="1">
        <v>53</v>
      </c>
      <c r="B75" s="1" t="s">
        <v>29</v>
      </c>
      <c r="C75" s="1">
        <v>23.75</v>
      </c>
      <c r="D75" s="1" t="s">
        <v>30</v>
      </c>
      <c r="E75" s="1" t="s">
        <v>34</v>
      </c>
      <c r="F75" s="2">
        <v>11729.6795</v>
      </c>
    </row>
    <row r="76" spans="1:6" hidden="1">
      <c r="A76" s="1">
        <v>54</v>
      </c>
      <c r="B76" s="1" t="s">
        <v>29</v>
      </c>
      <c r="C76" s="1">
        <v>21.47</v>
      </c>
      <c r="D76" s="1" t="s">
        <v>30</v>
      </c>
      <c r="E76" s="1" t="s">
        <v>33</v>
      </c>
      <c r="F76" s="2">
        <v>12475.3513</v>
      </c>
    </row>
    <row r="77" spans="1:6" hidden="1">
      <c r="A77" s="1">
        <v>54</v>
      </c>
      <c r="B77" s="1" t="s">
        <v>29</v>
      </c>
      <c r="C77" s="1">
        <v>23</v>
      </c>
      <c r="D77" s="1" t="s">
        <v>30</v>
      </c>
      <c r="E77" s="1" t="s">
        <v>32</v>
      </c>
      <c r="F77" s="2">
        <v>12094.477999999999</v>
      </c>
    </row>
    <row r="78" spans="1:6" hidden="1">
      <c r="A78" s="1">
        <v>54</v>
      </c>
      <c r="B78" s="1" t="s">
        <v>29</v>
      </c>
      <c r="C78" s="1">
        <v>24.605</v>
      </c>
      <c r="D78" s="1" t="s">
        <v>30</v>
      </c>
      <c r="E78" s="1" t="s">
        <v>33</v>
      </c>
      <c r="F78" s="2">
        <v>12479.70895</v>
      </c>
    </row>
    <row r="79" spans="1:6" hidden="1">
      <c r="A79" s="1">
        <v>57</v>
      </c>
      <c r="B79" s="1" t="s">
        <v>29</v>
      </c>
      <c r="C79" s="1">
        <v>23.18</v>
      </c>
      <c r="D79" s="1" t="s">
        <v>30</v>
      </c>
      <c r="E79" s="1" t="s">
        <v>33</v>
      </c>
      <c r="F79" s="2">
        <v>11830.6072</v>
      </c>
    </row>
    <row r="80" spans="1:6" hidden="1">
      <c r="A80" s="1">
        <v>57</v>
      </c>
      <c r="B80" s="1" t="s">
        <v>29</v>
      </c>
      <c r="C80" s="1">
        <v>22.23</v>
      </c>
      <c r="D80" s="1" t="s">
        <v>30</v>
      </c>
      <c r="E80" s="1" t="s">
        <v>34</v>
      </c>
      <c r="F80" s="2">
        <v>12029.286700000001</v>
      </c>
    </row>
    <row r="81" spans="1:6" hidden="1">
      <c r="A81" s="1">
        <v>57</v>
      </c>
      <c r="B81" s="1" t="s">
        <v>29</v>
      </c>
      <c r="C81" s="1">
        <v>23.98</v>
      </c>
      <c r="D81" s="1" t="s">
        <v>30</v>
      </c>
      <c r="E81" s="1" t="s">
        <v>31</v>
      </c>
      <c r="F81" s="2">
        <v>22192.437109999999</v>
      </c>
    </row>
    <row r="82" spans="1:6" hidden="1">
      <c r="A82" s="1">
        <v>57</v>
      </c>
      <c r="B82" s="1" t="s">
        <v>29</v>
      </c>
      <c r="C82" s="1">
        <v>20.100000000000001</v>
      </c>
      <c r="D82" s="1" t="s">
        <v>30</v>
      </c>
      <c r="E82" s="1" t="s">
        <v>32</v>
      </c>
      <c r="F82" s="2">
        <v>12032.325999999999</v>
      </c>
    </row>
    <row r="83" spans="1:6" hidden="1">
      <c r="A83" s="1">
        <v>58</v>
      </c>
      <c r="B83" s="1" t="s">
        <v>29</v>
      </c>
      <c r="C83" s="1">
        <v>22.77</v>
      </c>
      <c r="D83" s="1" t="s">
        <v>30</v>
      </c>
      <c r="E83" s="1" t="s">
        <v>31</v>
      </c>
      <c r="F83" s="2">
        <v>11833.782300000001</v>
      </c>
    </row>
    <row r="84" spans="1:6" hidden="1">
      <c r="A84" s="1">
        <v>60</v>
      </c>
      <c r="B84" s="1" t="s">
        <v>29</v>
      </c>
      <c r="C84" s="1">
        <v>24.53</v>
      </c>
      <c r="D84" s="1" t="s">
        <v>30</v>
      </c>
      <c r="E84" s="1" t="s">
        <v>31</v>
      </c>
      <c r="F84" s="2">
        <v>12629.896699999999</v>
      </c>
    </row>
    <row r="85" spans="1:6" hidden="1">
      <c r="A85" s="1">
        <v>60</v>
      </c>
      <c r="B85" s="1" t="s">
        <v>29</v>
      </c>
      <c r="C85" s="1">
        <v>24.035</v>
      </c>
      <c r="D85" s="1" t="s">
        <v>30</v>
      </c>
      <c r="E85" s="1" t="s">
        <v>33</v>
      </c>
      <c r="F85" s="2">
        <v>13012.20865</v>
      </c>
    </row>
    <row r="86" spans="1:6" hidden="1">
      <c r="A86" s="1">
        <v>61</v>
      </c>
      <c r="B86" s="1" t="s">
        <v>29</v>
      </c>
      <c r="C86" s="1">
        <v>22.04</v>
      </c>
      <c r="D86" s="1" t="s">
        <v>30</v>
      </c>
      <c r="E86" s="1" t="s">
        <v>34</v>
      </c>
      <c r="F86" s="2">
        <v>13616.3586</v>
      </c>
    </row>
    <row r="87" spans="1:6" hidden="1">
      <c r="A87" s="1">
        <v>61</v>
      </c>
      <c r="B87" s="1" t="s">
        <v>29</v>
      </c>
      <c r="C87" s="1">
        <v>21.09</v>
      </c>
      <c r="D87" s="1" t="s">
        <v>30</v>
      </c>
      <c r="E87" s="1" t="s">
        <v>33</v>
      </c>
      <c r="F87" s="2">
        <v>13415.0381</v>
      </c>
    </row>
    <row r="88" spans="1:6" hidden="1">
      <c r="A88" s="1">
        <v>63</v>
      </c>
      <c r="B88" s="1" t="s">
        <v>29</v>
      </c>
      <c r="C88" s="1">
        <v>23.085000000000001</v>
      </c>
      <c r="D88" s="1" t="s">
        <v>30</v>
      </c>
      <c r="E88" s="1" t="s">
        <v>34</v>
      </c>
      <c r="F88" s="2">
        <v>14451.835150000001</v>
      </c>
    </row>
    <row r="89" spans="1:6" hidden="1">
      <c r="A89" s="1">
        <v>63</v>
      </c>
      <c r="B89" s="1" t="s">
        <v>29</v>
      </c>
      <c r="C89" s="1">
        <v>21.66</v>
      </c>
      <c r="D89" s="1" t="s">
        <v>30</v>
      </c>
      <c r="E89" s="1" t="s">
        <v>34</v>
      </c>
      <c r="F89" s="2">
        <v>14449.8544</v>
      </c>
    </row>
    <row r="90" spans="1:6" hidden="1">
      <c r="A90" s="1">
        <v>18</v>
      </c>
      <c r="B90" s="1" t="s">
        <v>35</v>
      </c>
      <c r="C90" s="1">
        <v>23.75</v>
      </c>
      <c r="D90" s="1" t="s">
        <v>30</v>
      </c>
      <c r="E90" s="1" t="s">
        <v>34</v>
      </c>
      <c r="F90" s="2">
        <v>1705.6244999999999</v>
      </c>
    </row>
    <row r="91" spans="1:6" hidden="1">
      <c r="A91" s="1">
        <v>18</v>
      </c>
      <c r="B91" s="1" t="s">
        <v>35</v>
      </c>
      <c r="C91" s="1">
        <v>22.99</v>
      </c>
      <c r="D91" s="1" t="s">
        <v>30</v>
      </c>
      <c r="E91" s="1" t="s">
        <v>34</v>
      </c>
      <c r="F91" s="2">
        <v>1704.5681</v>
      </c>
    </row>
    <row r="92" spans="1:6" hidden="1">
      <c r="A92" s="1">
        <v>18</v>
      </c>
      <c r="B92" s="1" t="s">
        <v>35</v>
      </c>
      <c r="C92" s="1">
        <v>23.21</v>
      </c>
      <c r="D92" s="1" t="s">
        <v>30</v>
      </c>
      <c r="E92" s="1" t="s">
        <v>31</v>
      </c>
      <c r="F92" s="2">
        <v>1121.8739</v>
      </c>
    </row>
    <row r="93" spans="1:6" hidden="1">
      <c r="A93" s="1">
        <v>18</v>
      </c>
      <c r="B93" s="1" t="s">
        <v>35</v>
      </c>
      <c r="C93" s="1">
        <v>23.32</v>
      </c>
      <c r="D93" s="1" t="s">
        <v>30</v>
      </c>
      <c r="E93" s="1" t="s">
        <v>31</v>
      </c>
      <c r="F93" s="2">
        <v>1711.0268000000001</v>
      </c>
    </row>
    <row r="94" spans="1:6" hidden="1">
      <c r="A94" s="1">
        <v>18</v>
      </c>
      <c r="B94" s="1" t="s">
        <v>35</v>
      </c>
      <c r="C94" s="1">
        <v>23.085000000000001</v>
      </c>
      <c r="D94" s="1" t="s">
        <v>30</v>
      </c>
      <c r="E94" s="1" t="s">
        <v>34</v>
      </c>
      <c r="F94" s="2">
        <v>1704.7001499999999</v>
      </c>
    </row>
    <row r="95" spans="1:6" hidden="1">
      <c r="A95" s="1">
        <v>18</v>
      </c>
      <c r="B95" s="1" t="s">
        <v>35</v>
      </c>
      <c r="C95" s="1">
        <v>21.78</v>
      </c>
      <c r="D95" s="1" t="s">
        <v>30</v>
      </c>
      <c r="E95" s="1" t="s">
        <v>31</v>
      </c>
      <c r="F95" s="2">
        <v>11884.048580000001</v>
      </c>
    </row>
    <row r="96" spans="1:6" hidden="1">
      <c r="A96" s="1">
        <v>18</v>
      </c>
      <c r="B96" s="1" t="s">
        <v>35</v>
      </c>
      <c r="C96" s="1">
        <v>21.47</v>
      </c>
      <c r="D96" s="1" t="s">
        <v>30</v>
      </c>
      <c r="E96" s="1" t="s">
        <v>34</v>
      </c>
      <c r="F96" s="2">
        <v>1702.4553000000001</v>
      </c>
    </row>
    <row r="97" spans="1:6" hidden="1">
      <c r="A97" s="1">
        <v>19</v>
      </c>
      <c r="B97" s="1" t="s">
        <v>35</v>
      </c>
      <c r="C97" s="1">
        <v>24.6</v>
      </c>
      <c r="D97" s="1" t="s">
        <v>30</v>
      </c>
      <c r="E97" s="1" t="s">
        <v>32</v>
      </c>
      <c r="F97" s="2">
        <v>1837.2370000000001</v>
      </c>
    </row>
    <row r="98" spans="1:6" hidden="1">
      <c r="A98" s="1">
        <v>19</v>
      </c>
      <c r="B98" s="1" t="s">
        <v>35</v>
      </c>
      <c r="C98" s="1">
        <v>20.425000000000001</v>
      </c>
      <c r="D98" s="1" t="s">
        <v>30</v>
      </c>
      <c r="E98" s="1" t="s">
        <v>33</v>
      </c>
      <c r="F98" s="2">
        <v>1625.4337499999999</v>
      </c>
    </row>
    <row r="99" spans="1:6" hidden="1">
      <c r="A99" s="1">
        <v>19</v>
      </c>
      <c r="B99" s="1" t="s">
        <v>35</v>
      </c>
      <c r="C99" s="1">
        <v>20.9</v>
      </c>
      <c r="D99" s="1" t="s">
        <v>30</v>
      </c>
      <c r="E99" s="1" t="s">
        <v>32</v>
      </c>
      <c r="F99" s="2">
        <v>1832.0940000000001</v>
      </c>
    </row>
    <row r="100" spans="1:6" hidden="1">
      <c r="A100" s="1">
        <v>19</v>
      </c>
      <c r="B100" s="1" t="s">
        <v>35</v>
      </c>
      <c r="C100" s="1">
        <v>20.614999999999998</v>
      </c>
      <c r="D100" s="1" t="s">
        <v>30</v>
      </c>
      <c r="E100" s="1" t="s">
        <v>33</v>
      </c>
      <c r="F100" s="2">
        <v>2803.69785</v>
      </c>
    </row>
    <row r="101" spans="1:6" hidden="1">
      <c r="A101" s="1">
        <v>19</v>
      </c>
      <c r="B101" s="1" t="s">
        <v>35</v>
      </c>
      <c r="C101" s="1">
        <v>20.7</v>
      </c>
      <c r="D101" s="1" t="s">
        <v>30</v>
      </c>
      <c r="E101" s="1" t="s">
        <v>32</v>
      </c>
      <c r="F101" s="2">
        <v>1242.816</v>
      </c>
    </row>
    <row r="102" spans="1:6" hidden="1">
      <c r="A102" s="1">
        <v>19</v>
      </c>
      <c r="B102" s="1" t="s">
        <v>35</v>
      </c>
      <c r="C102" s="1">
        <v>20.3</v>
      </c>
      <c r="D102" s="1" t="s">
        <v>30</v>
      </c>
      <c r="E102" s="1" t="s">
        <v>32</v>
      </c>
      <c r="F102" s="2">
        <v>1242.26</v>
      </c>
    </row>
    <row r="103" spans="1:6" hidden="1">
      <c r="A103" s="1">
        <v>19</v>
      </c>
      <c r="B103" s="1" t="s">
        <v>35</v>
      </c>
      <c r="C103" s="1">
        <v>21.754999999999999</v>
      </c>
      <c r="D103" s="1" t="s">
        <v>30</v>
      </c>
      <c r="E103" s="1" t="s">
        <v>33</v>
      </c>
      <c r="F103" s="2">
        <v>1627.2824499999999</v>
      </c>
    </row>
    <row r="104" spans="1:6" hidden="1">
      <c r="A104" s="1">
        <v>19</v>
      </c>
      <c r="B104" s="1" t="s">
        <v>35</v>
      </c>
      <c r="C104" s="1">
        <v>22.61</v>
      </c>
      <c r="D104" s="1" t="s">
        <v>30</v>
      </c>
      <c r="E104" s="1" t="s">
        <v>33</v>
      </c>
      <c r="F104" s="2">
        <v>1628.4709</v>
      </c>
    </row>
    <row r="105" spans="1:6" hidden="1">
      <c r="A105" s="1">
        <v>19</v>
      </c>
      <c r="B105" s="1" t="s">
        <v>35</v>
      </c>
      <c r="C105" s="1">
        <v>19.8</v>
      </c>
      <c r="D105" s="1" t="s">
        <v>30</v>
      </c>
      <c r="E105" s="1" t="s">
        <v>32</v>
      </c>
      <c r="F105" s="2">
        <v>1241.5650000000001</v>
      </c>
    </row>
    <row r="106" spans="1:6" hidden="1">
      <c r="A106" s="1">
        <v>20</v>
      </c>
      <c r="B106" s="1" t="s">
        <v>35</v>
      </c>
      <c r="C106" s="1">
        <v>22</v>
      </c>
      <c r="D106" s="1" t="s">
        <v>30</v>
      </c>
      <c r="E106" s="1" t="s">
        <v>32</v>
      </c>
      <c r="F106" s="2">
        <v>1964.78</v>
      </c>
    </row>
    <row r="107" spans="1:6" hidden="1">
      <c r="A107" s="1">
        <v>21</v>
      </c>
      <c r="B107" s="1" t="s">
        <v>35</v>
      </c>
      <c r="C107" s="1">
        <v>23.75</v>
      </c>
      <c r="D107" s="1" t="s">
        <v>30</v>
      </c>
      <c r="E107" s="1" t="s">
        <v>33</v>
      </c>
      <c r="F107" s="2">
        <v>3077.0954999999999</v>
      </c>
    </row>
    <row r="108" spans="1:6" hidden="1">
      <c r="A108" s="1">
        <v>21</v>
      </c>
      <c r="B108" s="1" t="s">
        <v>35</v>
      </c>
      <c r="C108" s="1">
        <v>20.234999999999999</v>
      </c>
      <c r="D108" s="1" t="s">
        <v>30</v>
      </c>
      <c r="E108" s="1" t="s">
        <v>34</v>
      </c>
      <c r="F108" s="2">
        <v>3861.2096499999998</v>
      </c>
    </row>
    <row r="109" spans="1:6" hidden="1">
      <c r="A109" s="1">
        <v>21</v>
      </c>
      <c r="B109" s="1" t="s">
        <v>35</v>
      </c>
      <c r="C109" s="1">
        <v>22.3</v>
      </c>
      <c r="D109" s="1" t="s">
        <v>30</v>
      </c>
      <c r="E109" s="1" t="s">
        <v>32</v>
      </c>
      <c r="F109" s="2">
        <v>2103.08</v>
      </c>
    </row>
    <row r="110" spans="1:6" hidden="1">
      <c r="A110" s="1">
        <v>21</v>
      </c>
      <c r="B110" s="1" t="s">
        <v>35</v>
      </c>
      <c r="C110" s="1">
        <v>23.21</v>
      </c>
      <c r="D110" s="1" t="s">
        <v>30</v>
      </c>
      <c r="E110" s="1" t="s">
        <v>31</v>
      </c>
      <c r="F110" s="2">
        <v>1515.3449000000001</v>
      </c>
    </row>
    <row r="111" spans="1:6" hidden="1">
      <c r="A111" s="1">
        <v>22</v>
      </c>
      <c r="B111" s="1" t="s">
        <v>35</v>
      </c>
      <c r="C111" s="1">
        <v>19.95</v>
      </c>
      <c r="D111" s="1" t="s">
        <v>30</v>
      </c>
      <c r="E111" s="1" t="s">
        <v>34</v>
      </c>
      <c r="F111" s="2">
        <v>4005.4225000000001</v>
      </c>
    </row>
    <row r="112" spans="1:6" hidden="1">
      <c r="A112" s="1">
        <v>23</v>
      </c>
      <c r="B112" s="1" t="s">
        <v>35</v>
      </c>
      <c r="C112" s="1">
        <v>23.844999999999999</v>
      </c>
      <c r="D112" s="1" t="s">
        <v>30</v>
      </c>
      <c r="E112" s="1" t="s">
        <v>34</v>
      </c>
      <c r="F112" s="2">
        <v>2395.17155</v>
      </c>
    </row>
    <row r="113" spans="1:6" hidden="1">
      <c r="A113" s="1">
        <v>23</v>
      </c>
      <c r="B113" s="1" t="s">
        <v>35</v>
      </c>
      <c r="C113" s="1">
        <v>18.715</v>
      </c>
      <c r="D113" s="1" t="s">
        <v>30</v>
      </c>
      <c r="E113" s="1" t="s">
        <v>33</v>
      </c>
      <c r="F113" s="2">
        <v>21595.382290000001</v>
      </c>
    </row>
    <row r="114" spans="1:6" hidden="1">
      <c r="A114" s="1">
        <v>23</v>
      </c>
      <c r="B114" s="1" t="s">
        <v>35</v>
      </c>
      <c r="C114" s="1">
        <v>24.51</v>
      </c>
      <c r="D114" s="1" t="s">
        <v>30</v>
      </c>
      <c r="E114" s="1" t="s">
        <v>34</v>
      </c>
      <c r="F114" s="2">
        <v>2396.0958999999998</v>
      </c>
    </row>
    <row r="115" spans="1:6" hidden="1">
      <c r="A115" s="1">
        <v>24</v>
      </c>
      <c r="B115" s="1" t="s">
        <v>35</v>
      </c>
      <c r="C115" s="1">
        <v>23.4</v>
      </c>
      <c r="D115" s="1" t="s">
        <v>30</v>
      </c>
      <c r="E115" s="1" t="s">
        <v>32</v>
      </c>
      <c r="F115" s="2">
        <v>1969.614</v>
      </c>
    </row>
    <row r="116" spans="1:6" hidden="1">
      <c r="A116" s="1">
        <v>24</v>
      </c>
      <c r="B116" s="1" t="s">
        <v>35</v>
      </c>
      <c r="C116" s="1">
        <v>23.655000000000001</v>
      </c>
      <c r="D116" s="1" t="s">
        <v>30</v>
      </c>
      <c r="E116" s="1" t="s">
        <v>33</v>
      </c>
      <c r="F116" s="2">
        <v>2352.9684499999998</v>
      </c>
    </row>
    <row r="117" spans="1:6" hidden="1">
      <c r="A117" s="1">
        <v>25</v>
      </c>
      <c r="B117" s="1" t="s">
        <v>35</v>
      </c>
      <c r="C117" s="1">
        <v>23.9</v>
      </c>
      <c r="D117" s="1" t="s">
        <v>30</v>
      </c>
      <c r="E117" s="1" t="s">
        <v>32</v>
      </c>
      <c r="F117" s="2">
        <v>5080.0959999999995</v>
      </c>
    </row>
    <row r="118" spans="1:6" hidden="1">
      <c r="A118" s="1">
        <v>26</v>
      </c>
      <c r="B118" s="1" t="s">
        <v>35</v>
      </c>
      <c r="C118" s="1">
        <v>20.8</v>
      </c>
      <c r="D118" s="1" t="s">
        <v>30</v>
      </c>
      <c r="E118" s="1" t="s">
        <v>32</v>
      </c>
      <c r="F118" s="2">
        <v>2302.3000000000002</v>
      </c>
    </row>
    <row r="119" spans="1:6" hidden="1">
      <c r="A119" s="1">
        <v>26</v>
      </c>
      <c r="B119" s="1" t="s">
        <v>35</v>
      </c>
      <c r="C119" s="1">
        <v>23.7</v>
      </c>
      <c r="D119" s="1" t="s">
        <v>30</v>
      </c>
      <c r="E119" s="1" t="s">
        <v>32</v>
      </c>
      <c r="F119" s="2">
        <v>3484.3310000000001</v>
      </c>
    </row>
    <row r="120" spans="1:6" hidden="1">
      <c r="A120" s="1">
        <v>27</v>
      </c>
      <c r="B120" s="1" t="s">
        <v>35</v>
      </c>
      <c r="C120" s="1">
        <v>18.905000000000001</v>
      </c>
      <c r="D120" s="1" t="s">
        <v>30</v>
      </c>
      <c r="E120" s="1" t="s">
        <v>34</v>
      </c>
      <c r="F120" s="2">
        <v>4827.9049500000001</v>
      </c>
    </row>
    <row r="121" spans="1:6" hidden="1">
      <c r="A121" s="1">
        <v>27</v>
      </c>
      <c r="B121" s="1" t="s">
        <v>35</v>
      </c>
      <c r="C121" s="1">
        <v>23.1</v>
      </c>
      <c r="D121" s="1" t="s">
        <v>30</v>
      </c>
      <c r="E121" s="1" t="s">
        <v>31</v>
      </c>
      <c r="F121" s="2">
        <v>2483.7359999999999</v>
      </c>
    </row>
    <row r="122" spans="1:6" hidden="1">
      <c r="A122" s="1">
        <v>28</v>
      </c>
      <c r="B122" s="1" t="s">
        <v>35</v>
      </c>
      <c r="C122" s="1">
        <v>23.8</v>
      </c>
      <c r="D122" s="1" t="s">
        <v>30</v>
      </c>
      <c r="E122" s="1" t="s">
        <v>32</v>
      </c>
      <c r="F122" s="2">
        <v>3847.674</v>
      </c>
    </row>
    <row r="123" spans="1:6" hidden="1">
      <c r="A123" s="1">
        <v>28</v>
      </c>
      <c r="B123" s="1" t="s">
        <v>35</v>
      </c>
      <c r="C123" s="1">
        <v>22.515000000000001</v>
      </c>
      <c r="D123" s="1" t="s">
        <v>30</v>
      </c>
      <c r="E123" s="1" t="s">
        <v>34</v>
      </c>
      <c r="F123" s="2">
        <v>4428.8878500000001</v>
      </c>
    </row>
    <row r="124" spans="1:6" hidden="1">
      <c r="A124" s="1">
        <v>28</v>
      </c>
      <c r="B124" s="1" t="s">
        <v>35</v>
      </c>
      <c r="C124" s="1">
        <v>24.3</v>
      </c>
      <c r="D124" s="1" t="s">
        <v>30</v>
      </c>
      <c r="E124" s="1" t="s">
        <v>32</v>
      </c>
      <c r="F124" s="2">
        <v>5615.3689999999997</v>
      </c>
    </row>
    <row r="125" spans="1:6" hidden="1">
      <c r="A125" s="1">
        <v>29</v>
      </c>
      <c r="B125" s="1" t="s">
        <v>35</v>
      </c>
      <c r="C125" s="1">
        <v>22.515000000000001</v>
      </c>
      <c r="D125" s="1" t="s">
        <v>30</v>
      </c>
      <c r="E125" s="1" t="s">
        <v>34</v>
      </c>
      <c r="F125" s="2">
        <v>5209.5788499999999</v>
      </c>
    </row>
    <row r="126" spans="1:6" hidden="1">
      <c r="A126" s="1">
        <v>30</v>
      </c>
      <c r="B126" s="1" t="s">
        <v>35</v>
      </c>
      <c r="C126" s="1">
        <v>24.13</v>
      </c>
      <c r="D126" s="1" t="s">
        <v>30</v>
      </c>
      <c r="E126" s="1" t="s">
        <v>33</v>
      </c>
      <c r="F126" s="2">
        <v>4032.2406999999998</v>
      </c>
    </row>
    <row r="127" spans="1:6" hidden="1">
      <c r="A127" s="1">
        <v>31</v>
      </c>
      <c r="B127" s="1" t="s">
        <v>35</v>
      </c>
      <c r="C127" s="1">
        <v>20.399999999999999</v>
      </c>
      <c r="D127" s="1" t="s">
        <v>30</v>
      </c>
      <c r="E127" s="1" t="s">
        <v>32</v>
      </c>
      <c r="F127" s="2">
        <v>3260.1990000000001</v>
      </c>
    </row>
    <row r="128" spans="1:6" hidden="1">
      <c r="A128" s="1">
        <v>33</v>
      </c>
      <c r="B128" s="1" t="s">
        <v>35</v>
      </c>
      <c r="C128" s="1">
        <v>22.704999999999998</v>
      </c>
      <c r="D128" s="1" t="s">
        <v>30</v>
      </c>
      <c r="E128" s="1" t="s">
        <v>33</v>
      </c>
      <c r="F128" s="2">
        <v>21984.47061</v>
      </c>
    </row>
    <row r="129" spans="1:6" hidden="1">
      <c r="A129" s="1">
        <v>33</v>
      </c>
      <c r="B129" s="1" t="s">
        <v>35</v>
      </c>
      <c r="C129" s="1">
        <v>24.605</v>
      </c>
      <c r="D129" s="1" t="s">
        <v>30</v>
      </c>
      <c r="E129" s="1" t="s">
        <v>33</v>
      </c>
      <c r="F129" s="2">
        <v>5257.5079500000002</v>
      </c>
    </row>
    <row r="130" spans="1:6" hidden="1">
      <c r="A130" s="1">
        <v>34</v>
      </c>
      <c r="B130" s="1" t="s">
        <v>35</v>
      </c>
      <c r="C130" s="1">
        <v>22.42</v>
      </c>
      <c r="D130" s="1" t="s">
        <v>30</v>
      </c>
      <c r="E130" s="1" t="s">
        <v>34</v>
      </c>
      <c r="F130" s="2">
        <v>27375.904780000001</v>
      </c>
    </row>
    <row r="131" spans="1:6" hidden="1">
      <c r="A131" s="1">
        <v>34</v>
      </c>
      <c r="B131" s="1" t="s">
        <v>35</v>
      </c>
      <c r="C131" s="1">
        <v>21.375</v>
      </c>
      <c r="D131" s="1" t="s">
        <v>30</v>
      </c>
      <c r="E131" s="1" t="s">
        <v>34</v>
      </c>
      <c r="F131" s="2">
        <v>4500.33925</v>
      </c>
    </row>
    <row r="132" spans="1:6" hidden="1">
      <c r="A132" s="1">
        <v>35</v>
      </c>
      <c r="B132" s="1" t="s">
        <v>35</v>
      </c>
      <c r="C132" s="1">
        <v>24.13</v>
      </c>
      <c r="D132" s="1" t="s">
        <v>30</v>
      </c>
      <c r="E132" s="1" t="s">
        <v>33</v>
      </c>
      <c r="F132" s="2">
        <v>5125.2156999999997</v>
      </c>
    </row>
    <row r="133" spans="1:6" hidden="1">
      <c r="A133" s="1">
        <v>37</v>
      </c>
      <c r="B133" s="1" t="s">
        <v>35</v>
      </c>
      <c r="C133" s="1">
        <v>24.32</v>
      </c>
      <c r="D133" s="1" t="s">
        <v>30</v>
      </c>
      <c r="E133" s="1" t="s">
        <v>33</v>
      </c>
      <c r="F133" s="2">
        <v>6198.7518</v>
      </c>
    </row>
    <row r="134" spans="1:6" hidden="1">
      <c r="A134" s="1">
        <v>37</v>
      </c>
      <c r="B134" s="1" t="s">
        <v>35</v>
      </c>
      <c r="C134" s="1">
        <v>22.704999999999998</v>
      </c>
      <c r="D134" s="1" t="s">
        <v>30</v>
      </c>
      <c r="E134" s="1" t="s">
        <v>34</v>
      </c>
      <c r="F134" s="2">
        <v>6985.50695</v>
      </c>
    </row>
    <row r="135" spans="1:6" hidden="1">
      <c r="A135" s="1">
        <v>38</v>
      </c>
      <c r="B135" s="1" t="s">
        <v>35</v>
      </c>
      <c r="C135" s="1">
        <v>21.12</v>
      </c>
      <c r="D135" s="1" t="s">
        <v>30</v>
      </c>
      <c r="E135" s="1" t="s">
        <v>31</v>
      </c>
      <c r="F135" s="2">
        <v>6652.5288</v>
      </c>
    </row>
    <row r="136" spans="1:6" hidden="1">
      <c r="A136" s="1">
        <v>38</v>
      </c>
      <c r="B136" s="1" t="s">
        <v>35</v>
      </c>
      <c r="C136" s="1">
        <v>19.95</v>
      </c>
      <c r="D136" s="1" t="s">
        <v>30</v>
      </c>
      <c r="E136" s="1" t="s">
        <v>33</v>
      </c>
      <c r="F136" s="2">
        <v>5855.9025000000001</v>
      </c>
    </row>
    <row r="137" spans="1:6" hidden="1">
      <c r="A137" s="1">
        <v>39</v>
      </c>
      <c r="B137" s="1" t="s">
        <v>35</v>
      </c>
      <c r="C137" s="1">
        <v>24.51</v>
      </c>
      <c r="D137" s="1" t="s">
        <v>30</v>
      </c>
      <c r="E137" s="1" t="s">
        <v>33</v>
      </c>
      <c r="F137" s="2">
        <v>6710.1918999999998</v>
      </c>
    </row>
    <row r="138" spans="1:6" hidden="1">
      <c r="A138" s="1">
        <v>39</v>
      </c>
      <c r="B138" s="1" t="s">
        <v>35</v>
      </c>
      <c r="C138" s="1">
        <v>21.85</v>
      </c>
      <c r="D138" s="1" t="s">
        <v>30</v>
      </c>
      <c r="E138" s="1" t="s">
        <v>33</v>
      </c>
      <c r="F138" s="2">
        <v>6117.4944999999998</v>
      </c>
    </row>
    <row r="139" spans="1:6" hidden="1">
      <c r="A139" s="1">
        <v>40</v>
      </c>
      <c r="B139" s="1" t="s">
        <v>35</v>
      </c>
      <c r="C139" s="1">
        <v>22.704999999999998</v>
      </c>
      <c r="D139" s="1" t="s">
        <v>30</v>
      </c>
      <c r="E139" s="1" t="s">
        <v>34</v>
      </c>
      <c r="F139" s="2">
        <v>7173.35995</v>
      </c>
    </row>
    <row r="140" spans="1:6" hidden="1">
      <c r="A140" s="1">
        <v>41</v>
      </c>
      <c r="B140" s="1" t="s">
        <v>35</v>
      </c>
      <c r="C140" s="1">
        <v>21.78</v>
      </c>
      <c r="D140" s="1" t="s">
        <v>30</v>
      </c>
      <c r="E140" s="1" t="s">
        <v>31</v>
      </c>
      <c r="F140" s="2">
        <v>6272.4772000000003</v>
      </c>
    </row>
    <row r="141" spans="1:6" hidden="1">
      <c r="A141" s="1">
        <v>41</v>
      </c>
      <c r="B141" s="1" t="s">
        <v>35</v>
      </c>
      <c r="C141" s="1">
        <v>23.94</v>
      </c>
      <c r="D141" s="1" t="s">
        <v>30</v>
      </c>
      <c r="E141" s="1" t="s">
        <v>34</v>
      </c>
      <c r="F141" s="2">
        <v>6858.4795999999997</v>
      </c>
    </row>
    <row r="142" spans="1:6" hidden="1">
      <c r="A142" s="1">
        <v>42</v>
      </c>
      <c r="B142" s="1" t="s">
        <v>35</v>
      </c>
      <c r="C142" s="1">
        <v>24.86</v>
      </c>
      <c r="D142" s="1" t="s">
        <v>30</v>
      </c>
      <c r="E142" s="1" t="s">
        <v>31</v>
      </c>
      <c r="F142" s="2">
        <v>5966.8873999999996</v>
      </c>
    </row>
    <row r="143" spans="1:6" hidden="1">
      <c r="A143" s="1">
        <v>43</v>
      </c>
      <c r="B143" s="1" t="s">
        <v>35</v>
      </c>
      <c r="C143" s="1">
        <v>23.2</v>
      </c>
      <c r="D143" s="1" t="s">
        <v>30</v>
      </c>
      <c r="E143" s="1" t="s">
        <v>32</v>
      </c>
      <c r="F143" s="2">
        <v>6250.4350000000004</v>
      </c>
    </row>
    <row r="144" spans="1:6" hidden="1">
      <c r="A144" s="1">
        <v>44</v>
      </c>
      <c r="B144" s="1" t="s">
        <v>35</v>
      </c>
      <c r="C144" s="1">
        <v>22.135000000000002</v>
      </c>
      <c r="D144" s="1" t="s">
        <v>30</v>
      </c>
      <c r="E144" s="1" t="s">
        <v>34</v>
      </c>
      <c r="F144" s="2">
        <v>8302.5356499999998</v>
      </c>
    </row>
    <row r="145" spans="1:6" hidden="1">
      <c r="A145" s="1">
        <v>44</v>
      </c>
      <c r="B145" s="1" t="s">
        <v>35</v>
      </c>
      <c r="C145" s="1">
        <v>21.85</v>
      </c>
      <c r="D145" s="1" t="s">
        <v>30</v>
      </c>
      <c r="E145" s="1" t="s">
        <v>34</v>
      </c>
      <c r="F145" s="2">
        <v>8891.1394999999993</v>
      </c>
    </row>
    <row r="146" spans="1:6" hidden="1">
      <c r="A146" s="1">
        <v>45</v>
      </c>
      <c r="B146" s="1" t="s">
        <v>35</v>
      </c>
      <c r="C146" s="1">
        <v>24.31</v>
      </c>
      <c r="D146" s="1" t="s">
        <v>30</v>
      </c>
      <c r="E146" s="1" t="s">
        <v>31</v>
      </c>
      <c r="F146" s="2">
        <v>9788.8659000000007</v>
      </c>
    </row>
    <row r="147" spans="1:6" hidden="1">
      <c r="A147" s="1">
        <v>45</v>
      </c>
      <c r="B147" s="1" t="s">
        <v>35</v>
      </c>
      <c r="C147" s="1">
        <v>21.375</v>
      </c>
      <c r="D147" s="1" t="s">
        <v>30</v>
      </c>
      <c r="E147" s="1" t="s">
        <v>33</v>
      </c>
      <c r="F147" s="2">
        <v>7222.7862500000001</v>
      </c>
    </row>
    <row r="148" spans="1:6" hidden="1">
      <c r="A148" s="1">
        <v>45</v>
      </c>
      <c r="B148" s="1" t="s">
        <v>35</v>
      </c>
      <c r="C148" s="1">
        <v>24.035</v>
      </c>
      <c r="D148" s="1" t="s">
        <v>30</v>
      </c>
      <c r="E148" s="1" t="s">
        <v>34</v>
      </c>
      <c r="F148" s="2">
        <v>8604.4836500000001</v>
      </c>
    </row>
    <row r="149" spans="1:6" hidden="1">
      <c r="A149" s="1">
        <v>45</v>
      </c>
      <c r="B149" s="1" t="s">
        <v>35</v>
      </c>
      <c r="C149" s="1">
        <v>20.350000000000001</v>
      </c>
      <c r="D149" s="1" t="s">
        <v>30</v>
      </c>
      <c r="E149" s="1" t="s">
        <v>31</v>
      </c>
      <c r="F149" s="2">
        <v>8605.3615000000009</v>
      </c>
    </row>
    <row r="150" spans="1:6" hidden="1">
      <c r="A150" s="1">
        <v>45</v>
      </c>
      <c r="B150" s="1" t="s">
        <v>35</v>
      </c>
      <c r="C150" s="1">
        <v>23.56</v>
      </c>
      <c r="D150" s="1" t="s">
        <v>30</v>
      </c>
      <c r="E150" s="1" t="s">
        <v>34</v>
      </c>
      <c r="F150" s="2">
        <v>8603.8233999999993</v>
      </c>
    </row>
    <row r="151" spans="1:6" hidden="1">
      <c r="A151" s="1">
        <v>46</v>
      </c>
      <c r="B151" s="1" t="s">
        <v>35</v>
      </c>
      <c r="C151" s="1">
        <v>22.3</v>
      </c>
      <c r="D151" s="1" t="s">
        <v>30</v>
      </c>
      <c r="E151" s="1" t="s">
        <v>32</v>
      </c>
      <c r="F151" s="2">
        <v>7147.1049999999996</v>
      </c>
    </row>
    <row r="152" spans="1:6" hidden="1">
      <c r="A152" s="1">
        <v>46</v>
      </c>
      <c r="B152" s="1" t="s">
        <v>35</v>
      </c>
      <c r="C152" s="1">
        <v>19.855</v>
      </c>
      <c r="D152" s="1" t="s">
        <v>30</v>
      </c>
      <c r="E152" s="1" t="s">
        <v>33</v>
      </c>
      <c r="F152" s="2">
        <v>7526.7064499999997</v>
      </c>
    </row>
    <row r="153" spans="1:6" hidden="1">
      <c r="A153" s="1">
        <v>46</v>
      </c>
      <c r="B153" s="1" t="s">
        <v>35</v>
      </c>
      <c r="C153" s="1">
        <v>24.795000000000002</v>
      </c>
      <c r="D153" s="1" t="s">
        <v>30</v>
      </c>
      <c r="E153" s="1" t="s">
        <v>34</v>
      </c>
      <c r="F153" s="2">
        <v>9500.5730500000009</v>
      </c>
    </row>
    <row r="154" spans="1:6" hidden="1">
      <c r="A154" s="1">
        <v>47</v>
      </c>
      <c r="B154" s="1" t="s">
        <v>35</v>
      </c>
      <c r="C154" s="1">
        <v>19.57</v>
      </c>
      <c r="D154" s="1" t="s">
        <v>30</v>
      </c>
      <c r="E154" s="1" t="s">
        <v>33</v>
      </c>
      <c r="F154" s="2">
        <v>8428.0692999999992</v>
      </c>
    </row>
    <row r="155" spans="1:6" hidden="1">
      <c r="A155" s="1">
        <v>47</v>
      </c>
      <c r="B155" s="1" t="s">
        <v>35</v>
      </c>
      <c r="C155" s="1">
        <v>19.190000000000001</v>
      </c>
      <c r="D155" s="1" t="s">
        <v>30</v>
      </c>
      <c r="E155" s="1" t="s">
        <v>34</v>
      </c>
      <c r="F155" s="2">
        <v>8627.5411000000004</v>
      </c>
    </row>
    <row r="156" spans="1:6" hidden="1">
      <c r="A156" s="1">
        <v>49</v>
      </c>
      <c r="B156" s="1" t="s">
        <v>35</v>
      </c>
      <c r="C156" s="1">
        <v>22.515000000000001</v>
      </c>
      <c r="D156" s="1" t="s">
        <v>30</v>
      </c>
      <c r="E156" s="1" t="s">
        <v>34</v>
      </c>
      <c r="F156" s="2">
        <v>8688.8588500000005</v>
      </c>
    </row>
    <row r="157" spans="1:6" hidden="1">
      <c r="A157" s="1">
        <v>51</v>
      </c>
      <c r="B157" s="1" t="s">
        <v>35</v>
      </c>
      <c r="C157" s="1">
        <v>24.414999999999999</v>
      </c>
      <c r="D157" s="1" t="s">
        <v>30</v>
      </c>
      <c r="E157" s="1" t="s">
        <v>33</v>
      </c>
      <c r="F157" s="2">
        <v>11520.099850000001</v>
      </c>
    </row>
    <row r="158" spans="1:6" hidden="1">
      <c r="A158" s="1">
        <v>51</v>
      </c>
      <c r="B158" s="1" t="s">
        <v>35</v>
      </c>
      <c r="C158" s="1">
        <v>22.42</v>
      </c>
      <c r="D158" s="1" t="s">
        <v>30</v>
      </c>
      <c r="E158" s="1" t="s">
        <v>34</v>
      </c>
      <c r="F158" s="2">
        <v>9361.3268000000007</v>
      </c>
    </row>
    <row r="159" spans="1:6" hidden="1">
      <c r="A159" s="1">
        <v>53</v>
      </c>
      <c r="B159" s="1" t="s">
        <v>35</v>
      </c>
      <c r="C159" s="1">
        <v>24.32</v>
      </c>
      <c r="D159" s="1" t="s">
        <v>30</v>
      </c>
      <c r="E159" s="1" t="s">
        <v>33</v>
      </c>
      <c r="F159" s="2">
        <v>9863.4717999999993</v>
      </c>
    </row>
    <row r="160" spans="1:6" hidden="1">
      <c r="A160" s="1">
        <v>53</v>
      </c>
      <c r="B160" s="1" t="s">
        <v>35</v>
      </c>
      <c r="C160" s="1">
        <v>21.4</v>
      </c>
      <c r="D160" s="1" t="s">
        <v>30</v>
      </c>
      <c r="E160" s="1" t="s">
        <v>32</v>
      </c>
      <c r="F160" s="2">
        <v>10065.413</v>
      </c>
    </row>
    <row r="161" spans="1:6" hidden="1">
      <c r="A161" s="1">
        <v>54</v>
      </c>
      <c r="B161" s="1" t="s">
        <v>35</v>
      </c>
      <c r="C161" s="1">
        <v>21.01</v>
      </c>
      <c r="D161" s="1" t="s">
        <v>30</v>
      </c>
      <c r="E161" s="1" t="s">
        <v>31</v>
      </c>
      <c r="F161" s="2">
        <v>11013.7119</v>
      </c>
    </row>
    <row r="162" spans="1:6" hidden="1">
      <c r="A162" s="1">
        <v>54</v>
      </c>
      <c r="B162" s="1" t="s">
        <v>35</v>
      </c>
      <c r="C162" s="1">
        <v>24.035</v>
      </c>
      <c r="D162" s="1" t="s">
        <v>30</v>
      </c>
      <c r="E162" s="1" t="s">
        <v>34</v>
      </c>
      <c r="F162" s="2">
        <v>10422.916649999999</v>
      </c>
    </row>
    <row r="163" spans="1:6" hidden="1">
      <c r="A163" s="1">
        <v>55</v>
      </c>
      <c r="B163" s="1" t="s">
        <v>35</v>
      </c>
      <c r="C163" s="1">
        <v>21.5</v>
      </c>
      <c r="D163" s="1" t="s">
        <v>30</v>
      </c>
      <c r="E163" s="1" t="s">
        <v>32</v>
      </c>
      <c r="F163" s="2">
        <v>10791.96</v>
      </c>
    </row>
    <row r="164" spans="1:6" hidden="1">
      <c r="A164" s="1">
        <v>56</v>
      </c>
      <c r="B164" s="1" t="s">
        <v>35</v>
      </c>
      <c r="C164" s="1">
        <v>22.1</v>
      </c>
      <c r="D164" s="1" t="s">
        <v>30</v>
      </c>
      <c r="E164" s="1" t="s">
        <v>32</v>
      </c>
      <c r="F164" s="2">
        <v>10577.087</v>
      </c>
    </row>
    <row r="165" spans="1:6" hidden="1">
      <c r="A165" s="1">
        <v>57</v>
      </c>
      <c r="B165" s="1" t="s">
        <v>35</v>
      </c>
      <c r="C165" s="1">
        <v>23.7</v>
      </c>
      <c r="D165" s="1" t="s">
        <v>30</v>
      </c>
      <c r="E165" s="1" t="s">
        <v>32</v>
      </c>
      <c r="F165" s="2">
        <v>10959.33</v>
      </c>
    </row>
    <row r="166" spans="1:6" hidden="1">
      <c r="A166" s="1">
        <v>58</v>
      </c>
      <c r="B166" s="1" t="s">
        <v>35</v>
      </c>
      <c r="C166" s="1">
        <v>23.3</v>
      </c>
      <c r="D166" s="1" t="s">
        <v>30</v>
      </c>
      <c r="E166" s="1" t="s">
        <v>32</v>
      </c>
      <c r="F166" s="2">
        <v>11345.519</v>
      </c>
    </row>
    <row r="167" spans="1:6" hidden="1">
      <c r="A167" s="1">
        <v>59</v>
      </c>
      <c r="B167" s="1" t="s">
        <v>35</v>
      </c>
      <c r="C167" s="1">
        <v>24.7</v>
      </c>
      <c r="D167" s="1" t="s">
        <v>30</v>
      </c>
      <c r="E167" s="1" t="s">
        <v>34</v>
      </c>
      <c r="F167" s="2">
        <v>12323.936</v>
      </c>
    </row>
    <row r="168" spans="1:6" hidden="1">
      <c r="A168" s="1">
        <v>60</v>
      </c>
      <c r="B168" s="1" t="s">
        <v>35</v>
      </c>
      <c r="C168" s="1">
        <v>24.32</v>
      </c>
      <c r="D168" s="1" t="s">
        <v>30</v>
      </c>
      <c r="E168" s="1" t="s">
        <v>33</v>
      </c>
      <c r="F168" s="2">
        <v>13112.604799999999</v>
      </c>
    </row>
    <row r="169" spans="1:6" hidden="1">
      <c r="A169" s="1">
        <v>60</v>
      </c>
      <c r="B169" s="1" t="s">
        <v>35</v>
      </c>
      <c r="C169" s="1">
        <v>24.32</v>
      </c>
      <c r="D169" s="1" t="s">
        <v>30</v>
      </c>
      <c r="E169" s="1" t="s">
        <v>33</v>
      </c>
      <c r="F169" s="2">
        <v>12523.604799999999</v>
      </c>
    </row>
    <row r="170" spans="1:6" hidden="1">
      <c r="A170" s="1">
        <v>61</v>
      </c>
      <c r="B170" s="1" t="s">
        <v>35</v>
      </c>
      <c r="C170" s="1">
        <v>23.655000000000001</v>
      </c>
      <c r="D170" s="1" t="s">
        <v>30</v>
      </c>
      <c r="E170" s="1" t="s">
        <v>34</v>
      </c>
      <c r="F170" s="2">
        <v>13129.603450000001</v>
      </c>
    </row>
    <row r="171" spans="1:6" hidden="1">
      <c r="A171" s="1">
        <v>62</v>
      </c>
      <c r="B171" s="1" t="s">
        <v>35</v>
      </c>
      <c r="C171" s="1">
        <v>21.4</v>
      </c>
      <c r="D171" s="1" t="s">
        <v>30</v>
      </c>
      <c r="E171" s="1" t="s">
        <v>32</v>
      </c>
      <c r="F171" s="2">
        <v>12957.118</v>
      </c>
    </row>
    <row r="172" spans="1:6" hidden="1">
      <c r="A172" s="1">
        <v>63</v>
      </c>
      <c r="B172" s="1" t="s">
        <v>35</v>
      </c>
      <c r="C172" s="1">
        <v>21.66</v>
      </c>
      <c r="D172" s="1" t="s">
        <v>30</v>
      </c>
      <c r="E172" s="1" t="s">
        <v>33</v>
      </c>
      <c r="F172" s="2">
        <v>14349.8544</v>
      </c>
    </row>
    <row r="173" spans="1:6" hidden="1">
      <c r="A173" s="1">
        <v>64</v>
      </c>
      <c r="B173" s="1" t="s">
        <v>35</v>
      </c>
      <c r="C173" s="1">
        <v>24.7</v>
      </c>
      <c r="D173" s="1" t="s">
        <v>30</v>
      </c>
      <c r="E173" s="1" t="s">
        <v>33</v>
      </c>
      <c r="F173" s="2">
        <v>30166.618170000002</v>
      </c>
    </row>
    <row r="174" spans="1:6" hidden="1">
      <c r="A174" s="1">
        <v>18</v>
      </c>
      <c r="B174" s="1" t="s">
        <v>29</v>
      </c>
      <c r="C174" s="1">
        <v>38.664999999999999</v>
      </c>
      <c r="D174" s="1" t="s">
        <v>30</v>
      </c>
      <c r="E174" s="1" t="s">
        <v>34</v>
      </c>
      <c r="F174" s="2">
        <v>3393.35635</v>
      </c>
    </row>
    <row r="175" spans="1:6" hidden="1">
      <c r="A175" s="1">
        <v>18</v>
      </c>
      <c r="B175" s="1" t="s">
        <v>29</v>
      </c>
      <c r="C175" s="1">
        <v>35.625</v>
      </c>
      <c r="D175" s="1" t="s">
        <v>30</v>
      </c>
      <c r="E175" s="1" t="s">
        <v>34</v>
      </c>
      <c r="F175" s="2">
        <v>2211.1307499999998</v>
      </c>
    </row>
    <row r="176" spans="1:6" hidden="1">
      <c r="A176" s="1">
        <v>18</v>
      </c>
      <c r="B176" s="1" t="s">
        <v>29</v>
      </c>
      <c r="C176" s="1">
        <v>30.114999999999998</v>
      </c>
      <c r="D176" s="1" t="s">
        <v>30</v>
      </c>
      <c r="E176" s="1" t="s">
        <v>34</v>
      </c>
      <c r="F176" s="2">
        <v>21344.846699999998</v>
      </c>
    </row>
    <row r="177" spans="1:6" hidden="1">
      <c r="A177" s="1">
        <v>18</v>
      </c>
      <c r="B177" s="1" t="s">
        <v>29</v>
      </c>
      <c r="C177" s="1">
        <v>38.28</v>
      </c>
      <c r="D177" s="1" t="s">
        <v>30</v>
      </c>
      <c r="E177" s="1" t="s">
        <v>31</v>
      </c>
      <c r="F177" s="2">
        <v>1631.8212000000001</v>
      </c>
    </row>
    <row r="178" spans="1:6" hidden="1">
      <c r="A178" s="1">
        <v>18</v>
      </c>
      <c r="B178" s="1" t="s">
        <v>29</v>
      </c>
      <c r="C178" s="1">
        <v>38.28</v>
      </c>
      <c r="D178" s="1" t="s">
        <v>30</v>
      </c>
      <c r="E178" s="1" t="s">
        <v>31</v>
      </c>
      <c r="F178" s="2">
        <v>14133.03775</v>
      </c>
    </row>
    <row r="179" spans="1:6" hidden="1">
      <c r="A179" s="1">
        <v>18</v>
      </c>
      <c r="B179" s="1" t="s">
        <v>29</v>
      </c>
      <c r="C179" s="1">
        <v>38.17</v>
      </c>
      <c r="D179" s="1" t="s">
        <v>30</v>
      </c>
      <c r="E179" s="1" t="s">
        <v>31</v>
      </c>
      <c r="F179" s="2">
        <v>1631.6683</v>
      </c>
    </row>
    <row r="180" spans="1:6" hidden="1">
      <c r="A180" s="1">
        <v>18</v>
      </c>
      <c r="B180" s="1" t="s">
        <v>29</v>
      </c>
      <c r="C180" s="1">
        <v>30.114999999999998</v>
      </c>
      <c r="D180" s="1" t="s">
        <v>30</v>
      </c>
      <c r="E180" s="1" t="s">
        <v>34</v>
      </c>
      <c r="F180" s="2">
        <v>2203.4718499999999</v>
      </c>
    </row>
    <row r="181" spans="1:6" hidden="1">
      <c r="A181" s="1">
        <v>18</v>
      </c>
      <c r="B181" s="1" t="s">
        <v>29</v>
      </c>
      <c r="C181" s="1">
        <v>31.35</v>
      </c>
      <c r="D181" s="1" t="s">
        <v>30</v>
      </c>
      <c r="E181" s="1" t="s">
        <v>31</v>
      </c>
      <c r="F181" s="2">
        <v>1622.1885</v>
      </c>
    </row>
    <row r="182" spans="1:6" hidden="1">
      <c r="A182" s="1">
        <v>18</v>
      </c>
      <c r="B182" s="1" t="s">
        <v>29</v>
      </c>
      <c r="C182" s="1">
        <v>33.880000000000003</v>
      </c>
      <c r="D182" s="1" t="s">
        <v>30</v>
      </c>
      <c r="E182" s="1" t="s">
        <v>31</v>
      </c>
      <c r="F182" s="2">
        <v>11482.63485</v>
      </c>
    </row>
    <row r="183" spans="1:6" hidden="1">
      <c r="A183" s="1">
        <v>18</v>
      </c>
      <c r="B183" s="1" t="s">
        <v>29</v>
      </c>
      <c r="C183" s="1">
        <v>32.119999999999997</v>
      </c>
      <c r="D183" s="1" t="s">
        <v>30</v>
      </c>
      <c r="E183" s="1" t="s">
        <v>31</v>
      </c>
      <c r="F183" s="2">
        <v>2801.2588000000001</v>
      </c>
    </row>
    <row r="184" spans="1:6" hidden="1">
      <c r="A184" s="1">
        <v>18</v>
      </c>
      <c r="B184" s="1" t="s">
        <v>29</v>
      </c>
      <c r="C184" s="1">
        <v>37.29</v>
      </c>
      <c r="D184" s="1" t="s">
        <v>30</v>
      </c>
      <c r="E184" s="1" t="s">
        <v>31</v>
      </c>
      <c r="F184" s="2">
        <v>2219.4450999999999</v>
      </c>
    </row>
    <row r="185" spans="1:6" hidden="1">
      <c r="A185" s="1">
        <v>18</v>
      </c>
      <c r="B185" s="1" t="s">
        <v>29</v>
      </c>
      <c r="C185" s="1">
        <v>39.159999999999997</v>
      </c>
      <c r="D185" s="1" t="s">
        <v>30</v>
      </c>
      <c r="E185" s="1" t="s">
        <v>31</v>
      </c>
      <c r="F185" s="2">
        <v>1633.0444</v>
      </c>
    </row>
    <row r="186" spans="1:6" hidden="1">
      <c r="A186" s="1">
        <v>18</v>
      </c>
      <c r="B186" s="1" t="s">
        <v>29</v>
      </c>
      <c r="C186" s="1">
        <v>33.155000000000001</v>
      </c>
      <c r="D186" s="1" t="s">
        <v>30</v>
      </c>
      <c r="E186" s="1" t="s">
        <v>34</v>
      </c>
      <c r="F186" s="2">
        <v>2207.6974500000001</v>
      </c>
    </row>
    <row r="187" spans="1:6" hidden="1">
      <c r="A187" s="1">
        <v>18</v>
      </c>
      <c r="B187" s="1" t="s">
        <v>29</v>
      </c>
      <c r="C187" s="1">
        <v>40.28</v>
      </c>
      <c r="D187" s="1" t="s">
        <v>30</v>
      </c>
      <c r="E187" s="1" t="s">
        <v>34</v>
      </c>
      <c r="F187" s="2">
        <v>2217.6012000000001</v>
      </c>
    </row>
    <row r="188" spans="1:6" hidden="1">
      <c r="A188" s="1">
        <v>18</v>
      </c>
      <c r="B188" s="1" t="s">
        <v>29</v>
      </c>
      <c r="C188" s="1">
        <v>31.13</v>
      </c>
      <c r="D188" s="1" t="s">
        <v>30</v>
      </c>
      <c r="E188" s="1" t="s">
        <v>31</v>
      </c>
      <c r="F188" s="2">
        <v>1621.8827000000001</v>
      </c>
    </row>
    <row r="189" spans="1:6" hidden="1">
      <c r="A189" s="1">
        <v>18</v>
      </c>
      <c r="B189" s="1" t="s">
        <v>29</v>
      </c>
      <c r="C189" s="1">
        <v>40.26</v>
      </c>
      <c r="D189" s="1" t="s">
        <v>30</v>
      </c>
      <c r="E189" s="1" t="s">
        <v>31</v>
      </c>
      <c r="F189" s="2">
        <v>1634.5734</v>
      </c>
    </row>
    <row r="190" spans="1:6" hidden="1">
      <c r="A190" s="1">
        <v>18</v>
      </c>
      <c r="B190" s="1" t="s">
        <v>29</v>
      </c>
      <c r="C190" s="1">
        <v>40.185000000000002</v>
      </c>
      <c r="D190" s="1" t="s">
        <v>30</v>
      </c>
      <c r="E190" s="1" t="s">
        <v>34</v>
      </c>
      <c r="F190" s="2">
        <v>2217.4691499999999</v>
      </c>
    </row>
    <row r="191" spans="1:6" hidden="1">
      <c r="A191" s="1">
        <v>18</v>
      </c>
      <c r="B191" s="1" t="s">
        <v>29</v>
      </c>
      <c r="C191" s="1">
        <v>31.35</v>
      </c>
      <c r="D191" s="1" t="s">
        <v>30</v>
      </c>
      <c r="E191" s="1" t="s">
        <v>34</v>
      </c>
      <c r="F191" s="2">
        <v>4561.1885000000002</v>
      </c>
    </row>
    <row r="192" spans="1:6" hidden="1">
      <c r="A192" s="1">
        <v>18</v>
      </c>
      <c r="B192" s="1" t="s">
        <v>29</v>
      </c>
      <c r="C192" s="1">
        <v>30.305</v>
      </c>
      <c r="D192" s="1" t="s">
        <v>30</v>
      </c>
      <c r="E192" s="1" t="s">
        <v>34</v>
      </c>
      <c r="F192" s="2">
        <v>2203.7359499999998</v>
      </c>
    </row>
    <row r="193" spans="1:6" hidden="1">
      <c r="A193" s="1">
        <v>18</v>
      </c>
      <c r="B193" s="1" t="s">
        <v>29</v>
      </c>
      <c r="C193" s="1">
        <v>39.82</v>
      </c>
      <c r="D193" s="1" t="s">
        <v>30</v>
      </c>
      <c r="E193" s="1" t="s">
        <v>31</v>
      </c>
      <c r="F193" s="2">
        <v>1633.9618</v>
      </c>
    </row>
    <row r="194" spans="1:6" hidden="1">
      <c r="A194" s="1">
        <v>18</v>
      </c>
      <c r="B194" s="1" t="s">
        <v>29</v>
      </c>
      <c r="C194" s="1">
        <v>31.92</v>
      </c>
      <c r="D194" s="1" t="s">
        <v>30</v>
      </c>
      <c r="E194" s="1" t="s">
        <v>34</v>
      </c>
      <c r="F194" s="2">
        <v>2205.9807999999998</v>
      </c>
    </row>
    <row r="195" spans="1:6" hidden="1">
      <c r="A195" s="1">
        <v>18</v>
      </c>
      <c r="B195" s="1" t="s">
        <v>29</v>
      </c>
      <c r="C195" s="1">
        <v>36.85</v>
      </c>
      <c r="D195" s="1" t="s">
        <v>30</v>
      </c>
      <c r="E195" s="1" t="s">
        <v>31</v>
      </c>
      <c r="F195" s="2">
        <v>1629.8335</v>
      </c>
    </row>
    <row r="196" spans="1:6" hidden="1">
      <c r="A196" s="1">
        <v>19</v>
      </c>
      <c r="B196" s="1" t="s">
        <v>29</v>
      </c>
      <c r="C196" s="1">
        <v>31.824999999999999</v>
      </c>
      <c r="D196" s="1" t="s">
        <v>30</v>
      </c>
      <c r="E196" s="1" t="s">
        <v>33</v>
      </c>
      <c r="F196" s="2">
        <v>2719.2797500000001</v>
      </c>
    </row>
    <row r="197" spans="1:6" hidden="1">
      <c r="A197" s="1">
        <v>19</v>
      </c>
      <c r="B197" s="1" t="s">
        <v>29</v>
      </c>
      <c r="C197" s="1">
        <v>32.11</v>
      </c>
      <c r="D197" s="1" t="s">
        <v>30</v>
      </c>
      <c r="E197" s="1" t="s">
        <v>33</v>
      </c>
      <c r="F197" s="2">
        <v>2130.6759000000002</v>
      </c>
    </row>
    <row r="198" spans="1:6" hidden="1">
      <c r="A198" s="1">
        <v>19</v>
      </c>
      <c r="B198" s="1" t="s">
        <v>29</v>
      </c>
      <c r="C198" s="1">
        <v>37.43</v>
      </c>
      <c r="D198" s="1" t="s">
        <v>30</v>
      </c>
      <c r="E198" s="1" t="s">
        <v>33</v>
      </c>
      <c r="F198" s="2">
        <v>2138.0707000000002</v>
      </c>
    </row>
    <row r="199" spans="1:6" hidden="1">
      <c r="A199" s="1">
        <v>19</v>
      </c>
      <c r="B199" s="1" t="s">
        <v>29</v>
      </c>
      <c r="C199" s="1">
        <v>35.15</v>
      </c>
      <c r="D199" s="1" t="s">
        <v>30</v>
      </c>
      <c r="E199" s="1" t="s">
        <v>33</v>
      </c>
      <c r="F199" s="2">
        <v>2134.9014999999999</v>
      </c>
    </row>
    <row r="200" spans="1:6" hidden="1">
      <c r="A200" s="1">
        <v>19</v>
      </c>
      <c r="B200" s="1" t="s">
        <v>29</v>
      </c>
      <c r="C200" s="1">
        <v>32.9</v>
      </c>
      <c r="D200" s="1" t="s">
        <v>30</v>
      </c>
      <c r="E200" s="1" t="s">
        <v>32</v>
      </c>
      <c r="F200" s="2">
        <v>1748.7739999999999</v>
      </c>
    </row>
    <row r="201" spans="1:6" hidden="1">
      <c r="A201" s="1">
        <v>19</v>
      </c>
      <c r="B201" s="1" t="s">
        <v>29</v>
      </c>
      <c r="C201" s="1">
        <v>30.59</v>
      </c>
      <c r="D201" s="1" t="s">
        <v>30</v>
      </c>
      <c r="E201" s="1" t="s">
        <v>33</v>
      </c>
      <c r="F201" s="2">
        <v>24059.680189999999</v>
      </c>
    </row>
    <row r="202" spans="1:6" hidden="1">
      <c r="A202" s="1">
        <v>19</v>
      </c>
      <c r="B202" s="1" t="s">
        <v>29</v>
      </c>
      <c r="C202" s="1">
        <v>30.495000000000001</v>
      </c>
      <c r="D202" s="1" t="s">
        <v>30</v>
      </c>
      <c r="E202" s="1" t="s">
        <v>33</v>
      </c>
      <c r="F202" s="2">
        <v>2128.4310500000001</v>
      </c>
    </row>
    <row r="203" spans="1:6" hidden="1">
      <c r="A203" s="1">
        <v>19</v>
      </c>
      <c r="B203" s="1" t="s">
        <v>29</v>
      </c>
      <c r="C203" s="1">
        <v>36.575000000000003</v>
      </c>
      <c r="D203" s="1" t="s">
        <v>30</v>
      </c>
      <c r="E203" s="1" t="s">
        <v>33</v>
      </c>
      <c r="F203" s="2">
        <v>2136.8822500000001</v>
      </c>
    </row>
    <row r="204" spans="1:6" hidden="1">
      <c r="A204" s="1">
        <v>19</v>
      </c>
      <c r="B204" s="1" t="s">
        <v>29</v>
      </c>
      <c r="C204" s="1">
        <v>39.615000000000002</v>
      </c>
      <c r="D204" s="1" t="s">
        <v>30</v>
      </c>
      <c r="E204" s="1" t="s">
        <v>33</v>
      </c>
      <c r="F204" s="2">
        <v>2730.1078499999999</v>
      </c>
    </row>
    <row r="205" spans="1:6" hidden="1">
      <c r="A205" s="1">
        <v>19</v>
      </c>
      <c r="B205" s="1" t="s">
        <v>29</v>
      </c>
      <c r="C205" s="1">
        <v>40.5</v>
      </c>
      <c r="D205" s="1" t="s">
        <v>30</v>
      </c>
      <c r="E205" s="1" t="s">
        <v>32</v>
      </c>
      <c r="F205" s="2">
        <v>1759.338</v>
      </c>
    </row>
    <row r="206" spans="1:6" hidden="1">
      <c r="A206" s="1">
        <v>20</v>
      </c>
      <c r="B206" s="1" t="s">
        <v>29</v>
      </c>
      <c r="C206" s="1">
        <v>37</v>
      </c>
      <c r="D206" s="1" t="s">
        <v>30</v>
      </c>
      <c r="E206" s="1" t="s">
        <v>32</v>
      </c>
      <c r="F206" s="2">
        <v>4830.63</v>
      </c>
    </row>
    <row r="207" spans="1:6" hidden="1">
      <c r="A207" s="1">
        <v>20</v>
      </c>
      <c r="B207" s="1" t="s">
        <v>29</v>
      </c>
      <c r="C207" s="1">
        <v>31.79</v>
      </c>
      <c r="D207" s="1" t="s">
        <v>30</v>
      </c>
      <c r="E207" s="1" t="s">
        <v>31</v>
      </c>
      <c r="F207" s="2">
        <v>3056.3881000000001</v>
      </c>
    </row>
    <row r="208" spans="1:6" hidden="1">
      <c r="A208" s="1">
        <v>20</v>
      </c>
      <c r="B208" s="1" t="s">
        <v>29</v>
      </c>
      <c r="C208" s="1">
        <v>33</v>
      </c>
      <c r="D208" s="1" t="s">
        <v>30</v>
      </c>
      <c r="E208" s="1" t="s">
        <v>31</v>
      </c>
      <c r="F208" s="2">
        <v>1880.07</v>
      </c>
    </row>
    <row r="209" spans="1:6" hidden="1">
      <c r="A209" s="1">
        <v>20</v>
      </c>
      <c r="B209" s="1" t="s">
        <v>29</v>
      </c>
      <c r="C209" s="1">
        <v>31.46</v>
      </c>
      <c r="D209" s="1" t="s">
        <v>30</v>
      </c>
      <c r="E209" s="1" t="s">
        <v>31</v>
      </c>
      <c r="F209" s="2">
        <v>1877.9294</v>
      </c>
    </row>
    <row r="210" spans="1:6" hidden="1">
      <c r="A210" s="1">
        <v>20</v>
      </c>
      <c r="B210" s="1" t="s">
        <v>29</v>
      </c>
      <c r="C210" s="1">
        <v>31.92</v>
      </c>
      <c r="D210" s="1" t="s">
        <v>30</v>
      </c>
      <c r="E210" s="1" t="s">
        <v>33</v>
      </c>
      <c r="F210" s="2">
        <v>2261.5688</v>
      </c>
    </row>
    <row r="211" spans="1:6" hidden="1">
      <c r="A211" s="1">
        <v>20</v>
      </c>
      <c r="B211" s="1" t="s">
        <v>29</v>
      </c>
      <c r="C211" s="1">
        <v>30.59</v>
      </c>
      <c r="D211" s="1" t="s">
        <v>30</v>
      </c>
      <c r="E211" s="1" t="s">
        <v>34</v>
      </c>
      <c r="F211" s="2">
        <v>2459.7201</v>
      </c>
    </row>
    <row r="212" spans="1:6" hidden="1">
      <c r="A212" s="1">
        <v>20</v>
      </c>
      <c r="B212" s="1" t="s">
        <v>29</v>
      </c>
      <c r="C212" s="1">
        <v>33.299999999999997</v>
      </c>
      <c r="D212" s="1" t="s">
        <v>30</v>
      </c>
      <c r="E212" s="1" t="s">
        <v>32</v>
      </c>
      <c r="F212" s="2">
        <v>1880.4870000000001</v>
      </c>
    </row>
    <row r="213" spans="1:6" hidden="1">
      <c r="A213" s="1">
        <v>21</v>
      </c>
      <c r="B213" s="1" t="s">
        <v>29</v>
      </c>
      <c r="C213" s="1">
        <v>33.630000000000003</v>
      </c>
      <c r="D213" s="1" t="s">
        <v>30</v>
      </c>
      <c r="E213" s="1" t="s">
        <v>33</v>
      </c>
      <c r="F213" s="2">
        <v>3579.8287</v>
      </c>
    </row>
    <row r="214" spans="1:6" hidden="1">
      <c r="A214" s="1">
        <v>21</v>
      </c>
      <c r="B214" s="1" t="s">
        <v>29</v>
      </c>
      <c r="C214" s="1">
        <v>39.49</v>
      </c>
      <c r="D214" s="1" t="s">
        <v>30</v>
      </c>
      <c r="E214" s="1" t="s">
        <v>31</v>
      </c>
      <c r="F214" s="2">
        <v>2026.9740999999999</v>
      </c>
    </row>
    <row r="215" spans="1:6" hidden="1">
      <c r="A215" s="1">
        <v>21</v>
      </c>
      <c r="B215" s="1" t="s">
        <v>29</v>
      </c>
      <c r="C215" s="1">
        <v>35.72</v>
      </c>
      <c r="D215" s="1" t="s">
        <v>30</v>
      </c>
      <c r="E215" s="1" t="s">
        <v>33</v>
      </c>
      <c r="F215" s="2">
        <v>2404.7338</v>
      </c>
    </row>
    <row r="216" spans="1:6" hidden="1">
      <c r="A216" s="1">
        <v>21</v>
      </c>
      <c r="B216" s="1" t="s">
        <v>29</v>
      </c>
      <c r="C216" s="1">
        <v>34.869999999999997</v>
      </c>
      <c r="D216" s="1" t="s">
        <v>30</v>
      </c>
      <c r="E216" s="1" t="s">
        <v>31</v>
      </c>
      <c r="F216" s="2">
        <v>2020.5523000000001</v>
      </c>
    </row>
    <row r="217" spans="1:6" hidden="1">
      <c r="A217" s="1">
        <v>21</v>
      </c>
      <c r="B217" s="1" t="s">
        <v>29</v>
      </c>
      <c r="C217" s="1">
        <v>32.68</v>
      </c>
      <c r="D217" s="1" t="s">
        <v>30</v>
      </c>
      <c r="E217" s="1" t="s">
        <v>33</v>
      </c>
      <c r="F217" s="2">
        <v>26018.950519999999</v>
      </c>
    </row>
    <row r="218" spans="1:6" hidden="1">
      <c r="A218" s="1">
        <v>21</v>
      </c>
      <c r="B218" s="1" t="s">
        <v>29</v>
      </c>
      <c r="C218" s="1">
        <v>34.6</v>
      </c>
      <c r="D218" s="1" t="s">
        <v>30</v>
      </c>
      <c r="E218" s="1" t="s">
        <v>32</v>
      </c>
      <c r="F218" s="2">
        <v>2020.1769999999999</v>
      </c>
    </row>
    <row r="219" spans="1:6" hidden="1">
      <c r="A219" s="1">
        <v>22</v>
      </c>
      <c r="B219" s="1" t="s">
        <v>29</v>
      </c>
      <c r="C219" s="1">
        <v>39.805</v>
      </c>
      <c r="D219" s="1" t="s">
        <v>30</v>
      </c>
      <c r="E219" s="1" t="s">
        <v>34</v>
      </c>
      <c r="F219" s="2">
        <v>2755.0209500000001</v>
      </c>
    </row>
    <row r="220" spans="1:6" hidden="1">
      <c r="A220" s="1">
        <v>22</v>
      </c>
      <c r="B220" s="1" t="s">
        <v>29</v>
      </c>
      <c r="C220" s="1">
        <v>36</v>
      </c>
      <c r="D220" s="1" t="s">
        <v>30</v>
      </c>
      <c r="E220" s="1" t="s">
        <v>32</v>
      </c>
      <c r="F220" s="2">
        <v>2166.732</v>
      </c>
    </row>
    <row r="221" spans="1:6" hidden="1">
      <c r="A221" s="1">
        <v>22</v>
      </c>
      <c r="B221" s="1" t="s">
        <v>29</v>
      </c>
      <c r="C221" s="1">
        <v>34.58</v>
      </c>
      <c r="D221" s="1" t="s">
        <v>30</v>
      </c>
      <c r="E221" s="1" t="s">
        <v>34</v>
      </c>
      <c r="F221" s="2">
        <v>3925.7582000000002</v>
      </c>
    </row>
    <row r="222" spans="1:6" hidden="1">
      <c r="A222" s="1">
        <v>22</v>
      </c>
      <c r="B222" s="1" t="s">
        <v>29</v>
      </c>
      <c r="C222" s="1">
        <v>30.4</v>
      </c>
      <c r="D222" s="1" t="s">
        <v>30</v>
      </c>
      <c r="E222" s="1" t="s">
        <v>34</v>
      </c>
      <c r="F222" s="2">
        <v>2741.9479999999999</v>
      </c>
    </row>
    <row r="223" spans="1:6" hidden="1">
      <c r="A223" s="1">
        <v>23</v>
      </c>
      <c r="B223" s="1" t="s">
        <v>29</v>
      </c>
      <c r="C223" s="1">
        <v>34.96</v>
      </c>
      <c r="D223" s="1" t="s">
        <v>30</v>
      </c>
      <c r="E223" s="1" t="s">
        <v>33</v>
      </c>
      <c r="F223" s="2">
        <v>4466.6214</v>
      </c>
    </row>
    <row r="224" spans="1:6" hidden="1">
      <c r="A224" s="1">
        <v>23</v>
      </c>
      <c r="B224" s="1" t="s">
        <v>29</v>
      </c>
      <c r="C224" s="1">
        <v>39.270000000000003</v>
      </c>
      <c r="D224" s="1" t="s">
        <v>30</v>
      </c>
      <c r="E224" s="1" t="s">
        <v>31</v>
      </c>
      <c r="F224" s="2">
        <v>3500.6122999999998</v>
      </c>
    </row>
    <row r="225" spans="1:6" hidden="1">
      <c r="A225" s="1">
        <v>23</v>
      </c>
      <c r="B225" s="1" t="s">
        <v>29</v>
      </c>
      <c r="C225" s="1">
        <v>34.865000000000002</v>
      </c>
      <c r="D225" s="1" t="s">
        <v>30</v>
      </c>
      <c r="E225" s="1" t="s">
        <v>34</v>
      </c>
      <c r="F225" s="2">
        <v>2899.4893499999998</v>
      </c>
    </row>
    <row r="226" spans="1:6" hidden="1">
      <c r="A226" s="1">
        <v>23</v>
      </c>
      <c r="B226" s="1" t="s">
        <v>29</v>
      </c>
      <c r="C226" s="1">
        <v>33.4</v>
      </c>
      <c r="D226" s="1" t="s">
        <v>30</v>
      </c>
      <c r="E226" s="1" t="s">
        <v>32</v>
      </c>
      <c r="F226" s="2">
        <v>10795.937330000001</v>
      </c>
    </row>
    <row r="227" spans="1:6" hidden="1">
      <c r="A227" s="1">
        <v>24</v>
      </c>
      <c r="B227" s="1" t="s">
        <v>29</v>
      </c>
      <c r="C227" s="1">
        <v>33.344999999999999</v>
      </c>
      <c r="D227" s="1" t="s">
        <v>30</v>
      </c>
      <c r="E227" s="1" t="s">
        <v>33</v>
      </c>
      <c r="F227" s="2">
        <v>2855.4375500000001</v>
      </c>
    </row>
    <row r="228" spans="1:6" hidden="1">
      <c r="A228" s="1">
        <v>24</v>
      </c>
      <c r="B228" s="1" t="s">
        <v>29</v>
      </c>
      <c r="C228" s="1">
        <v>30.21</v>
      </c>
      <c r="D228" s="1" t="s">
        <v>30</v>
      </c>
      <c r="E228" s="1" t="s">
        <v>33</v>
      </c>
      <c r="F228" s="2">
        <v>4618.0798999999997</v>
      </c>
    </row>
    <row r="229" spans="1:6" hidden="1">
      <c r="A229" s="1">
        <v>24</v>
      </c>
      <c r="B229" s="1" t="s">
        <v>29</v>
      </c>
      <c r="C229" s="1">
        <v>30.1</v>
      </c>
      <c r="D229" s="1" t="s">
        <v>30</v>
      </c>
      <c r="E229" s="1" t="s">
        <v>32</v>
      </c>
      <c r="F229" s="2">
        <v>4234.9269999999997</v>
      </c>
    </row>
    <row r="230" spans="1:6" hidden="1">
      <c r="A230" s="1">
        <v>24</v>
      </c>
      <c r="B230" s="1" t="s">
        <v>29</v>
      </c>
      <c r="C230" s="1">
        <v>33.99</v>
      </c>
      <c r="D230" s="1" t="s">
        <v>30</v>
      </c>
      <c r="E230" s="1" t="s">
        <v>31</v>
      </c>
      <c r="F230" s="2">
        <v>2473.3341</v>
      </c>
    </row>
    <row r="231" spans="1:6" hidden="1">
      <c r="A231" s="1">
        <v>24</v>
      </c>
      <c r="B231" s="1" t="s">
        <v>29</v>
      </c>
      <c r="C231" s="1">
        <v>39.49</v>
      </c>
      <c r="D231" s="1" t="s">
        <v>30</v>
      </c>
      <c r="E231" s="1" t="s">
        <v>31</v>
      </c>
      <c r="F231" s="2">
        <v>2480.9791</v>
      </c>
    </row>
    <row r="232" spans="1:6" hidden="1">
      <c r="A232" s="1">
        <v>24</v>
      </c>
      <c r="B232" s="1" t="s">
        <v>29</v>
      </c>
      <c r="C232" s="1">
        <v>29.925000000000001</v>
      </c>
      <c r="D232" s="1" t="s">
        <v>30</v>
      </c>
      <c r="E232" s="1" t="s">
        <v>33</v>
      </c>
      <c r="F232" s="2">
        <v>2850.6837500000001</v>
      </c>
    </row>
    <row r="233" spans="1:6" hidden="1">
      <c r="A233" s="1">
        <v>25</v>
      </c>
      <c r="B233" s="1" t="s">
        <v>29</v>
      </c>
      <c r="C233" s="1">
        <v>41.325000000000003</v>
      </c>
      <c r="D233" s="1" t="s">
        <v>30</v>
      </c>
      <c r="E233" s="1" t="s">
        <v>34</v>
      </c>
      <c r="F233" s="2">
        <v>17878.900679999999</v>
      </c>
    </row>
    <row r="234" spans="1:6" hidden="1">
      <c r="A234" s="1">
        <v>25</v>
      </c>
      <c r="B234" s="1" t="s">
        <v>29</v>
      </c>
      <c r="C234" s="1">
        <v>32.229999999999997</v>
      </c>
      <c r="D234" s="1" t="s">
        <v>30</v>
      </c>
      <c r="E234" s="1" t="s">
        <v>31</v>
      </c>
      <c r="F234" s="2">
        <v>18218.161390000001</v>
      </c>
    </row>
    <row r="235" spans="1:6" hidden="1">
      <c r="A235" s="1">
        <v>25</v>
      </c>
      <c r="B235" s="1" t="s">
        <v>29</v>
      </c>
      <c r="C235" s="1">
        <v>33.99</v>
      </c>
      <c r="D235" s="1" t="s">
        <v>30</v>
      </c>
      <c r="E235" s="1" t="s">
        <v>31</v>
      </c>
      <c r="F235" s="2">
        <v>3227.1210999999998</v>
      </c>
    </row>
    <row r="236" spans="1:6" hidden="1">
      <c r="A236" s="1">
        <v>25</v>
      </c>
      <c r="B236" s="1" t="s">
        <v>29</v>
      </c>
      <c r="C236" s="1">
        <v>30.3</v>
      </c>
      <c r="D236" s="1" t="s">
        <v>30</v>
      </c>
      <c r="E236" s="1" t="s">
        <v>32</v>
      </c>
      <c r="F236" s="2">
        <v>2632.9920000000002</v>
      </c>
    </row>
    <row r="237" spans="1:6" hidden="1">
      <c r="A237" s="1">
        <v>25</v>
      </c>
      <c r="B237" s="1" t="s">
        <v>29</v>
      </c>
      <c r="C237" s="1">
        <v>42.13</v>
      </c>
      <c r="D237" s="1" t="s">
        <v>30</v>
      </c>
      <c r="E237" s="1" t="s">
        <v>31</v>
      </c>
      <c r="F237" s="2">
        <v>3238.4357</v>
      </c>
    </row>
    <row r="238" spans="1:6" hidden="1">
      <c r="A238" s="1">
        <v>25</v>
      </c>
      <c r="B238" s="1" t="s">
        <v>29</v>
      </c>
      <c r="C238" s="1">
        <v>34.484999999999999</v>
      </c>
      <c r="D238" s="1" t="s">
        <v>30</v>
      </c>
      <c r="E238" s="1" t="s">
        <v>33</v>
      </c>
      <c r="F238" s="2">
        <v>3021.80915</v>
      </c>
    </row>
    <row r="239" spans="1:6" hidden="1">
      <c r="A239" s="1">
        <v>26</v>
      </c>
      <c r="B239" s="1" t="s">
        <v>29</v>
      </c>
      <c r="C239" s="1">
        <v>29.92</v>
      </c>
      <c r="D239" s="1" t="s">
        <v>30</v>
      </c>
      <c r="E239" s="1" t="s">
        <v>31</v>
      </c>
      <c r="F239" s="2">
        <v>3981.9767999999999</v>
      </c>
    </row>
    <row r="240" spans="1:6" hidden="1">
      <c r="A240" s="1">
        <v>26</v>
      </c>
      <c r="B240" s="1" t="s">
        <v>29</v>
      </c>
      <c r="C240" s="1">
        <v>29.92</v>
      </c>
      <c r="D240" s="1" t="s">
        <v>30</v>
      </c>
      <c r="E240" s="1" t="s">
        <v>31</v>
      </c>
      <c r="F240" s="2">
        <v>3392.9767999999999</v>
      </c>
    </row>
    <row r="241" spans="1:6" hidden="1">
      <c r="A241" s="1">
        <v>26</v>
      </c>
      <c r="B241" s="1" t="s">
        <v>29</v>
      </c>
      <c r="C241" s="1">
        <v>42.4</v>
      </c>
      <c r="D241" s="1" t="s">
        <v>30</v>
      </c>
      <c r="E241" s="1" t="s">
        <v>32</v>
      </c>
      <c r="F241" s="2">
        <v>3410.3240000000001</v>
      </c>
    </row>
    <row r="242" spans="1:6" hidden="1">
      <c r="A242" s="1">
        <v>26</v>
      </c>
      <c r="B242" s="1" t="s">
        <v>29</v>
      </c>
      <c r="C242" s="1">
        <v>40.185000000000002</v>
      </c>
      <c r="D242" s="1" t="s">
        <v>30</v>
      </c>
      <c r="E242" s="1" t="s">
        <v>33</v>
      </c>
      <c r="F242" s="2">
        <v>3201.2451500000002</v>
      </c>
    </row>
    <row r="243" spans="1:6" hidden="1">
      <c r="A243" s="1">
        <v>26</v>
      </c>
      <c r="B243" s="1" t="s">
        <v>29</v>
      </c>
      <c r="C243" s="1">
        <v>34.200000000000003</v>
      </c>
      <c r="D243" s="1" t="s">
        <v>30</v>
      </c>
      <c r="E243" s="1" t="s">
        <v>32</v>
      </c>
      <c r="F243" s="2">
        <v>3987.9259999999999</v>
      </c>
    </row>
    <row r="244" spans="1:6" hidden="1">
      <c r="A244" s="1">
        <v>27</v>
      </c>
      <c r="B244" s="1" t="s">
        <v>29</v>
      </c>
      <c r="C244" s="1">
        <v>30.4</v>
      </c>
      <c r="D244" s="1" t="s">
        <v>30</v>
      </c>
      <c r="E244" s="1" t="s">
        <v>33</v>
      </c>
      <c r="F244" s="2">
        <v>18804.752400000001</v>
      </c>
    </row>
    <row r="245" spans="1:6" hidden="1">
      <c r="A245" s="1">
        <v>27</v>
      </c>
      <c r="B245" s="1" t="s">
        <v>29</v>
      </c>
      <c r="C245" s="1">
        <v>34.799999999999997</v>
      </c>
      <c r="D245" s="1" t="s">
        <v>30</v>
      </c>
      <c r="E245" s="1" t="s">
        <v>32</v>
      </c>
      <c r="F245" s="2">
        <v>3577.9989999999998</v>
      </c>
    </row>
    <row r="246" spans="1:6" hidden="1">
      <c r="A246" s="1">
        <v>27</v>
      </c>
      <c r="B246" s="1" t="s">
        <v>29</v>
      </c>
      <c r="C246" s="1">
        <v>30.59</v>
      </c>
      <c r="D246" s="1" t="s">
        <v>30</v>
      </c>
      <c r="E246" s="1" t="s">
        <v>34</v>
      </c>
      <c r="F246" s="2">
        <v>16796.411940000002</v>
      </c>
    </row>
    <row r="247" spans="1:6" hidden="1">
      <c r="A247" s="1">
        <v>27</v>
      </c>
      <c r="B247" s="1" t="s">
        <v>29</v>
      </c>
      <c r="C247" s="1">
        <v>32.395000000000003</v>
      </c>
      <c r="D247" s="1" t="s">
        <v>30</v>
      </c>
      <c r="E247" s="1" t="s">
        <v>34</v>
      </c>
      <c r="F247" s="2">
        <v>18903.491409999999</v>
      </c>
    </row>
    <row r="248" spans="1:6" hidden="1">
      <c r="A248" s="1">
        <v>27</v>
      </c>
      <c r="B248" s="1" t="s">
        <v>29</v>
      </c>
      <c r="C248" s="1">
        <v>31.254999999999999</v>
      </c>
      <c r="D248" s="1" t="s">
        <v>30</v>
      </c>
      <c r="E248" s="1" t="s">
        <v>33</v>
      </c>
      <c r="F248" s="2">
        <v>3956.0714499999999</v>
      </c>
    </row>
    <row r="249" spans="1:6" hidden="1">
      <c r="A249" s="1">
        <v>28</v>
      </c>
      <c r="B249" s="1" t="s">
        <v>29</v>
      </c>
      <c r="C249" s="1">
        <v>34.770000000000003</v>
      </c>
      <c r="D249" s="1" t="s">
        <v>30</v>
      </c>
      <c r="E249" s="1" t="s">
        <v>33</v>
      </c>
      <c r="F249" s="2">
        <v>3556.9223000000002</v>
      </c>
    </row>
    <row r="250" spans="1:6" hidden="1">
      <c r="A250" s="1">
        <v>28</v>
      </c>
      <c r="B250" s="1" t="s">
        <v>29</v>
      </c>
      <c r="C250" s="1">
        <v>37.619999999999997</v>
      </c>
      <c r="D250" s="1" t="s">
        <v>30</v>
      </c>
      <c r="E250" s="1" t="s">
        <v>31</v>
      </c>
      <c r="F250" s="2">
        <v>3766.8838000000001</v>
      </c>
    </row>
    <row r="251" spans="1:6" hidden="1">
      <c r="A251" s="1">
        <v>28</v>
      </c>
      <c r="B251" s="1" t="s">
        <v>29</v>
      </c>
      <c r="C251" s="1">
        <v>33.4</v>
      </c>
      <c r="D251" s="1" t="s">
        <v>30</v>
      </c>
      <c r="E251" s="1" t="s">
        <v>32</v>
      </c>
      <c r="F251" s="2">
        <v>3172.018</v>
      </c>
    </row>
    <row r="252" spans="1:6" hidden="1">
      <c r="A252" s="1">
        <v>28</v>
      </c>
      <c r="B252" s="1" t="s">
        <v>29</v>
      </c>
      <c r="C252" s="1">
        <v>33</v>
      </c>
      <c r="D252" s="1" t="s">
        <v>30</v>
      </c>
      <c r="E252" s="1" t="s">
        <v>31</v>
      </c>
      <c r="F252" s="2">
        <v>4349.4620000000004</v>
      </c>
    </row>
    <row r="253" spans="1:6" hidden="1">
      <c r="A253" s="1">
        <v>28</v>
      </c>
      <c r="B253" s="1" t="s">
        <v>29</v>
      </c>
      <c r="C253" s="1">
        <v>33.11</v>
      </c>
      <c r="D253" s="1" t="s">
        <v>30</v>
      </c>
      <c r="E253" s="1" t="s">
        <v>31</v>
      </c>
      <c r="F253" s="2">
        <v>3171.6149</v>
      </c>
    </row>
    <row r="254" spans="1:6" hidden="1">
      <c r="A254" s="1">
        <v>29</v>
      </c>
      <c r="B254" s="1" t="s">
        <v>29</v>
      </c>
      <c r="C254" s="1">
        <v>38.83</v>
      </c>
      <c r="D254" s="1" t="s">
        <v>30</v>
      </c>
      <c r="E254" s="1" t="s">
        <v>31</v>
      </c>
      <c r="F254" s="2">
        <v>5138.2566999999999</v>
      </c>
    </row>
    <row r="255" spans="1:6" hidden="1">
      <c r="A255" s="1">
        <v>29</v>
      </c>
      <c r="B255" s="1" t="s">
        <v>29</v>
      </c>
      <c r="C255" s="1">
        <v>32.11</v>
      </c>
      <c r="D255" s="1" t="s">
        <v>30</v>
      </c>
      <c r="E255" s="1" t="s">
        <v>33</v>
      </c>
      <c r="F255" s="2">
        <v>4922.9159</v>
      </c>
    </row>
    <row r="256" spans="1:6" hidden="1">
      <c r="A256" s="1">
        <v>29</v>
      </c>
      <c r="B256" s="1" t="s">
        <v>29</v>
      </c>
      <c r="C256" s="1">
        <v>35.53</v>
      </c>
      <c r="D256" s="1" t="s">
        <v>30</v>
      </c>
      <c r="E256" s="1" t="s">
        <v>31</v>
      </c>
      <c r="F256" s="2">
        <v>3366.6696999999999</v>
      </c>
    </row>
    <row r="257" spans="1:6" hidden="1">
      <c r="A257" s="1">
        <v>29</v>
      </c>
      <c r="B257" s="1" t="s">
        <v>29</v>
      </c>
      <c r="C257" s="1">
        <v>31.16</v>
      </c>
      <c r="D257" s="1" t="s">
        <v>30</v>
      </c>
      <c r="E257" s="1" t="s">
        <v>34</v>
      </c>
      <c r="F257" s="2">
        <v>3943.5954000000002</v>
      </c>
    </row>
    <row r="258" spans="1:6" hidden="1">
      <c r="A258" s="1">
        <v>30</v>
      </c>
      <c r="B258" s="1" t="s">
        <v>29</v>
      </c>
      <c r="C258" s="1">
        <v>32.4</v>
      </c>
      <c r="D258" s="1" t="s">
        <v>30</v>
      </c>
      <c r="E258" s="1" t="s">
        <v>32</v>
      </c>
      <c r="F258" s="2">
        <v>4149.7359999999999</v>
      </c>
    </row>
    <row r="259" spans="1:6" hidden="1">
      <c r="A259" s="1">
        <v>30</v>
      </c>
      <c r="B259" s="1" t="s">
        <v>29</v>
      </c>
      <c r="C259" s="1">
        <v>30.9</v>
      </c>
      <c r="D259" s="1" t="s">
        <v>30</v>
      </c>
      <c r="E259" s="1" t="s">
        <v>32</v>
      </c>
      <c r="F259" s="2">
        <v>5325.6509999999998</v>
      </c>
    </row>
    <row r="260" spans="1:6" hidden="1">
      <c r="A260" s="1">
        <v>30</v>
      </c>
      <c r="B260" s="1" t="s">
        <v>29</v>
      </c>
      <c r="C260" s="1">
        <v>33.33</v>
      </c>
      <c r="D260" s="1" t="s">
        <v>30</v>
      </c>
      <c r="E260" s="1" t="s">
        <v>31</v>
      </c>
      <c r="F260" s="2">
        <v>4151.0286999999998</v>
      </c>
    </row>
    <row r="261" spans="1:6" hidden="1">
      <c r="A261" s="1">
        <v>30</v>
      </c>
      <c r="B261" s="1" t="s">
        <v>29</v>
      </c>
      <c r="C261" s="1">
        <v>43.12</v>
      </c>
      <c r="D261" s="1" t="s">
        <v>30</v>
      </c>
      <c r="E261" s="1" t="s">
        <v>31</v>
      </c>
      <c r="F261" s="2">
        <v>4753.6368000000002</v>
      </c>
    </row>
    <row r="262" spans="1:6" hidden="1">
      <c r="A262" s="1">
        <v>31</v>
      </c>
      <c r="B262" s="1" t="s">
        <v>29</v>
      </c>
      <c r="C262" s="1">
        <v>36.630000000000003</v>
      </c>
      <c r="D262" s="1" t="s">
        <v>30</v>
      </c>
      <c r="E262" s="1" t="s">
        <v>31</v>
      </c>
      <c r="F262" s="2">
        <v>4949.7587000000003</v>
      </c>
    </row>
    <row r="263" spans="1:6" hidden="1">
      <c r="A263" s="1">
        <v>31</v>
      </c>
      <c r="B263" s="1" t="s">
        <v>29</v>
      </c>
      <c r="C263" s="1">
        <v>32.68</v>
      </c>
      <c r="D263" s="1" t="s">
        <v>30</v>
      </c>
      <c r="E263" s="1" t="s">
        <v>33</v>
      </c>
      <c r="F263" s="2">
        <v>4738.2682000000004</v>
      </c>
    </row>
    <row r="264" spans="1:6" hidden="1">
      <c r="A264" s="1">
        <v>31</v>
      </c>
      <c r="B264" s="1" t="s">
        <v>29</v>
      </c>
      <c r="C264" s="1">
        <v>31.065000000000001</v>
      </c>
      <c r="D264" s="1" t="s">
        <v>30</v>
      </c>
      <c r="E264" s="1" t="s">
        <v>34</v>
      </c>
      <c r="F264" s="2">
        <v>4347.0233500000004</v>
      </c>
    </row>
    <row r="265" spans="1:6" hidden="1">
      <c r="A265" s="1">
        <v>31</v>
      </c>
      <c r="B265" s="1" t="s">
        <v>29</v>
      </c>
      <c r="C265" s="1">
        <v>30.495000000000001</v>
      </c>
      <c r="D265" s="1" t="s">
        <v>30</v>
      </c>
      <c r="E265" s="1" t="s">
        <v>34</v>
      </c>
      <c r="F265" s="2">
        <v>6113.2310500000003</v>
      </c>
    </row>
    <row r="266" spans="1:6" hidden="1">
      <c r="A266" s="1">
        <v>31</v>
      </c>
      <c r="B266" s="1" t="s">
        <v>29</v>
      </c>
      <c r="C266" s="1">
        <v>32.774999999999999</v>
      </c>
      <c r="D266" s="1" t="s">
        <v>30</v>
      </c>
      <c r="E266" s="1" t="s">
        <v>33</v>
      </c>
      <c r="F266" s="2">
        <v>5327.4002499999997</v>
      </c>
    </row>
    <row r="267" spans="1:6" hidden="1">
      <c r="A267" s="1">
        <v>32</v>
      </c>
      <c r="B267" s="1" t="s">
        <v>29</v>
      </c>
      <c r="C267" s="1">
        <v>37.145000000000003</v>
      </c>
      <c r="D267" s="1" t="s">
        <v>30</v>
      </c>
      <c r="E267" s="1" t="s">
        <v>34</v>
      </c>
      <c r="F267" s="2">
        <v>6334.3435499999996</v>
      </c>
    </row>
    <row r="268" spans="1:6" hidden="1">
      <c r="A268" s="1">
        <v>32</v>
      </c>
      <c r="B268" s="1" t="s">
        <v>29</v>
      </c>
      <c r="C268" s="1">
        <v>33.155000000000001</v>
      </c>
      <c r="D268" s="1" t="s">
        <v>30</v>
      </c>
      <c r="E268" s="1" t="s">
        <v>33</v>
      </c>
      <c r="F268" s="2">
        <v>6128.79745</v>
      </c>
    </row>
    <row r="269" spans="1:6" hidden="1">
      <c r="A269" s="1">
        <v>32</v>
      </c>
      <c r="B269" s="1" t="s">
        <v>29</v>
      </c>
      <c r="C269" s="1">
        <v>44.22</v>
      </c>
      <c r="D269" s="1" t="s">
        <v>30</v>
      </c>
      <c r="E269" s="1" t="s">
        <v>31</v>
      </c>
      <c r="F269" s="2">
        <v>3994.1777999999999</v>
      </c>
    </row>
    <row r="270" spans="1:6" hidden="1">
      <c r="A270" s="1">
        <v>32</v>
      </c>
      <c r="B270" s="1" t="s">
        <v>29</v>
      </c>
      <c r="C270" s="1">
        <v>31.54</v>
      </c>
      <c r="D270" s="1" t="s">
        <v>30</v>
      </c>
      <c r="E270" s="1" t="s">
        <v>34</v>
      </c>
      <c r="F270" s="2">
        <v>5148.5526</v>
      </c>
    </row>
    <row r="271" spans="1:6" hidden="1">
      <c r="A271" s="1">
        <v>32</v>
      </c>
      <c r="B271" s="1" t="s">
        <v>29</v>
      </c>
      <c r="C271" s="1">
        <v>41.1</v>
      </c>
      <c r="D271" s="1" t="s">
        <v>30</v>
      </c>
      <c r="E271" s="1" t="s">
        <v>32</v>
      </c>
      <c r="F271" s="2">
        <v>3989.8409999999999</v>
      </c>
    </row>
    <row r="272" spans="1:6" hidden="1">
      <c r="A272" s="1">
        <v>33</v>
      </c>
      <c r="B272" s="1" t="s">
        <v>29</v>
      </c>
      <c r="C272" s="1">
        <v>38.9</v>
      </c>
      <c r="D272" s="1" t="s">
        <v>30</v>
      </c>
      <c r="E272" s="1" t="s">
        <v>32</v>
      </c>
      <c r="F272" s="2">
        <v>5972.3779999999997</v>
      </c>
    </row>
    <row r="273" spans="1:6" hidden="1">
      <c r="A273" s="1">
        <v>33</v>
      </c>
      <c r="B273" s="1" t="s">
        <v>29</v>
      </c>
      <c r="C273" s="1">
        <v>32.9</v>
      </c>
      <c r="D273" s="1" t="s">
        <v>30</v>
      </c>
      <c r="E273" s="1" t="s">
        <v>32</v>
      </c>
      <c r="F273" s="2">
        <v>5375.0379999999996</v>
      </c>
    </row>
    <row r="274" spans="1:6" hidden="1">
      <c r="A274" s="1">
        <v>33</v>
      </c>
      <c r="B274" s="1" t="s">
        <v>29</v>
      </c>
      <c r="C274" s="1">
        <v>42.94</v>
      </c>
      <c r="D274" s="1" t="s">
        <v>30</v>
      </c>
      <c r="E274" s="1" t="s">
        <v>33</v>
      </c>
      <c r="F274" s="2">
        <v>6360.9935999999998</v>
      </c>
    </row>
    <row r="275" spans="1:6" hidden="1">
      <c r="A275" s="1">
        <v>33</v>
      </c>
      <c r="B275" s="1" t="s">
        <v>29</v>
      </c>
      <c r="C275" s="1">
        <v>36.29</v>
      </c>
      <c r="D275" s="1" t="s">
        <v>30</v>
      </c>
      <c r="E275" s="1" t="s">
        <v>34</v>
      </c>
      <c r="F275" s="2">
        <v>6551.7501000000002</v>
      </c>
    </row>
    <row r="276" spans="1:6" hidden="1">
      <c r="A276" s="1">
        <v>33</v>
      </c>
      <c r="B276" s="1" t="s">
        <v>29</v>
      </c>
      <c r="C276" s="1">
        <v>39.82</v>
      </c>
      <c r="D276" s="1" t="s">
        <v>30</v>
      </c>
      <c r="E276" s="1" t="s">
        <v>31</v>
      </c>
      <c r="F276" s="2">
        <v>4795.6567999999997</v>
      </c>
    </row>
    <row r="277" spans="1:6" hidden="1">
      <c r="A277" s="1">
        <v>34</v>
      </c>
      <c r="B277" s="1" t="s">
        <v>29</v>
      </c>
      <c r="C277" s="1">
        <v>37.335000000000001</v>
      </c>
      <c r="D277" s="1" t="s">
        <v>30</v>
      </c>
      <c r="E277" s="1" t="s">
        <v>33</v>
      </c>
      <c r="F277" s="2">
        <v>5989.5236500000001</v>
      </c>
    </row>
    <row r="278" spans="1:6" hidden="1">
      <c r="A278" s="1">
        <v>34</v>
      </c>
      <c r="B278" s="1" t="s">
        <v>29</v>
      </c>
      <c r="C278" s="1">
        <v>33.700000000000003</v>
      </c>
      <c r="D278" s="1" t="s">
        <v>30</v>
      </c>
      <c r="E278" s="1" t="s">
        <v>32</v>
      </c>
      <c r="F278" s="2">
        <v>5012.4709999999995</v>
      </c>
    </row>
    <row r="279" spans="1:6" hidden="1">
      <c r="A279" s="1">
        <v>34</v>
      </c>
      <c r="B279" s="1" t="s">
        <v>29</v>
      </c>
      <c r="C279" s="1">
        <v>38</v>
      </c>
      <c r="D279" s="1" t="s">
        <v>30</v>
      </c>
      <c r="E279" s="1" t="s">
        <v>32</v>
      </c>
      <c r="F279" s="2">
        <v>6196.4480000000003</v>
      </c>
    </row>
    <row r="280" spans="1:6" hidden="1">
      <c r="A280" s="1">
        <v>34</v>
      </c>
      <c r="B280" s="1" t="s">
        <v>29</v>
      </c>
      <c r="C280" s="1">
        <v>33.25</v>
      </c>
      <c r="D280" s="1" t="s">
        <v>30</v>
      </c>
      <c r="E280" s="1" t="s">
        <v>34</v>
      </c>
      <c r="F280" s="2">
        <v>5594.8455000000004</v>
      </c>
    </row>
    <row r="281" spans="1:6" hidden="1">
      <c r="A281" s="1">
        <v>35</v>
      </c>
      <c r="B281" s="1" t="s">
        <v>29</v>
      </c>
      <c r="C281" s="1">
        <v>34.799999999999997</v>
      </c>
      <c r="D281" s="1" t="s">
        <v>30</v>
      </c>
      <c r="E281" s="1" t="s">
        <v>32</v>
      </c>
      <c r="F281" s="2">
        <v>5246.0469999999996</v>
      </c>
    </row>
    <row r="282" spans="1:6" hidden="1">
      <c r="A282" s="1">
        <v>35</v>
      </c>
      <c r="B282" s="1" t="s">
        <v>29</v>
      </c>
      <c r="C282" s="1">
        <v>43.34</v>
      </c>
      <c r="D282" s="1" t="s">
        <v>30</v>
      </c>
      <c r="E282" s="1" t="s">
        <v>31</v>
      </c>
      <c r="F282" s="2">
        <v>5846.9175999999998</v>
      </c>
    </row>
    <row r="283" spans="1:6" hidden="1">
      <c r="A283" s="1">
        <v>35</v>
      </c>
      <c r="B283" s="1" t="s">
        <v>29</v>
      </c>
      <c r="C283" s="1">
        <v>31</v>
      </c>
      <c r="D283" s="1" t="s">
        <v>30</v>
      </c>
      <c r="E283" s="1" t="s">
        <v>32</v>
      </c>
      <c r="F283" s="2">
        <v>5240.7650000000003</v>
      </c>
    </row>
    <row r="284" spans="1:6" hidden="1">
      <c r="A284" s="1">
        <v>35</v>
      </c>
      <c r="B284" s="1" t="s">
        <v>29</v>
      </c>
      <c r="C284" s="1">
        <v>38.094999999999999</v>
      </c>
      <c r="D284" s="1" t="s">
        <v>30</v>
      </c>
      <c r="E284" s="1" t="s">
        <v>34</v>
      </c>
      <c r="F284" s="2">
        <v>24915.046259999999</v>
      </c>
    </row>
    <row r="285" spans="1:6" hidden="1">
      <c r="A285" s="1">
        <v>35</v>
      </c>
      <c r="B285" s="1" t="s">
        <v>29</v>
      </c>
      <c r="C285" s="1">
        <v>34.21</v>
      </c>
      <c r="D285" s="1" t="s">
        <v>30</v>
      </c>
      <c r="E285" s="1" t="s">
        <v>31</v>
      </c>
      <c r="F285" s="2">
        <v>5245.2268999999997</v>
      </c>
    </row>
    <row r="286" spans="1:6" hidden="1">
      <c r="A286" s="1">
        <v>35</v>
      </c>
      <c r="B286" s="1" t="s">
        <v>29</v>
      </c>
      <c r="C286" s="1">
        <v>35.86</v>
      </c>
      <c r="D286" s="1" t="s">
        <v>30</v>
      </c>
      <c r="E286" s="1" t="s">
        <v>31</v>
      </c>
      <c r="F286" s="2">
        <v>5836.5204000000003</v>
      </c>
    </row>
    <row r="287" spans="1:6" hidden="1">
      <c r="A287" s="1">
        <v>35</v>
      </c>
      <c r="B287" s="1" t="s">
        <v>29</v>
      </c>
      <c r="C287" s="1">
        <v>35.814999999999998</v>
      </c>
      <c r="D287" s="1" t="s">
        <v>30</v>
      </c>
      <c r="E287" s="1" t="s">
        <v>33</v>
      </c>
      <c r="F287" s="2">
        <v>5630.4578499999998</v>
      </c>
    </row>
    <row r="288" spans="1:6" hidden="1">
      <c r="A288" s="1">
        <v>36</v>
      </c>
      <c r="B288" s="1" t="s">
        <v>29</v>
      </c>
      <c r="C288" s="1">
        <v>29.92</v>
      </c>
      <c r="D288" s="1" t="s">
        <v>30</v>
      </c>
      <c r="E288" s="1" t="s">
        <v>31</v>
      </c>
      <c r="F288" s="2">
        <v>5478.0367999999999</v>
      </c>
    </row>
    <row r="289" spans="1:6" hidden="1">
      <c r="A289" s="1">
        <v>36</v>
      </c>
      <c r="B289" s="1" t="s">
        <v>29</v>
      </c>
      <c r="C289" s="1">
        <v>30.02</v>
      </c>
      <c r="D289" s="1" t="s">
        <v>30</v>
      </c>
      <c r="E289" s="1" t="s">
        <v>33</v>
      </c>
      <c r="F289" s="2">
        <v>5272.1758</v>
      </c>
    </row>
    <row r="290" spans="1:6" hidden="1">
      <c r="A290" s="1">
        <v>36</v>
      </c>
      <c r="B290" s="1" t="s">
        <v>29</v>
      </c>
      <c r="C290" s="1">
        <v>29.92</v>
      </c>
      <c r="D290" s="1" t="s">
        <v>30</v>
      </c>
      <c r="E290" s="1" t="s">
        <v>31</v>
      </c>
      <c r="F290" s="2">
        <v>4889.0367999999999</v>
      </c>
    </row>
    <row r="291" spans="1:6" hidden="1">
      <c r="A291" s="1">
        <v>37</v>
      </c>
      <c r="B291" s="1" t="s">
        <v>29</v>
      </c>
      <c r="C291" s="1">
        <v>30.8</v>
      </c>
      <c r="D291" s="1" t="s">
        <v>30</v>
      </c>
      <c r="E291" s="1" t="s">
        <v>31</v>
      </c>
      <c r="F291" s="2">
        <v>6313.759</v>
      </c>
    </row>
    <row r="292" spans="1:6" hidden="1">
      <c r="A292" s="1">
        <v>37</v>
      </c>
      <c r="B292" s="1" t="s">
        <v>29</v>
      </c>
      <c r="C292" s="1">
        <v>34.104999999999997</v>
      </c>
      <c r="D292" s="1" t="s">
        <v>30</v>
      </c>
      <c r="E292" s="1" t="s">
        <v>33</v>
      </c>
      <c r="F292" s="2">
        <v>6112.3529500000004</v>
      </c>
    </row>
    <row r="293" spans="1:6" hidden="1">
      <c r="A293" s="1">
        <v>38</v>
      </c>
      <c r="B293" s="1" t="s">
        <v>29</v>
      </c>
      <c r="C293" s="1">
        <v>40.15</v>
      </c>
      <c r="D293" s="1" t="s">
        <v>30</v>
      </c>
      <c r="E293" s="1" t="s">
        <v>31</v>
      </c>
      <c r="F293" s="2">
        <v>5400.9804999999997</v>
      </c>
    </row>
    <row r="294" spans="1:6" hidden="1">
      <c r="A294" s="1">
        <v>38</v>
      </c>
      <c r="B294" s="1" t="s">
        <v>29</v>
      </c>
      <c r="C294" s="1">
        <v>37.729999999999997</v>
      </c>
      <c r="D294" s="1" t="s">
        <v>30</v>
      </c>
      <c r="E294" s="1" t="s">
        <v>31</v>
      </c>
      <c r="F294" s="2">
        <v>5397.6166999999996</v>
      </c>
    </row>
    <row r="295" spans="1:6" hidden="1">
      <c r="A295" s="1">
        <v>38</v>
      </c>
      <c r="B295" s="1" t="s">
        <v>29</v>
      </c>
      <c r="C295" s="1">
        <v>40.564999999999998</v>
      </c>
      <c r="D295" s="1" t="s">
        <v>30</v>
      </c>
      <c r="E295" s="1" t="s">
        <v>33</v>
      </c>
      <c r="F295" s="2">
        <v>6373.55735</v>
      </c>
    </row>
    <row r="296" spans="1:6" hidden="1">
      <c r="A296" s="1">
        <v>38</v>
      </c>
      <c r="B296" s="1" t="s">
        <v>29</v>
      </c>
      <c r="C296" s="1">
        <v>30.69</v>
      </c>
      <c r="D296" s="1" t="s">
        <v>30</v>
      </c>
      <c r="E296" s="1" t="s">
        <v>31</v>
      </c>
      <c r="F296" s="2">
        <v>5976.8311000000003</v>
      </c>
    </row>
    <row r="297" spans="1:6" hidden="1">
      <c r="A297" s="1">
        <v>38</v>
      </c>
      <c r="B297" s="1" t="s">
        <v>29</v>
      </c>
      <c r="C297" s="1">
        <v>34.799999999999997</v>
      </c>
      <c r="D297" s="1" t="s">
        <v>30</v>
      </c>
      <c r="E297" s="1" t="s">
        <v>32</v>
      </c>
      <c r="F297" s="2">
        <v>6571.5439999999999</v>
      </c>
    </row>
    <row r="298" spans="1:6" hidden="1">
      <c r="A298" s="1">
        <v>38</v>
      </c>
      <c r="B298" s="1" t="s">
        <v>29</v>
      </c>
      <c r="C298" s="1">
        <v>30.21</v>
      </c>
      <c r="D298" s="1" t="s">
        <v>30</v>
      </c>
      <c r="E298" s="1" t="s">
        <v>33</v>
      </c>
      <c r="F298" s="2">
        <v>7537.1638999999996</v>
      </c>
    </row>
    <row r="299" spans="1:6" hidden="1">
      <c r="A299" s="1">
        <v>39</v>
      </c>
      <c r="B299" s="1" t="s">
        <v>29</v>
      </c>
      <c r="C299" s="1">
        <v>32.799999999999997</v>
      </c>
      <c r="D299" s="1" t="s">
        <v>30</v>
      </c>
      <c r="E299" s="1" t="s">
        <v>32</v>
      </c>
      <c r="F299" s="2">
        <v>5649.7150000000001</v>
      </c>
    </row>
    <row r="300" spans="1:6" hidden="1">
      <c r="A300" s="1">
        <v>39</v>
      </c>
      <c r="B300" s="1" t="s">
        <v>29</v>
      </c>
      <c r="C300" s="1">
        <v>41.8</v>
      </c>
      <c r="D300" s="1" t="s">
        <v>30</v>
      </c>
      <c r="E300" s="1" t="s">
        <v>31</v>
      </c>
      <c r="F300" s="2">
        <v>5662.2250000000004</v>
      </c>
    </row>
    <row r="301" spans="1:6" hidden="1">
      <c r="A301" s="1">
        <v>39</v>
      </c>
      <c r="B301" s="1" t="s">
        <v>29</v>
      </c>
      <c r="C301" s="1">
        <v>31.92</v>
      </c>
      <c r="D301" s="1" t="s">
        <v>30</v>
      </c>
      <c r="E301" s="1" t="s">
        <v>33</v>
      </c>
      <c r="F301" s="2">
        <v>7209.4917999999998</v>
      </c>
    </row>
    <row r="302" spans="1:6" hidden="1">
      <c r="A302" s="1">
        <v>39</v>
      </c>
      <c r="B302" s="1" t="s">
        <v>29</v>
      </c>
      <c r="C302" s="1">
        <v>32.5</v>
      </c>
      <c r="D302" s="1" t="s">
        <v>30</v>
      </c>
      <c r="E302" s="1" t="s">
        <v>32</v>
      </c>
      <c r="F302" s="2">
        <v>6238.2979999999998</v>
      </c>
    </row>
    <row r="303" spans="1:6" hidden="1">
      <c r="A303" s="1">
        <v>39</v>
      </c>
      <c r="B303" s="1" t="s">
        <v>29</v>
      </c>
      <c r="C303" s="1">
        <v>34.32</v>
      </c>
      <c r="D303" s="1" t="s">
        <v>30</v>
      </c>
      <c r="E303" s="1" t="s">
        <v>31</v>
      </c>
      <c r="F303" s="2">
        <v>8596.8277999999991</v>
      </c>
    </row>
    <row r="304" spans="1:6" hidden="1">
      <c r="A304" s="1">
        <v>39</v>
      </c>
      <c r="B304" s="1" t="s">
        <v>29</v>
      </c>
      <c r="C304" s="1">
        <v>34.1</v>
      </c>
      <c r="D304" s="1" t="s">
        <v>30</v>
      </c>
      <c r="E304" s="1" t="s">
        <v>32</v>
      </c>
      <c r="F304" s="2">
        <v>7418.5219999999999</v>
      </c>
    </row>
    <row r="305" spans="1:6" hidden="1">
      <c r="A305" s="1">
        <v>40</v>
      </c>
      <c r="B305" s="1" t="s">
        <v>29</v>
      </c>
      <c r="C305" s="1">
        <v>36.19</v>
      </c>
      <c r="D305" s="1" t="s">
        <v>30</v>
      </c>
      <c r="E305" s="1" t="s">
        <v>31</v>
      </c>
      <c r="F305" s="2">
        <v>5920.1040999999996</v>
      </c>
    </row>
    <row r="306" spans="1:6" hidden="1">
      <c r="A306" s="1">
        <v>40</v>
      </c>
      <c r="B306" s="1" t="s">
        <v>29</v>
      </c>
      <c r="C306" s="1">
        <v>33</v>
      </c>
      <c r="D306" s="1" t="s">
        <v>30</v>
      </c>
      <c r="E306" s="1" t="s">
        <v>31</v>
      </c>
      <c r="F306" s="2">
        <v>7682.67</v>
      </c>
    </row>
    <row r="307" spans="1:6" hidden="1">
      <c r="A307" s="1">
        <v>40</v>
      </c>
      <c r="B307" s="1" t="s">
        <v>29</v>
      </c>
      <c r="C307" s="1">
        <v>41.42</v>
      </c>
      <c r="D307" s="1" t="s">
        <v>30</v>
      </c>
      <c r="E307" s="1" t="s">
        <v>33</v>
      </c>
      <c r="F307" s="2">
        <v>28476.734990000001</v>
      </c>
    </row>
    <row r="308" spans="1:6" hidden="1">
      <c r="A308" s="1">
        <v>41</v>
      </c>
      <c r="B308" s="1" t="s">
        <v>29</v>
      </c>
      <c r="C308" s="1">
        <v>32.965000000000003</v>
      </c>
      <c r="D308" s="1" t="s">
        <v>30</v>
      </c>
      <c r="E308" s="1" t="s">
        <v>33</v>
      </c>
      <c r="F308" s="2">
        <v>6571.0243499999997</v>
      </c>
    </row>
    <row r="309" spans="1:6" hidden="1">
      <c r="A309" s="1">
        <v>41</v>
      </c>
      <c r="B309" s="1" t="s">
        <v>29</v>
      </c>
      <c r="C309" s="1">
        <v>31.6</v>
      </c>
      <c r="D309" s="1" t="s">
        <v>30</v>
      </c>
      <c r="E309" s="1" t="s">
        <v>32</v>
      </c>
      <c r="F309" s="2">
        <v>6186.1270000000004</v>
      </c>
    </row>
    <row r="310" spans="1:6" hidden="1">
      <c r="A310" s="1">
        <v>41</v>
      </c>
      <c r="B310" s="1" t="s">
        <v>29</v>
      </c>
      <c r="C310" s="1">
        <v>33.155000000000001</v>
      </c>
      <c r="D310" s="1" t="s">
        <v>30</v>
      </c>
      <c r="E310" s="1" t="s">
        <v>34</v>
      </c>
      <c r="F310" s="2">
        <v>8538.28845</v>
      </c>
    </row>
    <row r="311" spans="1:6" hidden="1">
      <c r="A311" s="1">
        <v>41</v>
      </c>
      <c r="B311" s="1" t="s">
        <v>29</v>
      </c>
      <c r="C311" s="1">
        <v>32.200000000000003</v>
      </c>
      <c r="D311" s="1" t="s">
        <v>30</v>
      </c>
      <c r="E311" s="1" t="s">
        <v>32</v>
      </c>
      <c r="F311" s="2">
        <v>6775.9610000000002</v>
      </c>
    </row>
    <row r="312" spans="1:6" hidden="1">
      <c r="A312" s="1">
        <v>41</v>
      </c>
      <c r="B312" s="1" t="s">
        <v>29</v>
      </c>
      <c r="C312" s="1">
        <v>37.1</v>
      </c>
      <c r="D312" s="1" t="s">
        <v>30</v>
      </c>
      <c r="E312" s="1" t="s">
        <v>32</v>
      </c>
      <c r="F312" s="2">
        <v>7371.7719999999999</v>
      </c>
    </row>
    <row r="313" spans="1:6" hidden="1">
      <c r="A313" s="1">
        <v>41</v>
      </c>
      <c r="B313" s="1" t="s">
        <v>29</v>
      </c>
      <c r="C313" s="1">
        <v>31.635000000000002</v>
      </c>
      <c r="D313" s="1" t="s">
        <v>30</v>
      </c>
      <c r="E313" s="1" t="s">
        <v>34</v>
      </c>
      <c r="F313" s="2">
        <v>7358.1756500000001</v>
      </c>
    </row>
    <row r="314" spans="1:6" hidden="1">
      <c r="A314" s="1">
        <v>41</v>
      </c>
      <c r="B314" s="1" t="s">
        <v>29</v>
      </c>
      <c r="C314" s="1">
        <v>33.06</v>
      </c>
      <c r="D314" s="1" t="s">
        <v>30</v>
      </c>
      <c r="E314" s="1" t="s">
        <v>33</v>
      </c>
      <c r="F314" s="2">
        <v>7749.1563999999998</v>
      </c>
    </row>
    <row r="315" spans="1:6" hidden="1">
      <c r="A315" s="1">
        <v>41</v>
      </c>
      <c r="B315" s="1" t="s">
        <v>29</v>
      </c>
      <c r="C315" s="1">
        <v>31.02</v>
      </c>
      <c r="D315" s="1" t="s">
        <v>30</v>
      </c>
      <c r="E315" s="1" t="s">
        <v>31</v>
      </c>
      <c r="F315" s="2">
        <v>6185.3208000000004</v>
      </c>
    </row>
    <row r="316" spans="1:6" hidden="1">
      <c r="A316" s="1">
        <v>41</v>
      </c>
      <c r="B316" s="1" t="s">
        <v>29</v>
      </c>
      <c r="C316" s="1">
        <v>36.08</v>
      </c>
      <c r="D316" s="1" t="s">
        <v>30</v>
      </c>
      <c r="E316" s="1" t="s">
        <v>31</v>
      </c>
      <c r="F316" s="2">
        <v>6781.3541999999998</v>
      </c>
    </row>
    <row r="317" spans="1:6" hidden="1">
      <c r="A317" s="1">
        <v>41</v>
      </c>
      <c r="B317" s="1" t="s">
        <v>29</v>
      </c>
      <c r="C317" s="1">
        <v>32.6</v>
      </c>
      <c r="D317" s="1" t="s">
        <v>30</v>
      </c>
      <c r="E317" s="1" t="s">
        <v>32</v>
      </c>
      <c r="F317" s="2">
        <v>7954.5169999999998</v>
      </c>
    </row>
    <row r="318" spans="1:6" hidden="1">
      <c r="A318" s="1">
        <v>42</v>
      </c>
      <c r="B318" s="1" t="s">
        <v>29</v>
      </c>
      <c r="C318" s="1">
        <v>36.195</v>
      </c>
      <c r="D318" s="1" t="s">
        <v>30</v>
      </c>
      <c r="E318" s="1" t="s">
        <v>33</v>
      </c>
      <c r="F318" s="2">
        <v>7443.6430499999997</v>
      </c>
    </row>
    <row r="319" spans="1:6" hidden="1">
      <c r="A319" s="1">
        <v>42</v>
      </c>
      <c r="B319" s="1" t="s">
        <v>29</v>
      </c>
      <c r="C319" s="1">
        <v>33.155000000000001</v>
      </c>
      <c r="D319" s="1" t="s">
        <v>30</v>
      </c>
      <c r="E319" s="1" t="s">
        <v>34</v>
      </c>
      <c r="F319" s="2">
        <v>7639.4174499999999</v>
      </c>
    </row>
    <row r="320" spans="1:6" hidden="1">
      <c r="A320" s="1">
        <v>42</v>
      </c>
      <c r="B320" s="1" t="s">
        <v>29</v>
      </c>
      <c r="C320" s="1">
        <v>41.325000000000003</v>
      </c>
      <c r="D320" s="1" t="s">
        <v>30</v>
      </c>
      <c r="E320" s="1" t="s">
        <v>34</v>
      </c>
      <c r="F320" s="2">
        <v>7650.7737500000003</v>
      </c>
    </row>
    <row r="321" spans="1:6" hidden="1">
      <c r="A321" s="1">
        <v>42</v>
      </c>
      <c r="B321" s="1" t="s">
        <v>29</v>
      </c>
      <c r="C321" s="1">
        <v>37.9</v>
      </c>
      <c r="D321" s="1" t="s">
        <v>30</v>
      </c>
      <c r="E321" s="1" t="s">
        <v>32</v>
      </c>
      <c r="F321" s="2">
        <v>6474.0129999999999</v>
      </c>
    </row>
    <row r="322" spans="1:6" hidden="1">
      <c r="A322" s="1">
        <v>42</v>
      </c>
      <c r="B322" s="1" t="s">
        <v>29</v>
      </c>
      <c r="C322" s="1">
        <v>32.869999999999997</v>
      </c>
      <c r="D322" s="1" t="s">
        <v>30</v>
      </c>
      <c r="E322" s="1" t="s">
        <v>34</v>
      </c>
      <c r="F322" s="2">
        <v>7050.0213000000003</v>
      </c>
    </row>
    <row r="323" spans="1:6" hidden="1">
      <c r="A323" s="1">
        <v>43</v>
      </c>
      <c r="B323" s="1" t="s">
        <v>29</v>
      </c>
      <c r="C323" s="1">
        <v>35.72</v>
      </c>
      <c r="D323" s="1" t="s">
        <v>30</v>
      </c>
      <c r="E323" s="1" t="s">
        <v>34</v>
      </c>
      <c r="F323" s="2">
        <v>19144.576519999999</v>
      </c>
    </row>
    <row r="324" spans="1:6" hidden="1">
      <c r="A324" s="1">
        <v>43</v>
      </c>
      <c r="B324" s="1" t="s">
        <v>29</v>
      </c>
      <c r="C324" s="1">
        <v>34.4</v>
      </c>
      <c r="D324" s="1" t="s">
        <v>30</v>
      </c>
      <c r="E324" s="1" t="s">
        <v>32</v>
      </c>
      <c r="F324" s="2">
        <v>8522.0030000000006</v>
      </c>
    </row>
    <row r="325" spans="1:6" hidden="1">
      <c r="A325" s="1">
        <v>43</v>
      </c>
      <c r="B325" s="1" t="s">
        <v>29</v>
      </c>
      <c r="C325" s="1">
        <v>35.64</v>
      </c>
      <c r="D325" s="1" t="s">
        <v>30</v>
      </c>
      <c r="E325" s="1" t="s">
        <v>31</v>
      </c>
      <c r="F325" s="2">
        <v>7345.7266</v>
      </c>
    </row>
    <row r="326" spans="1:6" hidden="1">
      <c r="A326" s="1">
        <v>43</v>
      </c>
      <c r="B326" s="1" t="s">
        <v>29</v>
      </c>
      <c r="C326" s="1">
        <v>30.684999999999999</v>
      </c>
      <c r="D326" s="1" t="s">
        <v>30</v>
      </c>
      <c r="E326" s="1" t="s">
        <v>33</v>
      </c>
      <c r="F326" s="2">
        <v>8310.8391499999998</v>
      </c>
    </row>
    <row r="327" spans="1:6" hidden="1">
      <c r="A327" s="1">
        <v>43</v>
      </c>
      <c r="B327" s="1" t="s">
        <v>29</v>
      </c>
      <c r="C327" s="1">
        <v>34.58</v>
      </c>
      <c r="D327" s="1" t="s">
        <v>30</v>
      </c>
      <c r="E327" s="1" t="s">
        <v>33</v>
      </c>
      <c r="F327" s="2">
        <v>7727.2532000000001</v>
      </c>
    </row>
    <row r="328" spans="1:6" hidden="1">
      <c r="A328" s="1">
        <v>44</v>
      </c>
      <c r="B328" s="1" t="s">
        <v>29</v>
      </c>
      <c r="C328" s="1">
        <v>36.479999999999997</v>
      </c>
      <c r="D328" s="1" t="s">
        <v>30</v>
      </c>
      <c r="E328" s="1" t="s">
        <v>34</v>
      </c>
      <c r="F328" s="2">
        <v>12797.20962</v>
      </c>
    </row>
    <row r="329" spans="1:6" hidden="1">
      <c r="A329" s="1">
        <v>44</v>
      </c>
      <c r="B329" s="1" t="s">
        <v>29</v>
      </c>
      <c r="C329" s="1">
        <v>32.340000000000003</v>
      </c>
      <c r="D329" s="1" t="s">
        <v>30</v>
      </c>
      <c r="E329" s="1" t="s">
        <v>31</v>
      </c>
      <c r="F329" s="2">
        <v>7633.7205999999996</v>
      </c>
    </row>
    <row r="330" spans="1:6" hidden="1">
      <c r="A330" s="1">
        <v>44</v>
      </c>
      <c r="B330" s="1" t="s">
        <v>29</v>
      </c>
      <c r="C330" s="1">
        <v>36.954999999999998</v>
      </c>
      <c r="D330" s="1" t="s">
        <v>30</v>
      </c>
      <c r="E330" s="1" t="s">
        <v>33</v>
      </c>
      <c r="F330" s="2">
        <v>8023.1354499999998</v>
      </c>
    </row>
    <row r="331" spans="1:6" hidden="1">
      <c r="A331" s="1">
        <v>45</v>
      </c>
      <c r="B331" s="1" t="s">
        <v>29</v>
      </c>
      <c r="C331" s="1">
        <v>38.284999999999997</v>
      </c>
      <c r="D331" s="1" t="s">
        <v>30</v>
      </c>
      <c r="E331" s="1" t="s">
        <v>34</v>
      </c>
      <c r="F331" s="2">
        <v>7935.29115</v>
      </c>
    </row>
    <row r="332" spans="1:6" hidden="1">
      <c r="A332" s="1">
        <v>45</v>
      </c>
      <c r="B332" s="1" t="s">
        <v>29</v>
      </c>
      <c r="C332" s="1">
        <v>30.9</v>
      </c>
      <c r="D332" s="1" t="s">
        <v>30</v>
      </c>
      <c r="E332" s="1" t="s">
        <v>32</v>
      </c>
      <c r="F332" s="2">
        <v>8520.0259999999998</v>
      </c>
    </row>
    <row r="333" spans="1:6" hidden="1">
      <c r="A333" s="1">
        <v>45</v>
      </c>
      <c r="B333" s="1" t="s">
        <v>29</v>
      </c>
      <c r="C333" s="1">
        <v>33.1</v>
      </c>
      <c r="D333" s="1" t="s">
        <v>30</v>
      </c>
      <c r="E333" s="1" t="s">
        <v>32</v>
      </c>
      <c r="F333" s="2">
        <v>7345.0839999999998</v>
      </c>
    </row>
    <row r="334" spans="1:6" hidden="1">
      <c r="A334" s="1">
        <v>45</v>
      </c>
      <c r="B334" s="1" t="s">
        <v>29</v>
      </c>
      <c r="C334" s="1">
        <v>36.299999999999997</v>
      </c>
      <c r="D334" s="1" t="s">
        <v>30</v>
      </c>
      <c r="E334" s="1" t="s">
        <v>31</v>
      </c>
      <c r="F334" s="2">
        <v>8527.5319999999992</v>
      </c>
    </row>
    <row r="335" spans="1:6" hidden="1">
      <c r="A335" s="1">
        <v>45</v>
      </c>
      <c r="B335" s="1" t="s">
        <v>29</v>
      </c>
      <c r="C335" s="1">
        <v>35.814999999999998</v>
      </c>
      <c r="D335" s="1" t="s">
        <v>30</v>
      </c>
      <c r="E335" s="1" t="s">
        <v>33</v>
      </c>
      <c r="F335" s="2">
        <v>7731.8578500000003</v>
      </c>
    </row>
    <row r="336" spans="1:6" hidden="1">
      <c r="A336" s="1">
        <v>45</v>
      </c>
      <c r="B336" s="1" t="s">
        <v>29</v>
      </c>
      <c r="C336" s="1">
        <v>35.299999999999997</v>
      </c>
      <c r="D336" s="1" t="s">
        <v>30</v>
      </c>
      <c r="E336" s="1" t="s">
        <v>32</v>
      </c>
      <c r="F336" s="2">
        <v>7348.1419999999998</v>
      </c>
    </row>
    <row r="337" spans="1:6" hidden="1">
      <c r="A337" s="1">
        <v>45</v>
      </c>
      <c r="B337" s="1" t="s">
        <v>29</v>
      </c>
      <c r="C337" s="1">
        <v>39.994999999999997</v>
      </c>
      <c r="D337" s="1" t="s">
        <v>30</v>
      </c>
      <c r="E337" s="1" t="s">
        <v>34</v>
      </c>
      <c r="F337" s="2">
        <v>9704.6680500000002</v>
      </c>
    </row>
    <row r="338" spans="1:6" hidden="1">
      <c r="A338" s="1">
        <v>45</v>
      </c>
      <c r="B338" s="1" t="s">
        <v>29</v>
      </c>
      <c r="C338" s="1">
        <v>31.79</v>
      </c>
      <c r="D338" s="1" t="s">
        <v>30</v>
      </c>
      <c r="E338" s="1" t="s">
        <v>31</v>
      </c>
      <c r="F338" s="2">
        <v>17929.303370000001</v>
      </c>
    </row>
    <row r="339" spans="1:6" hidden="1">
      <c r="A339" s="1">
        <v>46</v>
      </c>
      <c r="B339" s="1" t="s">
        <v>29</v>
      </c>
      <c r="C339" s="1">
        <v>33.44</v>
      </c>
      <c r="D339" s="1" t="s">
        <v>30</v>
      </c>
      <c r="E339" s="1" t="s">
        <v>31</v>
      </c>
      <c r="F339" s="2">
        <v>8240.5895999999993</v>
      </c>
    </row>
    <row r="340" spans="1:6" hidden="1">
      <c r="A340" s="1">
        <v>46</v>
      </c>
      <c r="B340" s="1" t="s">
        <v>29</v>
      </c>
      <c r="C340" s="1">
        <v>48.07</v>
      </c>
      <c r="D340" s="1" t="s">
        <v>30</v>
      </c>
      <c r="E340" s="1" t="s">
        <v>34</v>
      </c>
      <c r="F340" s="2">
        <v>9432.9253000000008</v>
      </c>
    </row>
    <row r="341" spans="1:6" hidden="1">
      <c r="A341" s="1">
        <v>46</v>
      </c>
      <c r="B341" s="1" t="s">
        <v>29</v>
      </c>
      <c r="C341" s="1">
        <v>32.299999999999997</v>
      </c>
      <c r="D341" s="1" t="s">
        <v>30</v>
      </c>
      <c r="E341" s="1" t="s">
        <v>34</v>
      </c>
      <c r="F341" s="2">
        <v>9411.0049999999992</v>
      </c>
    </row>
    <row r="342" spans="1:6" hidden="1">
      <c r="A342" s="1">
        <v>46</v>
      </c>
      <c r="B342" s="1" t="s">
        <v>29</v>
      </c>
      <c r="C342" s="1">
        <v>30.2</v>
      </c>
      <c r="D342" s="1" t="s">
        <v>30</v>
      </c>
      <c r="E342" s="1" t="s">
        <v>32</v>
      </c>
      <c r="F342" s="2">
        <v>8825.0859999999993</v>
      </c>
    </row>
    <row r="343" spans="1:6" hidden="1">
      <c r="A343" s="1">
        <v>46</v>
      </c>
      <c r="B343" s="1" t="s">
        <v>29</v>
      </c>
      <c r="C343" s="1">
        <v>33.725000000000001</v>
      </c>
      <c r="D343" s="1" t="s">
        <v>30</v>
      </c>
      <c r="E343" s="1" t="s">
        <v>34</v>
      </c>
      <c r="F343" s="2">
        <v>8823.9857499999998</v>
      </c>
    </row>
    <row r="344" spans="1:6" hidden="1">
      <c r="A344" s="1">
        <v>46</v>
      </c>
      <c r="B344" s="1" t="s">
        <v>29</v>
      </c>
      <c r="C344" s="1">
        <v>30.8</v>
      </c>
      <c r="D344" s="1" t="s">
        <v>30</v>
      </c>
      <c r="E344" s="1" t="s">
        <v>32</v>
      </c>
      <c r="F344" s="2">
        <v>9414.92</v>
      </c>
    </row>
    <row r="345" spans="1:6" hidden="1">
      <c r="A345" s="1">
        <v>47</v>
      </c>
      <c r="B345" s="1" t="s">
        <v>29</v>
      </c>
      <c r="C345" s="1">
        <v>33.914999999999999</v>
      </c>
      <c r="D345" s="1" t="s">
        <v>30</v>
      </c>
      <c r="E345" s="1" t="s">
        <v>33</v>
      </c>
      <c r="F345" s="2">
        <v>10115.00885</v>
      </c>
    </row>
    <row r="346" spans="1:6" hidden="1">
      <c r="A346" s="1">
        <v>47</v>
      </c>
      <c r="B346" s="1" t="s">
        <v>29</v>
      </c>
      <c r="C346" s="1">
        <v>33.344999999999999</v>
      </c>
      <c r="D346" s="1" t="s">
        <v>30</v>
      </c>
      <c r="E346" s="1" t="s">
        <v>34</v>
      </c>
      <c r="F346" s="2">
        <v>20878.78443</v>
      </c>
    </row>
    <row r="347" spans="1:6" hidden="1">
      <c r="A347" s="1">
        <v>47</v>
      </c>
      <c r="B347" s="1" t="s">
        <v>29</v>
      </c>
      <c r="C347" s="1">
        <v>36</v>
      </c>
      <c r="D347" s="1" t="s">
        <v>30</v>
      </c>
      <c r="E347" s="1" t="s">
        <v>32</v>
      </c>
      <c r="F347" s="2">
        <v>8556.9069999999992</v>
      </c>
    </row>
    <row r="348" spans="1:6" hidden="1">
      <c r="A348" s="1">
        <v>47</v>
      </c>
      <c r="B348" s="1" t="s">
        <v>29</v>
      </c>
      <c r="C348" s="1">
        <v>45.32</v>
      </c>
      <c r="D348" s="1" t="s">
        <v>30</v>
      </c>
      <c r="E348" s="1" t="s">
        <v>31</v>
      </c>
      <c r="F348" s="2">
        <v>8569.8618000000006</v>
      </c>
    </row>
    <row r="349" spans="1:6" hidden="1">
      <c r="A349" s="1">
        <v>47</v>
      </c>
      <c r="B349" s="1" t="s">
        <v>29</v>
      </c>
      <c r="C349" s="1">
        <v>32</v>
      </c>
      <c r="D349" s="1" t="s">
        <v>30</v>
      </c>
      <c r="E349" s="1" t="s">
        <v>32</v>
      </c>
      <c r="F349" s="2">
        <v>8551.3469999999998</v>
      </c>
    </row>
    <row r="350" spans="1:6" hidden="1">
      <c r="A350" s="1">
        <v>48</v>
      </c>
      <c r="B350" s="1" t="s">
        <v>29</v>
      </c>
      <c r="C350" s="1">
        <v>41.23</v>
      </c>
      <c r="D350" s="1" t="s">
        <v>30</v>
      </c>
      <c r="E350" s="1" t="s">
        <v>33</v>
      </c>
      <c r="F350" s="2">
        <v>11033.661700000001</v>
      </c>
    </row>
    <row r="351" spans="1:6" hidden="1">
      <c r="A351" s="1">
        <v>48</v>
      </c>
      <c r="B351" s="1" t="s">
        <v>29</v>
      </c>
      <c r="C351" s="1">
        <v>32.229999999999997</v>
      </c>
      <c r="D351" s="1" t="s">
        <v>30</v>
      </c>
      <c r="E351" s="1" t="s">
        <v>31</v>
      </c>
      <c r="F351" s="2">
        <v>8871.1517000000003</v>
      </c>
    </row>
    <row r="352" spans="1:6" hidden="1">
      <c r="A352" s="1">
        <v>48</v>
      </c>
      <c r="B352" s="1" t="s">
        <v>29</v>
      </c>
      <c r="C352" s="1">
        <v>32.299999999999997</v>
      </c>
      <c r="D352" s="1" t="s">
        <v>30</v>
      </c>
      <c r="E352" s="1" t="s">
        <v>34</v>
      </c>
      <c r="F352" s="2">
        <v>10043.249</v>
      </c>
    </row>
    <row r="353" spans="1:6" hidden="1">
      <c r="A353" s="1">
        <v>48</v>
      </c>
      <c r="B353" s="1" t="s">
        <v>29</v>
      </c>
      <c r="C353" s="1">
        <v>31.13</v>
      </c>
      <c r="D353" s="1" t="s">
        <v>30</v>
      </c>
      <c r="E353" s="1" t="s">
        <v>31</v>
      </c>
      <c r="F353" s="2">
        <v>8280.6226999999999</v>
      </c>
    </row>
    <row r="354" spans="1:6" hidden="1">
      <c r="A354" s="1">
        <v>48</v>
      </c>
      <c r="B354" s="1" t="s">
        <v>29</v>
      </c>
      <c r="C354" s="1">
        <v>35.909999999999997</v>
      </c>
      <c r="D354" s="1" t="s">
        <v>30</v>
      </c>
      <c r="E354" s="1" t="s">
        <v>34</v>
      </c>
      <c r="F354" s="2">
        <v>26392.260289999998</v>
      </c>
    </row>
    <row r="355" spans="1:6" hidden="1">
      <c r="A355" s="1">
        <v>48</v>
      </c>
      <c r="B355" s="1" t="s">
        <v>29</v>
      </c>
      <c r="C355" s="1">
        <v>36.575000000000003</v>
      </c>
      <c r="D355" s="1" t="s">
        <v>30</v>
      </c>
      <c r="E355" s="1" t="s">
        <v>33</v>
      </c>
      <c r="F355" s="2">
        <v>8671.1912499999999</v>
      </c>
    </row>
    <row r="356" spans="1:6" hidden="1">
      <c r="A356" s="1">
        <v>48</v>
      </c>
      <c r="B356" s="1" t="s">
        <v>29</v>
      </c>
      <c r="C356" s="1">
        <v>33.33</v>
      </c>
      <c r="D356" s="1" t="s">
        <v>30</v>
      </c>
      <c r="E356" s="1" t="s">
        <v>31</v>
      </c>
      <c r="F356" s="2">
        <v>8283.6807000000008</v>
      </c>
    </row>
    <row r="357" spans="1:6" hidden="1">
      <c r="A357" s="1">
        <v>49</v>
      </c>
      <c r="B357" s="1" t="s">
        <v>29</v>
      </c>
      <c r="C357" s="1">
        <v>41.47</v>
      </c>
      <c r="D357" s="1" t="s">
        <v>30</v>
      </c>
      <c r="E357" s="1" t="s">
        <v>31</v>
      </c>
      <c r="F357" s="2">
        <v>10977.2063</v>
      </c>
    </row>
    <row r="358" spans="1:6" hidden="1">
      <c r="A358" s="1">
        <v>49</v>
      </c>
      <c r="B358" s="1" t="s">
        <v>29</v>
      </c>
      <c r="C358" s="1">
        <v>30.78</v>
      </c>
      <c r="D358" s="1" t="s">
        <v>30</v>
      </c>
      <c r="E358" s="1" t="s">
        <v>34</v>
      </c>
      <c r="F358" s="2">
        <v>9778.3472000000002</v>
      </c>
    </row>
    <row r="359" spans="1:6" hidden="1">
      <c r="A359" s="1">
        <v>49</v>
      </c>
      <c r="B359" s="1" t="s">
        <v>29</v>
      </c>
      <c r="C359" s="1">
        <v>36.630000000000003</v>
      </c>
      <c r="D359" s="1" t="s">
        <v>30</v>
      </c>
      <c r="E359" s="1" t="s">
        <v>31</v>
      </c>
      <c r="F359" s="2">
        <v>10381.4787</v>
      </c>
    </row>
    <row r="360" spans="1:6" hidden="1">
      <c r="A360" s="1">
        <v>49</v>
      </c>
      <c r="B360" s="1" t="s">
        <v>29</v>
      </c>
      <c r="C360" s="1">
        <v>31.9</v>
      </c>
      <c r="D360" s="1" t="s">
        <v>30</v>
      </c>
      <c r="E360" s="1" t="s">
        <v>32</v>
      </c>
      <c r="F360" s="2">
        <v>11552.904</v>
      </c>
    </row>
    <row r="361" spans="1:6" hidden="1">
      <c r="A361" s="1">
        <v>49</v>
      </c>
      <c r="B361" s="1" t="s">
        <v>29</v>
      </c>
      <c r="C361" s="1">
        <v>42.68</v>
      </c>
      <c r="D361" s="1" t="s">
        <v>30</v>
      </c>
      <c r="E361" s="1" t="s">
        <v>31</v>
      </c>
      <c r="F361" s="2">
        <v>9800.8881999999994</v>
      </c>
    </row>
    <row r="362" spans="1:6" hidden="1">
      <c r="A362" s="1">
        <v>49</v>
      </c>
      <c r="B362" s="1" t="s">
        <v>29</v>
      </c>
      <c r="C362" s="1">
        <v>34.770000000000003</v>
      </c>
      <c r="D362" s="1" t="s">
        <v>30</v>
      </c>
      <c r="E362" s="1" t="s">
        <v>33</v>
      </c>
      <c r="F362" s="2">
        <v>9583.8932999999997</v>
      </c>
    </row>
    <row r="363" spans="1:6" hidden="1">
      <c r="A363" s="1">
        <v>49</v>
      </c>
      <c r="B363" s="1" t="s">
        <v>29</v>
      </c>
      <c r="C363" s="1">
        <v>29.925000000000001</v>
      </c>
      <c r="D363" s="1" t="s">
        <v>30</v>
      </c>
      <c r="E363" s="1" t="s">
        <v>33</v>
      </c>
      <c r="F363" s="2">
        <v>8988.1587500000005</v>
      </c>
    </row>
    <row r="364" spans="1:6" hidden="1">
      <c r="A364" s="1">
        <v>49</v>
      </c>
      <c r="B364" s="1" t="s">
        <v>29</v>
      </c>
      <c r="C364" s="1">
        <v>33.344999999999999</v>
      </c>
      <c r="D364" s="1" t="s">
        <v>30</v>
      </c>
      <c r="E364" s="1" t="s">
        <v>34</v>
      </c>
      <c r="F364" s="2">
        <v>10370.912549999999</v>
      </c>
    </row>
    <row r="365" spans="1:6" hidden="1">
      <c r="A365" s="1">
        <v>50</v>
      </c>
      <c r="B365" s="1" t="s">
        <v>29</v>
      </c>
      <c r="C365" s="1">
        <v>44.744999999999997</v>
      </c>
      <c r="D365" s="1" t="s">
        <v>30</v>
      </c>
      <c r="E365" s="1" t="s">
        <v>34</v>
      </c>
      <c r="F365" s="2">
        <v>9541.6955500000004</v>
      </c>
    </row>
    <row r="366" spans="1:6" hidden="1">
      <c r="A366" s="1">
        <v>50</v>
      </c>
      <c r="B366" s="1" t="s">
        <v>29</v>
      </c>
      <c r="C366" s="1">
        <v>30.114999999999998</v>
      </c>
      <c r="D366" s="1" t="s">
        <v>30</v>
      </c>
      <c r="E366" s="1" t="s">
        <v>33</v>
      </c>
      <c r="F366" s="2">
        <v>9910.3598500000007</v>
      </c>
    </row>
    <row r="367" spans="1:6" hidden="1">
      <c r="A367" s="1">
        <v>50</v>
      </c>
      <c r="B367" s="1" t="s">
        <v>29</v>
      </c>
      <c r="C367" s="1">
        <v>46.09</v>
      </c>
      <c r="D367" s="1" t="s">
        <v>30</v>
      </c>
      <c r="E367" s="1" t="s">
        <v>31</v>
      </c>
      <c r="F367" s="2">
        <v>9549.5650999999998</v>
      </c>
    </row>
    <row r="368" spans="1:6" hidden="1">
      <c r="A368" s="1">
        <v>50</v>
      </c>
      <c r="B368" s="1" t="s">
        <v>29</v>
      </c>
      <c r="C368" s="1">
        <v>31.6</v>
      </c>
      <c r="D368" s="1" t="s">
        <v>30</v>
      </c>
      <c r="E368" s="1" t="s">
        <v>32</v>
      </c>
      <c r="F368" s="2">
        <v>10118.424000000001</v>
      </c>
    </row>
    <row r="369" spans="1:6" hidden="1">
      <c r="A369" s="1">
        <v>50</v>
      </c>
      <c r="B369" s="1" t="s">
        <v>29</v>
      </c>
      <c r="C369" s="1">
        <v>33.700000000000003</v>
      </c>
      <c r="D369" s="1" t="s">
        <v>30</v>
      </c>
      <c r="E369" s="1" t="s">
        <v>32</v>
      </c>
      <c r="F369" s="2">
        <v>11299.343000000001</v>
      </c>
    </row>
    <row r="370" spans="1:6" hidden="1">
      <c r="A370" s="1">
        <v>51</v>
      </c>
      <c r="B370" s="1" t="s">
        <v>29</v>
      </c>
      <c r="C370" s="1">
        <v>37.729999999999997</v>
      </c>
      <c r="D370" s="1" t="s">
        <v>30</v>
      </c>
      <c r="E370" s="1" t="s">
        <v>31</v>
      </c>
      <c r="F370" s="2">
        <v>9877.6077000000005</v>
      </c>
    </row>
    <row r="371" spans="1:6" hidden="1">
      <c r="A371" s="1">
        <v>51</v>
      </c>
      <c r="B371" s="1" t="s">
        <v>29</v>
      </c>
      <c r="C371" s="1">
        <v>39.5</v>
      </c>
      <c r="D371" s="1" t="s">
        <v>30</v>
      </c>
      <c r="E371" s="1" t="s">
        <v>32</v>
      </c>
      <c r="F371" s="2">
        <v>9880.0679999999993</v>
      </c>
    </row>
    <row r="372" spans="1:6" hidden="1">
      <c r="A372" s="1">
        <v>51</v>
      </c>
      <c r="B372" s="1" t="s">
        <v>29</v>
      </c>
      <c r="C372" s="1">
        <v>33.914999999999999</v>
      </c>
      <c r="D372" s="1" t="s">
        <v>30</v>
      </c>
      <c r="E372" s="1" t="s">
        <v>34</v>
      </c>
      <c r="F372" s="2">
        <v>9866.3048500000004</v>
      </c>
    </row>
    <row r="373" spans="1:6" hidden="1">
      <c r="A373" s="1">
        <v>51</v>
      </c>
      <c r="B373" s="1" t="s">
        <v>29</v>
      </c>
      <c r="C373" s="1">
        <v>34.1</v>
      </c>
      <c r="D373" s="1" t="s">
        <v>30</v>
      </c>
      <c r="E373" s="1" t="s">
        <v>31</v>
      </c>
      <c r="F373" s="2">
        <v>9283.5619999999999</v>
      </c>
    </row>
    <row r="374" spans="1:6" hidden="1">
      <c r="A374" s="1">
        <v>51</v>
      </c>
      <c r="B374" s="1" t="s">
        <v>29</v>
      </c>
      <c r="C374" s="1">
        <v>36.67</v>
      </c>
      <c r="D374" s="1" t="s">
        <v>30</v>
      </c>
      <c r="E374" s="1" t="s">
        <v>33</v>
      </c>
      <c r="F374" s="2">
        <v>10848.1343</v>
      </c>
    </row>
    <row r="375" spans="1:6" hidden="1">
      <c r="A375" s="1">
        <v>51</v>
      </c>
      <c r="B375" s="1" t="s">
        <v>29</v>
      </c>
      <c r="C375" s="1">
        <v>40.659999999999997</v>
      </c>
      <c r="D375" s="1" t="s">
        <v>30</v>
      </c>
      <c r="E375" s="1" t="s">
        <v>34</v>
      </c>
      <c r="F375" s="2">
        <v>9875.6803999999993</v>
      </c>
    </row>
    <row r="376" spans="1:6" hidden="1">
      <c r="A376" s="1">
        <v>51</v>
      </c>
      <c r="B376" s="1" t="s">
        <v>29</v>
      </c>
      <c r="C376" s="1">
        <v>34.200000000000003</v>
      </c>
      <c r="D376" s="1" t="s">
        <v>30</v>
      </c>
      <c r="E376" s="1" t="s">
        <v>32</v>
      </c>
      <c r="F376" s="2">
        <v>9872.7009999999991</v>
      </c>
    </row>
    <row r="377" spans="1:6" hidden="1">
      <c r="A377" s="1">
        <v>51</v>
      </c>
      <c r="B377" s="1" t="s">
        <v>29</v>
      </c>
      <c r="C377" s="1">
        <v>36.384999999999998</v>
      </c>
      <c r="D377" s="1" t="s">
        <v>30</v>
      </c>
      <c r="E377" s="1" t="s">
        <v>33</v>
      </c>
      <c r="F377" s="2">
        <v>11436.738149999999</v>
      </c>
    </row>
    <row r="378" spans="1:6" hidden="1">
      <c r="A378" s="1">
        <v>52</v>
      </c>
      <c r="B378" s="1" t="s">
        <v>29</v>
      </c>
      <c r="C378" s="1">
        <v>30.78</v>
      </c>
      <c r="D378" s="1" t="s">
        <v>30</v>
      </c>
      <c r="E378" s="1" t="s">
        <v>34</v>
      </c>
      <c r="F378" s="2">
        <v>10797.3362</v>
      </c>
    </row>
    <row r="379" spans="1:6" hidden="1">
      <c r="A379" s="1">
        <v>52</v>
      </c>
      <c r="B379" s="1" t="s">
        <v>29</v>
      </c>
      <c r="C379" s="1">
        <v>37.4</v>
      </c>
      <c r="D379" s="1" t="s">
        <v>30</v>
      </c>
      <c r="E379" s="1" t="s">
        <v>32</v>
      </c>
      <c r="F379" s="2">
        <v>9634.5380000000005</v>
      </c>
    </row>
    <row r="380" spans="1:6" hidden="1">
      <c r="A380" s="1">
        <v>52</v>
      </c>
      <c r="B380" s="1" t="s">
        <v>29</v>
      </c>
      <c r="C380" s="1">
        <v>31.2</v>
      </c>
      <c r="D380" s="1" t="s">
        <v>30</v>
      </c>
      <c r="E380" s="1" t="s">
        <v>32</v>
      </c>
      <c r="F380" s="2">
        <v>9625.92</v>
      </c>
    </row>
    <row r="381" spans="1:6" hidden="1">
      <c r="A381" s="1">
        <v>52</v>
      </c>
      <c r="B381" s="1" t="s">
        <v>29</v>
      </c>
      <c r="C381" s="1">
        <v>38.380000000000003</v>
      </c>
      <c r="D381" s="1" t="s">
        <v>30</v>
      </c>
      <c r="E381" s="1" t="s">
        <v>34</v>
      </c>
      <c r="F381" s="2">
        <v>11396.9002</v>
      </c>
    </row>
    <row r="382" spans="1:6" hidden="1">
      <c r="A382" s="1">
        <v>52</v>
      </c>
      <c r="B382" s="1" t="s">
        <v>29</v>
      </c>
      <c r="C382" s="1">
        <v>46.75</v>
      </c>
      <c r="D382" s="1" t="s">
        <v>30</v>
      </c>
      <c r="E382" s="1" t="s">
        <v>31</v>
      </c>
      <c r="F382" s="2">
        <v>12592.5345</v>
      </c>
    </row>
    <row r="383" spans="1:6" hidden="1">
      <c r="A383" s="1">
        <v>52</v>
      </c>
      <c r="B383" s="1" t="s">
        <v>29</v>
      </c>
      <c r="C383" s="1">
        <v>31.73</v>
      </c>
      <c r="D383" s="1" t="s">
        <v>30</v>
      </c>
      <c r="E383" s="1" t="s">
        <v>33</v>
      </c>
      <c r="F383" s="2">
        <v>11187.6567</v>
      </c>
    </row>
    <row r="384" spans="1:6" hidden="1">
      <c r="A384" s="1">
        <v>52</v>
      </c>
      <c r="B384" s="1" t="s">
        <v>29</v>
      </c>
      <c r="C384" s="1">
        <v>37.524999999999999</v>
      </c>
      <c r="D384" s="1" t="s">
        <v>30</v>
      </c>
      <c r="E384" s="1" t="s">
        <v>33</v>
      </c>
      <c r="F384" s="2">
        <v>33471.971890000001</v>
      </c>
    </row>
    <row r="385" spans="1:6" hidden="1">
      <c r="A385" s="1">
        <v>52</v>
      </c>
      <c r="B385" s="1" t="s">
        <v>29</v>
      </c>
      <c r="C385" s="1">
        <v>30.875</v>
      </c>
      <c r="D385" s="1" t="s">
        <v>30</v>
      </c>
      <c r="E385" s="1" t="s">
        <v>34</v>
      </c>
      <c r="F385" s="2">
        <v>23045.566159999998</v>
      </c>
    </row>
    <row r="386" spans="1:6" hidden="1">
      <c r="A386" s="1">
        <v>52</v>
      </c>
      <c r="B386" s="1" t="s">
        <v>29</v>
      </c>
      <c r="C386" s="1">
        <v>33.299999999999997</v>
      </c>
      <c r="D386" s="1" t="s">
        <v>30</v>
      </c>
      <c r="E386" s="1" t="s">
        <v>32</v>
      </c>
      <c r="F386" s="2">
        <v>10806.839</v>
      </c>
    </row>
    <row r="387" spans="1:6" hidden="1">
      <c r="A387" s="1">
        <v>52</v>
      </c>
      <c r="B387" s="1" t="s">
        <v>29</v>
      </c>
      <c r="C387" s="1">
        <v>44.7</v>
      </c>
      <c r="D387" s="1" t="s">
        <v>30</v>
      </c>
      <c r="E387" s="1" t="s">
        <v>32</v>
      </c>
      <c r="F387" s="2">
        <v>11411.684999999999</v>
      </c>
    </row>
    <row r="388" spans="1:6" hidden="1">
      <c r="A388" s="1">
        <v>53</v>
      </c>
      <c r="B388" s="1" t="s">
        <v>29</v>
      </c>
      <c r="C388" s="1">
        <v>35.9</v>
      </c>
      <c r="D388" s="1" t="s">
        <v>30</v>
      </c>
      <c r="E388" s="1" t="s">
        <v>32</v>
      </c>
      <c r="F388" s="2">
        <v>11163.567999999999</v>
      </c>
    </row>
    <row r="389" spans="1:6" hidden="1">
      <c r="A389" s="1">
        <v>53</v>
      </c>
      <c r="B389" s="1" t="s">
        <v>29</v>
      </c>
      <c r="C389" s="1">
        <v>37.43</v>
      </c>
      <c r="D389" s="1" t="s">
        <v>30</v>
      </c>
      <c r="E389" s="1" t="s">
        <v>33</v>
      </c>
      <c r="F389" s="2">
        <v>10959.6947</v>
      </c>
    </row>
    <row r="390" spans="1:6" hidden="1">
      <c r="A390" s="1">
        <v>53</v>
      </c>
      <c r="B390" s="1" t="s">
        <v>29</v>
      </c>
      <c r="C390" s="1">
        <v>33.25</v>
      </c>
      <c r="D390" s="1" t="s">
        <v>30</v>
      </c>
      <c r="E390" s="1" t="s">
        <v>34</v>
      </c>
      <c r="F390" s="2">
        <v>10564.8845</v>
      </c>
    </row>
    <row r="391" spans="1:6" hidden="1">
      <c r="A391" s="1">
        <v>53</v>
      </c>
      <c r="B391" s="1" t="s">
        <v>29</v>
      </c>
      <c r="C391" s="1">
        <v>38.06</v>
      </c>
      <c r="D391" s="1" t="s">
        <v>30</v>
      </c>
      <c r="E391" s="1" t="s">
        <v>31</v>
      </c>
      <c r="F391" s="2">
        <v>20462.997660000001</v>
      </c>
    </row>
    <row r="392" spans="1:6" hidden="1">
      <c r="A392" s="1">
        <v>53</v>
      </c>
      <c r="B392" s="1" t="s">
        <v>29</v>
      </c>
      <c r="C392" s="1">
        <v>39.6</v>
      </c>
      <c r="D392" s="1" t="s">
        <v>30</v>
      </c>
      <c r="E392" s="1" t="s">
        <v>31</v>
      </c>
      <c r="F392" s="2">
        <v>10579.710999999999</v>
      </c>
    </row>
    <row r="393" spans="1:6" hidden="1">
      <c r="A393" s="1">
        <v>53</v>
      </c>
      <c r="B393" s="1" t="s">
        <v>29</v>
      </c>
      <c r="C393" s="1">
        <v>32.299999999999997</v>
      </c>
      <c r="D393" s="1" t="s">
        <v>30</v>
      </c>
      <c r="E393" s="1" t="s">
        <v>34</v>
      </c>
      <c r="F393" s="2">
        <v>29186.482360000002</v>
      </c>
    </row>
    <row r="394" spans="1:6" hidden="1">
      <c r="A394" s="1">
        <v>54</v>
      </c>
      <c r="B394" s="1" t="s">
        <v>29</v>
      </c>
      <c r="C394" s="1">
        <v>30.8</v>
      </c>
      <c r="D394" s="1" t="s">
        <v>30</v>
      </c>
      <c r="E394" s="1" t="s">
        <v>32</v>
      </c>
      <c r="F394" s="2">
        <v>12105.32</v>
      </c>
    </row>
    <row r="395" spans="1:6" hidden="1">
      <c r="A395" s="1">
        <v>54</v>
      </c>
      <c r="B395" s="1" t="s">
        <v>29</v>
      </c>
      <c r="C395" s="1">
        <v>31.9</v>
      </c>
      <c r="D395" s="1" t="s">
        <v>30</v>
      </c>
      <c r="E395" s="1" t="s">
        <v>31</v>
      </c>
      <c r="F395" s="2">
        <v>27322.73386</v>
      </c>
    </row>
    <row r="396" spans="1:6" hidden="1">
      <c r="A396" s="1">
        <v>54</v>
      </c>
      <c r="B396" s="1" t="s">
        <v>29</v>
      </c>
      <c r="C396" s="1">
        <v>46.7</v>
      </c>
      <c r="D396" s="1" t="s">
        <v>30</v>
      </c>
      <c r="E396" s="1" t="s">
        <v>32</v>
      </c>
      <c r="F396" s="2">
        <v>11538.421</v>
      </c>
    </row>
    <row r="397" spans="1:6" hidden="1">
      <c r="A397" s="1">
        <v>54</v>
      </c>
      <c r="B397" s="1" t="s">
        <v>29</v>
      </c>
      <c r="C397" s="1">
        <v>32.68</v>
      </c>
      <c r="D397" s="1" t="s">
        <v>30</v>
      </c>
      <c r="E397" s="1" t="s">
        <v>34</v>
      </c>
      <c r="F397" s="2">
        <v>10923.933199999999</v>
      </c>
    </row>
    <row r="398" spans="1:6" hidden="1">
      <c r="A398" s="1">
        <v>54</v>
      </c>
      <c r="B398" s="1" t="s">
        <v>29</v>
      </c>
      <c r="C398" s="1">
        <v>35.814999999999998</v>
      </c>
      <c r="D398" s="1" t="s">
        <v>30</v>
      </c>
      <c r="E398" s="1" t="s">
        <v>33</v>
      </c>
      <c r="F398" s="2">
        <v>12495.290849999999</v>
      </c>
    </row>
    <row r="399" spans="1:6" hidden="1">
      <c r="A399" s="1">
        <v>54</v>
      </c>
      <c r="B399" s="1" t="s">
        <v>29</v>
      </c>
      <c r="C399" s="1">
        <v>31.9</v>
      </c>
      <c r="D399" s="1" t="s">
        <v>30</v>
      </c>
      <c r="E399" s="1" t="s">
        <v>31</v>
      </c>
      <c r="F399" s="2">
        <v>10928.849</v>
      </c>
    </row>
    <row r="400" spans="1:6" hidden="1">
      <c r="A400" s="1">
        <v>54</v>
      </c>
      <c r="B400" s="1" t="s">
        <v>29</v>
      </c>
      <c r="C400" s="1">
        <v>31.24</v>
      </c>
      <c r="D400" s="1" t="s">
        <v>30</v>
      </c>
      <c r="E400" s="1" t="s">
        <v>31</v>
      </c>
      <c r="F400" s="2">
        <v>10338.9316</v>
      </c>
    </row>
    <row r="401" spans="1:6" hidden="1">
      <c r="A401" s="1">
        <v>54</v>
      </c>
      <c r="B401" s="1" t="s">
        <v>29</v>
      </c>
      <c r="C401" s="1">
        <v>32.299999999999997</v>
      </c>
      <c r="D401" s="1" t="s">
        <v>30</v>
      </c>
      <c r="E401" s="1" t="s">
        <v>34</v>
      </c>
      <c r="F401" s="2">
        <v>11512.405000000001</v>
      </c>
    </row>
    <row r="402" spans="1:6" hidden="1">
      <c r="A402" s="1">
        <v>55</v>
      </c>
      <c r="B402" s="1" t="s">
        <v>29</v>
      </c>
      <c r="C402" s="1">
        <v>32.774999999999999</v>
      </c>
      <c r="D402" s="1" t="s">
        <v>30</v>
      </c>
      <c r="E402" s="1" t="s">
        <v>33</v>
      </c>
      <c r="F402" s="2">
        <v>12268.632250000001</v>
      </c>
    </row>
    <row r="403" spans="1:6" hidden="1">
      <c r="A403" s="1">
        <v>55</v>
      </c>
      <c r="B403" s="1" t="s">
        <v>29</v>
      </c>
      <c r="C403" s="1">
        <v>32.395000000000003</v>
      </c>
      <c r="D403" s="1" t="s">
        <v>30</v>
      </c>
      <c r="E403" s="1" t="s">
        <v>34</v>
      </c>
      <c r="F403" s="2">
        <v>11879.10405</v>
      </c>
    </row>
    <row r="404" spans="1:6" hidden="1">
      <c r="A404" s="1">
        <v>55</v>
      </c>
      <c r="B404" s="1" t="s">
        <v>29</v>
      </c>
      <c r="C404" s="1">
        <v>30.14</v>
      </c>
      <c r="D404" s="1" t="s">
        <v>30</v>
      </c>
      <c r="E404" s="1" t="s">
        <v>31</v>
      </c>
      <c r="F404" s="2">
        <v>11881.9696</v>
      </c>
    </row>
    <row r="405" spans="1:6" hidden="1">
      <c r="A405" s="1">
        <v>55</v>
      </c>
      <c r="B405" s="1" t="s">
        <v>29</v>
      </c>
      <c r="C405" s="1">
        <v>37.1</v>
      </c>
      <c r="D405" s="1" t="s">
        <v>30</v>
      </c>
      <c r="E405" s="1" t="s">
        <v>32</v>
      </c>
      <c r="F405" s="2">
        <v>10713.644</v>
      </c>
    </row>
    <row r="406" spans="1:6" hidden="1">
      <c r="A406" s="1">
        <v>55</v>
      </c>
      <c r="B406" s="1" t="s">
        <v>29</v>
      </c>
      <c r="C406" s="1">
        <v>40.81</v>
      </c>
      <c r="D406" s="1" t="s">
        <v>30</v>
      </c>
      <c r="E406" s="1" t="s">
        <v>31</v>
      </c>
      <c r="F406" s="2">
        <v>12485.8009</v>
      </c>
    </row>
    <row r="407" spans="1:6" hidden="1">
      <c r="A407" s="1">
        <v>55</v>
      </c>
      <c r="B407" s="1" t="s">
        <v>29</v>
      </c>
      <c r="C407" s="1">
        <v>33.534999999999997</v>
      </c>
      <c r="D407" s="1" t="s">
        <v>30</v>
      </c>
      <c r="E407" s="1" t="s">
        <v>33</v>
      </c>
      <c r="F407" s="2">
        <v>12269.68865</v>
      </c>
    </row>
    <row r="408" spans="1:6" hidden="1">
      <c r="A408" s="1">
        <v>55</v>
      </c>
      <c r="B408" s="1" t="s">
        <v>29</v>
      </c>
      <c r="C408" s="1">
        <v>30.5</v>
      </c>
      <c r="D408" s="1" t="s">
        <v>30</v>
      </c>
      <c r="E408" s="1" t="s">
        <v>32</v>
      </c>
      <c r="F408" s="2">
        <v>10704.47</v>
      </c>
    </row>
    <row r="409" spans="1:6" hidden="1">
      <c r="A409" s="1">
        <v>56</v>
      </c>
      <c r="B409" s="1" t="s">
        <v>29</v>
      </c>
      <c r="C409" s="1">
        <v>39.82</v>
      </c>
      <c r="D409" s="1" t="s">
        <v>30</v>
      </c>
      <c r="E409" s="1" t="s">
        <v>31</v>
      </c>
      <c r="F409" s="2">
        <v>11090.7178</v>
      </c>
    </row>
    <row r="410" spans="1:6" hidden="1">
      <c r="A410" s="1">
        <v>56</v>
      </c>
      <c r="B410" s="1" t="s">
        <v>29</v>
      </c>
      <c r="C410" s="1">
        <v>37.51</v>
      </c>
      <c r="D410" s="1" t="s">
        <v>30</v>
      </c>
      <c r="E410" s="1" t="s">
        <v>31</v>
      </c>
      <c r="F410" s="2">
        <v>12265.5069</v>
      </c>
    </row>
    <row r="411" spans="1:6" hidden="1">
      <c r="A411" s="1">
        <v>56</v>
      </c>
      <c r="B411" s="1" t="s">
        <v>29</v>
      </c>
      <c r="C411" s="1">
        <v>32.299999999999997</v>
      </c>
      <c r="D411" s="1" t="s">
        <v>30</v>
      </c>
      <c r="E411" s="1" t="s">
        <v>34</v>
      </c>
      <c r="F411" s="2">
        <v>13430.264999999999</v>
      </c>
    </row>
    <row r="412" spans="1:6" hidden="1">
      <c r="A412" s="1">
        <v>56</v>
      </c>
      <c r="B412" s="1" t="s">
        <v>29</v>
      </c>
      <c r="C412" s="1">
        <v>33.82</v>
      </c>
      <c r="D412" s="1" t="s">
        <v>30</v>
      </c>
      <c r="E412" s="1" t="s">
        <v>33</v>
      </c>
      <c r="F412" s="2">
        <v>12643.3778</v>
      </c>
    </row>
    <row r="413" spans="1:6" hidden="1">
      <c r="A413" s="1">
        <v>56</v>
      </c>
      <c r="B413" s="1" t="s">
        <v>29</v>
      </c>
      <c r="C413" s="1">
        <v>35.799999999999997</v>
      </c>
      <c r="D413" s="1" t="s">
        <v>30</v>
      </c>
      <c r="E413" s="1" t="s">
        <v>32</v>
      </c>
      <c r="F413" s="2">
        <v>11674.13</v>
      </c>
    </row>
    <row r="414" spans="1:6" hidden="1">
      <c r="A414" s="1">
        <v>56</v>
      </c>
      <c r="B414" s="1" t="s">
        <v>29</v>
      </c>
      <c r="C414" s="1">
        <v>41.91</v>
      </c>
      <c r="D414" s="1" t="s">
        <v>30</v>
      </c>
      <c r="E414" s="1" t="s">
        <v>31</v>
      </c>
      <c r="F414" s="2">
        <v>11093.6229</v>
      </c>
    </row>
    <row r="415" spans="1:6" hidden="1">
      <c r="A415" s="1">
        <v>57</v>
      </c>
      <c r="B415" s="1" t="s">
        <v>29</v>
      </c>
      <c r="C415" s="1">
        <v>38</v>
      </c>
      <c r="D415" s="1" t="s">
        <v>30</v>
      </c>
      <c r="E415" s="1" t="s">
        <v>32</v>
      </c>
      <c r="F415" s="2">
        <v>12646.207</v>
      </c>
    </row>
    <row r="416" spans="1:6" hidden="1">
      <c r="A416" s="1">
        <v>57</v>
      </c>
      <c r="B416" s="1" t="s">
        <v>29</v>
      </c>
      <c r="C416" s="1">
        <v>30.495000000000001</v>
      </c>
      <c r="D416" s="1" t="s">
        <v>30</v>
      </c>
      <c r="E416" s="1" t="s">
        <v>33</v>
      </c>
      <c r="F416" s="2">
        <v>11840.77505</v>
      </c>
    </row>
    <row r="417" spans="1:6" hidden="1">
      <c r="A417" s="1">
        <v>57</v>
      </c>
      <c r="B417" s="1" t="s">
        <v>29</v>
      </c>
      <c r="C417" s="1">
        <v>34.295000000000002</v>
      </c>
      <c r="D417" s="1" t="s">
        <v>30</v>
      </c>
      <c r="E417" s="1" t="s">
        <v>34</v>
      </c>
      <c r="F417" s="2">
        <v>13224.057049999999</v>
      </c>
    </row>
    <row r="418" spans="1:6" hidden="1">
      <c r="A418" s="1">
        <v>57</v>
      </c>
      <c r="B418" s="1" t="s">
        <v>29</v>
      </c>
      <c r="C418" s="1">
        <v>31.824999999999999</v>
      </c>
      <c r="D418" s="1" t="s">
        <v>30</v>
      </c>
      <c r="E418" s="1" t="s">
        <v>33</v>
      </c>
      <c r="F418" s="2">
        <v>11842.623750000001</v>
      </c>
    </row>
    <row r="419" spans="1:6" hidden="1">
      <c r="A419" s="1">
        <v>58</v>
      </c>
      <c r="B419" s="1" t="s">
        <v>29</v>
      </c>
      <c r="C419" s="1">
        <v>31.824999999999999</v>
      </c>
      <c r="D419" s="1" t="s">
        <v>30</v>
      </c>
      <c r="E419" s="1" t="s">
        <v>34</v>
      </c>
      <c r="F419" s="2">
        <v>13607.36875</v>
      </c>
    </row>
    <row r="420" spans="1:6" hidden="1">
      <c r="A420" s="1">
        <v>58</v>
      </c>
      <c r="B420" s="1" t="s">
        <v>29</v>
      </c>
      <c r="C420" s="1">
        <v>41.91</v>
      </c>
      <c r="D420" s="1" t="s">
        <v>30</v>
      </c>
      <c r="E420" s="1" t="s">
        <v>31</v>
      </c>
      <c r="F420" s="2">
        <v>24227.337240000001</v>
      </c>
    </row>
    <row r="421" spans="1:6" hidden="1">
      <c r="A421" s="1">
        <v>58</v>
      </c>
      <c r="B421" s="1" t="s">
        <v>29</v>
      </c>
      <c r="C421" s="1">
        <v>39.049999999999997</v>
      </c>
      <c r="D421" s="1" t="s">
        <v>30</v>
      </c>
      <c r="E421" s="1" t="s">
        <v>31</v>
      </c>
      <c r="F421" s="2">
        <v>11856.4115</v>
      </c>
    </row>
    <row r="422" spans="1:6" hidden="1">
      <c r="A422" s="1">
        <v>58</v>
      </c>
      <c r="B422" s="1" t="s">
        <v>29</v>
      </c>
      <c r="C422" s="1">
        <v>32.965000000000003</v>
      </c>
      <c r="D422" s="1" t="s">
        <v>30</v>
      </c>
      <c r="E422" s="1" t="s">
        <v>34</v>
      </c>
      <c r="F422" s="2">
        <v>12430.95335</v>
      </c>
    </row>
    <row r="423" spans="1:6" hidden="1">
      <c r="A423" s="1">
        <v>58</v>
      </c>
      <c r="B423" s="1" t="s">
        <v>29</v>
      </c>
      <c r="C423" s="1">
        <v>33.44</v>
      </c>
      <c r="D423" s="1" t="s">
        <v>30</v>
      </c>
      <c r="E423" s="1" t="s">
        <v>33</v>
      </c>
      <c r="F423" s="2">
        <v>12231.613600000001</v>
      </c>
    </row>
    <row r="424" spans="1:6" hidden="1">
      <c r="A424" s="1">
        <v>58</v>
      </c>
      <c r="B424" s="1" t="s">
        <v>29</v>
      </c>
      <c r="C424" s="1">
        <v>33.1</v>
      </c>
      <c r="D424" s="1" t="s">
        <v>30</v>
      </c>
      <c r="E424" s="1" t="s">
        <v>32</v>
      </c>
      <c r="F424" s="2">
        <v>11848.141</v>
      </c>
    </row>
    <row r="425" spans="1:6" hidden="1">
      <c r="A425" s="1">
        <v>58</v>
      </c>
      <c r="B425" s="1" t="s">
        <v>29</v>
      </c>
      <c r="C425" s="1">
        <v>36.479999999999997</v>
      </c>
      <c r="D425" s="1" t="s">
        <v>30</v>
      </c>
      <c r="E425" s="1" t="s">
        <v>33</v>
      </c>
      <c r="F425" s="2">
        <v>12235.8392</v>
      </c>
    </row>
    <row r="426" spans="1:6" hidden="1">
      <c r="A426" s="1">
        <v>58</v>
      </c>
      <c r="B426" s="1" t="s">
        <v>29</v>
      </c>
      <c r="C426" s="1">
        <v>32.395000000000003</v>
      </c>
      <c r="D426" s="1" t="s">
        <v>30</v>
      </c>
      <c r="E426" s="1" t="s">
        <v>34</v>
      </c>
      <c r="F426" s="2">
        <v>13019.161050000001</v>
      </c>
    </row>
    <row r="427" spans="1:6" hidden="1">
      <c r="A427" s="1">
        <v>59</v>
      </c>
      <c r="B427" s="1" t="s">
        <v>29</v>
      </c>
      <c r="C427" s="1">
        <v>32.395000000000003</v>
      </c>
      <c r="D427" s="1" t="s">
        <v>30</v>
      </c>
      <c r="E427" s="1" t="s">
        <v>34</v>
      </c>
      <c r="F427" s="2">
        <v>14590.63205</v>
      </c>
    </row>
    <row r="428" spans="1:6" hidden="1">
      <c r="A428" s="1">
        <v>59</v>
      </c>
      <c r="B428" s="1" t="s">
        <v>29</v>
      </c>
      <c r="C428" s="1">
        <v>36.520000000000003</v>
      </c>
      <c r="D428" s="1" t="s">
        <v>30</v>
      </c>
      <c r="E428" s="1" t="s">
        <v>31</v>
      </c>
      <c r="F428" s="2">
        <v>28287.897659999999</v>
      </c>
    </row>
    <row r="429" spans="1:6" hidden="1">
      <c r="A429" s="1">
        <v>59</v>
      </c>
      <c r="B429" s="1" t="s">
        <v>29</v>
      </c>
      <c r="C429" s="1">
        <v>35.200000000000003</v>
      </c>
      <c r="D429" s="1" t="s">
        <v>30</v>
      </c>
      <c r="E429" s="1" t="s">
        <v>31</v>
      </c>
      <c r="F429" s="2">
        <v>12244.531000000001</v>
      </c>
    </row>
    <row r="430" spans="1:6" hidden="1">
      <c r="A430" s="1">
        <v>59</v>
      </c>
      <c r="B430" s="1" t="s">
        <v>29</v>
      </c>
      <c r="C430" s="1">
        <v>32.1</v>
      </c>
      <c r="D430" s="1" t="s">
        <v>30</v>
      </c>
      <c r="E430" s="1" t="s">
        <v>32</v>
      </c>
      <c r="F430" s="2">
        <v>14007.222</v>
      </c>
    </row>
    <row r="431" spans="1:6" hidden="1">
      <c r="A431" s="1">
        <v>59</v>
      </c>
      <c r="B431" s="1" t="s">
        <v>29</v>
      </c>
      <c r="C431" s="1">
        <v>31.35</v>
      </c>
      <c r="D431" s="1" t="s">
        <v>30</v>
      </c>
      <c r="E431" s="1" t="s">
        <v>33</v>
      </c>
      <c r="F431" s="2">
        <v>12622.1795</v>
      </c>
    </row>
    <row r="432" spans="1:6" hidden="1">
      <c r="A432" s="1">
        <v>59</v>
      </c>
      <c r="B432" s="1" t="s">
        <v>29</v>
      </c>
      <c r="C432" s="1">
        <v>34.799999999999997</v>
      </c>
      <c r="D432" s="1" t="s">
        <v>30</v>
      </c>
      <c r="E432" s="1" t="s">
        <v>32</v>
      </c>
      <c r="F432" s="2">
        <v>36910.608030000003</v>
      </c>
    </row>
    <row r="433" spans="1:6" hidden="1">
      <c r="A433" s="1">
        <v>60</v>
      </c>
      <c r="B433" s="1" t="s">
        <v>29</v>
      </c>
      <c r="C433" s="1">
        <v>36.005000000000003</v>
      </c>
      <c r="D433" s="1" t="s">
        <v>30</v>
      </c>
      <c r="E433" s="1" t="s">
        <v>34</v>
      </c>
      <c r="F433" s="2">
        <v>13228.846949999999</v>
      </c>
    </row>
    <row r="434" spans="1:6" hidden="1">
      <c r="A434" s="1">
        <v>60</v>
      </c>
      <c r="B434" s="1" t="s">
        <v>29</v>
      </c>
      <c r="C434" s="1">
        <v>38.06</v>
      </c>
      <c r="D434" s="1" t="s">
        <v>30</v>
      </c>
      <c r="E434" s="1" t="s">
        <v>31</v>
      </c>
      <c r="F434" s="2">
        <v>12648.7034</v>
      </c>
    </row>
    <row r="435" spans="1:6" hidden="1">
      <c r="A435" s="1">
        <v>60</v>
      </c>
      <c r="B435" s="1" t="s">
        <v>29</v>
      </c>
      <c r="C435" s="1">
        <v>30.5</v>
      </c>
      <c r="D435" s="1" t="s">
        <v>30</v>
      </c>
      <c r="E435" s="1" t="s">
        <v>32</v>
      </c>
      <c r="F435" s="2">
        <v>12638.195</v>
      </c>
    </row>
    <row r="436" spans="1:6" hidden="1">
      <c r="A436" s="1">
        <v>60</v>
      </c>
      <c r="B436" s="1" t="s">
        <v>29</v>
      </c>
      <c r="C436" s="1">
        <v>35.1</v>
      </c>
      <c r="D436" s="1" t="s">
        <v>30</v>
      </c>
      <c r="E436" s="1" t="s">
        <v>32</v>
      </c>
      <c r="F436" s="2">
        <v>12644.589</v>
      </c>
    </row>
    <row r="437" spans="1:6" hidden="1">
      <c r="A437" s="1">
        <v>61</v>
      </c>
      <c r="B437" s="1" t="s">
        <v>29</v>
      </c>
      <c r="C437" s="1">
        <v>39.1</v>
      </c>
      <c r="D437" s="1" t="s">
        <v>30</v>
      </c>
      <c r="E437" s="1" t="s">
        <v>32</v>
      </c>
      <c r="F437" s="2">
        <v>14235.072</v>
      </c>
    </row>
    <row r="438" spans="1:6" hidden="1">
      <c r="A438" s="1">
        <v>61</v>
      </c>
      <c r="B438" s="1" t="s">
        <v>29</v>
      </c>
      <c r="C438" s="1">
        <v>31.16</v>
      </c>
      <c r="D438" s="1" t="s">
        <v>30</v>
      </c>
      <c r="E438" s="1" t="s">
        <v>33</v>
      </c>
      <c r="F438" s="2">
        <v>13429.035400000001</v>
      </c>
    </row>
    <row r="439" spans="1:6" hidden="1">
      <c r="A439" s="1">
        <v>61</v>
      </c>
      <c r="B439" s="1" t="s">
        <v>29</v>
      </c>
      <c r="C439" s="1">
        <v>35.909999999999997</v>
      </c>
      <c r="D439" s="1" t="s">
        <v>30</v>
      </c>
      <c r="E439" s="1" t="s">
        <v>34</v>
      </c>
      <c r="F439" s="2">
        <v>13635.6379</v>
      </c>
    </row>
    <row r="440" spans="1:6" hidden="1">
      <c r="A440" s="1">
        <v>61</v>
      </c>
      <c r="B440" s="1" t="s">
        <v>29</v>
      </c>
      <c r="C440" s="1">
        <v>44</v>
      </c>
      <c r="D440" s="1" t="s">
        <v>30</v>
      </c>
      <c r="E440" s="1" t="s">
        <v>32</v>
      </c>
      <c r="F440" s="2">
        <v>13063.883</v>
      </c>
    </row>
    <row r="441" spans="1:6" hidden="1">
      <c r="A441" s="1">
        <v>61</v>
      </c>
      <c r="B441" s="1" t="s">
        <v>29</v>
      </c>
      <c r="C441" s="1">
        <v>33.33</v>
      </c>
      <c r="D441" s="1" t="s">
        <v>30</v>
      </c>
      <c r="E441" s="1" t="s">
        <v>31</v>
      </c>
      <c r="F441" s="2">
        <v>36580.282160000002</v>
      </c>
    </row>
    <row r="442" spans="1:6" hidden="1">
      <c r="A442" s="1">
        <v>62</v>
      </c>
      <c r="B442" s="1" t="s">
        <v>29</v>
      </c>
      <c r="C442" s="1">
        <v>32.965000000000003</v>
      </c>
      <c r="D442" s="1" t="s">
        <v>30</v>
      </c>
      <c r="E442" s="1" t="s">
        <v>33</v>
      </c>
      <c r="F442" s="2">
        <v>15612.19335</v>
      </c>
    </row>
    <row r="443" spans="1:6" hidden="1">
      <c r="A443" s="1">
        <v>62</v>
      </c>
      <c r="B443" s="1" t="s">
        <v>29</v>
      </c>
      <c r="C443" s="1">
        <v>38.094999999999999</v>
      </c>
      <c r="D443" s="1" t="s">
        <v>30</v>
      </c>
      <c r="E443" s="1" t="s">
        <v>34</v>
      </c>
      <c r="F443" s="2">
        <v>15230.324049999999</v>
      </c>
    </row>
    <row r="444" spans="1:6" hidden="1">
      <c r="A444" s="1">
        <v>62</v>
      </c>
      <c r="B444" s="1" t="s">
        <v>29</v>
      </c>
      <c r="C444" s="1">
        <v>39.200000000000003</v>
      </c>
      <c r="D444" s="1" t="s">
        <v>30</v>
      </c>
      <c r="E444" s="1" t="s">
        <v>32</v>
      </c>
      <c r="F444" s="2">
        <v>13470.86</v>
      </c>
    </row>
    <row r="445" spans="1:6" hidden="1">
      <c r="A445" s="1">
        <v>62</v>
      </c>
      <c r="B445" s="1" t="s">
        <v>29</v>
      </c>
      <c r="C445" s="1">
        <v>31.73</v>
      </c>
      <c r="D445" s="1" t="s">
        <v>30</v>
      </c>
      <c r="E445" s="1" t="s">
        <v>34</v>
      </c>
      <c r="F445" s="2">
        <v>14043.476699999999</v>
      </c>
    </row>
    <row r="446" spans="1:6" hidden="1">
      <c r="A446" s="1">
        <v>62</v>
      </c>
      <c r="B446" s="1" t="s">
        <v>29</v>
      </c>
      <c r="C446" s="1">
        <v>36.86</v>
      </c>
      <c r="D446" s="1" t="s">
        <v>30</v>
      </c>
      <c r="E446" s="1" t="s">
        <v>34</v>
      </c>
      <c r="F446" s="2">
        <v>31620.001059999999</v>
      </c>
    </row>
    <row r="447" spans="1:6" hidden="1">
      <c r="A447" s="1">
        <v>62</v>
      </c>
      <c r="B447" s="1" t="s">
        <v>29</v>
      </c>
      <c r="C447" s="1">
        <v>29.92</v>
      </c>
      <c r="D447" s="1" t="s">
        <v>30</v>
      </c>
      <c r="E447" s="1" t="s">
        <v>31</v>
      </c>
      <c r="F447" s="2">
        <v>13457.960800000001</v>
      </c>
    </row>
    <row r="448" spans="1:6" hidden="1">
      <c r="A448" s="1">
        <v>62</v>
      </c>
      <c r="B448" s="1" t="s">
        <v>29</v>
      </c>
      <c r="C448" s="1">
        <v>33.200000000000003</v>
      </c>
      <c r="D448" s="1" t="s">
        <v>30</v>
      </c>
      <c r="E448" s="1" t="s">
        <v>32</v>
      </c>
      <c r="F448" s="2">
        <v>13462.52</v>
      </c>
    </row>
    <row r="449" spans="1:6" hidden="1">
      <c r="A449" s="1">
        <v>62</v>
      </c>
      <c r="B449" s="1" t="s">
        <v>29</v>
      </c>
      <c r="C449" s="1">
        <v>39.159999999999997</v>
      </c>
      <c r="D449" s="1" t="s">
        <v>30</v>
      </c>
      <c r="E449" s="1" t="s">
        <v>31</v>
      </c>
      <c r="F449" s="2">
        <v>13470.804400000001</v>
      </c>
    </row>
    <row r="450" spans="1:6" hidden="1">
      <c r="A450" s="1">
        <v>62</v>
      </c>
      <c r="B450" s="1" t="s">
        <v>29</v>
      </c>
      <c r="C450" s="1">
        <v>30.495000000000001</v>
      </c>
      <c r="D450" s="1" t="s">
        <v>30</v>
      </c>
      <c r="E450" s="1" t="s">
        <v>33</v>
      </c>
      <c r="F450" s="2">
        <v>15019.760050000001</v>
      </c>
    </row>
    <row r="451" spans="1:6" hidden="1">
      <c r="A451" s="1">
        <v>62</v>
      </c>
      <c r="B451" s="1" t="s">
        <v>29</v>
      </c>
      <c r="C451" s="1">
        <v>32.68</v>
      </c>
      <c r="D451" s="1" t="s">
        <v>30</v>
      </c>
      <c r="E451" s="1" t="s">
        <v>33</v>
      </c>
      <c r="F451" s="2">
        <v>13844.797200000001</v>
      </c>
    </row>
    <row r="452" spans="1:6" hidden="1">
      <c r="A452" s="1">
        <v>63</v>
      </c>
      <c r="B452" s="1" t="s">
        <v>29</v>
      </c>
      <c r="C452" s="1">
        <v>31.8</v>
      </c>
      <c r="D452" s="1" t="s">
        <v>30</v>
      </c>
      <c r="E452" s="1" t="s">
        <v>32</v>
      </c>
      <c r="F452" s="2">
        <v>13880.949000000001</v>
      </c>
    </row>
    <row r="453" spans="1:6" hidden="1">
      <c r="A453" s="1">
        <v>63</v>
      </c>
      <c r="B453" s="1" t="s">
        <v>29</v>
      </c>
      <c r="C453" s="1">
        <v>36.299999999999997</v>
      </c>
      <c r="D453" s="1" t="s">
        <v>30</v>
      </c>
      <c r="E453" s="1" t="s">
        <v>31</v>
      </c>
      <c r="F453" s="2">
        <v>13887.204</v>
      </c>
    </row>
    <row r="454" spans="1:6" hidden="1">
      <c r="A454" s="1">
        <v>63</v>
      </c>
      <c r="B454" s="1" t="s">
        <v>29</v>
      </c>
      <c r="C454" s="1">
        <v>35.200000000000003</v>
      </c>
      <c r="D454" s="1" t="s">
        <v>30</v>
      </c>
      <c r="E454" s="1" t="s">
        <v>31</v>
      </c>
      <c r="F454" s="2">
        <v>14474.674999999999</v>
      </c>
    </row>
    <row r="455" spans="1:6" hidden="1">
      <c r="A455" s="1">
        <v>63</v>
      </c>
      <c r="B455" s="1" t="s">
        <v>29</v>
      </c>
      <c r="C455" s="1">
        <v>36.85</v>
      </c>
      <c r="D455" s="1" t="s">
        <v>30</v>
      </c>
      <c r="E455" s="1" t="s">
        <v>31</v>
      </c>
      <c r="F455" s="2">
        <v>13887.968500000001</v>
      </c>
    </row>
    <row r="456" spans="1:6" hidden="1">
      <c r="A456" s="1">
        <v>64</v>
      </c>
      <c r="B456" s="1" t="s">
        <v>29</v>
      </c>
      <c r="C456" s="1">
        <v>39.33</v>
      </c>
      <c r="D456" s="1" t="s">
        <v>30</v>
      </c>
      <c r="E456" s="1" t="s">
        <v>34</v>
      </c>
      <c r="F456" s="2">
        <v>14901.5167</v>
      </c>
    </row>
    <row r="457" spans="1:6" hidden="1">
      <c r="A457" s="1">
        <v>64</v>
      </c>
      <c r="B457" s="1" t="s">
        <v>29</v>
      </c>
      <c r="C457" s="1">
        <v>30.114999999999998</v>
      </c>
      <c r="D457" s="1" t="s">
        <v>30</v>
      </c>
      <c r="E457" s="1" t="s">
        <v>33</v>
      </c>
      <c r="F457" s="2">
        <v>16455.707849999999</v>
      </c>
    </row>
    <row r="458" spans="1:6" hidden="1">
      <c r="A458" s="1">
        <v>64</v>
      </c>
      <c r="B458" s="1" t="s">
        <v>29</v>
      </c>
      <c r="C458" s="1">
        <v>32.965000000000003</v>
      </c>
      <c r="D458" s="1" t="s">
        <v>30</v>
      </c>
      <c r="E458" s="1" t="s">
        <v>33</v>
      </c>
      <c r="F458" s="2">
        <v>14692.66935</v>
      </c>
    </row>
    <row r="459" spans="1:6" hidden="1">
      <c r="A459" s="1">
        <v>64</v>
      </c>
      <c r="B459" s="1" t="s">
        <v>29</v>
      </c>
      <c r="C459" s="1">
        <v>39.049999999999997</v>
      </c>
      <c r="D459" s="1" t="s">
        <v>30</v>
      </c>
      <c r="E459" s="1" t="s">
        <v>31</v>
      </c>
      <c r="F459" s="2">
        <v>16085.127500000001</v>
      </c>
    </row>
    <row r="460" spans="1:6" hidden="1">
      <c r="A460" s="1">
        <v>64</v>
      </c>
      <c r="B460" s="1" t="s">
        <v>29</v>
      </c>
      <c r="C460" s="1">
        <v>39.700000000000003</v>
      </c>
      <c r="D460" s="1" t="s">
        <v>30</v>
      </c>
      <c r="E460" s="1" t="s">
        <v>32</v>
      </c>
      <c r="F460" s="2">
        <v>14319.031000000001</v>
      </c>
    </row>
    <row r="461" spans="1:6" hidden="1">
      <c r="A461" s="1">
        <v>64</v>
      </c>
      <c r="B461" s="1" t="s">
        <v>29</v>
      </c>
      <c r="C461" s="1">
        <v>35.97</v>
      </c>
      <c r="D461" s="1" t="s">
        <v>30</v>
      </c>
      <c r="E461" s="1" t="s">
        <v>31</v>
      </c>
      <c r="F461" s="2">
        <v>14313.846299999999</v>
      </c>
    </row>
    <row r="462" spans="1:6" hidden="1">
      <c r="A462" s="1">
        <v>64</v>
      </c>
      <c r="B462" s="1" t="s">
        <v>29</v>
      </c>
      <c r="C462" s="1">
        <v>31.824999999999999</v>
      </c>
      <c r="D462" s="1" t="s">
        <v>30</v>
      </c>
      <c r="E462" s="1" t="s">
        <v>34</v>
      </c>
      <c r="F462" s="2">
        <v>16069.08475</v>
      </c>
    </row>
    <row r="463" spans="1:6" hidden="1">
      <c r="A463" s="1">
        <v>18</v>
      </c>
      <c r="B463" s="1" t="s">
        <v>35</v>
      </c>
      <c r="C463" s="1">
        <v>33.770000000000003</v>
      </c>
      <c r="D463" s="1" t="s">
        <v>30</v>
      </c>
      <c r="E463" s="1" t="s">
        <v>31</v>
      </c>
      <c r="F463" s="2">
        <v>1725.5523000000001</v>
      </c>
    </row>
    <row r="464" spans="1:6" hidden="1">
      <c r="A464" s="1">
        <v>18</v>
      </c>
      <c r="B464" s="1" t="s">
        <v>35</v>
      </c>
      <c r="C464" s="1">
        <v>34.1</v>
      </c>
      <c r="D464" s="1" t="s">
        <v>30</v>
      </c>
      <c r="E464" s="1" t="s">
        <v>31</v>
      </c>
      <c r="F464" s="2">
        <v>1137.011</v>
      </c>
    </row>
    <row r="465" spans="1:6" hidden="1">
      <c r="A465" s="1">
        <v>18</v>
      </c>
      <c r="B465" s="1" t="s">
        <v>35</v>
      </c>
      <c r="C465" s="1">
        <v>34.43</v>
      </c>
      <c r="D465" s="1" t="s">
        <v>30</v>
      </c>
      <c r="E465" s="1" t="s">
        <v>31</v>
      </c>
      <c r="F465" s="2">
        <v>1137.4697000000001</v>
      </c>
    </row>
    <row r="466" spans="1:6" hidden="1">
      <c r="A466" s="1">
        <v>18</v>
      </c>
      <c r="B466" s="1" t="s">
        <v>35</v>
      </c>
      <c r="C466" s="1">
        <v>30.4</v>
      </c>
      <c r="D466" s="1" t="s">
        <v>30</v>
      </c>
      <c r="E466" s="1" t="s">
        <v>34</v>
      </c>
      <c r="F466" s="2">
        <v>3481.8679999999999</v>
      </c>
    </row>
    <row r="467" spans="1:6" hidden="1">
      <c r="A467" s="1">
        <v>18</v>
      </c>
      <c r="B467" s="1" t="s">
        <v>35</v>
      </c>
      <c r="C467" s="1">
        <v>43.01</v>
      </c>
      <c r="D467" s="1" t="s">
        <v>30</v>
      </c>
      <c r="E467" s="1" t="s">
        <v>31</v>
      </c>
      <c r="F467" s="2">
        <v>1149.3959</v>
      </c>
    </row>
    <row r="468" spans="1:6" hidden="1">
      <c r="A468" s="1">
        <v>18</v>
      </c>
      <c r="B468" s="1" t="s">
        <v>35</v>
      </c>
      <c r="C468" s="1">
        <v>33.659999999999997</v>
      </c>
      <c r="D468" s="1" t="s">
        <v>30</v>
      </c>
      <c r="E468" s="1" t="s">
        <v>31</v>
      </c>
      <c r="F468" s="2">
        <v>1136.3994</v>
      </c>
    </row>
    <row r="469" spans="1:6" hidden="1">
      <c r="A469" s="1">
        <v>18</v>
      </c>
      <c r="B469" s="1" t="s">
        <v>35</v>
      </c>
      <c r="C469" s="1">
        <v>35.200000000000003</v>
      </c>
      <c r="D469" s="1" t="s">
        <v>30</v>
      </c>
      <c r="E469" s="1" t="s">
        <v>31</v>
      </c>
      <c r="F469" s="2">
        <v>1727.54</v>
      </c>
    </row>
    <row r="470" spans="1:6" hidden="1">
      <c r="A470" s="1">
        <v>18</v>
      </c>
      <c r="B470" s="1" t="s">
        <v>35</v>
      </c>
      <c r="C470" s="1">
        <v>41.14</v>
      </c>
      <c r="D470" s="1" t="s">
        <v>30</v>
      </c>
      <c r="E470" s="1" t="s">
        <v>31</v>
      </c>
      <c r="F470" s="2">
        <v>1146.7965999999999</v>
      </c>
    </row>
    <row r="471" spans="1:6" hidden="1">
      <c r="A471" s="1">
        <v>18</v>
      </c>
      <c r="B471" s="1" t="s">
        <v>35</v>
      </c>
      <c r="C471" s="1">
        <v>30.14</v>
      </c>
      <c r="D471" s="1" t="s">
        <v>30</v>
      </c>
      <c r="E471" s="1" t="s">
        <v>31</v>
      </c>
      <c r="F471" s="2">
        <v>1131.5065999999999</v>
      </c>
    </row>
    <row r="472" spans="1:6" hidden="1">
      <c r="A472" s="1">
        <v>18</v>
      </c>
      <c r="B472" s="1" t="s">
        <v>35</v>
      </c>
      <c r="C472" s="1">
        <v>37.29</v>
      </c>
      <c r="D472" s="1" t="s">
        <v>30</v>
      </c>
      <c r="E472" s="1" t="s">
        <v>31</v>
      </c>
      <c r="F472" s="2">
        <v>1141.4450999999999</v>
      </c>
    </row>
    <row r="473" spans="1:6" hidden="1">
      <c r="A473" s="1">
        <v>18</v>
      </c>
      <c r="B473" s="1" t="s">
        <v>35</v>
      </c>
      <c r="C473" s="1">
        <v>39.14</v>
      </c>
      <c r="D473" s="1" t="s">
        <v>30</v>
      </c>
      <c r="E473" s="1" t="s">
        <v>34</v>
      </c>
      <c r="F473" s="2">
        <v>12890.057650000001</v>
      </c>
    </row>
    <row r="474" spans="1:6" hidden="1">
      <c r="A474" s="1">
        <v>18</v>
      </c>
      <c r="B474" s="1" t="s">
        <v>35</v>
      </c>
      <c r="C474" s="1">
        <v>33.33</v>
      </c>
      <c r="D474" s="1" t="s">
        <v>30</v>
      </c>
      <c r="E474" s="1" t="s">
        <v>31</v>
      </c>
      <c r="F474" s="2">
        <v>1135.9407000000001</v>
      </c>
    </row>
    <row r="475" spans="1:6" hidden="1">
      <c r="A475" s="1">
        <v>18</v>
      </c>
      <c r="B475" s="1" t="s">
        <v>35</v>
      </c>
      <c r="C475" s="1">
        <v>30.03</v>
      </c>
      <c r="D475" s="1" t="s">
        <v>30</v>
      </c>
      <c r="E475" s="1" t="s">
        <v>31</v>
      </c>
      <c r="F475" s="2">
        <v>1720.3536999999999</v>
      </c>
    </row>
    <row r="476" spans="1:6" hidden="1">
      <c r="A476" s="1">
        <v>18</v>
      </c>
      <c r="B476" s="1" t="s">
        <v>35</v>
      </c>
      <c r="C476" s="1">
        <v>53.13</v>
      </c>
      <c r="D476" s="1" t="s">
        <v>30</v>
      </c>
      <c r="E476" s="1" t="s">
        <v>31</v>
      </c>
      <c r="F476" s="2">
        <v>1163.4627</v>
      </c>
    </row>
    <row r="477" spans="1:6" hidden="1">
      <c r="A477" s="1">
        <v>19</v>
      </c>
      <c r="B477" s="1" t="s">
        <v>35</v>
      </c>
      <c r="C477" s="1">
        <v>34.1</v>
      </c>
      <c r="D477" s="1" t="s">
        <v>30</v>
      </c>
      <c r="E477" s="1" t="s">
        <v>32</v>
      </c>
      <c r="F477" s="2">
        <v>1261.442</v>
      </c>
    </row>
    <row r="478" spans="1:6" hidden="1">
      <c r="A478" s="1">
        <v>19</v>
      </c>
      <c r="B478" s="1" t="s">
        <v>35</v>
      </c>
      <c r="C478" s="1">
        <v>30.59</v>
      </c>
      <c r="D478" s="1" t="s">
        <v>30</v>
      </c>
      <c r="E478" s="1" t="s">
        <v>33</v>
      </c>
      <c r="F478" s="2">
        <v>1639.5631000000001</v>
      </c>
    </row>
    <row r="479" spans="1:6" hidden="1">
      <c r="A479" s="1">
        <v>19</v>
      </c>
      <c r="B479" s="1" t="s">
        <v>35</v>
      </c>
      <c r="C479" s="1">
        <v>34.4</v>
      </c>
      <c r="D479" s="1" t="s">
        <v>30</v>
      </c>
      <c r="E479" s="1" t="s">
        <v>32</v>
      </c>
      <c r="F479" s="2">
        <v>1261.8589999999999</v>
      </c>
    </row>
    <row r="480" spans="1:6" hidden="1">
      <c r="A480" s="1">
        <v>19</v>
      </c>
      <c r="B480" s="1" t="s">
        <v>35</v>
      </c>
      <c r="C480" s="1">
        <v>33.1</v>
      </c>
      <c r="D480" s="1" t="s">
        <v>30</v>
      </c>
      <c r="E480" s="1" t="s">
        <v>32</v>
      </c>
      <c r="F480" s="2">
        <v>23082.955330000001</v>
      </c>
    </row>
    <row r="481" spans="1:6" hidden="1">
      <c r="A481" s="1">
        <v>19</v>
      </c>
      <c r="B481" s="1" t="s">
        <v>35</v>
      </c>
      <c r="C481" s="1">
        <v>30.4</v>
      </c>
      <c r="D481" s="1" t="s">
        <v>30</v>
      </c>
      <c r="E481" s="1" t="s">
        <v>32</v>
      </c>
      <c r="F481" s="2">
        <v>1256.299</v>
      </c>
    </row>
    <row r="482" spans="1:6" hidden="1">
      <c r="A482" s="1">
        <v>19</v>
      </c>
      <c r="B482" s="1" t="s">
        <v>35</v>
      </c>
      <c r="C482" s="1">
        <v>35.53</v>
      </c>
      <c r="D482" s="1" t="s">
        <v>30</v>
      </c>
      <c r="E482" s="1" t="s">
        <v>33</v>
      </c>
      <c r="F482" s="2">
        <v>1646.4296999999999</v>
      </c>
    </row>
    <row r="483" spans="1:6" hidden="1">
      <c r="A483" s="1">
        <v>19</v>
      </c>
      <c r="B483" s="1" t="s">
        <v>35</v>
      </c>
      <c r="C483" s="1">
        <v>30.59</v>
      </c>
      <c r="D483" s="1" t="s">
        <v>30</v>
      </c>
      <c r="E483" s="1" t="s">
        <v>33</v>
      </c>
      <c r="F483" s="2">
        <v>1639.5631000000001</v>
      </c>
    </row>
    <row r="484" spans="1:6" hidden="1">
      <c r="A484" s="1">
        <v>19</v>
      </c>
      <c r="B484" s="1" t="s">
        <v>35</v>
      </c>
      <c r="C484" s="1">
        <v>35.4</v>
      </c>
      <c r="D484" s="1" t="s">
        <v>30</v>
      </c>
      <c r="E484" s="1" t="s">
        <v>32</v>
      </c>
      <c r="F484" s="2">
        <v>1263.249</v>
      </c>
    </row>
    <row r="485" spans="1:6" hidden="1">
      <c r="A485" s="1">
        <v>20</v>
      </c>
      <c r="B485" s="1" t="s">
        <v>35</v>
      </c>
      <c r="C485" s="1">
        <v>33</v>
      </c>
      <c r="D485" s="1" t="s">
        <v>30</v>
      </c>
      <c r="E485" s="1" t="s">
        <v>32</v>
      </c>
      <c r="F485" s="2">
        <v>1980.07</v>
      </c>
    </row>
    <row r="486" spans="1:6" hidden="1">
      <c r="A486" s="1">
        <v>20</v>
      </c>
      <c r="B486" s="1" t="s">
        <v>35</v>
      </c>
      <c r="C486" s="1">
        <v>33.33</v>
      </c>
      <c r="D486" s="1" t="s">
        <v>30</v>
      </c>
      <c r="E486" s="1" t="s">
        <v>31</v>
      </c>
      <c r="F486" s="2">
        <v>1391.5287000000001</v>
      </c>
    </row>
    <row r="487" spans="1:6" hidden="1">
      <c r="A487" s="1">
        <v>20</v>
      </c>
      <c r="B487" s="1" t="s">
        <v>35</v>
      </c>
      <c r="C487" s="1">
        <v>35.31</v>
      </c>
      <c r="D487" s="1" t="s">
        <v>30</v>
      </c>
      <c r="E487" s="1" t="s">
        <v>31</v>
      </c>
      <c r="F487" s="2">
        <v>27724.28875</v>
      </c>
    </row>
    <row r="488" spans="1:6" hidden="1">
      <c r="A488" s="1">
        <v>20</v>
      </c>
      <c r="B488" s="1" t="s">
        <v>35</v>
      </c>
      <c r="C488" s="1">
        <v>31.13</v>
      </c>
      <c r="D488" s="1" t="s">
        <v>30</v>
      </c>
      <c r="E488" s="1" t="s">
        <v>31</v>
      </c>
      <c r="F488" s="2">
        <v>2566.4706999999999</v>
      </c>
    </row>
    <row r="489" spans="1:6" hidden="1">
      <c r="A489" s="1">
        <v>20</v>
      </c>
      <c r="B489" s="1" t="s">
        <v>35</v>
      </c>
      <c r="C489" s="1">
        <v>32.395000000000003</v>
      </c>
      <c r="D489" s="1" t="s">
        <v>30</v>
      </c>
      <c r="E489" s="1" t="s">
        <v>33</v>
      </c>
      <c r="F489" s="2">
        <v>2362.2290499999999</v>
      </c>
    </row>
    <row r="490" spans="1:6" hidden="1">
      <c r="A490" s="1">
        <v>20</v>
      </c>
      <c r="B490" s="1" t="s">
        <v>35</v>
      </c>
      <c r="C490" s="1">
        <v>40.47</v>
      </c>
      <c r="D490" s="1" t="s">
        <v>30</v>
      </c>
      <c r="E490" s="1" t="s">
        <v>34</v>
      </c>
      <c r="F490" s="2">
        <v>1984.4532999999999</v>
      </c>
    </row>
    <row r="491" spans="1:6" hidden="1">
      <c r="A491" s="1">
        <v>20</v>
      </c>
      <c r="B491" s="1" t="s">
        <v>35</v>
      </c>
      <c r="C491" s="1">
        <v>30.114999999999998</v>
      </c>
      <c r="D491" s="1" t="s">
        <v>30</v>
      </c>
      <c r="E491" s="1" t="s">
        <v>34</v>
      </c>
      <c r="F491" s="2">
        <v>4915.0598499999996</v>
      </c>
    </row>
    <row r="492" spans="1:6" hidden="1">
      <c r="A492" s="1">
        <v>21</v>
      </c>
      <c r="B492" s="1" t="s">
        <v>35</v>
      </c>
      <c r="C492" s="1">
        <v>35.53</v>
      </c>
      <c r="D492" s="1" t="s">
        <v>30</v>
      </c>
      <c r="E492" s="1" t="s">
        <v>31</v>
      </c>
      <c r="F492" s="2">
        <v>1532.4697000000001</v>
      </c>
    </row>
    <row r="493" spans="1:6" hidden="1">
      <c r="A493" s="1">
        <v>21</v>
      </c>
      <c r="B493" s="1" t="s">
        <v>35</v>
      </c>
      <c r="C493" s="1">
        <v>31.02</v>
      </c>
      <c r="D493" s="1" t="s">
        <v>30</v>
      </c>
      <c r="E493" s="1" t="s">
        <v>31</v>
      </c>
      <c r="F493" s="2">
        <v>16586.49771</v>
      </c>
    </row>
    <row r="494" spans="1:6" hidden="1">
      <c r="A494" s="1">
        <v>21</v>
      </c>
      <c r="B494" s="1" t="s">
        <v>35</v>
      </c>
      <c r="C494" s="1">
        <v>36.85</v>
      </c>
      <c r="D494" s="1" t="s">
        <v>30</v>
      </c>
      <c r="E494" s="1" t="s">
        <v>31</v>
      </c>
      <c r="F494" s="2">
        <v>1534.3045</v>
      </c>
    </row>
    <row r="495" spans="1:6" hidden="1">
      <c r="A495" s="1">
        <v>21</v>
      </c>
      <c r="B495" s="1" t="s">
        <v>35</v>
      </c>
      <c r="C495" s="1">
        <v>36.86</v>
      </c>
      <c r="D495" s="1" t="s">
        <v>30</v>
      </c>
      <c r="E495" s="1" t="s">
        <v>33</v>
      </c>
      <c r="F495" s="2">
        <v>1917.3184000000001</v>
      </c>
    </row>
    <row r="496" spans="1:6" hidden="1">
      <c r="A496" s="1">
        <v>21</v>
      </c>
      <c r="B496" s="1" t="s">
        <v>35</v>
      </c>
      <c r="C496" s="1">
        <v>31.1</v>
      </c>
      <c r="D496" s="1" t="s">
        <v>30</v>
      </c>
      <c r="E496" s="1" t="s">
        <v>32</v>
      </c>
      <c r="F496" s="2">
        <v>1526.3119999999999</v>
      </c>
    </row>
    <row r="497" spans="1:6" hidden="1">
      <c r="A497" s="1">
        <v>21</v>
      </c>
      <c r="B497" s="1" t="s">
        <v>35</v>
      </c>
      <c r="C497" s="1">
        <v>31.254999999999999</v>
      </c>
      <c r="D497" s="1" t="s">
        <v>30</v>
      </c>
      <c r="E497" s="1" t="s">
        <v>33</v>
      </c>
      <c r="F497" s="2">
        <v>1909.52745</v>
      </c>
    </row>
    <row r="498" spans="1:6" hidden="1">
      <c r="A498" s="1">
        <v>22</v>
      </c>
      <c r="B498" s="1" t="s">
        <v>35</v>
      </c>
      <c r="C498" s="1">
        <v>31.73</v>
      </c>
      <c r="D498" s="1" t="s">
        <v>30</v>
      </c>
      <c r="E498" s="1" t="s">
        <v>34</v>
      </c>
      <c r="F498" s="2">
        <v>2254.7966999999999</v>
      </c>
    </row>
    <row r="499" spans="1:6" hidden="1">
      <c r="A499" s="1">
        <v>22</v>
      </c>
      <c r="B499" s="1" t="s">
        <v>35</v>
      </c>
      <c r="C499" s="1">
        <v>31.35</v>
      </c>
      <c r="D499" s="1" t="s">
        <v>30</v>
      </c>
      <c r="E499" s="1" t="s">
        <v>33</v>
      </c>
      <c r="F499" s="2">
        <v>2643.2685000000001</v>
      </c>
    </row>
    <row r="500" spans="1:6" hidden="1">
      <c r="A500" s="1">
        <v>22</v>
      </c>
      <c r="B500" s="1" t="s">
        <v>35</v>
      </c>
      <c r="C500" s="1">
        <v>34.799999999999997</v>
      </c>
      <c r="D500" s="1" t="s">
        <v>30</v>
      </c>
      <c r="E500" s="1" t="s">
        <v>32</v>
      </c>
      <c r="F500" s="2">
        <v>3443.0639999999999</v>
      </c>
    </row>
    <row r="501" spans="1:6" hidden="1">
      <c r="A501" s="1">
        <v>22</v>
      </c>
      <c r="B501" s="1" t="s">
        <v>35</v>
      </c>
      <c r="C501" s="1">
        <v>39.5</v>
      </c>
      <c r="D501" s="1" t="s">
        <v>30</v>
      </c>
      <c r="E501" s="1" t="s">
        <v>32</v>
      </c>
      <c r="F501" s="2">
        <v>1682.597</v>
      </c>
    </row>
    <row r="502" spans="1:6" hidden="1">
      <c r="A502" s="1">
        <v>22</v>
      </c>
      <c r="B502" s="1" t="s">
        <v>35</v>
      </c>
      <c r="C502" s="1">
        <v>33.770000000000003</v>
      </c>
      <c r="D502" s="1" t="s">
        <v>30</v>
      </c>
      <c r="E502" s="1" t="s">
        <v>31</v>
      </c>
      <c r="F502" s="2">
        <v>1674.6323</v>
      </c>
    </row>
    <row r="503" spans="1:6" hidden="1">
      <c r="A503" s="1">
        <v>22</v>
      </c>
      <c r="B503" s="1" t="s">
        <v>35</v>
      </c>
      <c r="C503" s="1">
        <v>32.11</v>
      </c>
      <c r="D503" s="1" t="s">
        <v>30</v>
      </c>
      <c r="E503" s="1" t="s">
        <v>33</v>
      </c>
      <c r="F503" s="2">
        <v>2055.3249000000001</v>
      </c>
    </row>
    <row r="504" spans="1:6" hidden="1">
      <c r="A504" s="1">
        <v>23</v>
      </c>
      <c r="B504" s="1" t="s">
        <v>35</v>
      </c>
      <c r="C504" s="1">
        <v>34.4</v>
      </c>
      <c r="D504" s="1" t="s">
        <v>30</v>
      </c>
      <c r="E504" s="1" t="s">
        <v>32</v>
      </c>
      <c r="F504" s="2">
        <v>1826.8430000000001</v>
      </c>
    </row>
    <row r="505" spans="1:6" hidden="1">
      <c r="A505" s="1">
        <v>23</v>
      </c>
      <c r="B505" s="1" t="s">
        <v>35</v>
      </c>
      <c r="C505" s="1">
        <v>41.91</v>
      </c>
      <c r="D505" s="1" t="s">
        <v>30</v>
      </c>
      <c r="E505" s="1" t="s">
        <v>31</v>
      </c>
      <c r="F505" s="2">
        <v>1837.2819</v>
      </c>
    </row>
    <row r="506" spans="1:6" hidden="1">
      <c r="A506" s="1">
        <v>23</v>
      </c>
      <c r="B506" s="1" t="s">
        <v>35</v>
      </c>
      <c r="C506" s="1">
        <v>32.56</v>
      </c>
      <c r="D506" s="1" t="s">
        <v>30</v>
      </c>
      <c r="E506" s="1" t="s">
        <v>31</v>
      </c>
      <c r="F506" s="2">
        <v>1824.2854</v>
      </c>
    </row>
    <row r="507" spans="1:6" hidden="1">
      <c r="A507" s="1">
        <v>23</v>
      </c>
      <c r="B507" s="1" t="s">
        <v>35</v>
      </c>
      <c r="C507" s="1">
        <v>35.200000000000003</v>
      </c>
      <c r="D507" s="1" t="s">
        <v>30</v>
      </c>
      <c r="E507" s="1" t="s">
        <v>32</v>
      </c>
      <c r="F507" s="2">
        <v>2416.9549999999999</v>
      </c>
    </row>
    <row r="508" spans="1:6" hidden="1">
      <c r="A508" s="1">
        <v>23</v>
      </c>
      <c r="B508" s="1" t="s">
        <v>35</v>
      </c>
      <c r="C508" s="1">
        <v>37.1</v>
      </c>
      <c r="D508" s="1" t="s">
        <v>30</v>
      </c>
      <c r="E508" s="1" t="s">
        <v>32</v>
      </c>
      <c r="F508" s="2">
        <v>3597.596</v>
      </c>
    </row>
    <row r="509" spans="1:6" hidden="1">
      <c r="A509" s="1">
        <v>23</v>
      </c>
      <c r="B509" s="1" t="s">
        <v>35</v>
      </c>
      <c r="C509" s="1">
        <v>50.38</v>
      </c>
      <c r="D509" s="1" t="s">
        <v>30</v>
      </c>
      <c r="E509" s="1" t="s">
        <v>31</v>
      </c>
      <c r="F509" s="2">
        <v>2438.0551999999998</v>
      </c>
    </row>
    <row r="510" spans="1:6" hidden="1">
      <c r="A510" s="1">
        <v>23</v>
      </c>
      <c r="B510" s="1" t="s">
        <v>35</v>
      </c>
      <c r="C510" s="1">
        <v>32.700000000000003</v>
      </c>
      <c r="D510" s="1" t="s">
        <v>30</v>
      </c>
      <c r="E510" s="1" t="s">
        <v>32</v>
      </c>
      <c r="F510" s="2">
        <v>3591.48</v>
      </c>
    </row>
    <row r="511" spans="1:6" hidden="1">
      <c r="A511" s="1">
        <v>24</v>
      </c>
      <c r="B511" s="1" t="s">
        <v>35</v>
      </c>
      <c r="C511" s="1">
        <v>35.86</v>
      </c>
      <c r="D511" s="1" t="s">
        <v>30</v>
      </c>
      <c r="E511" s="1" t="s">
        <v>31</v>
      </c>
      <c r="F511" s="2">
        <v>1986.9333999999999</v>
      </c>
    </row>
    <row r="512" spans="1:6" hidden="1">
      <c r="A512" s="1">
        <v>24</v>
      </c>
      <c r="B512" s="1" t="s">
        <v>35</v>
      </c>
      <c r="C512" s="1">
        <v>33.630000000000003</v>
      </c>
      <c r="D512" s="1" t="s">
        <v>30</v>
      </c>
      <c r="E512" s="1" t="s">
        <v>34</v>
      </c>
      <c r="F512" s="2">
        <v>17128.426080000001</v>
      </c>
    </row>
    <row r="513" spans="1:6" hidden="1">
      <c r="A513" s="1">
        <v>24</v>
      </c>
      <c r="B513" s="1" t="s">
        <v>35</v>
      </c>
      <c r="C513" s="1">
        <v>32.01</v>
      </c>
      <c r="D513" s="1" t="s">
        <v>30</v>
      </c>
      <c r="E513" s="1" t="s">
        <v>31</v>
      </c>
      <c r="F513" s="2">
        <v>1981.5818999999999</v>
      </c>
    </row>
    <row r="514" spans="1:6" hidden="1">
      <c r="A514" s="1">
        <v>25</v>
      </c>
      <c r="B514" s="1" t="s">
        <v>35</v>
      </c>
      <c r="C514" s="1">
        <v>33.659999999999997</v>
      </c>
      <c r="D514" s="1" t="s">
        <v>30</v>
      </c>
      <c r="E514" s="1" t="s">
        <v>31</v>
      </c>
      <c r="F514" s="2">
        <v>4504.6624000000002</v>
      </c>
    </row>
    <row r="515" spans="1:6" hidden="1">
      <c r="A515" s="1">
        <v>25</v>
      </c>
      <c r="B515" s="1" t="s">
        <v>35</v>
      </c>
      <c r="C515" s="1">
        <v>30.59</v>
      </c>
      <c r="D515" s="1" t="s">
        <v>30</v>
      </c>
      <c r="E515" s="1" t="s">
        <v>34</v>
      </c>
      <c r="F515" s="2">
        <v>2727.3951000000002</v>
      </c>
    </row>
    <row r="516" spans="1:6" hidden="1">
      <c r="A516" s="1">
        <v>25</v>
      </c>
      <c r="B516" s="1" t="s">
        <v>35</v>
      </c>
      <c r="C516" s="1">
        <v>35.625</v>
      </c>
      <c r="D516" s="1" t="s">
        <v>30</v>
      </c>
      <c r="E516" s="1" t="s">
        <v>33</v>
      </c>
      <c r="F516" s="2">
        <v>2534.3937500000002</v>
      </c>
    </row>
    <row r="517" spans="1:6" hidden="1">
      <c r="A517" s="1">
        <v>26</v>
      </c>
      <c r="B517" s="1" t="s">
        <v>35</v>
      </c>
      <c r="C517" s="1">
        <v>30.875</v>
      </c>
      <c r="D517" s="1" t="s">
        <v>30</v>
      </c>
      <c r="E517" s="1" t="s">
        <v>33</v>
      </c>
      <c r="F517" s="2">
        <v>3877.3042500000001</v>
      </c>
    </row>
    <row r="518" spans="1:6" hidden="1">
      <c r="A518" s="1">
        <v>26</v>
      </c>
      <c r="B518" s="1" t="s">
        <v>35</v>
      </c>
      <c r="C518" s="1">
        <v>32.49</v>
      </c>
      <c r="D518" s="1" t="s">
        <v>30</v>
      </c>
      <c r="E518" s="1" t="s">
        <v>34</v>
      </c>
      <c r="F518" s="2">
        <v>3490.5491000000002</v>
      </c>
    </row>
    <row r="519" spans="1:6" hidden="1">
      <c r="A519" s="1">
        <v>26</v>
      </c>
      <c r="B519" s="1" t="s">
        <v>35</v>
      </c>
      <c r="C519" s="1">
        <v>46.53</v>
      </c>
      <c r="D519" s="1" t="s">
        <v>30</v>
      </c>
      <c r="E519" s="1" t="s">
        <v>31</v>
      </c>
      <c r="F519" s="2">
        <v>2927.0646999999999</v>
      </c>
    </row>
    <row r="520" spans="1:6" hidden="1">
      <c r="A520" s="1">
        <v>26</v>
      </c>
      <c r="B520" s="1" t="s">
        <v>35</v>
      </c>
      <c r="C520" s="1">
        <v>35.42</v>
      </c>
      <c r="D520" s="1" t="s">
        <v>30</v>
      </c>
      <c r="E520" s="1" t="s">
        <v>31</v>
      </c>
      <c r="F520" s="2">
        <v>2322.6217999999999</v>
      </c>
    </row>
    <row r="521" spans="1:6" hidden="1">
      <c r="A521" s="1">
        <v>26</v>
      </c>
      <c r="B521" s="1" t="s">
        <v>35</v>
      </c>
      <c r="C521" s="1">
        <v>30</v>
      </c>
      <c r="D521" s="1" t="s">
        <v>30</v>
      </c>
      <c r="E521" s="1" t="s">
        <v>32</v>
      </c>
      <c r="F521" s="2">
        <v>2904.0880000000002</v>
      </c>
    </row>
    <row r="522" spans="1:6" hidden="1">
      <c r="A522" s="1">
        <v>26</v>
      </c>
      <c r="B522" s="1" t="s">
        <v>35</v>
      </c>
      <c r="C522" s="1">
        <v>31.065000000000001</v>
      </c>
      <c r="D522" s="1" t="s">
        <v>30</v>
      </c>
      <c r="E522" s="1" t="s">
        <v>33</v>
      </c>
      <c r="F522" s="2">
        <v>2699.56835</v>
      </c>
    </row>
    <row r="523" spans="1:6" hidden="1">
      <c r="A523" s="1">
        <v>26</v>
      </c>
      <c r="B523" s="1" t="s">
        <v>35</v>
      </c>
      <c r="C523" s="1">
        <v>33.914999999999999</v>
      </c>
      <c r="D523" s="1" t="s">
        <v>30</v>
      </c>
      <c r="E523" s="1" t="s">
        <v>33</v>
      </c>
      <c r="F523" s="2">
        <v>3292.5298499999999</v>
      </c>
    </row>
    <row r="524" spans="1:6" hidden="1">
      <c r="A524" s="1">
        <v>27</v>
      </c>
      <c r="B524" s="1" t="s">
        <v>35</v>
      </c>
      <c r="C524" s="1">
        <v>30.3</v>
      </c>
      <c r="D524" s="1" t="s">
        <v>30</v>
      </c>
      <c r="E524" s="1" t="s">
        <v>32</v>
      </c>
      <c r="F524" s="2">
        <v>4260.7439999999997</v>
      </c>
    </row>
    <row r="525" spans="1:6" hidden="1">
      <c r="A525" s="1">
        <v>27</v>
      </c>
      <c r="B525" s="1" t="s">
        <v>35</v>
      </c>
      <c r="C525" s="1">
        <v>32.67</v>
      </c>
      <c r="D525" s="1" t="s">
        <v>30</v>
      </c>
      <c r="E525" s="1" t="s">
        <v>31</v>
      </c>
      <c r="F525" s="2">
        <v>2497.0383000000002</v>
      </c>
    </row>
    <row r="526" spans="1:6" hidden="1">
      <c r="A526" s="1">
        <v>27</v>
      </c>
      <c r="B526" s="1" t="s">
        <v>35</v>
      </c>
      <c r="C526" s="1">
        <v>33.659999999999997</v>
      </c>
      <c r="D526" s="1" t="s">
        <v>30</v>
      </c>
      <c r="E526" s="1" t="s">
        <v>31</v>
      </c>
      <c r="F526" s="2">
        <v>2498.4144000000001</v>
      </c>
    </row>
    <row r="527" spans="1:6" hidden="1">
      <c r="A527" s="1">
        <v>27</v>
      </c>
      <c r="B527" s="1" t="s">
        <v>35</v>
      </c>
      <c r="C527" s="1">
        <v>30.5</v>
      </c>
      <c r="D527" s="1" t="s">
        <v>30</v>
      </c>
      <c r="E527" s="1" t="s">
        <v>32</v>
      </c>
      <c r="F527" s="2">
        <v>2494.0219999999999</v>
      </c>
    </row>
    <row r="528" spans="1:6" hidden="1">
      <c r="A528" s="1">
        <v>27</v>
      </c>
      <c r="B528" s="1" t="s">
        <v>35</v>
      </c>
      <c r="C528" s="1">
        <v>33.155000000000001</v>
      </c>
      <c r="D528" s="1" t="s">
        <v>30</v>
      </c>
      <c r="E528" s="1" t="s">
        <v>33</v>
      </c>
      <c r="F528" s="2">
        <v>4058.71245</v>
      </c>
    </row>
    <row r="529" spans="1:6" hidden="1">
      <c r="A529" s="1">
        <v>27</v>
      </c>
      <c r="B529" s="1" t="s">
        <v>35</v>
      </c>
      <c r="C529" s="1">
        <v>32.585000000000001</v>
      </c>
      <c r="D529" s="1" t="s">
        <v>30</v>
      </c>
      <c r="E529" s="1" t="s">
        <v>34</v>
      </c>
      <c r="F529" s="2">
        <v>4846.9201499999999</v>
      </c>
    </row>
    <row r="530" spans="1:6" hidden="1">
      <c r="A530" s="1">
        <v>27</v>
      </c>
      <c r="B530" s="1" t="s">
        <v>35</v>
      </c>
      <c r="C530" s="1">
        <v>45.9</v>
      </c>
      <c r="D530" s="1" t="s">
        <v>30</v>
      </c>
      <c r="E530" s="1" t="s">
        <v>32</v>
      </c>
      <c r="F530" s="2">
        <v>3693.4279999999999</v>
      </c>
    </row>
    <row r="531" spans="1:6" hidden="1">
      <c r="A531" s="1">
        <v>28</v>
      </c>
      <c r="B531" s="1" t="s">
        <v>35</v>
      </c>
      <c r="C531" s="1">
        <v>33</v>
      </c>
      <c r="D531" s="1" t="s">
        <v>30</v>
      </c>
      <c r="E531" s="1" t="s">
        <v>31</v>
      </c>
      <c r="F531" s="2">
        <v>4449.4620000000004</v>
      </c>
    </row>
    <row r="532" spans="1:6" hidden="1">
      <c r="A532" s="1">
        <v>28</v>
      </c>
      <c r="B532" s="1" t="s">
        <v>35</v>
      </c>
      <c r="C532" s="1">
        <v>38.06</v>
      </c>
      <c r="D532" s="1" t="s">
        <v>30</v>
      </c>
      <c r="E532" s="1" t="s">
        <v>31</v>
      </c>
      <c r="F532" s="2">
        <v>2689.4953999999998</v>
      </c>
    </row>
    <row r="533" spans="1:6" hidden="1">
      <c r="A533" s="1">
        <v>28</v>
      </c>
      <c r="B533" s="1" t="s">
        <v>35</v>
      </c>
      <c r="C533" s="1">
        <v>35.435000000000002</v>
      </c>
      <c r="D533" s="1" t="s">
        <v>30</v>
      </c>
      <c r="E533" s="1" t="s">
        <v>34</v>
      </c>
      <c r="F533" s="2">
        <v>3268.84665</v>
      </c>
    </row>
    <row r="534" spans="1:6" hidden="1">
      <c r="A534" s="1">
        <v>28</v>
      </c>
      <c r="B534" s="1" t="s">
        <v>35</v>
      </c>
      <c r="C534" s="1">
        <v>30.875</v>
      </c>
      <c r="D534" s="1" t="s">
        <v>30</v>
      </c>
      <c r="E534" s="1" t="s">
        <v>33</v>
      </c>
      <c r="F534" s="2">
        <v>3062.5082499999999</v>
      </c>
    </row>
    <row r="535" spans="1:6" hidden="1">
      <c r="A535" s="1">
        <v>28</v>
      </c>
      <c r="B535" s="1" t="s">
        <v>35</v>
      </c>
      <c r="C535" s="1">
        <v>33.82</v>
      </c>
      <c r="D535" s="1" t="s">
        <v>30</v>
      </c>
      <c r="E535" s="1" t="s">
        <v>33</v>
      </c>
      <c r="F535" s="2">
        <v>19673.335729999999</v>
      </c>
    </row>
    <row r="536" spans="1:6" hidden="1">
      <c r="A536" s="1">
        <v>28</v>
      </c>
      <c r="B536" s="1" t="s">
        <v>35</v>
      </c>
      <c r="C536" s="1">
        <v>37.1</v>
      </c>
      <c r="D536" s="1" t="s">
        <v>30</v>
      </c>
      <c r="E536" s="1" t="s">
        <v>32</v>
      </c>
      <c r="F536" s="2">
        <v>3277.1610000000001</v>
      </c>
    </row>
    <row r="537" spans="1:6" hidden="1">
      <c r="A537" s="1">
        <v>29</v>
      </c>
      <c r="B537" s="1" t="s">
        <v>35</v>
      </c>
      <c r="C537" s="1">
        <v>33.344999999999999</v>
      </c>
      <c r="D537" s="1" t="s">
        <v>30</v>
      </c>
      <c r="E537" s="1" t="s">
        <v>33</v>
      </c>
      <c r="F537" s="2">
        <v>19442.353500000001</v>
      </c>
    </row>
    <row r="538" spans="1:6" hidden="1">
      <c r="A538" s="1">
        <v>29</v>
      </c>
      <c r="B538" s="1" t="s">
        <v>35</v>
      </c>
      <c r="C538" s="1">
        <v>31.73</v>
      </c>
      <c r="D538" s="1" t="s">
        <v>30</v>
      </c>
      <c r="E538" s="1" t="s">
        <v>33</v>
      </c>
      <c r="F538" s="2">
        <v>4433.3877000000002</v>
      </c>
    </row>
    <row r="539" spans="1:6" hidden="1">
      <c r="A539" s="1">
        <v>29</v>
      </c>
      <c r="B539" s="1" t="s">
        <v>35</v>
      </c>
      <c r="C539" s="1">
        <v>38.94</v>
      </c>
      <c r="D539" s="1" t="s">
        <v>30</v>
      </c>
      <c r="E539" s="1" t="s">
        <v>31</v>
      </c>
      <c r="F539" s="2">
        <v>3471.4096</v>
      </c>
    </row>
    <row r="540" spans="1:6" hidden="1">
      <c r="A540" s="1">
        <v>29</v>
      </c>
      <c r="B540" s="1" t="s">
        <v>35</v>
      </c>
      <c r="C540" s="1">
        <v>32.11</v>
      </c>
      <c r="D540" s="1" t="s">
        <v>30</v>
      </c>
      <c r="E540" s="1" t="s">
        <v>33</v>
      </c>
      <c r="F540" s="2">
        <v>4433.9159</v>
      </c>
    </row>
    <row r="541" spans="1:6" hidden="1">
      <c r="A541" s="1">
        <v>29</v>
      </c>
      <c r="B541" s="1" t="s">
        <v>35</v>
      </c>
      <c r="C541" s="1">
        <v>37.29</v>
      </c>
      <c r="D541" s="1" t="s">
        <v>30</v>
      </c>
      <c r="E541" s="1" t="s">
        <v>31</v>
      </c>
      <c r="F541" s="2">
        <v>4058.1161000000002</v>
      </c>
    </row>
    <row r="542" spans="1:6" hidden="1">
      <c r="A542" s="1">
        <v>30</v>
      </c>
      <c r="B542" s="1" t="s">
        <v>35</v>
      </c>
      <c r="C542" s="1">
        <v>31.4</v>
      </c>
      <c r="D542" s="1" t="s">
        <v>30</v>
      </c>
      <c r="E542" s="1" t="s">
        <v>32</v>
      </c>
      <c r="F542" s="2">
        <v>3659.346</v>
      </c>
    </row>
    <row r="543" spans="1:6" hidden="1">
      <c r="A543" s="1">
        <v>30</v>
      </c>
      <c r="B543" s="1" t="s">
        <v>35</v>
      </c>
      <c r="C543" s="1">
        <v>31.57</v>
      </c>
      <c r="D543" s="1" t="s">
        <v>30</v>
      </c>
      <c r="E543" s="1" t="s">
        <v>31</v>
      </c>
      <c r="F543" s="2">
        <v>4837.5823</v>
      </c>
    </row>
    <row r="544" spans="1:6" hidden="1">
      <c r="A544" s="1">
        <v>30</v>
      </c>
      <c r="B544" s="1" t="s">
        <v>35</v>
      </c>
      <c r="C544" s="1">
        <v>37.43</v>
      </c>
      <c r="D544" s="1" t="s">
        <v>30</v>
      </c>
      <c r="E544" s="1" t="s">
        <v>34</v>
      </c>
      <c r="F544" s="2">
        <v>5428.7277000000004</v>
      </c>
    </row>
    <row r="545" spans="1:6" hidden="1">
      <c r="A545" s="1">
        <v>30</v>
      </c>
      <c r="B545" s="1" t="s">
        <v>35</v>
      </c>
      <c r="C545" s="1">
        <v>44.22</v>
      </c>
      <c r="D545" s="1" t="s">
        <v>30</v>
      </c>
      <c r="E545" s="1" t="s">
        <v>31</v>
      </c>
      <c r="F545" s="2">
        <v>4266.1657999999998</v>
      </c>
    </row>
    <row r="546" spans="1:6" hidden="1">
      <c r="A546" s="1">
        <v>30</v>
      </c>
      <c r="B546" s="1" t="s">
        <v>35</v>
      </c>
      <c r="C546" s="1">
        <v>38.83</v>
      </c>
      <c r="D546" s="1" t="s">
        <v>30</v>
      </c>
      <c r="E546" s="1" t="s">
        <v>31</v>
      </c>
      <c r="F546" s="2">
        <v>18963.171920000001</v>
      </c>
    </row>
    <row r="547" spans="1:6" hidden="1">
      <c r="A547" s="1">
        <v>31</v>
      </c>
      <c r="B547" s="1" t="s">
        <v>35</v>
      </c>
      <c r="C547" s="1">
        <v>38.39</v>
      </c>
      <c r="D547" s="1" t="s">
        <v>30</v>
      </c>
      <c r="E547" s="1" t="s">
        <v>31</v>
      </c>
      <c r="F547" s="2">
        <v>4463.2051000000001</v>
      </c>
    </row>
    <row r="548" spans="1:6" hidden="1">
      <c r="A548" s="1">
        <v>31</v>
      </c>
      <c r="B548" s="1" t="s">
        <v>35</v>
      </c>
      <c r="C548" s="1">
        <v>30.875</v>
      </c>
      <c r="D548" s="1" t="s">
        <v>30</v>
      </c>
      <c r="E548" s="1" t="s">
        <v>34</v>
      </c>
      <c r="F548" s="2">
        <v>3857.7592500000001</v>
      </c>
    </row>
    <row r="549" spans="1:6" hidden="1">
      <c r="A549" s="1">
        <v>31</v>
      </c>
      <c r="B549" s="1" t="s">
        <v>35</v>
      </c>
      <c r="C549" s="1">
        <v>39.49</v>
      </c>
      <c r="D549" s="1" t="s">
        <v>30</v>
      </c>
      <c r="E549" s="1" t="s">
        <v>31</v>
      </c>
      <c r="F549" s="2">
        <v>3875.7341000000001</v>
      </c>
    </row>
    <row r="550" spans="1:6" hidden="1">
      <c r="A550" s="1">
        <v>31</v>
      </c>
      <c r="B550" s="1" t="s">
        <v>35</v>
      </c>
      <c r="C550" s="1">
        <v>31.065000000000001</v>
      </c>
      <c r="D550" s="1" t="s">
        <v>30</v>
      </c>
      <c r="E550" s="1" t="s">
        <v>33</v>
      </c>
      <c r="F550" s="2">
        <v>5425.0233500000004</v>
      </c>
    </row>
    <row r="551" spans="1:6" hidden="1">
      <c r="A551" s="1">
        <v>32</v>
      </c>
      <c r="B551" s="1" t="s">
        <v>35</v>
      </c>
      <c r="C551" s="1">
        <v>30.8</v>
      </c>
      <c r="D551" s="1" t="s">
        <v>30</v>
      </c>
      <c r="E551" s="1" t="s">
        <v>32</v>
      </c>
      <c r="F551" s="2">
        <v>5253.5240000000003</v>
      </c>
    </row>
    <row r="552" spans="1:6" hidden="1">
      <c r="A552" s="1">
        <v>32</v>
      </c>
      <c r="B552" s="1" t="s">
        <v>35</v>
      </c>
      <c r="C552" s="1">
        <v>37.335000000000001</v>
      </c>
      <c r="D552" s="1" t="s">
        <v>30</v>
      </c>
      <c r="E552" s="1" t="s">
        <v>34</v>
      </c>
      <c r="F552" s="2">
        <v>4667.6076499999999</v>
      </c>
    </row>
    <row r="553" spans="1:6" hidden="1">
      <c r="A553" s="1">
        <v>32</v>
      </c>
      <c r="B553" s="1" t="s">
        <v>35</v>
      </c>
      <c r="C553" s="1">
        <v>30.03</v>
      </c>
      <c r="D553" s="1" t="s">
        <v>30</v>
      </c>
      <c r="E553" s="1" t="s">
        <v>31</v>
      </c>
      <c r="F553" s="2">
        <v>4074.4537</v>
      </c>
    </row>
    <row r="554" spans="1:6" hidden="1">
      <c r="A554" s="1">
        <v>32</v>
      </c>
      <c r="B554" s="1" t="s">
        <v>35</v>
      </c>
      <c r="C554" s="1">
        <v>46.53</v>
      </c>
      <c r="D554" s="1" t="s">
        <v>30</v>
      </c>
      <c r="E554" s="1" t="s">
        <v>31</v>
      </c>
      <c r="F554" s="2">
        <v>4686.3887000000004</v>
      </c>
    </row>
    <row r="555" spans="1:6" hidden="1">
      <c r="A555" s="1">
        <v>32</v>
      </c>
      <c r="B555" s="1" t="s">
        <v>35</v>
      </c>
      <c r="C555" s="1">
        <v>37.18</v>
      </c>
      <c r="D555" s="1" t="s">
        <v>30</v>
      </c>
      <c r="E555" s="1" t="s">
        <v>31</v>
      </c>
      <c r="F555" s="2">
        <v>4673.3922000000002</v>
      </c>
    </row>
    <row r="556" spans="1:6" hidden="1">
      <c r="A556" s="1">
        <v>32</v>
      </c>
      <c r="B556" s="1" t="s">
        <v>35</v>
      </c>
      <c r="C556" s="1">
        <v>33.82</v>
      </c>
      <c r="D556" s="1" t="s">
        <v>30</v>
      </c>
      <c r="E556" s="1" t="s">
        <v>33</v>
      </c>
      <c r="F556" s="2">
        <v>4462.7218000000003</v>
      </c>
    </row>
    <row r="557" spans="1:6" hidden="1">
      <c r="A557" s="1">
        <v>32</v>
      </c>
      <c r="B557" s="1" t="s">
        <v>35</v>
      </c>
      <c r="C557" s="1">
        <v>31.5</v>
      </c>
      <c r="D557" s="1" t="s">
        <v>30</v>
      </c>
      <c r="E557" s="1" t="s">
        <v>32</v>
      </c>
      <c r="F557" s="2">
        <v>4076.4969999999998</v>
      </c>
    </row>
    <row r="558" spans="1:6" hidden="1">
      <c r="A558" s="1">
        <v>32</v>
      </c>
      <c r="B558" s="1" t="s">
        <v>35</v>
      </c>
      <c r="C558" s="1">
        <v>35.200000000000003</v>
      </c>
      <c r="D558" s="1" t="s">
        <v>30</v>
      </c>
      <c r="E558" s="1" t="s">
        <v>32</v>
      </c>
      <c r="F558" s="2">
        <v>4670.6400000000003</v>
      </c>
    </row>
    <row r="559" spans="1:6" hidden="1">
      <c r="A559" s="1">
        <v>33</v>
      </c>
      <c r="B559" s="1" t="s">
        <v>35</v>
      </c>
      <c r="C559" s="1">
        <v>35.75</v>
      </c>
      <c r="D559" s="1" t="s">
        <v>30</v>
      </c>
      <c r="E559" s="1" t="s">
        <v>31</v>
      </c>
      <c r="F559" s="2">
        <v>4889.9994999999999</v>
      </c>
    </row>
    <row r="560" spans="1:6" hidden="1">
      <c r="A560" s="1">
        <v>33</v>
      </c>
      <c r="B560" s="1" t="s">
        <v>35</v>
      </c>
      <c r="C560" s="1">
        <v>35.244999999999997</v>
      </c>
      <c r="D560" s="1" t="s">
        <v>30</v>
      </c>
      <c r="E560" s="1" t="s">
        <v>34</v>
      </c>
      <c r="F560" s="2">
        <v>12404.8791</v>
      </c>
    </row>
    <row r="561" spans="1:6" hidden="1">
      <c r="A561" s="1">
        <v>33</v>
      </c>
      <c r="B561" s="1" t="s">
        <v>35</v>
      </c>
      <c r="C561" s="1">
        <v>42.46</v>
      </c>
      <c r="D561" s="1" t="s">
        <v>30</v>
      </c>
      <c r="E561" s="1" t="s">
        <v>31</v>
      </c>
      <c r="F561" s="2">
        <v>11326.71487</v>
      </c>
    </row>
    <row r="562" spans="1:6" hidden="1">
      <c r="A562" s="1">
        <v>33</v>
      </c>
      <c r="B562" s="1" t="s">
        <v>35</v>
      </c>
      <c r="C562" s="1">
        <v>42.4</v>
      </c>
      <c r="D562" s="1" t="s">
        <v>30</v>
      </c>
      <c r="E562" s="1" t="s">
        <v>32</v>
      </c>
      <c r="F562" s="2">
        <v>6666.2430000000004</v>
      </c>
    </row>
    <row r="563" spans="1:6" hidden="1">
      <c r="A563" s="1">
        <v>33</v>
      </c>
      <c r="B563" s="1" t="s">
        <v>35</v>
      </c>
      <c r="C563" s="1">
        <v>33.44</v>
      </c>
      <c r="D563" s="1" t="s">
        <v>30</v>
      </c>
      <c r="E563" s="1" t="s">
        <v>31</v>
      </c>
      <c r="F563" s="2">
        <v>6653.7885999999999</v>
      </c>
    </row>
    <row r="564" spans="1:6" hidden="1">
      <c r="A564" s="1">
        <v>33</v>
      </c>
      <c r="B564" s="1" t="s">
        <v>35</v>
      </c>
      <c r="C564" s="1">
        <v>30.25</v>
      </c>
      <c r="D564" s="1" t="s">
        <v>30</v>
      </c>
      <c r="E564" s="1" t="s">
        <v>31</v>
      </c>
      <c r="F564" s="2">
        <v>3704.3544999999999</v>
      </c>
    </row>
    <row r="565" spans="1:6" hidden="1">
      <c r="A565" s="1">
        <v>34</v>
      </c>
      <c r="B565" s="1" t="s">
        <v>35</v>
      </c>
      <c r="C565" s="1">
        <v>34.21</v>
      </c>
      <c r="D565" s="1" t="s">
        <v>30</v>
      </c>
      <c r="E565" s="1" t="s">
        <v>31</v>
      </c>
      <c r="F565" s="2">
        <v>3935.1799000000001</v>
      </c>
    </row>
    <row r="566" spans="1:6" hidden="1">
      <c r="A566" s="1">
        <v>34</v>
      </c>
      <c r="B566" s="1" t="s">
        <v>35</v>
      </c>
      <c r="C566" s="1">
        <v>35.814999999999998</v>
      </c>
      <c r="D566" s="1" t="s">
        <v>30</v>
      </c>
      <c r="E566" s="1" t="s">
        <v>33</v>
      </c>
      <c r="F566" s="2">
        <v>4320.4108500000002</v>
      </c>
    </row>
    <row r="567" spans="1:6" hidden="1">
      <c r="A567" s="1">
        <v>34</v>
      </c>
      <c r="B567" s="1" t="s">
        <v>35</v>
      </c>
      <c r="C567" s="1">
        <v>34.674999999999997</v>
      </c>
      <c r="D567" s="1" t="s">
        <v>30</v>
      </c>
      <c r="E567" s="1" t="s">
        <v>34</v>
      </c>
      <c r="F567" s="2">
        <v>4518.8262500000001</v>
      </c>
    </row>
    <row r="568" spans="1:6" hidden="1">
      <c r="A568" s="1">
        <v>34</v>
      </c>
      <c r="B568" s="1" t="s">
        <v>35</v>
      </c>
      <c r="C568" s="1">
        <v>32.799999999999997</v>
      </c>
      <c r="D568" s="1" t="s">
        <v>30</v>
      </c>
      <c r="E568" s="1" t="s">
        <v>32</v>
      </c>
      <c r="F568" s="2">
        <v>14358.364369999999</v>
      </c>
    </row>
    <row r="569" spans="1:6" hidden="1">
      <c r="A569" s="1">
        <v>34</v>
      </c>
      <c r="B569" s="1" t="s">
        <v>35</v>
      </c>
      <c r="C569" s="1">
        <v>42.13</v>
      </c>
      <c r="D569" s="1" t="s">
        <v>30</v>
      </c>
      <c r="E569" s="1" t="s">
        <v>31</v>
      </c>
      <c r="F569" s="2">
        <v>5124.1886999999997</v>
      </c>
    </row>
    <row r="570" spans="1:6" hidden="1">
      <c r="A570" s="1">
        <v>34</v>
      </c>
      <c r="B570" s="1" t="s">
        <v>35</v>
      </c>
      <c r="C570" s="1">
        <v>42.9</v>
      </c>
      <c r="D570" s="1" t="s">
        <v>30</v>
      </c>
      <c r="E570" s="1" t="s">
        <v>32</v>
      </c>
      <c r="F570" s="2">
        <v>4536.259</v>
      </c>
    </row>
    <row r="571" spans="1:6" hidden="1">
      <c r="A571" s="1">
        <v>35</v>
      </c>
      <c r="B571" s="1" t="s">
        <v>35</v>
      </c>
      <c r="C571" s="1">
        <v>34.770000000000003</v>
      </c>
      <c r="D571" s="1" t="s">
        <v>30</v>
      </c>
      <c r="E571" s="1" t="s">
        <v>33</v>
      </c>
      <c r="F571" s="2">
        <v>5729.0052999999998</v>
      </c>
    </row>
    <row r="572" spans="1:6" hidden="1">
      <c r="A572" s="1">
        <v>35</v>
      </c>
      <c r="B572" s="1" t="s">
        <v>35</v>
      </c>
      <c r="C572" s="1">
        <v>30.5</v>
      </c>
      <c r="D572" s="1" t="s">
        <v>30</v>
      </c>
      <c r="E572" s="1" t="s">
        <v>32</v>
      </c>
      <c r="F572" s="2">
        <v>4751.07</v>
      </c>
    </row>
    <row r="573" spans="1:6" hidden="1">
      <c r="A573" s="1">
        <v>35</v>
      </c>
      <c r="B573" s="1" t="s">
        <v>35</v>
      </c>
      <c r="C573" s="1">
        <v>38.6</v>
      </c>
      <c r="D573" s="1" t="s">
        <v>30</v>
      </c>
      <c r="E573" s="1" t="s">
        <v>32</v>
      </c>
      <c r="F573" s="2">
        <v>4762.3289999999997</v>
      </c>
    </row>
    <row r="574" spans="1:6" hidden="1">
      <c r="A574" s="1">
        <v>35</v>
      </c>
      <c r="B574" s="1" t="s">
        <v>35</v>
      </c>
      <c r="C574" s="1">
        <v>34.32</v>
      </c>
      <c r="D574" s="1" t="s">
        <v>30</v>
      </c>
      <c r="E574" s="1" t="s">
        <v>31</v>
      </c>
      <c r="F574" s="2">
        <v>5934.3797999999997</v>
      </c>
    </row>
    <row r="575" spans="1:6" hidden="1">
      <c r="A575" s="1">
        <v>35</v>
      </c>
      <c r="B575" s="1" t="s">
        <v>35</v>
      </c>
      <c r="C575" s="1">
        <v>39.71</v>
      </c>
      <c r="D575" s="1" t="s">
        <v>30</v>
      </c>
      <c r="E575" s="1" t="s">
        <v>34</v>
      </c>
      <c r="F575" s="2">
        <v>19496.71917</v>
      </c>
    </row>
    <row r="576" spans="1:6" hidden="1">
      <c r="A576" s="1">
        <v>36</v>
      </c>
      <c r="B576" s="1" t="s">
        <v>35</v>
      </c>
      <c r="C576" s="1">
        <v>34.43</v>
      </c>
      <c r="D576" s="1" t="s">
        <v>30</v>
      </c>
      <c r="E576" s="1" t="s">
        <v>31</v>
      </c>
      <c r="F576" s="2">
        <v>5584.3056999999999</v>
      </c>
    </row>
    <row r="577" spans="1:6" hidden="1">
      <c r="A577" s="1">
        <v>36</v>
      </c>
      <c r="B577" s="1" t="s">
        <v>35</v>
      </c>
      <c r="C577" s="1">
        <v>33.82</v>
      </c>
      <c r="D577" s="1" t="s">
        <v>30</v>
      </c>
      <c r="E577" s="1" t="s">
        <v>33</v>
      </c>
      <c r="F577" s="2">
        <v>5377.4578000000001</v>
      </c>
    </row>
    <row r="578" spans="1:6" hidden="1">
      <c r="A578" s="1">
        <v>36</v>
      </c>
      <c r="B578" s="1" t="s">
        <v>35</v>
      </c>
      <c r="C578" s="1">
        <v>31.5</v>
      </c>
      <c r="D578" s="1" t="s">
        <v>30</v>
      </c>
      <c r="E578" s="1" t="s">
        <v>32</v>
      </c>
      <c r="F578" s="2">
        <v>4402.2330000000002</v>
      </c>
    </row>
    <row r="579" spans="1:6" hidden="1">
      <c r="A579" s="1">
        <v>36</v>
      </c>
      <c r="B579" s="1" t="s">
        <v>35</v>
      </c>
      <c r="C579" s="1">
        <v>30.875</v>
      </c>
      <c r="D579" s="1" t="s">
        <v>30</v>
      </c>
      <c r="E579" s="1" t="s">
        <v>33</v>
      </c>
      <c r="F579" s="2">
        <v>5373.3642499999996</v>
      </c>
    </row>
    <row r="580" spans="1:6" hidden="1">
      <c r="A580" s="1">
        <v>37</v>
      </c>
      <c r="B580" s="1" t="s">
        <v>35</v>
      </c>
      <c r="C580" s="1">
        <v>30.8</v>
      </c>
      <c r="D580" s="1" t="s">
        <v>30</v>
      </c>
      <c r="E580" s="1" t="s">
        <v>32</v>
      </c>
      <c r="F580" s="2">
        <v>4646.759</v>
      </c>
    </row>
    <row r="581" spans="1:6" hidden="1">
      <c r="A581" s="1">
        <v>37</v>
      </c>
      <c r="B581" s="1" t="s">
        <v>35</v>
      </c>
      <c r="C581" s="1">
        <v>30.875</v>
      </c>
      <c r="D581" s="1" t="s">
        <v>30</v>
      </c>
      <c r="E581" s="1" t="s">
        <v>33</v>
      </c>
      <c r="F581" s="2">
        <v>6796.8632500000003</v>
      </c>
    </row>
    <row r="582" spans="1:6" hidden="1">
      <c r="A582" s="1">
        <v>37</v>
      </c>
      <c r="B582" s="1" t="s">
        <v>35</v>
      </c>
      <c r="C582" s="1">
        <v>36.19</v>
      </c>
      <c r="D582" s="1" t="s">
        <v>30</v>
      </c>
      <c r="E582" s="1" t="s">
        <v>31</v>
      </c>
      <c r="F582" s="2">
        <v>19214.705529999999</v>
      </c>
    </row>
    <row r="583" spans="1:6" hidden="1">
      <c r="A583" s="1">
        <v>37</v>
      </c>
      <c r="B583" s="1" t="s">
        <v>35</v>
      </c>
      <c r="C583" s="1">
        <v>46.53</v>
      </c>
      <c r="D583" s="1" t="s">
        <v>30</v>
      </c>
      <c r="E583" s="1" t="s">
        <v>31</v>
      </c>
      <c r="F583" s="2">
        <v>6435.6237000000001</v>
      </c>
    </row>
    <row r="584" spans="1:6" hidden="1">
      <c r="A584" s="1">
        <v>38</v>
      </c>
      <c r="B584" s="1" t="s">
        <v>35</v>
      </c>
      <c r="C584" s="1">
        <v>37.049999999999997</v>
      </c>
      <c r="D584" s="1" t="s">
        <v>30</v>
      </c>
      <c r="E584" s="1" t="s">
        <v>34</v>
      </c>
      <c r="F584" s="2">
        <v>6079.6715000000004</v>
      </c>
    </row>
    <row r="585" spans="1:6" hidden="1">
      <c r="A585" s="1">
        <v>38</v>
      </c>
      <c r="B585" s="1" t="s">
        <v>35</v>
      </c>
      <c r="C585" s="1">
        <v>34.700000000000003</v>
      </c>
      <c r="D585" s="1" t="s">
        <v>30</v>
      </c>
      <c r="E585" s="1" t="s">
        <v>32</v>
      </c>
      <c r="F585" s="2">
        <v>6082.4049999999997</v>
      </c>
    </row>
    <row r="586" spans="1:6" hidden="1">
      <c r="A586" s="1">
        <v>38</v>
      </c>
      <c r="B586" s="1" t="s">
        <v>35</v>
      </c>
      <c r="C586" s="1">
        <v>31</v>
      </c>
      <c r="D586" s="1" t="s">
        <v>30</v>
      </c>
      <c r="E586" s="1" t="s">
        <v>32</v>
      </c>
      <c r="F586" s="2">
        <v>5488.2619999999997</v>
      </c>
    </row>
    <row r="587" spans="1:6" hidden="1">
      <c r="A587" s="1">
        <v>39</v>
      </c>
      <c r="B587" s="1" t="s">
        <v>35</v>
      </c>
      <c r="C587" s="1">
        <v>45.43</v>
      </c>
      <c r="D587" s="1" t="s">
        <v>30</v>
      </c>
      <c r="E587" s="1" t="s">
        <v>31</v>
      </c>
      <c r="F587" s="2">
        <v>6356.2707</v>
      </c>
    </row>
    <row r="588" spans="1:6" hidden="1">
      <c r="A588" s="1">
        <v>39</v>
      </c>
      <c r="B588" s="1" t="s">
        <v>35</v>
      </c>
      <c r="C588" s="1">
        <v>42.655000000000001</v>
      </c>
      <c r="D588" s="1" t="s">
        <v>30</v>
      </c>
      <c r="E588" s="1" t="s">
        <v>34</v>
      </c>
      <c r="F588" s="2">
        <v>5757.41345</v>
      </c>
    </row>
    <row r="589" spans="1:6" hidden="1">
      <c r="A589" s="1">
        <v>39</v>
      </c>
      <c r="B589" s="1" t="s">
        <v>35</v>
      </c>
      <c r="C589" s="1">
        <v>32.340000000000003</v>
      </c>
      <c r="D589" s="1" t="s">
        <v>30</v>
      </c>
      <c r="E589" s="1" t="s">
        <v>31</v>
      </c>
      <c r="F589" s="2">
        <v>6338.0756000000001</v>
      </c>
    </row>
    <row r="590" spans="1:6" hidden="1">
      <c r="A590" s="1">
        <v>39</v>
      </c>
      <c r="B590" s="1" t="s">
        <v>35</v>
      </c>
      <c r="C590" s="1">
        <v>34.1</v>
      </c>
      <c r="D590" s="1" t="s">
        <v>30</v>
      </c>
      <c r="E590" s="1" t="s">
        <v>31</v>
      </c>
      <c r="F590" s="2">
        <v>23563.016179999999</v>
      </c>
    </row>
    <row r="591" spans="1:6" hidden="1">
      <c r="A591" s="1">
        <v>40</v>
      </c>
      <c r="B591" s="1" t="s">
        <v>35</v>
      </c>
      <c r="C591" s="1">
        <v>41.23</v>
      </c>
      <c r="D591" s="1" t="s">
        <v>30</v>
      </c>
      <c r="E591" s="1" t="s">
        <v>34</v>
      </c>
      <c r="F591" s="2">
        <v>6610.1097</v>
      </c>
    </row>
    <row r="592" spans="1:6" hidden="1">
      <c r="A592" s="1">
        <v>40</v>
      </c>
      <c r="B592" s="1" t="s">
        <v>35</v>
      </c>
      <c r="C592" s="1">
        <v>30.875</v>
      </c>
      <c r="D592" s="1" t="s">
        <v>30</v>
      </c>
      <c r="E592" s="1" t="s">
        <v>33</v>
      </c>
      <c r="F592" s="2">
        <v>8162.7162500000004</v>
      </c>
    </row>
    <row r="593" spans="1:6" hidden="1">
      <c r="A593" s="1">
        <v>40</v>
      </c>
      <c r="B593" s="1" t="s">
        <v>35</v>
      </c>
      <c r="C593" s="1">
        <v>35.299999999999997</v>
      </c>
      <c r="D593" s="1" t="s">
        <v>30</v>
      </c>
      <c r="E593" s="1" t="s">
        <v>32</v>
      </c>
      <c r="F593" s="2">
        <v>7196.8670000000002</v>
      </c>
    </row>
    <row r="594" spans="1:6" hidden="1">
      <c r="A594" s="1">
        <v>40</v>
      </c>
      <c r="B594" s="1" t="s">
        <v>35</v>
      </c>
      <c r="C594" s="1">
        <v>34.104999999999997</v>
      </c>
      <c r="D594" s="1" t="s">
        <v>30</v>
      </c>
      <c r="E594" s="1" t="s">
        <v>34</v>
      </c>
      <c r="F594" s="2">
        <v>6600.2059499999996</v>
      </c>
    </row>
    <row r="595" spans="1:6" hidden="1">
      <c r="A595" s="1">
        <v>40</v>
      </c>
      <c r="B595" s="1" t="s">
        <v>35</v>
      </c>
      <c r="C595" s="1">
        <v>41.69</v>
      </c>
      <c r="D595" s="1" t="s">
        <v>30</v>
      </c>
      <c r="E595" s="1" t="s">
        <v>31</v>
      </c>
      <c r="F595" s="2">
        <v>5438.7491</v>
      </c>
    </row>
    <row r="596" spans="1:6" hidden="1">
      <c r="A596" s="1">
        <v>40</v>
      </c>
      <c r="B596" s="1" t="s">
        <v>35</v>
      </c>
      <c r="C596" s="1">
        <v>32.299999999999997</v>
      </c>
      <c r="D596" s="1" t="s">
        <v>30</v>
      </c>
      <c r="E596" s="1" t="s">
        <v>33</v>
      </c>
      <c r="F596" s="2">
        <v>6986.6970000000001</v>
      </c>
    </row>
    <row r="597" spans="1:6" hidden="1">
      <c r="A597" s="1">
        <v>41</v>
      </c>
      <c r="B597" s="1" t="s">
        <v>35</v>
      </c>
      <c r="C597" s="1">
        <v>37.049999999999997</v>
      </c>
      <c r="D597" s="1" t="s">
        <v>30</v>
      </c>
      <c r="E597" s="1" t="s">
        <v>33</v>
      </c>
      <c r="F597" s="2">
        <v>7265.7025000000003</v>
      </c>
    </row>
    <row r="598" spans="1:6" hidden="1">
      <c r="A598" s="1">
        <v>41</v>
      </c>
      <c r="B598" s="1" t="s">
        <v>35</v>
      </c>
      <c r="C598" s="1">
        <v>30.59</v>
      </c>
      <c r="D598" s="1" t="s">
        <v>30</v>
      </c>
      <c r="E598" s="1" t="s">
        <v>33</v>
      </c>
      <c r="F598" s="2">
        <v>7256.7231000000002</v>
      </c>
    </row>
    <row r="599" spans="1:6" hidden="1">
      <c r="A599" s="1">
        <v>41</v>
      </c>
      <c r="B599" s="1" t="s">
        <v>35</v>
      </c>
      <c r="C599" s="1">
        <v>40.26</v>
      </c>
      <c r="D599" s="1" t="s">
        <v>30</v>
      </c>
      <c r="E599" s="1" t="s">
        <v>31</v>
      </c>
      <c r="F599" s="2">
        <v>5709.1643999999997</v>
      </c>
    </row>
    <row r="600" spans="1:6" hidden="1">
      <c r="A600" s="1">
        <v>41</v>
      </c>
      <c r="B600" s="1" t="s">
        <v>35</v>
      </c>
      <c r="C600" s="1">
        <v>34.200000000000003</v>
      </c>
      <c r="D600" s="1" t="s">
        <v>30</v>
      </c>
      <c r="E600" s="1" t="s">
        <v>33</v>
      </c>
      <c r="F600" s="2">
        <v>7261.741</v>
      </c>
    </row>
    <row r="601" spans="1:6" hidden="1">
      <c r="A601" s="1">
        <v>41</v>
      </c>
      <c r="B601" s="1" t="s">
        <v>35</v>
      </c>
      <c r="C601" s="1">
        <v>34.21</v>
      </c>
      <c r="D601" s="1" t="s">
        <v>30</v>
      </c>
      <c r="E601" s="1" t="s">
        <v>31</v>
      </c>
      <c r="F601" s="2">
        <v>6289.7548999999999</v>
      </c>
    </row>
    <row r="602" spans="1:6" hidden="1">
      <c r="A602" s="1">
        <v>41</v>
      </c>
      <c r="B602" s="1" t="s">
        <v>35</v>
      </c>
      <c r="C602" s="1">
        <v>33.549999999999997</v>
      </c>
      <c r="D602" s="1" t="s">
        <v>30</v>
      </c>
      <c r="E602" s="1" t="s">
        <v>31</v>
      </c>
      <c r="F602" s="2">
        <v>5699.8374999999996</v>
      </c>
    </row>
    <row r="603" spans="1:6" hidden="1">
      <c r="A603" s="1">
        <v>41</v>
      </c>
      <c r="B603" s="1" t="s">
        <v>35</v>
      </c>
      <c r="C603" s="1">
        <v>32.200000000000003</v>
      </c>
      <c r="D603" s="1" t="s">
        <v>30</v>
      </c>
      <c r="E603" s="1" t="s">
        <v>32</v>
      </c>
      <c r="F603" s="2">
        <v>6875.9610000000002</v>
      </c>
    </row>
    <row r="604" spans="1:6" hidden="1">
      <c r="A604" s="1">
        <v>42</v>
      </c>
      <c r="B604" s="1" t="s">
        <v>35</v>
      </c>
      <c r="C604" s="1">
        <v>35.97</v>
      </c>
      <c r="D604" s="1" t="s">
        <v>30</v>
      </c>
      <c r="E604" s="1" t="s">
        <v>31</v>
      </c>
      <c r="F604" s="2">
        <v>7160.3302999999996</v>
      </c>
    </row>
    <row r="605" spans="1:6" hidden="1">
      <c r="A605" s="1">
        <v>42</v>
      </c>
      <c r="B605" s="1" t="s">
        <v>35</v>
      </c>
      <c r="C605" s="1">
        <v>35.799999999999997</v>
      </c>
      <c r="D605" s="1" t="s">
        <v>30</v>
      </c>
      <c r="E605" s="1" t="s">
        <v>32</v>
      </c>
      <c r="F605" s="2">
        <v>7160.0940000000001</v>
      </c>
    </row>
    <row r="606" spans="1:6" hidden="1">
      <c r="A606" s="1">
        <v>42</v>
      </c>
      <c r="B606" s="1" t="s">
        <v>35</v>
      </c>
      <c r="C606" s="1">
        <v>31.254999999999999</v>
      </c>
      <c r="D606" s="1" t="s">
        <v>30</v>
      </c>
      <c r="E606" s="1" t="s">
        <v>33</v>
      </c>
      <c r="F606" s="2">
        <v>6358.7764500000003</v>
      </c>
    </row>
    <row r="607" spans="1:6" hidden="1">
      <c r="A607" s="1">
        <v>42</v>
      </c>
      <c r="B607" s="1" t="s">
        <v>35</v>
      </c>
      <c r="C607" s="1">
        <v>34.1</v>
      </c>
      <c r="D607" s="1" t="s">
        <v>30</v>
      </c>
      <c r="E607" s="1" t="s">
        <v>32</v>
      </c>
      <c r="F607" s="2">
        <v>5979.7309999999998</v>
      </c>
    </row>
    <row r="608" spans="1:6" hidden="1">
      <c r="A608" s="1">
        <v>42</v>
      </c>
      <c r="B608" s="1" t="s">
        <v>35</v>
      </c>
      <c r="C608" s="1">
        <v>37.18</v>
      </c>
      <c r="D608" s="1" t="s">
        <v>30</v>
      </c>
      <c r="E608" s="1" t="s">
        <v>31</v>
      </c>
      <c r="F608" s="2">
        <v>7162.0122000000001</v>
      </c>
    </row>
    <row r="609" spans="1:6" hidden="1">
      <c r="A609" s="1">
        <v>43</v>
      </c>
      <c r="B609" s="1" t="s">
        <v>35</v>
      </c>
      <c r="C609" s="1">
        <v>32.6</v>
      </c>
      <c r="D609" s="1" t="s">
        <v>30</v>
      </c>
      <c r="E609" s="1" t="s">
        <v>32</v>
      </c>
      <c r="F609" s="2">
        <v>7441.5010000000002</v>
      </c>
    </row>
    <row r="610" spans="1:6" hidden="1">
      <c r="A610" s="1">
        <v>43</v>
      </c>
      <c r="B610" s="1" t="s">
        <v>35</v>
      </c>
      <c r="C610" s="1">
        <v>35.31</v>
      </c>
      <c r="D610" s="1" t="s">
        <v>30</v>
      </c>
      <c r="E610" s="1" t="s">
        <v>31</v>
      </c>
      <c r="F610" s="2">
        <v>18806.145469999999</v>
      </c>
    </row>
    <row r="611" spans="1:6" hidden="1">
      <c r="A611" s="1">
        <v>43</v>
      </c>
      <c r="B611" s="1" t="s">
        <v>35</v>
      </c>
      <c r="C611" s="1">
        <v>30.1</v>
      </c>
      <c r="D611" s="1" t="s">
        <v>30</v>
      </c>
      <c r="E611" s="1" t="s">
        <v>32</v>
      </c>
      <c r="F611" s="2">
        <v>6849.0259999999998</v>
      </c>
    </row>
    <row r="612" spans="1:6" hidden="1">
      <c r="A612" s="1">
        <v>43</v>
      </c>
      <c r="B612" s="1" t="s">
        <v>35</v>
      </c>
      <c r="C612" s="1">
        <v>30.114999999999998</v>
      </c>
      <c r="D612" s="1" t="s">
        <v>30</v>
      </c>
      <c r="E612" s="1" t="s">
        <v>33</v>
      </c>
      <c r="F612" s="2">
        <v>8410.0468500000006</v>
      </c>
    </row>
    <row r="613" spans="1:6" hidden="1">
      <c r="A613" s="1">
        <v>44</v>
      </c>
      <c r="B613" s="1" t="s">
        <v>35</v>
      </c>
      <c r="C613" s="1">
        <v>37.1</v>
      </c>
      <c r="D613" s="1" t="s">
        <v>30</v>
      </c>
      <c r="E613" s="1" t="s">
        <v>32</v>
      </c>
      <c r="F613" s="2">
        <v>7740.3370000000004</v>
      </c>
    </row>
    <row r="614" spans="1:6" hidden="1">
      <c r="A614" s="1">
        <v>44</v>
      </c>
      <c r="B614" s="1" t="s">
        <v>35</v>
      </c>
      <c r="C614" s="1">
        <v>39.520000000000003</v>
      </c>
      <c r="D614" s="1" t="s">
        <v>30</v>
      </c>
      <c r="E614" s="1" t="s">
        <v>33</v>
      </c>
      <c r="F614" s="2">
        <v>6948.7007999999996</v>
      </c>
    </row>
    <row r="615" spans="1:6" hidden="1">
      <c r="A615" s="1">
        <v>44</v>
      </c>
      <c r="B615" s="1" t="s">
        <v>35</v>
      </c>
      <c r="C615" s="1">
        <v>30.69</v>
      </c>
      <c r="D615" s="1" t="s">
        <v>30</v>
      </c>
      <c r="E615" s="1" t="s">
        <v>31</v>
      </c>
      <c r="F615" s="2">
        <v>7731.4270999999999</v>
      </c>
    </row>
    <row r="616" spans="1:6" hidden="1">
      <c r="A616" s="1">
        <v>44</v>
      </c>
      <c r="B616" s="1" t="s">
        <v>35</v>
      </c>
      <c r="C616" s="1">
        <v>38.06</v>
      </c>
      <c r="D616" s="1" t="s">
        <v>30</v>
      </c>
      <c r="E616" s="1" t="s">
        <v>31</v>
      </c>
      <c r="F616" s="2">
        <v>7152.6714000000002</v>
      </c>
    </row>
    <row r="617" spans="1:6" hidden="1">
      <c r="A617" s="1">
        <v>44</v>
      </c>
      <c r="B617" s="1" t="s">
        <v>35</v>
      </c>
      <c r="C617" s="1">
        <v>32.015000000000001</v>
      </c>
      <c r="D617" s="1" t="s">
        <v>30</v>
      </c>
      <c r="E617" s="1" t="s">
        <v>33</v>
      </c>
      <c r="F617" s="2">
        <v>8116.2688500000004</v>
      </c>
    </row>
    <row r="618" spans="1:6" hidden="1">
      <c r="A618" s="1">
        <v>44</v>
      </c>
      <c r="B618" s="1" t="s">
        <v>35</v>
      </c>
      <c r="C618" s="1">
        <v>34.32</v>
      </c>
      <c r="D618" s="1" t="s">
        <v>30</v>
      </c>
      <c r="E618" s="1" t="s">
        <v>31</v>
      </c>
      <c r="F618" s="2">
        <v>7147.4727999999996</v>
      </c>
    </row>
    <row r="619" spans="1:6" hidden="1">
      <c r="A619" s="1">
        <v>45</v>
      </c>
      <c r="B619" s="1" t="s">
        <v>35</v>
      </c>
      <c r="C619" s="1">
        <v>30.2</v>
      </c>
      <c r="D619" s="1" t="s">
        <v>30</v>
      </c>
      <c r="E619" s="1" t="s">
        <v>32</v>
      </c>
      <c r="F619" s="2">
        <v>7441.0529999999999</v>
      </c>
    </row>
    <row r="620" spans="1:6" hidden="1">
      <c r="A620" s="1">
        <v>45</v>
      </c>
      <c r="B620" s="1" t="s">
        <v>35</v>
      </c>
      <c r="C620" s="1">
        <v>30.495000000000001</v>
      </c>
      <c r="D620" s="1" t="s">
        <v>30</v>
      </c>
      <c r="E620" s="1" t="s">
        <v>33</v>
      </c>
      <c r="F620" s="2">
        <v>8413.4630500000003</v>
      </c>
    </row>
    <row r="621" spans="1:6" hidden="1">
      <c r="A621" s="1">
        <v>45</v>
      </c>
      <c r="B621" s="1" t="s">
        <v>35</v>
      </c>
      <c r="C621" s="1">
        <v>39.805</v>
      </c>
      <c r="D621" s="1" t="s">
        <v>30</v>
      </c>
      <c r="E621" s="1" t="s">
        <v>34</v>
      </c>
      <c r="F621" s="2">
        <v>7448.4039499999999</v>
      </c>
    </row>
    <row r="622" spans="1:6" hidden="1">
      <c r="A622" s="1">
        <v>45</v>
      </c>
      <c r="B622" s="1" t="s">
        <v>35</v>
      </c>
      <c r="C622" s="1">
        <v>33.700000000000003</v>
      </c>
      <c r="D622" s="1" t="s">
        <v>30</v>
      </c>
      <c r="E622" s="1" t="s">
        <v>32</v>
      </c>
      <c r="F622" s="2">
        <v>7445.9179999999997</v>
      </c>
    </row>
    <row r="623" spans="1:6" hidden="1">
      <c r="A623" s="1">
        <v>46</v>
      </c>
      <c r="B623" s="1" t="s">
        <v>35</v>
      </c>
      <c r="C623" s="1">
        <v>33.344999999999999</v>
      </c>
      <c r="D623" s="1" t="s">
        <v>30</v>
      </c>
      <c r="E623" s="1" t="s">
        <v>34</v>
      </c>
      <c r="F623" s="2">
        <v>8334.4575499999992</v>
      </c>
    </row>
    <row r="624" spans="1:6" hidden="1">
      <c r="A624" s="1">
        <v>46</v>
      </c>
      <c r="B624" s="1" t="s">
        <v>35</v>
      </c>
      <c r="C624" s="1">
        <v>43.89</v>
      </c>
      <c r="D624" s="1" t="s">
        <v>30</v>
      </c>
      <c r="E624" s="1" t="s">
        <v>31</v>
      </c>
      <c r="F624" s="2">
        <v>8944.1151000000009</v>
      </c>
    </row>
    <row r="625" spans="1:6" hidden="1">
      <c r="A625" s="1">
        <v>46</v>
      </c>
      <c r="B625" s="1" t="s">
        <v>35</v>
      </c>
      <c r="C625" s="1">
        <v>39.424999999999997</v>
      </c>
      <c r="D625" s="1" t="s">
        <v>30</v>
      </c>
      <c r="E625" s="1" t="s">
        <v>34</v>
      </c>
      <c r="F625" s="2">
        <v>8342.9087500000005</v>
      </c>
    </row>
    <row r="626" spans="1:6" hidden="1">
      <c r="A626" s="1">
        <v>46</v>
      </c>
      <c r="B626" s="1" t="s">
        <v>35</v>
      </c>
      <c r="C626" s="1">
        <v>33.44</v>
      </c>
      <c r="D626" s="1" t="s">
        <v>30</v>
      </c>
      <c r="E626" s="1" t="s">
        <v>34</v>
      </c>
      <c r="F626" s="2">
        <v>8334.5895999999993</v>
      </c>
    </row>
    <row r="627" spans="1:6" hidden="1">
      <c r="A627" s="1">
        <v>46</v>
      </c>
      <c r="B627" s="1" t="s">
        <v>35</v>
      </c>
      <c r="C627" s="1">
        <v>38.17</v>
      </c>
      <c r="D627" s="1" t="s">
        <v>30</v>
      </c>
      <c r="E627" s="1" t="s">
        <v>31</v>
      </c>
      <c r="F627" s="2">
        <v>8347.1643000000004</v>
      </c>
    </row>
    <row r="628" spans="1:6" hidden="1">
      <c r="A628" s="1">
        <v>46</v>
      </c>
      <c r="B628" s="1" t="s">
        <v>35</v>
      </c>
      <c r="C628" s="1">
        <v>40.375</v>
      </c>
      <c r="D628" s="1" t="s">
        <v>30</v>
      </c>
      <c r="E628" s="1" t="s">
        <v>33</v>
      </c>
      <c r="F628" s="2">
        <v>8733.2292500000003</v>
      </c>
    </row>
    <row r="629" spans="1:6" hidden="1">
      <c r="A629" s="1">
        <v>47</v>
      </c>
      <c r="B629" s="1" t="s">
        <v>35</v>
      </c>
      <c r="C629" s="1">
        <v>47.52</v>
      </c>
      <c r="D629" s="1" t="s">
        <v>30</v>
      </c>
      <c r="E629" s="1" t="s">
        <v>31</v>
      </c>
      <c r="F629" s="2">
        <v>8083.9197999999997</v>
      </c>
    </row>
    <row r="630" spans="1:6" hidden="1">
      <c r="A630" s="1">
        <v>47</v>
      </c>
      <c r="B630" s="1" t="s">
        <v>35</v>
      </c>
      <c r="C630" s="1">
        <v>36.200000000000003</v>
      </c>
      <c r="D630" s="1" t="s">
        <v>30</v>
      </c>
      <c r="E630" s="1" t="s">
        <v>32</v>
      </c>
      <c r="F630" s="2">
        <v>8068.1850000000004</v>
      </c>
    </row>
    <row r="631" spans="1:6" hidden="1">
      <c r="A631" s="1">
        <v>47</v>
      </c>
      <c r="B631" s="1" t="s">
        <v>35</v>
      </c>
      <c r="C631" s="1">
        <v>32.299999999999997</v>
      </c>
      <c r="D631" s="1" t="s">
        <v>30</v>
      </c>
      <c r="E631" s="1" t="s">
        <v>32</v>
      </c>
      <c r="F631" s="2">
        <v>8062.7640000000001</v>
      </c>
    </row>
    <row r="632" spans="1:6" hidden="1">
      <c r="A632" s="1">
        <v>48</v>
      </c>
      <c r="B632" s="1" t="s">
        <v>35</v>
      </c>
      <c r="C632" s="1">
        <v>35.625</v>
      </c>
      <c r="D632" s="1" t="s">
        <v>30</v>
      </c>
      <c r="E632" s="1" t="s">
        <v>34</v>
      </c>
      <c r="F632" s="2">
        <v>10736.87075</v>
      </c>
    </row>
    <row r="633" spans="1:6" hidden="1">
      <c r="A633" s="1">
        <v>48</v>
      </c>
      <c r="B633" s="1" t="s">
        <v>35</v>
      </c>
      <c r="C633" s="1">
        <v>31.445</v>
      </c>
      <c r="D633" s="1" t="s">
        <v>30</v>
      </c>
      <c r="E633" s="1" t="s">
        <v>34</v>
      </c>
      <c r="F633" s="2">
        <v>8964.0605500000001</v>
      </c>
    </row>
    <row r="634" spans="1:6" hidden="1">
      <c r="A634" s="1">
        <v>48</v>
      </c>
      <c r="B634" s="1" t="s">
        <v>35</v>
      </c>
      <c r="C634" s="1">
        <v>30.2</v>
      </c>
      <c r="D634" s="1" t="s">
        <v>30</v>
      </c>
      <c r="E634" s="1" t="s">
        <v>32</v>
      </c>
      <c r="F634" s="2">
        <v>8968.33</v>
      </c>
    </row>
    <row r="635" spans="1:6" hidden="1">
      <c r="A635" s="1">
        <v>48</v>
      </c>
      <c r="B635" s="1" t="s">
        <v>35</v>
      </c>
      <c r="C635" s="1">
        <v>34.299999999999997</v>
      </c>
      <c r="D635" s="1" t="s">
        <v>30</v>
      </c>
      <c r="E635" s="1" t="s">
        <v>32</v>
      </c>
      <c r="F635" s="2">
        <v>9563.0290000000005</v>
      </c>
    </row>
    <row r="636" spans="1:6" hidden="1">
      <c r="A636" s="1">
        <v>48</v>
      </c>
      <c r="B636" s="1" t="s">
        <v>35</v>
      </c>
      <c r="C636" s="1">
        <v>30.78</v>
      </c>
      <c r="D636" s="1" t="s">
        <v>30</v>
      </c>
      <c r="E636" s="1" t="s">
        <v>34</v>
      </c>
      <c r="F636" s="2">
        <v>10141.136200000001</v>
      </c>
    </row>
    <row r="637" spans="1:6" hidden="1">
      <c r="A637" s="1">
        <v>48</v>
      </c>
      <c r="B637" s="1" t="s">
        <v>35</v>
      </c>
      <c r="C637" s="1">
        <v>36.67</v>
      </c>
      <c r="D637" s="1" t="s">
        <v>30</v>
      </c>
      <c r="E637" s="1" t="s">
        <v>33</v>
      </c>
      <c r="F637" s="2">
        <v>28468.919010000001</v>
      </c>
    </row>
    <row r="638" spans="1:6" hidden="1">
      <c r="A638" s="1">
        <v>48</v>
      </c>
      <c r="B638" s="1" t="s">
        <v>35</v>
      </c>
      <c r="C638" s="1">
        <v>40.15</v>
      </c>
      <c r="D638" s="1" t="s">
        <v>30</v>
      </c>
      <c r="E638" s="1" t="s">
        <v>31</v>
      </c>
      <c r="F638" s="2">
        <v>7804.1605</v>
      </c>
    </row>
    <row r="639" spans="1:6" hidden="1">
      <c r="A639" s="1">
        <v>48</v>
      </c>
      <c r="B639" s="1" t="s">
        <v>35</v>
      </c>
      <c r="C639" s="1">
        <v>32.299999999999997</v>
      </c>
      <c r="D639" s="1" t="s">
        <v>30</v>
      </c>
      <c r="E639" s="1" t="s">
        <v>33</v>
      </c>
      <c r="F639" s="2">
        <v>8765.2489999999998</v>
      </c>
    </row>
    <row r="640" spans="1:6" hidden="1">
      <c r="A640" s="1">
        <v>48</v>
      </c>
      <c r="B640" s="1" t="s">
        <v>35</v>
      </c>
      <c r="C640" s="1">
        <v>37.29</v>
      </c>
      <c r="D640" s="1" t="s">
        <v>30</v>
      </c>
      <c r="E640" s="1" t="s">
        <v>31</v>
      </c>
      <c r="F640" s="2">
        <v>8978.1851000000006</v>
      </c>
    </row>
    <row r="641" spans="1:6" hidden="1">
      <c r="A641" s="1">
        <v>49</v>
      </c>
      <c r="B641" s="1" t="s">
        <v>35</v>
      </c>
      <c r="C641" s="1">
        <v>30.3</v>
      </c>
      <c r="D641" s="1" t="s">
        <v>30</v>
      </c>
      <c r="E641" s="1" t="s">
        <v>32</v>
      </c>
      <c r="F641" s="2">
        <v>8116.68</v>
      </c>
    </row>
    <row r="642" spans="1:6" hidden="1">
      <c r="A642" s="1">
        <v>49</v>
      </c>
      <c r="B642" s="1" t="s">
        <v>35</v>
      </c>
      <c r="C642" s="1">
        <v>35.86</v>
      </c>
      <c r="D642" s="1" t="s">
        <v>30</v>
      </c>
      <c r="E642" s="1" t="s">
        <v>31</v>
      </c>
      <c r="F642" s="2">
        <v>8124.4084000000003</v>
      </c>
    </row>
    <row r="643" spans="1:6" hidden="1">
      <c r="A643" s="1">
        <v>49</v>
      </c>
      <c r="B643" s="1" t="s">
        <v>35</v>
      </c>
      <c r="C643" s="1">
        <v>31.35</v>
      </c>
      <c r="D643" s="1" t="s">
        <v>30</v>
      </c>
      <c r="E643" s="1" t="s">
        <v>34</v>
      </c>
      <c r="F643" s="2">
        <v>9290.1394999999993</v>
      </c>
    </row>
    <row r="644" spans="1:6" hidden="1">
      <c r="A644" s="1">
        <v>49</v>
      </c>
      <c r="B644" s="1" t="s">
        <v>35</v>
      </c>
      <c r="C644" s="1">
        <v>32.299999999999997</v>
      </c>
      <c r="D644" s="1" t="s">
        <v>30</v>
      </c>
      <c r="E644" s="1" t="s">
        <v>33</v>
      </c>
      <c r="F644" s="2">
        <v>10269.459999999999</v>
      </c>
    </row>
    <row r="645" spans="1:6" hidden="1">
      <c r="A645" s="1">
        <v>49</v>
      </c>
      <c r="B645" s="1" t="s">
        <v>35</v>
      </c>
      <c r="C645" s="1">
        <v>37.51</v>
      </c>
      <c r="D645" s="1" t="s">
        <v>30</v>
      </c>
      <c r="E645" s="1" t="s">
        <v>31</v>
      </c>
      <c r="F645" s="2">
        <v>9304.7019</v>
      </c>
    </row>
    <row r="646" spans="1:6" hidden="1">
      <c r="A646" s="1">
        <v>49</v>
      </c>
      <c r="B646" s="1" t="s">
        <v>35</v>
      </c>
      <c r="C646" s="1">
        <v>36.85</v>
      </c>
      <c r="D646" s="1" t="s">
        <v>30</v>
      </c>
      <c r="E646" s="1" t="s">
        <v>31</v>
      </c>
      <c r="F646" s="2">
        <v>8125.7844999999998</v>
      </c>
    </row>
    <row r="647" spans="1:6" hidden="1">
      <c r="A647" s="1">
        <v>50</v>
      </c>
      <c r="B647" s="1" t="s">
        <v>35</v>
      </c>
      <c r="C647" s="1">
        <v>32.204999999999998</v>
      </c>
      <c r="D647" s="1" t="s">
        <v>30</v>
      </c>
      <c r="E647" s="1" t="s">
        <v>33</v>
      </c>
      <c r="F647" s="2">
        <v>8835.2649500000007</v>
      </c>
    </row>
    <row r="648" spans="1:6" hidden="1">
      <c r="A648" s="1">
        <v>50</v>
      </c>
      <c r="B648" s="1" t="s">
        <v>35</v>
      </c>
      <c r="C648" s="1">
        <v>44.77</v>
      </c>
      <c r="D648" s="1" t="s">
        <v>30</v>
      </c>
      <c r="E648" s="1" t="s">
        <v>31</v>
      </c>
      <c r="F648" s="2">
        <v>9058.7302999999993</v>
      </c>
    </row>
    <row r="649" spans="1:6" hidden="1">
      <c r="A649" s="1">
        <v>50</v>
      </c>
      <c r="B649" s="1" t="s">
        <v>35</v>
      </c>
      <c r="C649" s="1">
        <v>36.200000000000003</v>
      </c>
      <c r="D649" s="1" t="s">
        <v>30</v>
      </c>
      <c r="E649" s="1" t="s">
        <v>32</v>
      </c>
      <c r="F649" s="2">
        <v>8457.8179999999993</v>
      </c>
    </row>
    <row r="650" spans="1:6" hidden="1">
      <c r="A650" s="1">
        <v>50</v>
      </c>
      <c r="B650" s="1" t="s">
        <v>35</v>
      </c>
      <c r="C650" s="1">
        <v>32.11</v>
      </c>
      <c r="D650" s="1" t="s">
        <v>30</v>
      </c>
      <c r="E650" s="1" t="s">
        <v>34</v>
      </c>
      <c r="F650" s="2">
        <v>25333.332839999999</v>
      </c>
    </row>
    <row r="651" spans="1:6" hidden="1">
      <c r="A651" s="1">
        <v>50</v>
      </c>
      <c r="B651" s="1" t="s">
        <v>35</v>
      </c>
      <c r="C651" s="1">
        <v>37.07</v>
      </c>
      <c r="D651" s="1" t="s">
        <v>30</v>
      </c>
      <c r="E651" s="1" t="s">
        <v>31</v>
      </c>
      <c r="F651" s="2">
        <v>9048.0272999999997</v>
      </c>
    </row>
    <row r="652" spans="1:6" hidden="1">
      <c r="A652" s="1">
        <v>50</v>
      </c>
      <c r="B652" s="1" t="s">
        <v>35</v>
      </c>
      <c r="C652" s="1">
        <v>32.299999999999997</v>
      </c>
      <c r="D652" s="1" t="s">
        <v>30</v>
      </c>
      <c r="E652" s="1" t="s">
        <v>32</v>
      </c>
      <c r="F652" s="2">
        <v>9630.3970000000008</v>
      </c>
    </row>
    <row r="653" spans="1:6" hidden="1">
      <c r="A653" s="1">
        <v>50</v>
      </c>
      <c r="B653" s="1" t="s">
        <v>35</v>
      </c>
      <c r="C653" s="1">
        <v>30.97</v>
      </c>
      <c r="D653" s="1" t="s">
        <v>30</v>
      </c>
      <c r="E653" s="1" t="s">
        <v>33</v>
      </c>
      <c r="F653" s="2">
        <v>10600.5483</v>
      </c>
    </row>
    <row r="654" spans="1:6" hidden="1">
      <c r="A654" s="1">
        <v>51</v>
      </c>
      <c r="B654" s="1" t="s">
        <v>35</v>
      </c>
      <c r="C654" s="1">
        <v>31.635000000000002</v>
      </c>
      <c r="D654" s="1" t="s">
        <v>30</v>
      </c>
      <c r="E654" s="1" t="s">
        <v>33</v>
      </c>
      <c r="F654" s="2">
        <v>9174.1356500000002</v>
      </c>
    </row>
    <row r="655" spans="1:6" hidden="1">
      <c r="A655" s="1">
        <v>51</v>
      </c>
      <c r="B655" s="1" t="s">
        <v>35</v>
      </c>
      <c r="C655" s="1">
        <v>39.700000000000003</v>
      </c>
      <c r="D655" s="1" t="s">
        <v>30</v>
      </c>
      <c r="E655" s="1" t="s">
        <v>32</v>
      </c>
      <c r="F655" s="2">
        <v>9391.3459999999995</v>
      </c>
    </row>
    <row r="656" spans="1:6" hidden="1">
      <c r="A656" s="1">
        <v>51</v>
      </c>
      <c r="B656" s="1" t="s">
        <v>35</v>
      </c>
      <c r="C656" s="1">
        <v>33.33</v>
      </c>
      <c r="D656" s="1" t="s">
        <v>30</v>
      </c>
      <c r="E656" s="1" t="s">
        <v>31</v>
      </c>
      <c r="F656" s="2">
        <v>10560.4917</v>
      </c>
    </row>
    <row r="657" spans="1:6" hidden="1">
      <c r="A657" s="1">
        <v>51</v>
      </c>
      <c r="B657" s="1" t="s">
        <v>35</v>
      </c>
      <c r="C657" s="1">
        <v>35.97</v>
      </c>
      <c r="D657" s="1" t="s">
        <v>30</v>
      </c>
      <c r="E657" s="1" t="s">
        <v>31</v>
      </c>
      <c r="F657" s="2">
        <v>9386.1612999999998</v>
      </c>
    </row>
    <row r="658" spans="1:6" hidden="1">
      <c r="A658" s="1">
        <v>51</v>
      </c>
      <c r="B658" s="1" t="s">
        <v>35</v>
      </c>
      <c r="C658" s="1">
        <v>37</v>
      </c>
      <c r="D658" s="1" t="s">
        <v>30</v>
      </c>
      <c r="E658" s="1" t="s">
        <v>32</v>
      </c>
      <c r="F658" s="2">
        <v>8798.5930000000008</v>
      </c>
    </row>
    <row r="659" spans="1:6" hidden="1">
      <c r="A659" s="1">
        <v>51</v>
      </c>
      <c r="B659" s="1" t="s">
        <v>35</v>
      </c>
      <c r="C659" s="1">
        <v>32.299999999999997</v>
      </c>
      <c r="D659" s="1" t="s">
        <v>30</v>
      </c>
      <c r="E659" s="1" t="s">
        <v>34</v>
      </c>
      <c r="F659" s="2">
        <v>9964.06</v>
      </c>
    </row>
    <row r="660" spans="1:6" hidden="1">
      <c r="A660" s="1">
        <v>51</v>
      </c>
      <c r="B660" s="1" t="s">
        <v>35</v>
      </c>
      <c r="C660" s="1">
        <v>30.03</v>
      </c>
      <c r="D660" s="1" t="s">
        <v>30</v>
      </c>
      <c r="E660" s="1" t="s">
        <v>31</v>
      </c>
      <c r="F660" s="2">
        <v>9377.9046999999991</v>
      </c>
    </row>
    <row r="661" spans="1:6" hidden="1">
      <c r="A661" s="1">
        <v>52</v>
      </c>
      <c r="B661" s="1" t="s">
        <v>35</v>
      </c>
      <c r="C661" s="1">
        <v>32.204999999999998</v>
      </c>
      <c r="D661" s="1" t="s">
        <v>30</v>
      </c>
      <c r="E661" s="1" t="s">
        <v>34</v>
      </c>
      <c r="F661" s="2">
        <v>11488.31695</v>
      </c>
    </row>
    <row r="662" spans="1:6" hidden="1">
      <c r="A662" s="1">
        <v>52</v>
      </c>
      <c r="B662" s="1" t="s">
        <v>35</v>
      </c>
      <c r="C662" s="1">
        <v>33.25</v>
      </c>
      <c r="D662" s="1" t="s">
        <v>30</v>
      </c>
      <c r="E662" s="1" t="s">
        <v>34</v>
      </c>
      <c r="F662" s="2">
        <v>9722.7695000000003</v>
      </c>
    </row>
    <row r="663" spans="1:6" hidden="1">
      <c r="A663" s="1">
        <v>52</v>
      </c>
      <c r="B663" s="1" t="s">
        <v>35</v>
      </c>
      <c r="C663" s="1">
        <v>36.700000000000003</v>
      </c>
      <c r="D663" s="1" t="s">
        <v>30</v>
      </c>
      <c r="E663" s="1" t="s">
        <v>32</v>
      </c>
      <c r="F663" s="2">
        <v>9144.5650000000005</v>
      </c>
    </row>
    <row r="664" spans="1:6" hidden="1">
      <c r="A664" s="1">
        <v>52</v>
      </c>
      <c r="B664" s="1" t="s">
        <v>35</v>
      </c>
      <c r="C664" s="1">
        <v>34.1</v>
      </c>
      <c r="D664" s="1" t="s">
        <v>30</v>
      </c>
      <c r="E664" s="1" t="s">
        <v>31</v>
      </c>
      <c r="F664" s="2">
        <v>9140.9509999999991</v>
      </c>
    </row>
    <row r="665" spans="1:6" hidden="1">
      <c r="A665" s="1">
        <v>52</v>
      </c>
      <c r="B665" s="1" t="s">
        <v>35</v>
      </c>
      <c r="C665" s="1">
        <v>30.2</v>
      </c>
      <c r="D665" s="1" t="s">
        <v>30</v>
      </c>
      <c r="E665" s="1" t="s">
        <v>32</v>
      </c>
      <c r="F665" s="2">
        <v>9724.5300000000007</v>
      </c>
    </row>
    <row r="666" spans="1:6" hidden="1">
      <c r="A666" s="1">
        <v>52</v>
      </c>
      <c r="B666" s="1" t="s">
        <v>35</v>
      </c>
      <c r="C666" s="1">
        <v>36.765000000000001</v>
      </c>
      <c r="D666" s="1" t="s">
        <v>30</v>
      </c>
      <c r="E666" s="1" t="s">
        <v>33</v>
      </c>
      <c r="F666" s="2">
        <v>26467.09737</v>
      </c>
    </row>
    <row r="667" spans="1:6" hidden="1">
      <c r="A667" s="1">
        <v>52</v>
      </c>
      <c r="B667" s="1" t="s">
        <v>35</v>
      </c>
      <c r="C667" s="1">
        <v>47.74</v>
      </c>
      <c r="D667" s="1" t="s">
        <v>30</v>
      </c>
      <c r="E667" s="1" t="s">
        <v>31</v>
      </c>
      <c r="F667" s="2">
        <v>9748.9105999999992</v>
      </c>
    </row>
    <row r="668" spans="1:6" hidden="1">
      <c r="A668" s="1">
        <v>52</v>
      </c>
      <c r="B668" s="1" t="s">
        <v>35</v>
      </c>
      <c r="C668" s="1">
        <v>32.774999999999999</v>
      </c>
      <c r="D668" s="1" t="s">
        <v>30</v>
      </c>
      <c r="E668" s="1" t="s">
        <v>33</v>
      </c>
      <c r="F668" s="2">
        <v>11289.10925</v>
      </c>
    </row>
    <row r="669" spans="1:6" hidden="1">
      <c r="A669" s="1">
        <v>52</v>
      </c>
      <c r="B669" s="1" t="s">
        <v>35</v>
      </c>
      <c r="C669" s="1">
        <v>38.6</v>
      </c>
      <c r="D669" s="1" t="s">
        <v>30</v>
      </c>
      <c r="E669" s="1" t="s">
        <v>32</v>
      </c>
      <c r="F669" s="2">
        <v>10325.206</v>
      </c>
    </row>
    <row r="670" spans="1:6" hidden="1">
      <c r="A670" s="1">
        <v>53</v>
      </c>
      <c r="B670" s="1" t="s">
        <v>35</v>
      </c>
      <c r="C670" s="1">
        <v>31.16</v>
      </c>
      <c r="D670" s="1" t="s">
        <v>30</v>
      </c>
      <c r="E670" s="1" t="s">
        <v>33</v>
      </c>
      <c r="F670" s="2">
        <v>10461.9794</v>
      </c>
    </row>
    <row r="671" spans="1:6" hidden="1">
      <c r="A671" s="1">
        <v>53</v>
      </c>
      <c r="B671" s="1" t="s">
        <v>35</v>
      </c>
      <c r="C671" s="1">
        <v>31.35</v>
      </c>
      <c r="D671" s="1" t="s">
        <v>30</v>
      </c>
      <c r="E671" s="1" t="s">
        <v>31</v>
      </c>
      <c r="F671" s="2">
        <v>27346.04207</v>
      </c>
    </row>
    <row r="672" spans="1:6" hidden="1">
      <c r="A672" s="1">
        <v>53</v>
      </c>
      <c r="B672" s="1" t="s">
        <v>35</v>
      </c>
      <c r="C672" s="1">
        <v>36.1</v>
      </c>
      <c r="D672" s="1" t="s">
        <v>30</v>
      </c>
      <c r="E672" s="1" t="s">
        <v>32</v>
      </c>
      <c r="F672" s="2">
        <v>10085.846</v>
      </c>
    </row>
    <row r="673" spans="1:6" hidden="1">
      <c r="A673" s="1">
        <v>53</v>
      </c>
      <c r="B673" s="1" t="s">
        <v>35</v>
      </c>
      <c r="C673" s="1">
        <v>41.47</v>
      </c>
      <c r="D673" s="1" t="s">
        <v>30</v>
      </c>
      <c r="E673" s="1" t="s">
        <v>31</v>
      </c>
      <c r="F673" s="2">
        <v>9504.3102999999992</v>
      </c>
    </row>
    <row r="674" spans="1:6" hidden="1">
      <c r="A674" s="1">
        <v>53</v>
      </c>
      <c r="B674" s="1" t="s">
        <v>35</v>
      </c>
      <c r="C674" s="1">
        <v>36.6</v>
      </c>
      <c r="D674" s="1" t="s">
        <v>30</v>
      </c>
      <c r="E674" s="1" t="s">
        <v>32</v>
      </c>
      <c r="F674" s="2">
        <v>11264.540999999999</v>
      </c>
    </row>
    <row r="675" spans="1:6" hidden="1">
      <c r="A675" s="1">
        <v>53</v>
      </c>
      <c r="B675" s="1" t="s">
        <v>35</v>
      </c>
      <c r="C675" s="1">
        <v>30.495000000000001</v>
      </c>
      <c r="D675" s="1" t="s">
        <v>30</v>
      </c>
      <c r="E675" s="1" t="s">
        <v>34</v>
      </c>
      <c r="F675" s="2">
        <v>10072.055050000001</v>
      </c>
    </row>
    <row r="676" spans="1:6" hidden="1">
      <c r="A676" s="1">
        <v>54</v>
      </c>
      <c r="B676" s="1" t="s">
        <v>35</v>
      </c>
      <c r="C676" s="1">
        <v>33.630000000000003</v>
      </c>
      <c r="D676" s="1" t="s">
        <v>30</v>
      </c>
      <c r="E676" s="1" t="s">
        <v>33</v>
      </c>
      <c r="F676" s="2">
        <v>10825.253699999999</v>
      </c>
    </row>
    <row r="677" spans="1:6" hidden="1">
      <c r="A677" s="1">
        <v>54</v>
      </c>
      <c r="B677" s="1" t="s">
        <v>35</v>
      </c>
      <c r="C677" s="1">
        <v>39.6</v>
      </c>
      <c r="D677" s="1" t="s">
        <v>30</v>
      </c>
      <c r="E677" s="1" t="s">
        <v>32</v>
      </c>
      <c r="F677" s="2">
        <v>10450.552</v>
      </c>
    </row>
    <row r="678" spans="1:6" hidden="1">
      <c r="A678" s="1">
        <v>54</v>
      </c>
      <c r="B678" s="1" t="s">
        <v>35</v>
      </c>
      <c r="C678" s="1">
        <v>30.02</v>
      </c>
      <c r="D678" s="1" t="s">
        <v>30</v>
      </c>
      <c r="E678" s="1" t="s">
        <v>33</v>
      </c>
      <c r="F678" s="2">
        <v>24476.478510000001</v>
      </c>
    </row>
    <row r="679" spans="1:6" hidden="1">
      <c r="A679" s="1">
        <v>54</v>
      </c>
      <c r="B679" s="1" t="s">
        <v>35</v>
      </c>
      <c r="C679" s="1">
        <v>32.774999999999999</v>
      </c>
      <c r="D679" s="1" t="s">
        <v>30</v>
      </c>
      <c r="E679" s="1" t="s">
        <v>34</v>
      </c>
      <c r="F679" s="2">
        <v>10435.06525</v>
      </c>
    </row>
    <row r="680" spans="1:6" hidden="1">
      <c r="A680" s="1">
        <v>54</v>
      </c>
      <c r="B680" s="1" t="s">
        <v>35</v>
      </c>
      <c r="C680" s="1">
        <v>30.21</v>
      </c>
      <c r="D680" s="1" t="s">
        <v>30</v>
      </c>
      <c r="E680" s="1" t="s">
        <v>33</v>
      </c>
      <c r="F680" s="2">
        <v>10231.499900000001</v>
      </c>
    </row>
    <row r="681" spans="1:6" hidden="1">
      <c r="A681" s="1">
        <v>54</v>
      </c>
      <c r="B681" s="1" t="s">
        <v>35</v>
      </c>
      <c r="C681" s="1">
        <v>31.6</v>
      </c>
      <c r="D681" s="1" t="s">
        <v>30</v>
      </c>
      <c r="E681" s="1" t="s">
        <v>32</v>
      </c>
      <c r="F681" s="2">
        <v>9850.4320000000007</v>
      </c>
    </row>
    <row r="682" spans="1:6" hidden="1">
      <c r="A682" s="1">
        <v>55</v>
      </c>
      <c r="B682" s="1" t="s">
        <v>35</v>
      </c>
      <c r="C682" s="1">
        <v>37.299999999999997</v>
      </c>
      <c r="D682" s="1" t="s">
        <v>30</v>
      </c>
      <c r="E682" s="1" t="s">
        <v>32</v>
      </c>
      <c r="F682" s="2">
        <v>20630.283510000001</v>
      </c>
    </row>
    <row r="683" spans="1:6" hidden="1">
      <c r="A683" s="1">
        <v>55</v>
      </c>
      <c r="B683" s="1" t="s">
        <v>35</v>
      </c>
      <c r="C683" s="1">
        <v>38.28</v>
      </c>
      <c r="D683" s="1" t="s">
        <v>30</v>
      </c>
      <c r="E683" s="1" t="s">
        <v>31</v>
      </c>
      <c r="F683" s="2">
        <v>10226.2842</v>
      </c>
    </row>
    <row r="684" spans="1:6" hidden="1">
      <c r="A684" s="1">
        <v>55</v>
      </c>
      <c r="B684" s="1" t="s">
        <v>35</v>
      </c>
      <c r="C684" s="1">
        <v>33.880000000000003</v>
      </c>
      <c r="D684" s="1" t="s">
        <v>30</v>
      </c>
      <c r="E684" s="1" t="s">
        <v>31</v>
      </c>
      <c r="F684" s="2">
        <v>11987.1682</v>
      </c>
    </row>
    <row r="685" spans="1:6" hidden="1">
      <c r="A685" s="1">
        <v>55</v>
      </c>
      <c r="B685" s="1" t="s">
        <v>35</v>
      </c>
      <c r="C685" s="1">
        <v>33</v>
      </c>
      <c r="D685" s="1" t="s">
        <v>30</v>
      </c>
      <c r="E685" s="1" t="s">
        <v>31</v>
      </c>
      <c r="F685" s="2">
        <v>20781.48892</v>
      </c>
    </row>
    <row r="686" spans="1:6" hidden="1">
      <c r="A686" s="1">
        <v>55</v>
      </c>
      <c r="B686" s="1" t="s">
        <v>35</v>
      </c>
      <c r="C686" s="1">
        <v>32.774999999999999</v>
      </c>
      <c r="D686" s="1" t="s">
        <v>30</v>
      </c>
      <c r="E686" s="1" t="s">
        <v>33</v>
      </c>
      <c r="F686" s="2">
        <v>10601.632250000001</v>
      </c>
    </row>
    <row r="687" spans="1:6" hidden="1">
      <c r="A687" s="1">
        <v>55</v>
      </c>
      <c r="B687" s="1" t="s">
        <v>35</v>
      </c>
      <c r="C687" s="1">
        <v>35.244999999999997</v>
      </c>
      <c r="D687" s="1" t="s">
        <v>30</v>
      </c>
      <c r="E687" s="1" t="s">
        <v>34</v>
      </c>
      <c r="F687" s="2">
        <v>11394.065549999999</v>
      </c>
    </row>
    <row r="688" spans="1:6" hidden="1">
      <c r="A688" s="1">
        <v>55</v>
      </c>
      <c r="B688" s="1" t="s">
        <v>35</v>
      </c>
      <c r="C688" s="1">
        <v>32.67</v>
      </c>
      <c r="D688" s="1" t="s">
        <v>30</v>
      </c>
      <c r="E688" s="1" t="s">
        <v>31</v>
      </c>
      <c r="F688" s="2">
        <v>10807.4863</v>
      </c>
    </row>
    <row r="689" spans="1:6" hidden="1">
      <c r="A689" s="1">
        <v>55</v>
      </c>
      <c r="B689" s="1" t="s">
        <v>35</v>
      </c>
      <c r="C689" s="1">
        <v>37.715000000000003</v>
      </c>
      <c r="D689" s="1" t="s">
        <v>30</v>
      </c>
      <c r="E689" s="1" t="s">
        <v>33</v>
      </c>
      <c r="F689" s="2">
        <v>30063.580549999999</v>
      </c>
    </row>
    <row r="690" spans="1:6" hidden="1">
      <c r="A690" s="1">
        <v>56</v>
      </c>
      <c r="B690" s="1" t="s">
        <v>35</v>
      </c>
      <c r="C690" s="1">
        <v>40.299999999999997</v>
      </c>
      <c r="D690" s="1" t="s">
        <v>30</v>
      </c>
      <c r="E690" s="1" t="s">
        <v>32</v>
      </c>
      <c r="F690" s="2">
        <v>10602.385</v>
      </c>
    </row>
    <row r="691" spans="1:6" hidden="1">
      <c r="A691" s="1">
        <v>56</v>
      </c>
      <c r="B691" s="1" t="s">
        <v>35</v>
      </c>
      <c r="C691" s="1">
        <v>39.6</v>
      </c>
      <c r="D691" s="1" t="s">
        <v>30</v>
      </c>
      <c r="E691" s="1" t="s">
        <v>32</v>
      </c>
      <c r="F691" s="2">
        <v>10601.412</v>
      </c>
    </row>
    <row r="692" spans="1:6" hidden="1">
      <c r="A692" s="1">
        <v>56</v>
      </c>
      <c r="B692" s="1" t="s">
        <v>35</v>
      </c>
      <c r="C692" s="1">
        <v>32.11</v>
      </c>
      <c r="D692" s="1" t="s">
        <v>30</v>
      </c>
      <c r="E692" s="1" t="s">
        <v>34</v>
      </c>
      <c r="F692" s="2">
        <v>11763.000899999999</v>
      </c>
    </row>
    <row r="693" spans="1:6" hidden="1">
      <c r="A693" s="1">
        <v>56</v>
      </c>
      <c r="B693" s="1" t="s">
        <v>35</v>
      </c>
      <c r="C693" s="1">
        <v>33.659999999999997</v>
      </c>
      <c r="D693" s="1" t="s">
        <v>30</v>
      </c>
      <c r="E693" s="1" t="s">
        <v>31</v>
      </c>
      <c r="F693" s="2">
        <v>12949.1554</v>
      </c>
    </row>
    <row r="694" spans="1:6" hidden="1">
      <c r="A694" s="1">
        <v>56</v>
      </c>
      <c r="B694" s="1" t="s">
        <v>35</v>
      </c>
      <c r="C694" s="1">
        <v>36.1</v>
      </c>
      <c r="D694" s="1" t="s">
        <v>30</v>
      </c>
      <c r="E694" s="1" t="s">
        <v>32</v>
      </c>
      <c r="F694" s="2">
        <v>12363.547</v>
      </c>
    </row>
    <row r="695" spans="1:6" hidden="1">
      <c r="A695" s="1">
        <v>56</v>
      </c>
      <c r="B695" s="1" t="s">
        <v>35</v>
      </c>
      <c r="C695" s="1">
        <v>33.725000000000001</v>
      </c>
      <c r="D695" s="1" t="s">
        <v>30</v>
      </c>
      <c r="E695" s="1" t="s">
        <v>33</v>
      </c>
      <c r="F695" s="2">
        <v>10976.24575</v>
      </c>
    </row>
    <row r="696" spans="1:6" hidden="1">
      <c r="A696" s="1">
        <v>56</v>
      </c>
      <c r="B696" s="1" t="s">
        <v>35</v>
      </c>
      <c r="C696" s="1">
        <v>34.43</v>
      </c>
      <c r="D696" s="1" t="s">
        <v>30</v>
      </c>
      <c r="E696" s="1" t="s">
        <v>31</v>
      </c>
      <c r="F696" s="2">
        <v>10594.225700000001</v>
      </c>
    </row>
    <row r="697" spans="1:6" hidden="1">
      <c r="A697" s="1">
        <v>57</v>
      </c>
      <c r="B697" s="1" t="s">
        <v>35</v>
      </c>
      <c r="C697" s="1">
        <v>34.01</v>
      </c>
      <c r="D697" s="1" t="s">
        <v>30</v>
      </c>
      <c r="E697" s="1" t="s">
        <v>33</v>
      </c>
      <c r="F697" s="2">
        <v>11356.660900000001</v>
      </c>
    </row>
    <row r="698" spans="1:6" hidden="1">
      <c r="A698" s="1">
        <v>57</v>
      </c>
      <c r="B698" s="1" t="s">
        <v>35</v>
      </c>
      <c r="C698" s="1">
        <v>40.945</v>
      </c>
      <c r="D698" s="1" t="s">
        <v>30</v>
      </c>
      <c r="E698" s="1" t="s">
        <v>34</v>
      </c>
      <c r="F698" s="2">
        <v>11566.30055</v>
      </c>
    </row>
    <row r="699" spans="1:6" hidden="1">
      <c r="A699" s="1">
        <v>57</v>
      </c>
      <c r="B699" s="1" t="s">
        <v>35</v>
      </c>
      <c r="C699" s="1">
        <v>43.7</v>
      </c>
      <c r="D699" s="1" t="s">
        <v>30</v>
      </c>
      <c r="E699" s="1" t="s">
        <v>32</v>
      </c>
      <c r="F699" s="2">
        <v>11576.13</v>
      </c>
    </row>
    <row r="700" spans="1:6" hidden="1">
      <c r="A700" s="1">
        <v>57</v>
      </c>
      <c r="B700" s="1" t="s">
        <v>35</v>
      </c>
      <c r="C700" s="1">
        <v>33.630000000000003</v>
      </c>
      <c r="D700" s="1" t="s">
        <v>30</v>
      </c>
      <c r="E700" s="1" t="s">
        <v>33</v>
      </c>
      <c r="F700" s="2">
        <v>11945.1327</v>
      </c>
    </row>
    <row r="701" spans="1:6" hidden="1">
      <c r="A701" s="1">
        <v>57</v>
      </c>
      <c r="B701" s="1" t="s">
        <v>35</v>
      </c>
      <c r="C701" s="1">
        <v>31.54</v>
      </c>
      <c r="D701" s="1" t="s">
        <v>30</v>
      </c>
      <c r="E701" s="1" t="s">
        <v>33</v>
      </c>
      <c r="F701" s="2">
        <v>11353.2276</v>
      </c>
    </row>
    <row r="702" spans="1:6" hidden="1">
      <c r="A702" s="1">
        <v>57</v>
      </c>
      <c r="B702" s="1" t="s">
        <v>35</v>
      </c>
      <c r="C702" s="1">
        <v>40.28</v>
      </c>
      <c r="D702" s="1" t="s">
        <v>30</v>
      </c>
      <c r="E702" s="1" t="s">
        <v>34</v>
      </c>
      <c r="F702" s="2">
        <v>20709.020339999999</v>
      </c>
    </row>
    <row r="703" spans="1:6" hidden="1">
      <c r="A703" s="1">
        <v>57</v>
      </c>
      <c r="B703" s="1" t="s">
        <v>35</v>
      </c>
      <c r="C703" s="1">
        <v>40.369999999999997</v>
      </c>
      <c r="D703" s="1" t="s">
        <v>30</v>
      </c>
      <c r="E703" s="1" t="s">
        <v>31</v>
      </c>
      <c r="F703" s="2">
        <v>10982.5013</v>
      </c>
    </row>
    <row r="704" spans="1:6" hidden="1">
      <c r="A704" s="1">
        <v>58</v>
      </c>
      <c r="B704" s="1" t="s">
        <v>35</v>
      </c>
      <c r="C704" s="1">
        <v>32.01</v>
      </c>
      <c r="D704" s="1" t="s">
        <v>30</v>
      </c>
      <c r="E704" s="1" t="s">
        <v>31</v>
      </c>
      <c r="F704" s="2">
        <v>11946.625899999999</v>
      </c>
    </row>
    <row r="705" spans="1:6" hidden="1">
      <c r="A705" s="1">
        <v>58</v>
      </c>
      <c r="B705" s="1" t="s">
        <v>35</v>
      </c>
      <c r="C705" s="1">
        <v>49.06</v>
      </c>
      <c r="D705" s="1" t="s">
        <v>30</v>
      </c>
      <c r="E705" s="1" t="s">
        <v>31</v>
      </c>
      <c r="F705" s="2">
        <v>11381.3254</v>
      </c>
    </row>
    <row r="706" spans="1:6" hidden="1">
      <c r="A706" s="1">
        <v>58</v>
      </c>
      <c r="B706" s="1" t="s">
        <v>35</v>
      </c>
      <c r="C706" s="1">
        <v>34.865000000000002</v>
      </c>
      <c r="D706" s="1" t="s">
        <v>30</v>
      </c>
      <c r="E706" s="1" t="s">
        <v>34</v>
      </c>
      <c r="F706" s="2">
        <v>11944.594349999999</v>
      </c>
    </row>
    <row r="707" spans="1:6" hidden="1">
      <c r="A707" s="1">
        <v>58</v>
      </c>
      <c r="B707" s="1" t="s">
        <v>35</v>
      </c>
      <c r="C707" s="1">
        <v>35.700000000000003</v>
      </c>
      <c r="D707" s="1" t="s">
        <v>30</v>
      </c>
      <c r="E707" s="1" t="s">
        <v>32</v>
      </c>
      <c r="F707" s="2">
        <v>11362.754999999999</v>
      </c>
    </row>
    <row r="708" spans="1:6" hidden="1">
      <c r="A708" s="1">
        <v>58</v>
      </c>
      <c r="B708" s="1" t="s">
        <v>35</v>
      </c>
      <c r="C708" s="1">
        <v>38</v>
      </c>
      <c r="D708" s="1" t="s">
        <v>30</v>
      </c>
      <c r="E708" s="1" t="s">
        <v>32</v>
      </c>
      <c r="F708" s="2">
        <v>11365.951999999999</v>
      </c>
    </row>
    <row r="709" spans="1:6" hidden="1">
      <c r="A709" s="1">
        <v>58</v>
      </c>
      <c r="B709" s="1" t="s">
        <v>35</v>
      </c>
      <c r="C709" s="1">
        <v>34.39</v>
      </c>
      <c r="D709" s="1" t="s">
        <v>30</v>
      </c>
      <c r="E709" s="1" t="s">
        <v>33</v>
      </c>
      <c r="F709" s="2">
        <v>11743.9341</v>
      </c>
    </row>
    <row r="710" spans="1:6" hidden="1">
      <c r="A710" s="1">
        <v>58</v>
      </c>
      <c r="B710" s="1" t="s">
        <v>35</v>
      </c>
      <c r="C710" s="1">
        <v>36.08</v>
      </c>
      <c r="D710" s="1" t="s">
        <v>30</v>
      </c>
      <c r="E710" s="1" t="s">
        <v>31</v>
      </c>
      <c r="F710" s="2">
        <v>11363.2832</v>
      </c>
    </row>
    <row r="711" spans="1:6" hidden="1">
      <c r="A711" s="1">
        <v>58</v>
      </c>
      <c r="B711" s="1" t="s">
        <v>35</v>
      </c>
      <c r="C711" s="1">
        <v>30.305</v>
      </c>
      <c r="D711" s="1" t="s">
        <v>30</v>
      </c>
      <c r="E711" s="1" t="s">
        <v>34</v>
      </c>
      <c r="F711" s="2">
        <v>11938.255950000001</v>
      </c>
    </row>
    <row r="712" spans="1:6" hidden="1">
      <c r="A712" s="1">
        <v>59</v>
      </c>
      <c r="B712" s="1" t="s">
        <v>35</v>
      </c>
      <c r="C712" s="1">
        <v>31.79</v>
      </c>
      <c r="D712" s="1" t="s">
        <v>30</v>
      </c>
      <c r="E712" s="1" t="s">
        <v>31</v>
      </c>
      <c r="F712" s="2">
        <v>12928.7911</v>
      </c>
    </row>
    <row r="713" spans="1:6" hidden="1">
      <c r="A713" s="1">
        <v>59</v>
      </c>
      <c r="B713" s="1" t="s">
        <v>35</v>
      </c>
      <c r="C713" s="1">
        <v>37.4</v>
      </c>
      <c r="D713" s="1" t="s">
        <v>30</v>
      </c>
      <c r="E713" s="1" t="s">
        <v>32</v>
      </c>
      <c r="F713" s="2">
        <v>21797.000400000001</v>
      </c>
    </row>
    <row r="714" spans="1:6" hidden="1">
      <c r="A714" s="1">
        <v>59</v>
      </c>
      <c r="B714" s="1" t="s">
        <v>35</v>
      </c>
      <c r="C714" s="1">
        <v>37.1</v>
      </c>
      <c r="D714" s="1" t="s">
        <v>30</v>
      </c>
      <c r="E714" s="1" t="s">
        <v>32</v>
      </c>
      <c r="F714" s="2">
        <v>12347.172</v>
      </c>
    </row>
    <row r="715" spans="1:6" hidden="1">
      <c r="A715" s="1">
        <v>60</v>
      </c>
      <c r="B715" s="1" t="s">
        <v>35</v>
      </c>
      <c r="C715" s="1">
        <v>33.11</v>
      </c>
      <c r="D715" s="1" t="s">
        <v>30</v>
      </c>
      <c r="E715" s="1" t="s">
        <v>31</v>
      </c>
      <c r="F715" s="2">
        <v>13919.822899999999</v>
      </c>
    </row>
    <row r="716" spans="1:6" hidden="1">
      <c r="A716" s="1">
        <v>60</v>
      </c>
      <c r="B716" s="1" t="s">
        <v>35</v>
      </c>
      <c r="C716" s="1">
        <v>36.954999999999998</v>
      </c>
      <c r="D716" s="1" t="s">
        <v>30</v>
      </c>
      <c r="E716" s="1" t="s">
        <v>34</v>
      </c>
      <c r="F716" s="2">
        <v>12741.167450000001</v>
      </c>
    </row>
    <row r="717" spans="1:6" hidden="1">
      <c r="A717" s="1">
        <v>61</v>
      </c>
      <c r="B717" s="1" t="s">
        <v>35</v>
      </c>
      <c r="C717" s="1">
        <v>31.57</v>
      </c>
      <c r="D717" s="1" t="s">
        <v>30</v>
      </c>
      <c r="E717" s="1" t="s">
        <v>31</v>
      </c>
      <c r="F717" s="2">
        <v>12557.605299999999</v>
      </c>
    </row>
    <row r="718" spans="1:6" hidden="1">
      <c r="A718" s="1">
        <v>61</v>
      </c>
      <c r="B718" s="1" t="s">
        <v>35</v>
      </c>
      <c r="C718" s="1">
        <v>43.4</v>
      </c>
      <c r="D718" s="1" t="s">
        <v>30</v>
      </c>
      <c r="E718" s="1" t="s">
        <v>32</v>
      </c>
      <c r="F718" s="2">
        <v>12574.049000000001</v>
      </c>
    </row>
    <row r="719" spans="1:6" hidden="1">
      <c r="A719" s="1">
        <v>61</v>
      </c>
      <c r="B719" s="1" t="s">
        <v>35</v>
      </c>
      <c r="C719" s="1">
        <v>33.914999999999999</v>
      </c>
      <c r="D719" s="1" t="s">
        <v>30</v>
      </c>
      <c r="E719" s="1" t="s">
        <v>34</v>
      </c>
      <c r="F719" s="2">
        <v>13143.86485</v>
      </c>
    </row>
    <row r="720" spans="1:6" hidden="1">
      <c r="A720" s="1">
        <v>61</v>
      </c>
      <c r="B720" s="1" t="s">
        <v>35</v>
      </c>
      <c r="C720" s="1">
        <v>36.1</v>
      </c>
      <c r="D720" s="1" t="s">
        <v>30</v>
      </c>
      <c r="E720" s="1" t="s">
        <v>32</v>
      </c>
      <c r="F720" s="2">
        <v>27941.28758</v>
      </c>
    </row>
    <row r="721" spans="1:6" hidden="1">
      <c r="A721" s="1">
        <v>61</v>
      </c>
      <c r="B721" s="1" t="s">
        <v>35</v>
      </c>
      <c r="C721" s="1">
        <v>32.299999999999997</v>
      </c>
      <c r="D721" s="1" t="s">
        <v>30</v>
      </c>
      <c r="E721" s="1" t="s">
        <v>33</v>
      </c>
      <c r="F721" s="2">
        <v>14119.62</v>
      </c>
    </row>
    <row r="722" spans="1:6" hidden="1">
      <c r="A722" s="1">
        <v>61</v>
      </c>
      <c r="B722" s="1" t="s">
        <v>35</v>
      </c>
      <c r="C722" s="1">
        <v>38.380000000000003</v>
      </c>
      <c r="D722" s="1" t="s">
        <v>30</v>
      </c>
      <c r="E722" s="1" t="s">
        <v>33</v>
      </c>
      <c r="F722" s="2">
        <v>12950.0712</v>
      </c>
    </row>
    <row r="723" spans="1:6" hidden="1">
      <c r="A723" s="1">
        <v>61</v>
      </c>
      <c r="B723" s="1" t="s">
        <v>35</v>
      </c>
      <c r="C723" s="1">
        <v>33.534999999999997</v>
      </c>
      <c r="D723" s="1" t="s">
        <v>30</v>
      </c>
      <c r="E723" s="1" t="s">
        <v>34</v>
      </c>
      <c r="F723" s="2">
        <v>13143.336649999999</v>
      </c>
    </row>
    <row r="724" spans="1:6" hidden="1">
      <c r="A724" s="1">
        <v>62</v>
      </c>
      <c r="B724" s="1" t="s">
        <v>35</v>
      </c>
      <c r="C724" s="1">
        <v>30.02</v>
      </c>
      <c r="D724" s="1" t="s">
        <v>30</v>
      </c>
      <c r="E724" s="1" t="s">
        <v>33</v>
      </c>
      <c r="F724" s="2">
        <v>13352.0998</v>
      </c>
    </row>
    <row r="725" spans="1:6" hidden="1">
      <c r="A725" s="1">
        <v>62</v>
      </c>
      <c r="B725" s="1" t="s">
        <v>35</v>
      </c>
      <c r="C725" s="1">
        <v>31.46</v>
      </c>
      <c r="D725" s="1" t="s">
        <v>30</v>
      </c>
      <c r="E725" s="1" t="s">
        <v>31</v>
      </c>
      <c r="F725" s="2">
        <v>27000.98473</v>
      </c>
    </row>
    <row r="726" spans="1:6" hidden="1">
      <c r="A726" s="1">
        <v>62</v>
      </c>
      <c r="B726" s="1" t="s">
        <v>35</v>
      </c>
      <c r="C726" s="1">
        <v>37.4</v>
      </c>
      <c r="D726" s="1" t="s">
        <v>30</v>
      </c>
      <c r="E726" s="1" t="s">
        <v>32</v>
      </c>
      <c r="F726" s="2">
        <v>12979.358</v>
      </c>
    </row>
    <row r="727" spans="1:6" hidden="1">
      <c r="A727" s="1">
        <v>62</v>
      </c>
      <c r="B727" s="1" t="s">
        <v>35</v>
      </c>
      <c r="C727" s="1">
        <v>32.11</v>
      </c>
      <c r="D727" s="1" t="s">
        <v>30</v>
      </c>
      <c r="E727" s="1" t="s">
        <v>34</v>
      </c>
      <c r="F727" s="2">
        <v>13555.0049</v>
      </c>
    </row>
    <row r="728" spans="1:6" hidden="1">
      <c r="A728" s="1">
        <v>62</v>
      </c>
      <c r="B728" s="1" t="s">
        <v>35</v>
      </c>
      <c r="C728" s="1">
        <v>39.93</v>
      </c>
      <c r="D728" s="1" t="s">
        <v>30</v>
      </c>
      <c r="E728" s="1" t="s">
        <v>31</v>
      </c>
      <c r="F728" s="2">
        <v>12982.8747</v>
      </c>
    </row>
    <row r="729" spans="1:6" hidden="1">
      <c r="A729" s="1">
        <v>62</v>
      </c>
      <c r="B729" s="1" t="s">
        <v>35</v>
      </c>
      <c r="C729" s="1">
        <v>38.83</v>
      </c>
      <c r="D729" s="1" t="s">
        <v>30</v>
      </c>
      <c r="E729" s="1" t="s">
        <v>31</v>
      </c>
      <c r="F729" s="2">
        <v>12981.3457</v>
      </c>
    </row>
    <row r="730" spans="1:6" hidden="1">
      <c r="A730" s="1">
        <v>63</v>
      </c>
      <c r="B730" s="1" t="s">
        <v>35</v>
      </c>
      <c r="C730" s="1">
        <v>41.47</v>
      </c>
      <c r="D730" s="1" t="s">
        <v>30</v>
      </c>
      <c r="E730" s="1" t="s">
        <v>31</v>
      </c>
      <c r="F730" s="2">
        <v>13405.390299999999</v>
      </c>
    </row>
    <row r="731" spans="1:6" hidden="1">
      <c r="A731" s="1">
        <v>63</v>
      </c>
      <c r="B731" s="1" t="s">
        <v>35</v>
      </c>
      <c r="C731" s="1">
        <v>36.765000000000001</v>
      </c>
      <c r="D731" s="1" t="s">
        <v>30</v>
      </c>
      <c r="E731" s="1" t="s">
        <v>34</v>
      </c>
      <c r="F731" s="2">
        <v>13981.850350000001</v>
      </c>
    </row>
    <row r="732" spans="1:6" hidden="1">
      <c r="A732" s="1">
        <v>63</v>
      </c>
      <c r="B732" s="1" t="s">
        <v>35</v>
      </c>
      <c r="C732" s="1">
        <v>41.325000000000003</v>
      </c>
      <c r="D732" s="1" t="s">
        <v>30</v>
      </c>
      <c r="E732" s="1" t="s">
        <v>33</v>
      </c>
      <c r="F732" s="2">
        <v>15555.188749999999</v>
      </c>
    </row>
    <row r="733" spans="1:6" hidden="1">
      <c r="A733" s="1">
        <v>63</v>
      </c>
      <c r="B733" s="1" t="s">
        <v>35</v>
      </c>
      <c r="C733" s="1">
        <v>30.8</v>
      </c>
      <c r="D733" s="1" t="s">
        <v>30</v>
      </c>
      <c r="E733" s="1" t="s">
        <v>32</v>
      </c>
      <c r="F733" s="2">
        <v>13390.558999999999</v>
      </c>
    </row>
    <row r="734" spans="1:6" hidden="1">
      <c r="A734" s="1">
        <v>63</v>
      </c>
      <c r="B734" s="1" t="s">
        <v>35</v>
      </c>
      <c r="C734" s="1">
        <v>33.1</v>
      </c>
      <c r="D734" s="1" t="s">
        <v>30</v>
      </c>
      <c r="E734" s="1" t="s">
        <v>32</v>
      </c>
      <c r="F734" s="2">
        <v>13393.755999999999</v>
      </c>
    </row>
    <row r="735" spans="1:6" hidden="1">
      <c r="A735" s="1">
        <v>63</v>
      </c>
      <c r="B735" s="1" t="s">
        <v>35</v>
      </c>
      <c r="C735" s="1">
        <v>39.799999999999997</v>
      </c>
      <c r="D735" s="1" t="s">
        <v>30</v>
      </c>
      <c r="E735" s="1" t="s">
        <v>32</v>
      </c>
      <c r="F735" s="2">
        <v>15170.069</v>
      </c>
    </row>
    <row r="736" spans="1:6" hidden="1">
      <c r="A736" s="1">
        <v>63</v>
      </c>
      <c r="B736" s="1" t="s">
        <v>35</v>
      </c>
      <c r="C736" s="1">
        <v>31.445</v>
      </c>
      <c r="D736" s="1" t="s">
        <v>30</v>
      </c>
      <c r="E736" s="1" t="s">
        <v>34</v>
      </c>
      <c r="F736" s="2">
        <v>13974.455550000001</v>
      </c>
    </row>
    <row r="737" spans="1:6" hidden="1">
      <c r="A737" s="1">
        <v>63</v>
      </c>
      <c r="B737" s="1" t="s">
        <v>35</v>
      </c>
      <c r="C737" s="1">
        <v>33.659999999999997</v>
      </c>
      <c r="D737" s="1" t="s">
        <v>30</v>
      </c>
      <c r="E737" s="1" t="s">
        <v>31</v>
      </c>
      <c r="F737" s="2">
        <v>15161.5344</v>
      </c>
    </row>
    <row r="738" spans="1:6" hidden="1">
      <c r="A738" s="1">
        <v>64</v>
      </c>
      <c r="B738" s="1" t="s">
        <v>35</v>
      </c>
      <c r="C738" s="1">
        <v>34.5</v>
      </c>
      <c r="D738" s="1" t="s">
        <v>30</v>
      </c>
      <c r="E738" s="1" t="s">
        <v>32</v>
      </c>
      <c r="F738" s="2">
        <v>13822.803</v>
      </c>
    </row>
    <row r="739" spans="1:6" hidden="1">
      <c r="A739" s="1">
        <v>64</v>
      </c>
      <c r="B739" s="1" t="s">
        <v>35</v>
      </c>
      <c r="C739" s="1">
        <v>39.159999999999997</v>
      </c>
      <c r="D739" s="1" t="s">
        <v>30</v>
      </c>
      <c r="E739" s="1" t="s">
        <v>31</v>
      </c>
      <c r="F739" s="2">
        <v>14418.2804</v>
      </c>
    </row>
    <row r="740" spans="1:6" hidden="1">
      <c r="A740" s="1">
        <v>64</v>
      </c>
      <c r="B740" s="1" t="s">
        <v>35</v>
      </c>
      <c r="C740" s="1">
        <v>40.479999999999997</v>
      </c>
      <c r="D740" s="1" t="s">
        <v>30</v>
      </c>
      <c r="E740" s="1" t="s">
        <v>31</v>
      </c>
      <c r="F740" s="2">
        <v>13831.1152</v>
      </c>
    </row>
    <row r="741" spans="1:6" hidden="1">
      <c r="A741" s="1">
        <v>64</v>
      </c>
      <c r="B741" s="1" t="s">
        <v>35</v>
      </c>
      <c r="C741" s="1">
        <v>38.19</v>
      </c>
      <c r="D741" s="1" t="s">
        <v>30</v>
      </c>
      <c r="E741" s="1" t="s">
        <v>34</v>
      </c>
      <c r="F741" s="2">
        <v>14410.9321</v>
      </c>
    </row>
    <row r="742" spans="1:6" hidden="1">
      <c r="A742" s="1">
        <v>64</v>
      </c>
      <c r="B742" s="1" t="s">
        <v>35</v>
      </c>
      <c r="C742" s="1">
        <v>37.905000000000001</v>
      </c>
      <c r="D742" s="1" t="s">
        <v>30</v>
      </c>
      <c r="E742" s="1" t="s">
        <v>33</v>
      </c>
      <c r="F742" s="2">
        <v>14210.53595</v>
      </c>
    </row>
    <row r="743" spans="1:6" hidden="1">
      <c r="A743" s="1">
        <v>18</v>
      </c>
      <c r="B743" s="1" t="s">
        <v>29</v>
      </c>
      <c r="C743" s="1">
        <v>26.315000000000001</v>
      </c>
      <c r="D743" s="1" t="s">
        <v>30</v>
      </c>
      <c r="E743" s="1" t="s">
        <v>34</v>
      </c>
      <c r="F743" s="2">
        <v>2198.1898500000002</v>
      </c>
    </row>
    <row r="744" spans="1:6" hidden="1">
      <c r="A744" s="1">
        <v>18</v>
      </c>
      <c r="B744" s="1" t="s">
        <v>29</v>
      </c>
      <c r="C744" s="1">
        <v>26.73</v>
      </c>
      <c r="D744" s="1" t="s">
        <v>30</v>
      </c>
      <c r="E744" s="1" t="s">
        <v>31</v>
      </c>
      <c r="F744" s="2">
        <v>1615.7666999999999</v>
      </c>
    </row>
    <row r="745" spans="1:6" hidden="1">
      <c r="A745" s="1">
        <v>18</v>
      </c>
      <c r="B745" s="1" t="s">
        <v>29</v>
      </c>
      <c r="C745" s="1">
        <v>29.164999999999999</v>
      </c>
      <c r="D745" s="1" t="s">
        <v>30</v>
      </c>
      <c r="E745" s="1" t="s">
        <v>34</v>
      </c>
      <c r="F745" s="2">
        <v>7323.7348190000002</v>
      </c>
    </row>
    <row r="746" spans="1:6" hidden="1">
      <c r="A746" s="1">
        <v>18</v>
      </c>
      <c r="B746" s="1" t="s">
        <v>29</v>
      </c>
      <c r="C746" s="1">
        <v>25.08</v>
      </c>
      <c r="D746" s="1" t="s">
        <v>30</v>
      </c>
      <c r="E746" s="1" t="s">
        <v>34</v>
      </c>
      <c r="F746" s="2">
        <v>2196.4731999999999</v>
      </c>
    </row>
    <row r="747" spans="1:6" hidden="1">
      <c r="A747" s="1">
        <v>18</v>
      </c>
      <c r="B747" s="1" t="s">
        <v>29</v>
      </c>
      <c r="C747" s="1">
        <v>28.215</v>
      </c>
      <c r="D747" s="1" t="s">
        <v>30</v>
      </c>
      <c r="E747" s="1" t="s">
        <v>34</v>
      </c>
      <c r="F747" s="2">
        <v>2200.8308499999998</v>
      </c>
    </row>
    <row r="748" spans="1:6" hidden="1">
      <c r="A748" s="1">
        <v>19</v>
      </c>
      <c r="B748" s="1" t="s">
        <v>29</v>
      </c>
      <c r="C748" s="1">
        <v>28.6</v>
      </c>
      <c r="D748" s="1" t="s">
        <v>30</v>
      </c>
      <c r="E748" s="1" t="s">
        <v>32</v>
      </c>
      <c r="F748" s="2">
        <v>4687.7969999999996</v>
      </c>
    </row>
    <row r="749" spans="1:6" hidden="1">
      <c r="A749" s="1">
        <v>19</v>
      </c>
      <c r="B749" s="1" t="s">
        <v>29</v>
      </c>
      <c r="C749" s="1">
        <v>28.9</v>
      </c>
      <c r="D749" s="1" t="s">
        <v>30</v>
      </c>
      <c r="E749" s="1" t="s">
        <v>32</v>
      </c>
      <c r="F749" s="2">
        <v>1743.2139999999999</v>
      </c>
    </row>
    <row r="750" spans="1:6" hidden="1">
      <c r="A750" s="1">
        <v>19</v>
      </c>
      <c r="B750" s="1" t="s">
        <v>29</v>
      </c>
      <c r="C750" s="1">
        <v>28.4</v>
      </c>
      <c r="D750" s="1" t="s">
        <v>30</v>
      </c>
      <c r="E750" s="1" t="s">
        <v>32</v>
      </c>
      <c r="F750" s="2">
        <v>2331.5189999999998</v>
      </c>
    </row>
    <row r="751" spans="1:6" hidden="1">
      <c r="A751" s="1">
        <v>19</v>
      </c>
      <c r="B751" s="1" t="s">
        <v>29</v>
      </c>
      <c r="C751" s="1">
        <v>29.8</v>
      </c>
      <c r="D751" s="1" t="s">
        <v>30</v>
      </c>
      <c r="E751" s="1" t="s">
        <v>32</v>
      </c>
      <c r="F751" s="2">
        <v>1744.4649999999999</v>
      </c>
    </row>
    <row r="752" spans="1:6" hidden="1">
      <c r="A752" s="1">
        <v>19</v>
      </c>
      <c r="B752" s="1" t="s">
        <v>29</v>
      </c>
      <c r="C752" s="1">
        <v>27.93</v>
      </c>
      <c r="D752" s="1" t="s">
        <v>30</v>
      </c>
      <c r="E752" s="1" t="s">
        <v>33</v>
      </c>
      <c r="F752" s="2">
        <v>18838.703659999999</v>
      </c>
    </row>
    <row r="753" spans="1:6" hidden="1">
      <c r="A753" s="1">
        <v>19</v>
      </c>
      <c r="B753" s="1" t="s">
        <v>29</v>
      </c>
      <c r="C753" s="1">
        <v>25.745000000000001</v>
      </c>
      <c r="D753" s="1" t="s">
        <v>30</v>
      </c>
      <c r="E753" s="1" t="s">
        <v>33</v>
      </c>
      <c r="F753" s="2">
        <v>2710.8285500000002</v>
      </c>
    </row>
    <row r="754" spans="1:6" hidden="1">
      <c r="A754" s="1">
        <v>20</v>
      </c>
      <c r="B754" s="1" t="s">
        <v>29</v>
      </c>
      <c r="C754" s="1">
        <v>28.975000000000001</v>
      </c>
      <c r="D754" s="1" t="s">
        <v>30</v>
      </c>
      <c r="E754" s="1" t="s">
        <v>33</v>
      </c>
      <c r="F754" s="2">
        <v>2257.47525</v>
      </c>
    </row>
    <row r="755" spans="1:6" hidden="1">
      <c r="A755" s="1">
        <v>20</v>
      </c>
      <c r="B755" s="1" t="s">
        <v>29</v>
      </c>
      <c r="C755" s="1">
        <v>28.785</v>
      </c>
      <c r="D755" s="1" t="s">
        <v>30</v>
      </c>
      <c r="E755" s="1" t="s">
        <v>34</v>
      </c>
      <c r="F755" s="2">
        <v>2457.2111500000001</v>
      </c>
    </row>
    <row r="756" spans="1:6" hidden="1">
      <c r="A756" s="1">
        <v>20</v>
      </c>
      <c r="B756" s="1" t="s">
        <v>29</v>
      </c>
      <c r="C756" s="1">
        <v>29.6</v>
      </c>
      <c r="D756" s="1" t="s">
        <v>30</v>
      </c>
      <c r="E756" s="1" t="s">
        <v>32</v>
      </c>
      <c r="F756" s="2">
        <v>1875.3440000000001</v>
      </c>
    </row>
    <row r="757" spans="1:6" hidden="1">
      <c r="A757" s="1">
        <v>21</v>
      </c>
      <c r="B757" s="1" t="s">
        <v>29</v>
      </c>
      <c r="C757" s="1">
        <v>26.4</v>
      </c>
      <c r="D757" s="1" t="s">
        <v>30</v>
      </c>
      <c r="E757" s="1" t="s">
        <v>32</v>
      </c>
      <c r="F757" s="2">
        <v>2597.779</v>
      </c>
    </row>
    <row r="758" spans="1:6" hidden="1">
      <c r="A758" s="1">
        <v>21</v>
      </c>
      <c r="B758" s="1" t="s">
        <v>29</v>
      </c>
      <c r="C758" s="1">
        <v>25.8</v>
      </c>
      <c r="D758" s="1" t="s">
        <v>30</v>
      </c>
      <c r="E758" s="1" t="s">
        <v>32</v>
      </c>
      <c r="F758" s="2">
        <v>2007.9449999999999</v>
      </c>
    </row>
    <row r="759" spans="1:6" hidden="1">
      <c r="A759" s="1">
        <v>22</v>
      </c>
      <c r="B759" s="1" t="s">
        <v>29</v>
      </c>
      <c r="C759" s="1">
        <v>28.05</v>
      </c>
      <c r="D759" s="1" t="s">
        <v>30</v>
      </c>
      <c r="E759" s="1" t="s">
        <v>31</v>
      </c>
      <c r="F759" s="2">
        <v>2155.6815000000001</v>
      </c>
    </row>
    <row r="760" spans="1:6" hidden="1">
      <c r="A760" s="1">
        <v>22</v>
      </c>
      <c r="B760" s="1" t="s">
        <v>29</v>
      </c>
      <c r="C760" s="1">
        <v>28.82</v>
      </c>
      <c r="D760" s="1" t="s">
        <v>30</v>
      </c>
      <c r="E760" s="1" t="s">
        <v>31</v>
      </c>
      <c r="F760" s="2">
        <v>2156.7518</v>
      </c>
    </row>
    <row r="761" spans="1:6" hidden="1">
      <c r="A761" s="1">
        <v>22</v>
      </c>
      <c r="B761" s="1" t="s">
        <v>29</v>
      </c>
      <c r="C761" s="1">
        <v>27.1</v>
      </c>
      <c r="D761" s="1" t="s">
        <v>30</v>
      </c>
      <c r="E761" s="1" t="s">
        <v>32</v>
      </c>
      <c r="F761" s="2">
        <v>2154.3609999999999</v>
      </c>
    </row>
    <row r="762" spans="1:6" hidden="1">
      <c r="A762" s="1">
        <v>23</v>
      </c>
      <c r="B762" s="1" t="s">
        <v>29</v>
      </c>
      <c r="C762" s="1">
        <v>28.12</v>
      </c>
      <c r="D762" s="1" t="s">
        <v>30</v>
      </c>
      <c r="E762" s="1" t="s">
        <v>33</v>
      </c>
      <c r="F762" s="2">
        <v>2690.1138000000001</v>
      </c>
    </row>
    <row r="763" spans="1:6" hidden="1">
      <c r="A763" s="1">
        <v>23</v>
      </c>
      <c r="B763" s="1" t="s">
        <v>29</v>
      </c>
      <c r="C763" s="1">
        <v>28</v>
      </c>
      <c r="D763" s="1" t="s">
        <v>30</v>
      </c>
      <c r="E763" s="1" t="s">
        <v>32</v>
      </c>
      <c r="F763" s="2">
        <v>13126.677449999999</v>
      </c>
    </row>
    <row r="764" spans="1:6" hidden="1">
      <c r="A764" s="1">
        <v>24</v>
      </c>
      <c r="B764" s="1" t="s">
        <v>29</v>
      </c>
      <c r="C764" s="1">
        <v>26.6</v>
      </c>
      <c r="D764" s="1" t="s">
        <v>30</v>
      </c>
      <c r="E764" s="1" t="s">
        <v>34</v>
      </c>
      <c r="F764" s="2">
        <v>3046.0619999999999</v>
      </c>
    </row>
    <row r="765" spans="1:6" hidden="1">
      <c r="A765" s="1">
        <v>24</v>
      </c>
      <c r="B765" s="1" t="s">
        <v>29</v>
      </c>
      <c r="C765" s="1">
        <v>27.6</v>
      </c>
      <c r="D765" s="1" t="s">
        <v>30</v>
      </c>
      <c r="E765" s="1" t="s">
        <v>32</v>
      </c>
      <c r="F765" s="2">
        <v>18955.220170000001</v>
      </c>
    </row>
    <row r="766" spans="1:6" hidden="1">
      <c r="A766" s="1">
        <v>24</v>
      </c>
      <c r="B766" s="1" t="s">
        <v>29</v>
      </c>
      <c r="C766" s="1">
        <v>25.27</v>
      </c>
      <c r="D766" s="1" t="s">
        <v>30</v>
      </c>
      <c r="E766" s="1" t="s">
        <v>34</v>
      </c>
      <c r="F766" s="2">
        <v>3044.2132999999999</v>
      </c>
    </row>
    <row r="767" spans="1:6" hidden="1">
      <c r="A767" s="1">
        <v>24</v>
      </c>
      <c r="B767" s="1" t="s">
        <v>29</v>
      </c>
      <c r="C767" s="1">
        <v>27.72</v>
      </c>
      <c r="D767" s="1" t="s">
        <v>30</v>
      </c>
      <c r="E767" s="1" t="s">
        <v>31</v>
      </c>
      <c r="F767" s="2">
        <v>2464.6188000000002</v>
      </c>
    </row>
    <row r="768" spans="1:6" hidden="1">
      <c r="A768" s="1">
        <v>25</v>
      </c>
      <c r="B768" s="1" t="s">
        <v>29</v>
      </c>
      <c r="C768" s="1">
        <v>28.594999999999999</v>
      </c>
      <c r="D768" s="1" t="s">
        <v>30</v>
      </c>
      <c r="E768" s="1" t="s">
        <v>34</v>
      </c>
      <c r="F768" s="2">
        <v>3213.6220499999999</v>
      </c>
    </row>
    <row r="769" spans="1:6" hidden="1">
      <c r="A769" s="1">
        <v>25</v>
      </c>
      <c r="B769" s="1" t="s">
        <v>29</v>
      </c>
      <c r="C769" s="1">
        <v>26.79</v>
      </c>
      <c r="D769" s="1" t="s">
        <v>30</v>
      </c>
      <c r="E769" s="1" t="s">
        <v>33</v>
      </c>
      <c r="F769" s="2">
        <v>4189.1130999999996</v>
      </c>
    </row>
    <row r="770" spans="1:6" hidden="1">
      <c r="A770" s="1">
        <v>26</v>
      </c>
      <c r="B770" s="1" t="s">
        <v>29</v>
      </c>
      <c r="C770" s="1">
        <v>28.785</v>
      </c>
      <c r="D770" s="1" t="s">
        <v>30</v>
      </c>
      <c r="E770" s="1" t="s">
        <v>34</v>
      </c>
      <c r="F770" s="2">
        <v>3385.3991500000002</v>
      </c>
    </row>
    <row r="771" spans="1:6" hidden="1">
      <c r="A771" s="1">
        <v>26</v>
      </c>
      <c r="B771" s="1" t="s">
        <v>29</v>
      </c>
      <c r="C771" s="1">
        <v>29.64</v>
      </c>
      <c r="D771" s="1" t="s">
        <v>30</v>
      </c>
      <c r="E771" s="1" t="s">
        <v>34</v>
      </c>
      <c r="F771" s="2">
        <v>24671.663339999999</v>
      </c>
    </row>
    <row r="772" spans="1:6" hidden="1">
      <c r="A772" s="1">
        <v>26</v>
      </c>
      <c r="B772" s="1" t="s">
        <v>29</v>
      </c>
      <c r="C772" s="1">
        <v>29.48</v>
      </c>
      <c r="D772" s="1" t="s">
        <v>30</v>
      </c>
      <c r="E772" s="1" t="s">
        <v>31</v>
      </c>
      <c r="F772" s="2">
        <v>3392.3652000000002</v>
      </c>
    </row>
    <row r="773" spans="1:6" hidden="1">
      <c r="A773" s="1">
        <v>26</v>
      </c>
      <c r="B773" s="1" t="s">
        <v>29</v>
      </c>
      <c r="C773" s="1">
        <v>29.355</v>
      </c>
      <c r="D773" s="1" t="s">
        <v>30</v>
      </c>
      <c r="E773" s="1" t="s">
        <v>34</v>
      </c>
      <c r="F773" s="2">
        <v>4564.1914500000003</v>
      </c>
    </row>
    <row r="774" spans="1:6" hidden="1">
      <c r="A774" s="1">
        <v>27</v>
      </c>
      <c r="B774" s="1" t="s">
        <v>29</v>
      </c>
      <c r="C774" s="1">
        <v>25.175000000000001</v>
      </c>
      <c r="D774" s="1" t="s">
        <v>30</v>
      </c>
      <c r="E774" s="1" t="s">
        <v>34</v>
      </c>
      <c r="F774" s="2">
        <v>3558.6202499999999</v>
      </c>
    </row>
    <row r="775" spans="1:6" hidden="1">
      <c r="A775" s="1">
        <v>28</v>
      </c>
      <c r="B775" s="1" t="s">
        <v>29</v>
      </c>
      <c r="C775" s="1">
        <v>25.934999999999999</v>
      </c>
      <c r="D775" s="1" t="s">
        <v>30</v>
      </c>
      <c r="E775" s="1" t="s">
        <v>33</v>
      </c>
      <c r="F775" s="2">
        <v>4133.6416499999996</v>
      </c>
    </row>
    <row r="776" spans="1:6" hidden="1">
      <c r="A776" s="1">
        <v>28</v>
      </c>
      <c r="B776" s="1" t="s">
        <v>29</v>
      </c>
      <c r="C776" s="1">
        <v>28.88</v>
      </c>
      <c r="D776" s="1" t="s">
        <v>30</v>
      </c>
      <c r="E776" s="1" t="s">
        <v>34</v>
      </c>
      <c r="F776" s="2">
        <v>4337.7352000000001</v>
      </c>
    </row>
    <row r="777" spans="1:6" hidden="1">
      <c r="A777" s="1">
        <v>28</v>
      </c>
      <c r="B777" s="1" t="s">
        <v>29</v>
      </c>
      <c r="C777" s="1">
        <v>27.5</v>
      </c>
      <c r="D777" s="1" t="s">
        <v>30</v>
      </c>
      <c r="E777" s="1" t="s">
        <v>32</v>
      </c>
      <c r="F777" s="2">
        <v>20177.671129999999</v>
      </c>
    </row>
    <row r="778" spans="1:6" hidden="1">
      <c r="A778" s="1">
        <v>28</v>
      </c>
      <c r="B778" s="1" t="s">
        <v>29</v>
      </c>
      <c r="C778" s="1">
        <v>25.8</v>
      </c>
      <c r="D778" s="1" t="s">
        <v>30</v>
      </c>
      <c r="E778" s="1" t="s">
        <v>32</v>
      </c>
      <c r="F778" s="2">
        <v>3161.4540000000002</v>
      </c>
    </row>
    <row r="779" spans="1:6" hidden="1">
      <c r="A779" s="1">
        <v>28</v>
      </c>
      <c r="B779" s="1" t="s">
        <v>29</v>
      </c>
      <c r="C779" s="1">
        <v>26.315000000000001</v>
      </c>
      <c r="D779" s="1" t="s">
        <v>30</v>
      </c>
      <c r="E779" s="1" t="s">
        <v>33</v>
      </c>
      <c r="F779" s="2">
        <v>5312.1698500000002</v>
      </c>
    </row>
    <row r="780" spans="1:6" hidden="1">
      <c r="A780" s="1">
        <v>28</v>
      </c>
      <c r="B780" s="1" t="s">
        <v>29</v>
      </c>
      <c r="C780" s="1">
        <v>26.51</v>
      </c>
      <c r="D780" s="1" t="s">
        <v>30</v>
      </c>
      <c r="E780" s="1" t="s">
        <v>31</v>
      </c>
      <c r="F780" s="2">
        <v>4340.4408999999996</v>
      </c>
    </row>
    <row r="781" spans="1:6" hidden="1">
      <c r="A781" s="1">
        <v>29</v>
      </c>
      <c r="B781" s="1" t="s">
        <v>29</v>
      </c>
      <c r="C781" s="1">
        <v>29.59</v>
      </c>
      <c r="D781" s="1" t="s">
        <v>30</v>
      </c>
      <c r="E781" s="1" t="s">
        <v>31</v>
      </c>
      <c r="F781" s="2">
        <v>3947.4131000000002</v>
      </c>
    </row>
    <row r="782" spans="1:6" hidden="1">
      <c r="A782" s="1">
        <v>29</v>
      </c>
      <c r="B782" s="1" t="s">
        <v>29</v>
      </c>
      <c r="C782" s="1">
        <v>26.03</v>
      </c>
      <c r="D782" s="1" t="s">
        <v>30</v>
      </c>
      <c r="E782" s="1" t="s">
        <v>33</v>
      </c>
      <c r="F782" s="2">
        <v>3736.4647</v>
      </c>
    </row>
    <row r="783" spans="1:6" hidden="1">
      <c r="A783" s="1">
        <v>29</v>
      </c>
      <c r="B783" s="1" t="s">
        <v>29</v>
      </c>
      <c r="C783" s="1">
        <v>25.9</v>
      </c>
      <c r="D783" s="1" t="s">
        <v>30</v>
      </c>
      <c r="E783" s="1" t="s">
        <v>32</v>
      </c>
      <c r="F783" s="2">
        <v>3353.2840000000001</v>
      </c>
    </row>
    <row r="784" spans="1:6" hidden="1">
      <c r="A784" s="1">
        <v>29</v>
      </c>
      <c r="B784" s="1" t="s">
        <v>29</v>
      </c>
      <c r="C784" s="1">
        <v>25.6</v>
      </c>
      <c r="D784" s="1" t="s">
        <v>30</v>
      </c>
      <c r="E784" s="1" t="s">
        <v>32</v>
      </c>
      <c r="F784" s="2">
        <v>5708.8670000000002</v>
      </c>
    </row>
    <row r="785" spans="1:6" hidden="1">
      <c r="A785" s="1">
        <v>30</v>
      </c>
      <c r="B785" s="1" t="s">
        <v>29</v>
      </c>
      <c r="C785" s="1">
        <v>27.7</v>
      </c>
      <c r="D785" s="1" t="s">
        <v>30</v>
      </c>
      <c r="E785" s="1" t="s">
        <v>32</v>
      </c>
      <c r="F785" s="2">
        <v>3554.203</v>
      </c>
    </row>
    <row r="786" spans="1:6" hidden="1">
      <c r="A786" s="1">
        <v>30</v>
      </c>
      <c r="B786" s="1" t="s">
        <v>29</v>
      </c>
      <c r="C786" s="1">
        <v>28.405000000000001</v>
      </c>
      <c r="D786" s="1" t="s">
        <v>30</v>
      </c>
      <c r="E786" s="1" t="s">
        <v>33</v>
      </c>
      <c r="F786" s="2">
        <v>4527.1829500000003</v>
      </c>
    </row>
    <row r="787" spans="1:6" hidden="1">
      <c r="A787" s="1">
        <v>30</v>
      </c>
      <c r="B787" s="1" t="s">
        <v>29</v>
      </c>
      <c r="C787" s="1">
        <v>27.93</v>
      </c>
      <c r="D787" s="1" t="s">
        <v>30</v>
      </c>
      <c r="E787" s="1" t="s">
        <v>34</v>
      </c>
      <c r="F787" s="2">
        <v>4137.5227000000004</v>
      </c>
    </row>
    <row r="788" spans="1:6" hidden="1">
      <c r="A788" s="1">
        <v>31</v>
      </c>
      <c r="B788" s="1" t="s">
        <v>29</v>
      </c>
      <c r="C788" s="1">
        <v>25.74</v>
      </c>
      <c r="D788" s="1" t="s">
        <v>30</v>
      </c>
      <c r="E788" s="1" t="s">
        <v>31</v>
      </c>
      <c r="F788" s="2">
        <v>3756.6215999999999</v>
      </c>
    </row>
    <row r="789" spans="1:6" hidden="1">
      <c r="A789" s="1">
        <v>31</v>
      </c>
      <c r="B789" s="1" t="s">
        <v>29</v>
      </c>
      <c r="C789" s="1">
        <v>29.1</v>
      </c>
      <c r="D789" s="1" t="s">
        <v>30</v>
      </c>
      <c r="E789" s="1" t="s">
        <v>32</v>
      </c>
      <c r="F789" s="2">
        <v>3761.2919999999999</v>
      </c>
    </row>
    <row r="790" spans="1:6" hidden="1">
      <c r="A790" s="1">
        <v>31</v>
      </c>
      <c r="B790" s="1" t="s">
        <v>29</v>
      </c>
      <c r="C790" s="1">
        <v>26.62</v>
      </c>
      <c r="D790" s="1" t="s">
        <v>30</v>
      </c>
      <c r="E790" s="1" t="s">
        <v>31</v>
      </c>
      <c r="F790" s="2">
        <v>3757.8447999999999</v>
      </c>
    </row>
    <row r="791" spans="1:6" hidden="1">
      <c r="A791" s="1">
        <v>31</v>
      </c>
      <c r="B791" s="1" t="s">
        <v>29</v>
      </c>
      <c r="C791" s="1">
        <v>29.26</v>
      </c>
      <c r="D791" s="1" t="s">
        <v>30</v>
      </c>
      <c r="E791" s="1" t="s">
        <v>31</v>
      </c>
      <c r="F791" s="2">
        <v>4350.5144</v>
      </c>
    </row>
    <row r="792" spans="1:6" hidden="1">
      <c r="A792" s="1">
        <v>31</v>
      </c>
      <c r="B792" s="1" t="s">
        <v>29</v>
      </c>
      <c r="C792" s="1">
        <v>25.8</v>
      </c>
      <c r="D792" s="1" t="s">
        <v>30</v>
      </c>
      <c r="E792" s="1" t="s">
        <v>32</v>
      </c>
      <c r="F792" s="2">
        <v>4934.7049999999999</v>
      </c>
    </row>
    <row r="793" spans="1:6" hidden="1">
      <c r="A793" s="1">
        <v>32</v>
      </c>
      <c r="B793" s="1" t="s">
        <v>29</v>
      </c>
      <c r="C793" s="1">
        <v>29.8</v>
      </c>
      <c r="D793" s="1" t="s">
        <v>30</v>
      </c>
      <c r="E793" s="1" t="s">
        <v>32</v>
      </c>
      <c r="F793" s="2">
        <v>5152.134</v>
      </c>
    </row>
    <row r="794" spans="1:6" hidden="1">
      <c r="A794" s="1">
        <v>32</v>
      </c>
      <c r="B794" s="1" t="s">
        <v>29</v>
      </c>
      <c r="C794" s="1">
        <v>28.93</v>
      </c>
      <c r="D794" s="1" t="s">
        <v>30</v>
      </c>
      <c r="E794" s="1" t="s">
        <v>31</v>
      </c>
      <c r="F794" s="2">
        <v>3972.9247</v>
      </c>
    </row>
    <row r="795" spans="1:6" hidden="1">
      <c r="A795" s="1">
        <v>32</v>
      </c>
      <c r="B795" s="1" t="s">
        <v>29</v>
      </c>
      <c r="C795" s="1">
        <v>29.59</v>
      </c>
      <c r="D795" s="1" t="s">
        <v>30</v>
      </c>
      <c r="E795" s="1" t="s">
        <v>31</v>
      </c>
      <c r="F795" s="2">
        <v>4562.8420999999998</v>
      </c>
    </row>
    <row r="796" spans="1:6" hidden="1">
      <c r="A796" s="1">
        <v>32</v>
      </c>
      <c r="B796" s="1" t="s">
        <v>29</v>
      </c>
      <c r="C796" s="1">
        <v>29.734999999999999</v>
      </c>
      <c r="D796" s="1" t="s">
        <v>30</v>
      </c>
      <c r="E796" s="1" t="s">
        <v>33</v>
      </c>
      <c r="F796" s="2">
        <v>4357.0436499999996</v>
      </c>
    </row>
    <row r="797" spans="1:6" hidden="1">
      <c r="A797" s="1">
        <v>33</v>
      </c>
      <c r="B797" s="1" t="s">
        <v>29</v>
      </c>
      <c r="C797" s="1">
        <v>28.27</v>
      </c>
      <c r="D797" s="1" t="s">
        <v>30</v>
      </c>
      <c r="E797" s="1" t="s">
        <v>31</v>
      </c>
      <c r="F797" s="2">
        <v>4779.6022999999996</v>
      </c>
    </row>
    <row r="798" spans="1:6" hidden="1">
      <c r="A798" s="1">
        <v>33</v>
      </c>
      <c r="B798" s="1" t="s">
        <v>29</v>
      </c>
      <c r="C798" s="1">
        <v>26.695</v>
      </c>
      <c r="D798" s="1" t="s">
        <v>30</v>
      </c>
      <c r="E798" s="1" t="s">
        <v>33</v>
      </c>
      <c r="F798" s="2">
        <v>4571.4130500000001</v>
      </c>
    </row>
    <row r="799" spans="1:6" hidden="1">
      <c r="A799" s="1">
        <v>34</v>
      </c>
      <c r="B799" s="1" t="s">
        <v>29</v>
      </c>
      <c r="C799" s="1">
        <v>27.5</v>
      </c>
      <c r="D799" s="1" t="s">
        <v>30</v>
      </c>
      <c r="E799" s="1" t="s">
        <v>32</v>
      </c>
      <c r="F799" s="2">
        <v>5003.8530000000001</v>
      </c>
    </row>
    <row r="800" spans="1:6" hidden="1">
      <c r="A800" s="1">
        <v>34</v>
      </c>
      <c r="B800" s="1" t="s">
        <v>29</v>
      </c>
      <c r="C800" s="1">
        <v>26.73</v>
      </c>
      <c r="D800" s="1" t="s">
        <v>30</v>
      </c>
      <c r="E800" s="1" t="s">
        <v>31</v>
      </c>
      <c r="F800" s="2">
        <v>5002.7826999999997</v>
      </c>
    </row>
    <row r="801" spans="1:6" hidden="1">
      <c r="A801" s="1">
        <v>34</v>
      </c>
      <c r="B801" s="1" t="s">
        <v>29</v>
      </c>
      <c r="C801" s="1">
        <v>29.26</v>
      </c>
      <c r="D801" s="1" t="s">
        <v>30</v>
      </c>
      <c r="E801" s="1" t="s">
        <v>31</v>
      </c>
      <c r="F801" s="2">
        <v>6184.2993999999999</v>
      </c>
    </row>
    <row r="802" spans="1:6" hidden="1">
      <c r="A802" s="1">
        <v>34</v>
      </c>
      <c r="B802" s="1" t="s">
        <v>29</v>
      </c>
      <c r="C802" s="1">
        <v>26.41</v>
      </c>
      <c r="D802" s="1" t="s">
        <v>30</v>
      </c>
      <c r="E802" s="1" t="s">
        <v>33</v>
      </c>
      <c r="F802" s="2">
        <v>5385.3379000000004</v>
      </c>
    </row>
    <row r="803" spans="1:6" hidden="1">
      <c r="A803" s="1">
        <v>34</v>
      </c>
      <c r="B803" s="1" t="s">
        <v>29</v>
      </c>
      <c r="C803" s="1">
        <v>27.72</v>
      </c>
      <c r="D803" s="1" t="s">
        <v>30</v>
      </c>
      <c r="E803" s="1" t="s">
        <v>31</v>
      </c>
      <c r="F803" s="2">
        <v>4415.1588000000002</v>
      </c>
    </row>
    <row r="804" spans="1:6" hidden="1">
      <c r="A804" s="1">
        <v>35</v>
      </c>
      <c r="B804" s="1" t="s">
        <v>29</v>
      </c>
      <c r="C804" s="1">
        <v>27.7</v>
      </c>
      <c r="D804" s="1" t="s">
        <v>30</v>
      </c>
      <c r="E804" s="1" t="s">
        <v>32</v>
      </c>
      <c r="F804" s="2">
        <v>6414.1779999999999</v>
      </c>
    </row>
    <row r="805" spans="1:6" hidden="1">
      <c r="A805" s="1">
        <v>35</v>
      </c>
      <c r="B805" s="1" t="s">
        <v>29</v>
      </c>
      <c r="C805" s="1">
        <v>26.125</v>
      </c>
      <c r="D805" s="1" t="s">
        <v>30</v>
      </c>
      <c r="E805" s="1" t="s">
        <v>34</v>
      </c>
      <c r="F805" s="2">
        <v>5227.9887500000004</v>
      </c>
    </row>
    <row r="806" spans="1:6" hidden="1">
      <c r="A806" s="1">
        <v>36</v>
      </c>
      <c r="B806" s="1" t="s">
        <v>29</v>
      </c>
      <c r="C806" s="1">
        <v>26.2</v>
      </c>
      <c r="D806" s="1" t="s">
        <v>30</v>
      </c>
      <c r="E806" s="1" t="s">
        <v>32</v>
      </c>
      <c r="F806" s="2">
        <v>4883.866</v>
      </c>
    </row>
    <row r="807" spans="1:6" hidden="1">
      <c r="A807" s="1">
        <v>36</v>
      </c>
      <c r="B807" s="1" t="s">
        <v>29</v>
      </c>
      <c r="C807" s="1">
        <v>27.74</v>
      </c>
      <c r="D807" s="1" t="s">
        <v>30</v>
      </c>
      <c r="E807" s="1" t="s">
        <v>34</v>
      </c>
      <c r="F807" s="2">
        <v>5469.0065999999997</v>
      </c>
    </row>
    <row r="808" spans="1:6" hidden="1">
      <c r="A808" s="1">
        <v>36</v>
      </c>
      <c r="B808" s="1" t="s">
        <v>29</v>
      </c>
      <c r="C808" s="1">
        <v>25.84</v>
      </c>
      <c r="D808" s="1" t="s">
        <v>30</v>
      </c>
      <c r="E808" s="1" t="s">
        <v>33</v>
      </c>
      <c r="F808" s="2">
        <v>5266.3656000000001</v>
      </c>
    </row>
    <row r="809" spans="1:6" hidden="1">
      <c r="A809" s="1">
        <v>36</v>
      </c>
      <c r="B809" s="1" t="s">
        <v>29</v>
      </c>
      <c r="C809" s="1">
        <v>29.04</v>
      </c>
      <c r="D809" s="1" t="s">
        <v>30</v>
      </c>
      <c r="E809" s="1" t="s">
        <v>31</v>
      </c>
      <c r="F809" s="2">
        <v>7243.8136000000004</v>
      </c>
    </row>
    <row r="810" spans="1:6" hidden="1">
      <c r="A810" s="1">
        <v>36</v>
      </c>
      <c r="B810" s="1" t="s">
        <v>29</v>
      </c>
      <c r="C810" s="1">
        <v>26.885000000000002</v>
      </c>
      <c r="D810" s="1" t="s">
        <v>30</v>
      </c>
      <c r="E810" s="1" t="s">
        <v>33</v>
      </c>
      <c r="F810" s="2">
        <v>5267.8181500000001</v>
      </c>
    </row>
    <row r="811" spans="1:6" hidden="1">
      <c r="A811" s="1">
        <v>36</v>
      </c>
      <c r="B811" s="1" t="s">
        <v>29</v>
      </c>
      <c r="C811" s="1">
        <v>25.9</v>
      </c>
      <c r="D811" s="1" t="s">
        <v>30</v>
      </c>
      <c r="E811" s="1" t="s">
        <v>32</v>
      </c>
      <c r="F811" s="2">
        <v>5472.4489999999996</v>
      </c>
    </row>
    <row r="812" spans="1:6" hidden="1">
      <c r="A812" s="1">
        <v>37</v>
      </c>
      <c r="B812" s="1" t="s">
        <v>29</v>
      </c>
      <c r="C812" s="1">
        <v>27.74</v>
      </c>
      <c r="D812" s="1" t="s">
        <v>30</v>
      </c>
      <c r="E812" s="1" t="s">
        <v>33</v>
      </c>
      <c r="F812" s="2">
        <v>7281.5056000000004</v>
      </c>
    </row>
    <row r="813" spans="1:6" hidden="1">
      <c r="A813" s="1">
        <v>37</v>
      </c>
      <c r="B813" s="1" t="s">
        <v>29</v>
      </c>
      <c r="C813" s="1">
        <v>29.5</v>
      </c>
      <c r="D813" s="1" t="s">
        <v>30</v>
      </c>
      <c r="E813" s="1" t="s">
        <v>32</v>
      </c>
      <c r="F813" s="2">
        <v>6311.9520000000002</v>
      </c>
    </row>
    <row r="814" spans="1:6" hidden="1">
      <c r="A814" s="1">
        <v>38</v>
      </c>
      <c r="B814" s="1" t="s">
        <v>29</v>
      </c>
      <c r="C814" s="1">
        <v>27.265000000000001</v>
      </c>
      <c r="D814" s="1" t="s">
        <v>30</v>
      </c>
      <c r="E814" s="1" t="s">
        <v>34</v>
      </c>
      <c r="F814" s="2">
        <v>6555.07035</v>
      </c>
    </row>
    <row r="815" spans="1:6" hidden="1">
      <c r="A815" s="1">
        <v>38</v>
      </c>
      <c r="B815" s="1" t="s">
        <v>29</v>
      </c>
      <c r="C815" s="1">
        <v>28.93</v>
      </c>
      <c r="D815" s="1" t="s">
        <v>30</v>
      </c>
      <c r="E815" s="1" t="s">
        <v>31</v>
      </c>
      <c r="F815" s="2">
        <v>5974.3846999999996</v>
      </c>
    </row>
    <row r="816" spans="1:6" hidden="1">
      <c r="A816" s="1">
        <v>38</v>
      </c>
      <c r="B816" s="1" t="s">
        <v>29</v>
      </c>
      <c r="C816" s="1">
        <v>28</v>
      </c>
      <c r="D816" s="1" t="s">
        <v>30</v>
      </c>
      <c r="E816" s="1" t="s">
        <v>32</v>
      </c>
      <c r="F816" s="2">
        <v>7151.0919999999996</v>
      </c>
    </row>
    <row r="817" spans="1:6" hidden="1">
      <c r="A817" s="1">
        <v>38</v>
      </c>
      <c r="B817" s="1" t="s">
        <v>29</v>
      </c>
      <c r="C817" s="1">
        <v>27.835000000000001</v>
      </c>
      <c r="D817" s="1" t="s">
        <v>30</v>
      </c>
      <c r="E817" s="1" t="s">
        <v>34</v>
      </c>
      <c r="F817" s="2">
        <v>7144.86265</v>
      </c>
    </row>
    <row r="818" spans="1:6" hidden="1">
      <c r="A818" s="1">
        <v>38</v>
      </c>
      <c r="B818" s="1" t="s">
        <v>29</v>
      </c>
      <c r="C818" s="1">
        <v>27.6</v>
      </c>
      <c r="D818" s="1" t="s">
        <v>30</v>
      </c>
      <c r="E818" s="1" t="s">
        <v>32</v>
      </c>
      <c r="F818" s="2">
        <v>5383.5360000000001</v>
      </c>
    </row>
    <row r="819" spans="1:6" hidden="1">
      <c r="A819" s="1">
        <v>39</v>
      </c>
      <c r="B819" s="1" t="s">
        <v>29</v>
      </c>
      <c r="C819" s="1">
        <v>26.315000000000001</v>
      </c>
      <c r="D819" s="1" t="s">
        <v>30</v>
      </c>
      <c r="E819" s="1" t="s">
        <v>33</v>
      </c>
      <c r="F819" s="2">
        <v>7201.7008500000002</v>
      </c>
    </row>
    <row r="820" spans="1:6" hidden="1">
      <c r="A820" s="1">
        <v>40</v>
      </c>
      <c r="B820" s="1" t="s">
        <v>29</v>
      </c>
      <c r="C820" s="1">
        <v>28.69</v>
      </c>
      <c r="D820" s="1" t="s">
        <v>30</v>
      </c>
      <c r="E820" s="1" t="s">
        <v>33</v>
      </c>
      <c r="F820" s="2">
        <v>8059.6791000000003</v>
      </c>
    </row>
    <row r="821" spans="1:6" hidden="1">
      <c r="A821" s="1">
        <v>40</v>
      </c>
      <c r="B821" s="1" t="s">
        <v>29</v>
      </c>
      <c r="C821" s="1">
        <v>25.46</v>
      </c>
      <c r="D821" s="1" t="s">
        <v>30</v>
      </c>
      <c r="E821" s="1" t="s">
        <v>34</v>
      </c>
      <c r="F821" s="2">
        <v>7077.1894000000002</v>
      </c>
    </row>
    <row r="822" spans="1:6" hidden="1">
      <c r="A822" s="1">
        <v>40</v>
      </c>
      <c r="B822" s="1" t="s">
        <v>29</v>
      </c>
      <c r="C822" s="1">
        <v>29.6</v>
      </c>
      <c r="D822" s="1" t="s">
        <v>30</v>
      </c>
      <c r="E822" s="1" t="s">
        <v>32</v>
      </c>
      <c r="F822" s="2">
        <v>5910.9440000000004</v>
      </c>
    </row>
    <row r="823" spans="1:6" hidden="1">
      <c r="A823" s="1">
        <v>40</v>
      </c>
      <c r="B823" s="1" t="s">
        <v>29</v>
      </c>
      <c r="C823" s="1">
        <v>29.81</v>
      </c>
      <c r="D823" s="1" t="s">
        <v>30</v>
      </c>
      <c r="E823" s="1" t="s">
        <v>31</v>
      </c>
      <c r="F823" s="2">
        <v>6500.2358999999997</v>
      </c>
    </row>
    <row r="824" spans="1:6" hidden="1">
      <c r="A824" s="1">
        <v>40</v>
      </c>
      <c r="B824" s="1" t="s">
        <v>29</v>
      </c>
      <c r="C824" s="1">
        <v>27.4</v>
      </c>
      <c r="D824" s="1" t="s">
        <v>30</v>
      </c>
      <c r="E824" s="1" t="s">
        <v>32</v>
      </c>
      <c r="F824" s="2">
        <v>6496.8860000000004</v>
      </c>
    </row>
    <row r="825" spans="1:6" hidden="1">
      <c r="A825" s="1">
        <v>40</v>
      </c>
      <c r="B825" s="1" t="s">
        <v>29</v>
      </c>
      <c r="C825" s="1">
        <v>29.3</v>
      </c>
      <c r="D825" s="1" t="s">
        <v>30</v>
      </c>
      <c r="E825" s="1" t="s">
        <v>32</v>
      </c>
      <c r="F825" s="2">
        <v>15828.82173</v>
      </c>
    </row>
    <row r="826" spans="1:6" hidden="1">
      <c r="A826" s="1">
        <v>41</v>
      </c>
      <c r="B826" s="1" t="s">
        <v>29</v>
      </c>
      <c r="C826" s="1">
        <v>28.31</v>
      </c>
      <c r="D826" s="1" t="s">
        <v>30</v>
      </c>
      <c r="E826" s="1" t="s">
        <v>33</v>
      </c>
      <c r="F826" s="2">
        <v>7153.5538999999999</v>
      </c>
    </row>
    <row r="827" spans="1:6" hidden="1">
      <c r="A827" s="1">
        <v>41</v>
      </c>
      <c r="B827" s="1" t="s">
        <v>29</v>
      </c>
      <c r="C827" s="1">
        <v>28.05</v>
      </c>
      <c r="D827" s="1" t="s">
        <v>30</v>
      </c>
      <c r="E827" s="1" t="s">
        <v>31</v>
      </c>
      <c r="F827" s="2">
        <v>6770.1925000000001</v>
      </c>
    </row>
    <row r="828" spans="1:6" hidden="1">
      <c r="A828" s="1">
        <v>42</v>
      </c>
      <c r="B828" s="1" t="s">
        <v>29</v>
      </c>
      <c r="C828" s="1">
        <v>24.984999999999999</v>
      </c>
      <c r="D828" s="1" t="s">
        <v>30</v>
      </c>
      <c r="E828" s="1" t="s">
        <v>33</v>
      </c>
      <c r="F828" s="2">
        <v>8017.0611500000005</v>
      </c>
    </row>
    <row r="829" spans="1:6" hidden="1">
      <c r="A829" s="1">
        <v>42</v>
      </c>
      <c r="B829" s="1" t="s">
        <v>29</v>
      </c>
      <c r="C829" s="1">
        <v>29.48</v>
      </c>
      <c r="D829" s="1" t="s">
        <v>30</v>
      </c>
      <c r="E829" s="1" t="s">
        <v>31</v>
      </c>
      <c r="F829" s="2">
        <v>7640.3091999999997</v>
      </c>
    </row>
    <row r="830" spans="1:6" hidden="1">
      <c r="A830" s="1">
        <v>42</v>
      </c>
      <c r="B830" s="1" t="s">
        <v>29</v>
      </c>
      <c r="C830" s="1">
        <v>29</v>
      </c>
      <c r="D830" s="1" t="s">
        <v>30</v>
      </c>
      <c r="E830" s="1" t="s">
        <v>32</v>
      </c>
      <c r="F830" s="2">
        <v>7050.6419999999998</v>
      </c>
    </row>
    <row r="831" spans="1:6" hidden="1">
      <c r="A831" s="1">
        <v>42</v>
      </c>
      <c r="B831" s="1" t="s">
        <v>29</v>
      </c>
      <c r="C831" s="1">
        <v>26.18</v>
      </c>
      <c r="D831" s="1" t="s">
        <v>30</v>
      </c>
      <c r="E831" s="1" t="s">
        <v>31</v>
      </c>
      <c r="F831" s="2">
        <v>7046.7222000000002</v>
      </c>
    </row>
    <row r="832" spans="1:6" hidden="1">
      <c r="A832" s="1">
        <v>42</v>
      </c>
      <c r="B832" s="1" t="s">
        <v>29</v>
      </c>
      <c r="C832" s="1">
        <v>25.3</v>
      </c>
      <c r="D832" s="1" t="s">
        <v>30</v>
      </c>
      <c r="E832" s="1" t="s">
        <v>32</v>
      </c>
      <c r="F832" s="2">
        <v>7045.4989999999998</v>
      </c>
    </row>
    <row r="833" spans="1:6" hidden="1">
      <c r="A833" s="1">
        <v>43</v>
      </c>
      <c r="B833" s="1" t="s">
        <v>29</v>
      </c>
      <c r="C833" s="1">
        <v>25.08</v>
      </c>
      <c r="D833" s="1" t="s">
        <v>30</v>
      </c>
      <c r="E833" s="1" t="s">
        <v>34</v>
      </c>
      <c r="F833" s="2">
        <v>7325.0482000000002</v>
      </c>
    </row>
    <row r="834" spans="1:6" hidden="1">
      <c r="A834" s="1">
        <v>43</v>
      </c>
      <c r="B834" s="1" t="s">
        <v>29</v>
      </c>
      <c r="C834" s="1">
        <v>29.9</v>
      </c>
      <c r="D834" s="1" t="s">
        <v>30</v>
      </c>
      <c r="E834" s="1" t="s">
        <v>32</v>
      </c>
      <c r="F834" s="2">
        <v>7337.7479999999996</v>
      </c>
    </row>
    <row r="835" spans="1:6" hidden="1">
      <c r="A835" s="1">
        <v>44</v>
      </c>
      <c r="B835" s="1" t="s">
        <v>29</v>
      </c>
      <c r="C835" s="1">
        <v>26.41</v>
      </c>
      <c r="D835" s="1" t="s">
        <v>30</v>
      </c>
      <c r="E835" s="1" t="s">
        <v>33</v>
      </c>
      <c r="F835" s="2">
        <v>7419.4778999999999</v>
      </c>
    </row>
    <row r="836" spans="1:6" hidden="1">
      <c r="A836" s="1">
        <v>44</v>
      </c>
      <c r="B836" s="1" t="s">
        <v>29</v>
      </c>
      <c r="C836" s="1">
        <v>27.645</v>
      </c>
      <c r="D836" s="1" t="s">
        <v>30</v>
      </c>
      <c r="E836" s="1" t="s">
        <v>33</v>
      </c>
      <c r="F836" s="2">
        <v>7421.1945500000002</v>
      </c>
    </row>
    <row r="837" spans="1:6" hidden="1">
      <c r="A837" s="1">
        <v>44</v>
      </c>
      <c r="B837" s="1" t="s">
        <v>29</v>
      </c>
      <c r="C837" s="1">
        <v>29.81</v>
      </c>
      <c r="D837" s="1" t="s">
        <v>30</v>
      </c>
      <c r="E837" s="1" t="s">
        <v>31</v>
      </c>
      <c r="F837" s="2">
        <v>8219.2039000000004</v>
      </c>
    </row>
    <row r="838" spans="1:6" hidden="1">
      <c r="A838" s="1">
        <v>44</v>
      </c>
      <c r="B838" s="1" t="s">
        <v>29</v>
      </c>
      <c r="C838" s="1">
        <v>27.5</v>
      </c>
      <c r="D838" s="1" t="s">
        <v>30</v>
      </c>
      <c r="E838" s="1" t="s">
        <v>32</v>
      </c>
      <c r="F838" s="2">
        <v>7626.9930000000004</v>
      </c>
    </row>
    <row r="839" spans="1:6" hidden="1">
      <c r="A839" s="1">
        <v>44</v>
      </c>
      <c r="B839" s="1" t="s">
        <v>29</v>
      </c>
      <c r="C839" s="1">
        <v>25.8</v>
      </c>
      <c r="D839" s="1" t="s">
        <v>30</v>
      </c>
      <c r="E839" s="1" t="s">
        <v>32</v>
      </c>
      <c r="F839" s="2">
        <v>7624.63</v>
      </c>
    </row>
    <row r="840" spans="1:6" hidden="1">
      <c r="A840" s="1">
        <v>44</v>
      </c>
      <c r="B840" s="1" t="s">
        <v>29</v>
      </c>
      <c r="C840" s="1">
        <v>25</v>
      </c>
      <c r="D840" s="1" t="s">
        <v>30</v>
      </c>
      <c r="E840" s="1" t="s">
        <v>32</v>
      </c>
      <c r="F840" s="2">
        <v>7623.518</v>
      </c>
    </row>
    <row r="841" spans="1:6" hidden="1">
      <c r="A841" s="1">
        <v>45</v>
      </c>
      <c r="B841" s="1" t="s">
        <v>29</v>
      </c>
      <c r="C841" s="1">
        <v>28.6</v>
      </c>
      <c r="D841" s="1" t="s">
        <v>30</v>
      </c>
      <c r="E841" s="1" t="s">
        <v>31</v>
      </c>
      <c r="F841" s="2">
        <v>8516.8289999999997</v>
      </c>
    </row>
    <row r="842" spans="1:6" hidden="1">
      <c r="A842" s="1">
        <v>45</v>
      </c>
      <c r="B842" s="1" t="s">
        <v>29</v>
      </c>
      <c r="C842" s="1">
        <v>25.175000000000001</v>
      </c>
      <c r="D842" s="1" t="s">
        <v>30</v>
      </c>
      <c r="E842" s="1" t="s">
        <v>34</v>
      </c>
      <c r="F842" s="2">
        <v>9095.0682500000003</v>
      </c>
    </row>
    <row r="843" spans="1:6" hidden="1">
      <c r="A843" s="1">
        <v>45</v>
      </c>
      <c r="B843" s="1" t="s">
        <v>29</v>
      </c>
      <c r="C843" s="1">
        <v>27.645</v>
      </c>
      <c r="D843" s="1" t="s">
        <v>30</v>
      </c>
      <c r="E843" s="1" t="s">
        <v>33</v>
      </c>
      <c r="F843" s="2">
        <v>28340.188849999999</v>
      </c>
    </row>
    <row r="844" spans="1:6" hidden="1">
      <c r="A844" s="1">
        <v>45</v>
      </c>
      <c r="B844" s="1" t="s">
        <v>29</v>
      </c>
      <c r="C844" s="1">
        <v>27.83</v>
      </c>
      <c r="D844" s="1" t="s">
        <v>30</v>
      </c>
      <c r="E844" s="1" t="s">
        <v>31</v>
      </c>
      <c r="F844" s="2">
        <v>8515.7587000000003</v>
      </c>
    </row>
    <row r="845" spans="1:6" hidden="1">
      <c r="A845" s="1">
        <v>45</v>
      </c>
      <c r="B845" s="1" t="s">
        <v>29</v>
      </c>
      <c r="C845" s="1">
        <v>25.7</v>
      </c>
      <c r="D845" s="1" t="s">
        <v>30</v>
      </c>
      <c r="E845" s="1" t="s">
        <v>32</v>
      </c>
      <c r="F845" s="2">
        <v>9101.7980000000007</v>
      </c>
    </row>
    <row r="846" spans="1:6" hidden="1">
      <c r="A846" s="1">
        <v>46</v>
      </c>
      <c r="B846" s="1" t="s">
        <v>29</v>
      </c>
      <c r="C846" s="1">
        <v>27.74</v>
      </c>
      <c r="D846" s="1" t="s">
        <v>30</v>
      </c>
      <c r="E846" s="1" t="s">
        <v>33</v>
      </c>
      <c r="F846" s="2">
        <v>8026.6665999999996</v>
      </c>
    </row>
    <row r="847" spans="1:6" hidden="1">
      <c r="A847" s="1">
        <v>46</v>
      </c>
      <c r="B847" s="1" t="s">
        <v>29</v>
      </c>
      <c r="C847" s="1">
        <v>28.9</v>
      </c>
      <c r="D847" s="1" t="s">
        <v>30</v>
      </c>
      <c r="E847" s="1" t="s">
        <v>32</v>
      </c>
      <c r="F847" s="2">
        <v>8823.2790000000005</v>
      </c>
    </row>
    <row r="848" spans="1:6" hidden="1">
      <c r="A848" s="1">
        <v>46</v>
      </c>
      <c r="B848" s="1" t="s">
        <v>29</v>
      </c>
      <c r="C848" s="1">
        <v>27.72</v>
      </c>
      <c r="D848" s="1" t="s">
        <v>30</v>
      </c>
      <c r="E848" s="1" t="s">
        <v>31</v>
      </c>
      <c r="F848" s="2">
        <v>8232.6388000000006</v>
      </c>
    </row>
    <row r="849" spans="1:6" hidden="1">
      <c r="A849" s="1">
        <v>46</v>
      </c>
      <c r="B849" s="1" t="s">
        <v>29</v>
      </c>
      <c r="C849" s="1">
        <v>28.05</v>
      </c>
      <c r="D849" s="1" t="s">
        <v>30</v>
      </c>
      <c r="E849" s="1" t="s">
        <v>31</v>
      </c>
      <c r="F849" s="2">
        <v>8233.0974999999999</v>
      </c>
    </row>
    <row r="850" spans="1:6" hidden="1">
      <c r="A850" s="1">
        <v>47</v>
      </c>
      <c r="B850" s="1" t="s">
        <v>29</v>
      </c>
      <c r="C850" s="1">
        <v>26.6</v>
      </c>
      <c r="D850" s="1" t="s">
        <v>30</v>
      </c>
      <c r="E850" s="1" t="s">
        <v>34</v>
      </c>
      <c r="F850" s="2">
        <v>9715.8410000000003</v>
      </c>
    </row>
    <row r="851" spans="1:6" hidden="1">
      <c r="A851" s="1">
        <v>47</v>
      </c>
      <c r="B851" s="1" t="s">
        <v>29</v>
      </c>
      <c r="C851" s="1">
        <v>29.37</v>
      </c>
      <c r="D851" s="1" t="s">
        <v>30</v>
      </c>
      <c r="E851" s="1" t="s">
        <v>31</v>
      </c>
      <c r="F851" s="2">
        <v>8547.6913000000004</v>
      </c>
    </row>
    <row r="852" spans="1:6" hidden="1">
      <c r="A852" s="1">
        <v>47</v>
      </c>
      <c r="B852" s="1" t="s">
        <v>29</v>
      </c>
      <c r="C852" s="1">
        <v>29.545000000000002</v>
      </c>
      <c r="D852" s="1" t="s">
        <v>30</v>
      </c>
      <c r="E852" s="1" t="s">
        <v>33</v>
      </c>
      <c r="F852" s="2">
        <v>8930.9345499999999</v>
      </c>
    </row>
    <row r="853" spans="1:6" hidden="1">
      <c r="A853" s="1">
        <v>48</v>
      </c>
      <c r="B853" s="1" t="s">
        <v>29</v>
      </c>
      <c r="C853" s="1">
        <v>28.88</v>
      </c>
      <c r="D853" s="1" t="s">
        <v>30</v>
      </c>
      <c r="E853" s="1" t="s">
        <v>33</v>
      </c>
      <c r="F853" s="2">
        <v>9249.4951999999994</v>
      </c>
    </row>
    <row r="854" spans="1:6" hidden="1">
      <c r="A854" s="1">
        <v>48</v>
      </c>
      <c r="B854" s="1" t="s">
        <v>29</v>
      </c>
      <c r="C854" s="1">
        <v>27.265000000000001</v>
      </c>
      <c r="D854" s="1" t="s">
        <v>30</v>
      </c>
      <c r="E854" s="1" t="s">
        <v>34</v>
      </c>
      <c r="F854" s="2">
        <v>9447.2503500000003</v>
      </c>
    </row>
    <row r="855" spans="1:6" hidden="1">
      <c r="A855" s="1">
        <v>48</v>
      </c>
      <c r="B855" s="1" t="s">
        <v>29</v>
      </c>
      <c r="C855" s="1">
        <v>28.9</v>
      </c>
      <c r="D855" s="1" t="s">
        <v>30</v>
      </c>
      <c r="E855" s="1" t="s">
        <v>32</v>
      </c>
      <c r="F855" s="2">
        <v>8277.5229999999992</v>
      </c>
    </row>
    <row r="856" spans="1:6" hidden="1">
      <c r="A856" s="1">
        <v>48</v>
      </c>
      <c r="B856" s="1" t="s">
        <v>29</v>
      </c>
      <c r="C856" s="1">
        <v>27.93</v>
      </c>
      <c r="D856" s="1" t="s">
        <v>30</v>
      </c>
      <c r="E856" s="1" t="s">
        <v>33</v>
      </c>
      <c r="F856" s="2">
        <v>11015.1747</v>
      </c>
    </row>
    <row r="857" spans="1:6" hidden="1">
      <c r="A857" s="1">
        <v>48</v>
      </c>
      <c r="B857" s="1" t="s">
        <v>29</v>
      </c>
      <c r="C857" s="1">
        <v>27.36</v>
      </c>
      <c r="D857" s="1" t="s">
        <v>30</v>
      </c>
      <c r="E857" s="1" t="s">
        <v>34</v>
      </c>
      <c r="F857" s="2">
        <v>9447.3824000000004</v>
      </c>
    </row>
    <row r="858" spans="1:6" hidden="1">
      <c r="A858" s="1">
        <v>49</v>
      </c>
      <c r="B858" s="1" t="s">
        <v>29</v>
      </c>
      <c r="C858" s="1">
        <v>27.17</v>
      </c>
      <c r="D858" s="1" t="s">
        <v>30</v>
      </c>
      <c r="E858" s="1" t="s">
        <v>31</v>
      </c>
      <c r="F858" s="2">
        <v>8601.3292999999994</v>
      </c>
    </row>
    <row r="859" spans="1:6" hidden="1">
      <c r="A859" s="1">
        <v>49</v>
      </c>
      <c r="B859" s="1" t="s">
        <v>29</v>
      </c>
      <c r="C859" s="1">
        <v>27.1</v>
      </c>
      <c r="D859" s="1" t="s">
        <v>30</v>
      </c>
      <c r="E859" s="1" t="s">
        <v>32</v>
      </c>
      <c r="F859" s="2">
        <v>26140.3603</v>
      </c>
    </row>
    <row r="860" spans="1:6" hidden="1">
      <c r="A860" s="1">
        <v>50</v>
      </c>
      <c r="B860" s="1" t="s">
        <v>29</v>
      </c>
      <c r="C860" s="1">
        <v>27.83</v>
      </c>
      <c r="D860" s="1" t="s">
        <v>30</v>
      </c>
      <c r="E860" s="1" t="s">
        <v>31</v>
      </c>
      <c r="F860" s="2">
        <v>19749.383379999999</v>
      </c>
    </row>
    <row r="861" spans="1:6" hidden="1">
      <c r="A861" s="1">
        <v>50</v>
      </c>
      <c r="B861" s="1" t="s">
        <v>29</v>
      </c>
      <c r="C861" s="1">
        <v>25.6</v>
      </c>
      <c r="D861" s="1" t="s">
        <v>30</v>
      </c>
      <c r="E861" s="1" t="s">
        <v>32</v>
      </c>
      <c r="F861" s="2">
        <v>8932.0840000000007</v>
      </c>
    </row>
    <row r="862" spans="1:6" hidden="1">
      <c r="A862" s="1">
        <v>50</v>
      </c>
      <c r="B862" s="1" t="s">
        <v>29</v>
      </c>
      <c r="C862" s="1">
        <v>27.36</v>
      </c>
      <c r="D862" s="1" t="s">
        <v>30</v>
      </c>
      <c r="E862" s="1" t="s">
        <v>34</v>
      </c>
      <c r="F862" s="2">
        <v>25656.575260000001</v>
      </c>
    </row>
    <row r="863" spans="1:6" hidden="1">
      <c r="A863" s="1">
        <v>50</v>
      </c>
      <c r="B863" s="1" t="s">
        <v>29</v>
      </c>
      <c r="C863" s="1">
        <v>27.074999999999999</v>
      </c>
      <c r="D863" s="1" t="s">
        <v>30</v>
      </c>
      <c r="E863" s="1" t="s">
        <v>34</v>
      </c>
      <c r="F863" s="2">
        <v>10106.134249999999</v>
      </c>
    </row>
    <row r="864" spans="1:6" hidden="1">
      <c r="A864" s="1">
        <v>50</v>
      </c>
      <c r="B864" s="1" t="s">
        <v>29</v>
      </c>
      <c r="C864" s="1">
        <v>28.16</v>
      </c>
      <c r="D864" s="1" t="s">
        <v>30</v>
      </c>
      <c r="E864" s="1" t="s">
        <v>31</v>
      </c>
      <c r="F864" s="2">
        <v>10702.642400000001</v>
      </c>
    </row>
    <row r="865" spans="1:6" hidden="1">
      <c r="A865" s="1">
        <v>50</v>
      </c>
      <c r="B865" s="1" t="s">
        <v>29</v>
      </c>
      <c r="C865" s="1">
        <v>26.22</v>
      </c>
      <c r="D865" s="1" t="s">
        <v>30</v>
      </c>
      <c r="E865" s="1" t="s">
        <v>33</v>
      </c>
      <c r="F865" s="2">
        <v>10493.9458</v>
      </c>
    </row>
    <row r="866" spans="1:6" hidden="1">
      <c r="A866" s="1">
        <v>50</v>
      </c>
      <c r="B866" s="1" t="s">
        <v>29</v>
      </c>
      <c r="C866" s="1">
        <v>28.12</v>
      </c>
      <c r="D866" s="1" t="s">
        <v>30</v>
      </c>
      <c r="E866" s="1" t="s">
        <v>33</v>
      </c>
      <c r="F866" s="2">
        <v>11085.586799999999</v>
      </c>
    </row>
    <row r="867" spans="1:6" hidden="1">
      <c r="A867" s="1">
        <v>51</v>
      </c>
      <c r="B867" s="1" t="s">
        <v>29</v>
      </c>
      <c r="C867" s="1">
        <v>25.8</v>
      </c>
      <c r="D867" s="1" t="s">
        <v>30</v>
      </c>
      <c r="E867" s="1" t="s">
        <v>32</v>
      </c>
      <c r="F867" s="2">
        <v>9861.0249999999996</v>
      </c>
    </row>
    <row r="868" spans="1:6" hidden="1">
      <c r="A868" s="1">
        <v>53</v>
      </c>
      <c r="B868" s="1" t="s">
        <v>29</v>
      </c>
      <c r="C868" s="1">
        <v>28.1</v>
      </c>
      <c r="D868" s="1" t="s">
        <v>30</v>
      </c>
      <c r="E868" s="1" t="s">
        <v>32</v>
      </c>
      <c r="F868" s="2">
        <v>11741.726000000001</v>
      </c>
    </row>
    <row r="869" spans="1:6" hidden="1">
      <c r="A869" s="1">
        <v>53</v>
      </c>
      <c r="B869" s="1" t="s">
        <v>29</v>
      </c>
      <c r="C869" s="1">
        <v>26.6</v>
      </c>
      <c r="D869" s="1" t="s">
        <v>30</v>
      </c>
      <c r="E869" s="1" t="s">
        <v>33</v>
      </c>
      <c r="F869" s="2">
        <v>10355.641</v>
      </c>
    </row>
    <row r="870" spans="1:6" hidden="1">
      <c r="A870" s="1">
        <v>53</v>
      </c>
      <c r="B870" s="1" t="s">
        <v>29</v>
      </c>
      <c r="C870" s="1">
        <v>26.7</v>
      </c>
      <c r="D870" s="1" t="s">
        <v>30</v>
      </c>
      <c r="E870" s="1" t="s">
        <v>32</v>
      </c>
      <c r="F870" s="2">
        <v>11150.78</v>
      </c>
    </row>
    <row r="871" spans="1:6" hidden="1">
      <c r="A871" s="1">
        <v>54</v>
      </c>
      <c r="B871" s="1" t="s">
        <v>29</v>
      </c>
      <c r="C871" s="1">
        <v>28.88</v>
      </c>
      <c r="D871" s="1" t="s">
        <v>30</v>
      </c>
      <c r="E871" s="1" t="s">
        <v>34</v>
      </c>
      <c r="F871" s="2">
        <v>12096.6512</v>
      </c>
    </row>
    <row r="872" spans="1:6" hidden="1">
      <c r="A872" s="1">
        <v>54</v>
      </c>
      <c r="B872" s="1" t="s">
        <v>29</v>
      </c>
      <c r="C872" s="1">
        <v>27.645</v>
      </c>
      <c r="D872" s="1" t="s">
        <v>30</v>
      </c>
      <c r="E872" s="1" t="s">
        <v>33</v>
      </c>
      <c r="F872" s="2">
        <v>11305.93455</v>
      </c>
    </row>
    <row r="873" spans="1:6" hidden="1">
      <c r="A873" s="1">
        <v>55</v>
      </c>
      <c r="B873" s="1" t="s">
        <v>29</v>
      </c>
      <c r="C873" s="1">
        <v>26.98</v>
      </c>
      <c r="D873" s="1" t="s">
        <v>30</v>
      </c>
      <c r="E873" s="1" t="s">
        <v>33</v>
      </c>
      <c r="F873" s="2">
        <v>11082.5772</v>
      </c>
    </row>
    <row r="874" spans="1:6" hidden="1">
      <c r="A874" s="1">
        <v>55</v>
      </c>
      <c r="B874" s="1" t="s">
        <v>29</v>
      </c>
      <c r="C874" s="1">
        <v>29.7</v>
      </c>
      <c r="D874" s="1" t="s">
        <v>30</v>
      </c>
      <c r="E874" s="1" t="s">
        <v>32</v>
      </c>
      <c r="F874" s="2">
        <v>11881.358</v>
      </c>
    </row>
    <row r="875" spans="1:6" hidden="1">
      <c r="A875" s="1">
        <v>55</v>
      </c>
      <c r="B875" s="1" t="s">
        <v>29</v>
      </c>
      <c r="C875" s="1">
        <v>26.8</v>
      </c>
      <c r="D875" s="1" t="s">
        <v>30</v>
      </c>
      <c r="E875" s="1" t="s">
        <v>32</v>
      </c>
      <c r="F875" s="2">
        <v>35160.134570000002</v>
      </c>
    </row>
    <row r="876" spans="1:6" hidden="1">
      <c r="A876" s="1">
        <v>55</v>
      </c>
      <c r="B876" s="1" t="s">
        <v>29</v>
      </c>
      <c r="C876" s="1">
        <v>25.364999999999998</v>
      </c>
      <c r="D876" s="1" t="s">
        <v>30</v>
      </c>
      <c r="E876" s="1" t="s">
        <v>34</v>
      </c>
      <c r="F876" s="2">
        <v>13047.332350000001</v>
      </c>
    </row>
    <row r="877" spans="1:6" hidden="1">
      <c r="A877" s="1">
        <v>55</v>
      </c>
      <c r="B877" s="1" t="s">
        <v>29</v>
      </c>
      <c r="C877" s="1">
        <v>29.83</v>
      </c>
      <c r="D877" s="1" t="s">
        <v>30</v>
      </c>
      <c r="E877" s="1" t="s">
        <v>34</v>
      </c>
      <c r="F877" s="2">
        <v>11286.538699999999</v>
      </c>
    </row>
    <row r="878" spans="1:6" hidden="1">
      <c r="A878" s="1">
        <v>56</v>
      </c>
      <c r="B878" s="1" t="s">
        <v>29</v>
      </c>
      <c r="C878" s="1">
        <v>27.2</v>
      </c>
      <c r="D878" s="1" t="s">
        <v>30</v>
      </c>
      <c r="E878" s="1" t="s">
        <v>32</v>
      </c>
      <c r="F878" s="2">
        <v>11073.175999999999</v>
      </c>
    </row>
    <row r="879" spans="1:6" hidden="1">
      <c r="A879" s="1">
        <v>56</v>
      </c>
      <c r="B879" s="1" t="s">
        <v>29</v>
      </c>
      <c r="C879" s="1">
        <v>26.6</v>
      </c>
      <c r="D879" s="1" t="s">
        <v>30</v>
      </c>
      <c r="E879" s="1" t="s">
        <v>33</v>
      </c>
      <c r="F879" s="2">
        <v>12044.342000000001</v>
      </c>
    </row>
    <row r="880" spans="1:6" hidden="1">
      <c r="A880" s="1">
        <v>56</v>
      </c>
      <c r="B880" s="1" t="s">
        <v>29</v>
      </c>
      <c r="C880" s="1">
        <v>28.785</v>
      </c>
      <c r="D880" s="1" t="s">
        <v>30</v>
      </c>
      <c r="E880" s="1" t="s">
        <v>34</v>
      </c>
      <c r="F880" s="2">
        <v>11658.379150000001</v>
      </c>
    </row>
    <row r="881" spans="1:6" hidden="1">
      <c r="A881" s="1">
        <v>56</v>
      </c>
      <c r="B881" s="1" t="s">
        <v>29</v>
      </c>
      <c r="C881" s="1">
        <v>25.65</v>
      </c>
      <c r="D881" s="1" t="s">
        <v>30</v>
      </c>
      <c r="E881" s="1" t="s">
        <v>33</v>
      </c>
      <c r="F881" s="2">
        <v>11454.021500000001</v>
      </c>
    </row>
    <row r="882" spans="1:6" hidden="1">
      <c r="A882" s="1">
        <v>56</v>
      </c>
      <c r="B882" s="1" t="s">
        <v>29</v>
      </c>
      <c r="C882" s="1">
        <v>25.3</v>
      </c>
      <c r="D882" s="1" t="s">
        <v>30</v>
      </c>
      <c r="E882" s="1" t="s">
        <v>32</v>
      </c>
      <c r="F882" s="2">
        <v>11070.535</v>
      </c>
    </row>
    <row r="883" spans="1:6" hidden="1">
      <c r="A883" s="1">
        <v>56</v>
      </c>
      <c r="B883" s="1" t="s">
        <v>29</v>
      </c>
      <c r="C883" s="1">
        <v>28.594999999999999</v>
      </c>
      <c r="D883" s="1" t="s">
        <v>30</v>
      </c>
      <c r="E883" s="1" t="s">
        <v>34</v>
      </c>
      <c r="F883" s="2">
        <v>11658.11505</v>
      </c>
    </row>
    <row r="884" spans="1:6" hidden="1">
      <c r="A884" s="1">
        <v>56</v>
      </c>
      <c r="B884" s="1" t="s">
        <v>29</v>
      </c>
      <c r="C884" s="1">
        <v>28.31</v>
      </c>
      <c r="D884" s="1" t="s">
        <v>30</v>
      </c>
      <c r="E884" s="1" t="s">
        <v>34</v>
      </c>
      <c r="F884" s="2">
        <v>11657.7189</v>
      </c>
    </row>
    <row r="885" spans="1:6" hidden="1">
      <c r="A885" s="1">
        <v>57</v>
      </c>
      <c r="B885" s="1" t="s">
        <v>29</v>
      </c>
      <c r="C885" s="1">
        <v>28.7</v>
      </c>
      <c r="D885" s="1" t="s">
        <v>30</v>
      </c>
      <c r="E885" s="1" t="s">
        <v>32</v>
      </c>
      <c r="F885" s="2">
        <v>11455.28</v>
      </c>
    </row>
    <row r="886" spans="1:6" hidden="1">
      <c r="A886" s="1">
        <v>57</v>
      </c>
      <c r="B886" s="1" t="s">
        <v>29</v>
      </c>
      <c r="C886" s="1">
        <v>28.785</v>
      </c>
      <c r="D886" s="1" t="s">
        <v>30</v>
      </c>
      <c r="E886" s="1" t="s">
        <v>34</v>
      </c>
      <c r="F886" s="2">
        <v>14394.398150000001</v>
      </c>
    </row>
    <row r="887" spans="1:6" hidden="1">
      <c r="A887" s="1">
        <v>57</v>
      </c>
      <c r="B887" s="1" t="s">
        <v>29</v>
      </c>
      <c r="C887" s="1">
        <v>25.74</v>
      </c>
      <c r="D887" s="1" t="s">
        <v>30</v>
      </c>
      <c r="E887" s="1" t="s">
        <v>31</v>
      </c>
      <c r="F887" s="2">
        <v>12629.1656</v>
      </c>
    </row>
    <row r="888" spans="1:6" hidden="1">
      <c r="A888" s="1">
        <v>58</v>
      </c>
      <c r="B888" s="1" t="s">
        <v>29</v>
      </c>
      <c r="C888" s="1">
        <v>25.2</v>
      </c>
      <c r="D888" s="1" t="s">
        <v>30</v>
      </c>
      <c r="E888" s="1" t="s">
        <v>32</v>
      </c>
      <c r="F888" s="2">
        <v>11837.16</v>
      </c>
    </row>
    <row r="889" spans="1:6" hidden="1">
      <c r="A889" s="1">
        <v>58</v>
      </c>
      <c r="B889" s="1" t="s">
        <v>29</v>
      </c>
      <c r="C889" s="1">
        <v>27.17</v>
      </c>
      <c r="D889" s="1" t="s">
        <v>30</v>
      </c>
      <c r="E889" s="1" t="s">
        <v>33</v>
      </c>
      <c r="F889" s="2">
        <v>12222.898300000001</v>
      </c>
    </row>
    <row r="890" spans="1:6" hidden="1">
      <c r="A890" s="1">
        <v>58</v>
      </c>
      <c r="B890" s="1" t="s">
        <v>29</v>
      </c>
      <c r="C890" s="1">
        <v>29</v>
      </c>
      <c r="D890" s="1" t="s">
        <v>30</v>
      </c>
      <c r="E890" s="1" t="s">
        <v>32</v>
      </c>
      <c r="F890" s="2">
        <v>11842.441999999999</v>
      </c>
    </row>
    <row r="891" spans="1:6" hidden="1">
      <c r="A891" s="1">
        <v>58</v>
      </c>
      <c r="B891" s="1" t="s">
        <v>29</v>
      </c>
      <c r="C891" s="1">
        <v>28.215</v>
      </c>
      <c r="D891" s="1" t="s">
        <v>30</v>
      </c>
      <c r="E891" s="1" t="s">
        <v>33</v>
      </c>
      <c r="F891" s="2">
        <v>12224.350850000001</v>
      </c>
    </row>
    <row r="892" spans="1:6" hidden="1">
      <c r="A892" s="1">
        <v>59</v>
      </c>
      <c r="B892" s="1" t="s">
        <v>29</v>
      </c>
      <c r="C892" s="1">
        <v>27.72</v>
      </c>
      <c r="D892" s="1" t="s">
        <v>30</v>
      </c>
      <c r="E892" s="1" t="s">
        <v>31</v>
      </c>
      <c r="F892" s="2">
        <v>14001.1338</v>
      </c>
    </row>
    <row r="893" spans="1:6" hidden="1">
      <c r="A893" s="1">
        <v>59</v>
      </c>
      <c r="B893" s="1" t="s">
        <v>29</v>
      </c>
      <c r="C893" s="1">
        <v>26.504999999999999</v>
      </c>
      <c r="D893" s="1" t="s">
        <v>30</v>
      </c>
      <c r="E893" s="1" t="s">
        <v>34</v>
      </c>
      <c r="F893" s="2">
        <v>12815.444949999999</v>
      </c>
    </row>
    <row r="894" spans="1:6" hidden="1">
      <c r="A894" s="1">
        <v>59</v>
      </c>
      <c r="B894" s="1" t="s">
        <v>29</v>
      </c>
      <c r="C894" s="1">
        <v>27.83</v>
      </c>
      <c r="D894" s="1" t="s">
        <v>30</v>
      </c>
      <c r="E894" s="1" t="s">
        <v>31</v>
      </c>
      <c r="F894" s="2">
        <v>14001.286700000001</v>
      </c>
    </row>
    <row r="895" spans="1:6" hidden="1">
      <c r="A895" s="1">
        <v>59</v>
      </c>
      <c r="B895" s="1" t="s">
        <v>29</v>
      </c>
      <c r="C895" s="1">
        <v>26.695</v>
      </c>
      <c r="D895" s="1" t="s">
        <v>30</v>
      </c>
      <c r="E895" s="1" t="s">
        <v>33</v>
      </c>
      <c r="F895" s="2">
        <v>14382.709049999999</v>
      </c>
    </row>
    <row r="896" spans="1:6" hidden="1">
      <c r="A896" s="1">
        <v>59</v>
      </c>
      <c r="B896" s="1" t="s">
        <v>29</v>
      </c>
      <c r="C896" s="1">
        <v>27.5</v>
      </c>
      <c r="D896" s="1" t="s">
        <v>30</v>
      </c>
      <c r="E896" s="1" t="s">
        <v>32</v>
      </c>
      <c r="F896" s="2">
        <v>12233.828</v>
      </c>
    </row>
    <row r="897" spans="1:6" hidden="1">
      <c r="A897" s="1">
        <v>60</v>
      </c>
      <c r="B897" s="1" t="s">
        <v>29</v>
      </c>
      <c r="C897" s="1">
        <v>25.84</v>
      </c>
      <c r="D897" s="1" t="s">
        <v>30</v>
      </c>
      <c r="E897" s="1" t="s">
        <v>33</v>
      </c>
      <c r="F897" s="2">
        <v>28923.136920000001</v>
      </c>
    </row>
    <row r="898" spans="1:6" hidden="1">
      <c r="A898" s="1">
        <v>60</v>
      </c>
      <c r="B898" s="1" t="s">
        <v>29</v>
      </c>
      <c r="C898" s="1">
        <v>27.55</v>
      </c>
      <c r="D898" s="1" t="s">
        <v>30</v>
      </c>
      <c r="E898" s="1" t="s">
        <v>34</v>
      </c>
      <c r="F898" s="2">
        <v>13217.094499999999</v>
      </c>
    </row>
    <row r="899" spans="1:6" hidden="1">
      <c r="A899" s="1">
        <v>60</v>
      </c>
      <c r="B899" s="1" t="s">
        <v>29</v>
      </c>
      <c r="C899" s="1">
        <v>28.7</v>
      </c>
      <c r="D899" s="1" t="s">
        <v>30</v>
      </c>
      <c r="E899" s="1" t="s">
        <v>32</v>
      </c>
      <c r="F899" s="2">
        <v>13224.692999999999</v>
      </c>
    </row>
    <row r="900" spans="1:6" hidden="1">
      <c r="A900" s="1">
        <v>61</v>
      </c>
      <c r="B900" s="1" t="s">
        <v>29</v>
      </c>
      <c r="C900" s="1">
        <v>25.08</v>
      </c>
      <c r="D900" s="1" t="s">
        <v>30</v>
      </c>
      <c r="E900" s="1" t="s">
        <v>31</v>
      </c>
      <c r="F900" s="2">
        <v>24513.091260000001</v>
      </c>
    </row>
    <row r="901" spans="1:6" hidden="1">
      <c r="A901" s="1">
        <v>61</v>
      </c>
      <c r="B901" s="1" t="s">
        <v>29</v>
      </c>
      <c r="C901" s="1">
        <v>28.2</v>
      </c>
      <c r="D901" s="1" t="s">
        <v>30</v>
      </c>
      <c r="E901" s="1" t="s">
        <v>32</v>
      </c>
      <c r="F901" s="2">
        <v>13041.921</v>
      </c>
    </row>
    <row r="902" spans="1:6" hidden="1">
      <c r="A902" s="1">
        <v>62</v>
      </c>
      <c r="B902" s="1" t="s">
        <v>29</v>
      </c>
      <c r="C902" s="1">
        <v>25</v>
      </c>
      <c r="D902" s="1" t="s">
        <v>30</v>
      </c>
      <c r="E902" s="1" t="s">
        <v>32</v>
      </c>
      <c r="F902" s="2">
        <v>13451.121999999999</v>
      </c>
    </row>
    <row r="903" spans="1:6" hidden="1">
      <c r="A903" s="1">
        <v>63</v>
      </c>
      <c r="B903" s="1" t="s">
        <v>29</v>
      </c>
      <c r="C903" s="1">
        <v>26.22</v>
      </c>
      <c r="D903" s="1" t="s">
        <v>30</v>
      </c>
      <c r="E903" s="1" t="s">
        <v>33</v>
      </c>
      <c r="F903" s="2">
        <v>14256.192800000001</v>
      </c>
    </row>
    <row r="904" spans="1:6" hidden="1">
      <c r="A904" s="1">
        <v>63</v>
      </c>
      <c r="B904" s="1" t="s">
        <v>29</v>
      </c>
      <c r="C904" s="1">
        <v>25.08</v>
      </c>
      <c r="D904" s="1" t="s">
        <v>30</v>
      </c>
      <c r="E904" s="1" t="s">
        <v>33</v>
      </c>
      <c r="F904" s="2">
        <v>14254.608200000001</v>
      </c>
    </row>
    <row r="905" spans="1:6" hidden="1">
      <c r="A905" s="1">
        <v>18</v>
      </c>
      <c r="B905" s="1" t="s">
        <v>35</v>
      </c>
      <c r="C905" s="1">
        <v>29.37</v>
      </c>
      <c r="D905" s="1" t="s">
        <v>30</v>
      </c>
      <c r="E905" s="1" t="s">
        <v>31</v>
      </c>
      <c r="F905" s="2">
        <v>1719.4363000000001</v>
      </c>
    </row>
    <row r="906" spans="1:6" hidden="1">
      <c r="A906" s="1">
        <v>18</v>
      </c>
      <c r="B906" s="1" t="s">
        <v>35</v>
      </c>
      <c r="C906" s="1">
        <v>25.46</v>
      </c>
      <c r="D906" s="1" t="s">
        <v>30</v>
      </c>
      <c r="E906" s="1" t="s">
        <v>34</v>
      </c>
      <c r="F906" s="2">
        <v>1708.0014000000001</v>
      </c>
    </row>
    <row r="907" spans="1:6" hidden="1">
      <c r="A907" s="1">
        <v>18</v>
      </c>
      <c r="B907" s="1" t="s">
        <v>35</v>
      </c>
      <c r="C907" s="1">
        <v>28.5</v>
      </c>
      <c r="D907" s="1" t="s">
        <v>30</v>
      </c>
      <c r="E907" s="1" t="s">
        <v>34</v>
      </c>
      <c r="F907" s="2">
        <v>1712.2270000000001</v>
      </c>
    </row>
    <row r="908" spans="1:6" hidden="1">
      <c r="A908" s="1">
        <v>18</v>
      </c>
      <c r="B908" s="1" t="s">
        <v>35</v>
      </c>
      <c r="C908" s="1">
        <v>26.18</v>
      </c>
      <c r="D908" s="1" t="s">
        <v>30</v>
      </c>
      <c r="E908" s="1" t="s">
        <v>31</v>
      </c>
      <c r="F908" s="2">
        <v>2304.0021999999999</v>
      </c>
    </row>
    <row r="909" spans="1:6" hidden="1">
      <c r="A909" s="1">
        <v>18</v>
      </c>
      <c r="B909" s="1" t="s">
        <v>35</v>
      </c>
      <c r="C909" s="1">
        <v>26.125</v>
      </c>
      <c r="D909" s="1" t="s">
        <v>30</v>
      </c>
      <c r="E909" s="1" t="s">
        <v>34</v>
      </c>
      <c r="F909" s="2">
        <v>1708.9257500000001</v>
      </c>
    </row>
    <row r="910" spans="1:6" hidden="1">
      <c r="A910" s="1">
        <v>18</v>
      </c>
      <c r="B910" s="1" t="s">
        <v>35</v>
      </c>
      <c r="C910" s="1">
        <v>28.31</v>
      </c>
      <c r="D910" s="1" t="s">
        <v>30</v>
      </c>
      <c r="E910" s="1" t="s">
        <v>34</v>
      </c>
      <c r="F910" s="2">
        <v>11272.331389999999</v>
      </c>
    </row>
    <row r="911" spans="1:6" hidden="1">
      <c r="A911" s="1">
        <v>19</v>
      </c>
      <c r="B911" s="1" t="s">
        <v>35</v>
      </c>
      <c r="C911" s="1">
        <v>25.555</v>
      </c>
      <c r="D911" s="1" t="s">
        <v>30</v>
      </c>
      <c r="E911" s="1" t="s">
        <v>33</v>
      </c>
      <c r="F911" s="2">
        <v>1632.5644500000001</v>
      </c>
    </row>
    <row r="912" spans="1:6" hidden="1">
      <c r="A912" s="1">
        <v>19</v>
      </c>
      <c r="B912" s="1" t="s">
        <v>35</v>
      </c>
      <c r="C912" s="1">
        <v>28.4</v>
      </c>
      <c r="D912" s="1" t="s">
        <v>30</v>
      </c>
      <c r="E912" s="1" t="s">
        <v>32</v>
      </c>
      <c r="F912" s="2">
        <v>1842.519</v>
      </c>
    </row>
    <row r="913" spans="1:6" hidden="1">
      <c r="A913" s="1">
        <v>19</v>
      </c>
      <c r="B913" s="1" t="s">
        <v>35</v>
      </c>
      <c r="C913" s="1">
        <v>27.835000000000001</v>
      </c>
      <c r="D913" s="1" t="s">
        <v>30</v>
      </c>
      <c r="E913" s="1" t="s">
        <v>33</v>
      </c>
      <c r="F913" s="2">
        <v>1635.7336499999999</v>
      </c>
    </row>
    <row r="914" spans="1:6" hidden="1">
      <c r="A914" s="1">
        <v>19</v>
      </c>
      <c r="B914" s="1" t="s">
        <v>35</v>
      </c>
      <c r="C914" s="1">
        <v>25.175000000000001</v>
      </c>
      <c r="D914" s="1" t="s">
        <v>30</v>
      </c>
      <c r="E914" s="1" t="s">
        <v>33</v>
      </c>
      <c r="F914" s="2">
        <v>1632.0362500000001</v>
      </c>
    </row>
    <row r="915" spans="1:6" hidden="1">
      <c r="A915" s="1">
        <v>19</v>
      </c>
      <c r="B915" s="1" t="s">
        <v>35</v>
      </c>
      <c r="C915" s="1">
        <v>28.7</v>
      </c>
      <c r="D915" s="1" t="s">
        <v>30</v>
      </c>
      <c r="E915" s="1" t="s">
        <v>32</v>
      </c>
      <c r="F915" s="2">
        <v>1253.9359999999999</v>
      </c>
    </row>
    <row r="916" spans="1:6" hidden="1">
      <c r="A916" s="1">
        <v>19</v>
      </c>
      <c r="B916" s="1" t="s">
        <v>35</v>
      </c>
      <c r="C916" s="1">
        <v>27.6</v>
      </c>
      <c r="D916" s="1" t="s">
        <v>30</v>
      </c>
      <c r="E916" s="1" t="s">
        <v>32</v>
      </c>
      <c r="F916" s="2">
        <v>1252.4069999999999</v>
      </c>
    </row>
    <row r="917" spans="1:6" hidden="1">
      <c r="A917" s="1">
        <v>19</v>
      </c>
      <c r="B917" s="1" t="s">
        <v>35</v>
      </c>
      <c r="C917" s="1">
        <v>25.555</v>
      </c>
      <c r="D917" s="1" t="s">
        <v>30</v>
      </c>
      <c r="E917" s="1" t="s">
        <v>33</v>
      </c>
      <c r="F917" s="2">
        <v>2221.5644499999999</v>
      </c>
    </row>
    <row r="918" spans="1:6" hidden="1">
      <c r="A918" s="1">
        <v>19</v>
      </c>
      <c r="B918" s="1" t="s">
        <v>35</v>
      </c>
      <c r="C918" s="1">
        <v>27.265000000000001</v>
      </c>
      <c r="D918" s="1" t="s">
        <v>30</v>
      </c>
      <c r="E918" s="1" t="s">
        <v>33</v>
      </c>
      <c r="F918" s="2">
        <v>22493.659640000002</v>
      </c>
    </row>
    <row r="919" spans="1:6" hidden="1">
      <c r="A919" s="1">
        <v>20</v>
      </c>
      <c r="B919" s="1" t="s">
        <v>35</v>
      </c>
      <c r="C919" s="1">
        <v>29.734999999999999</v>
      </c>
      <c r="D919" s="1" t="s">
        <v>30</v>
      </c>
      <c r="E919" s="1" t="s">
        <v>33</v>
      </c>
      <c r="F919" s="2">
        <v>1769.5316499999999</v>
      </c>
    </row>
    <row r="920" spans="1:6" hidden="1">
      <c r="A920" s="1">
        <v>20</v>
      </c>
      <c r="B920" s="1" t="s">
        <v>35</v>
      </c>
      <c r="C920" s="1">
        <v>27.93</v>
      </c>
      <c r="D920" s="1" t="s">
        <v>30</v>
      </c>
      <c r="E920" s="1" t="s">
        <v>34</v>
      </c>
      <c r="F920" s="2">
        <v>1967.0227</v>
      </c>
    </row>
    <row r="921" spans="1:6" hidden="1">
      <c r="A921" s="1">
        <v>21</v>
      </c>
      <c r="B921" s="1" t="s">
        <v>35</v>
      </c>
      <c r="C921" s="1">
        <v>27.36</v>
      </c>
      <c r="D921" s="1" t="s">
        <v>30</v>
      </c>
      <c r="E921" s="1" t="s">
        <v>34</v>
      </c>
      <c r="F921" s="2">
        <v>2104.1134000000002</v>
      </c>
    </row>
    <row r="922" spans="1:6" hidden="1">
      <c r="A922" s="1">
        <v>21</v>
      </c>
      <c r="B922" s="1" t="s">
        <v>35</v>
      </c>
      <c r="C922" s="1">
        <v>28.975000000000001</v>
      </c>
      <c r="D922" s="1" t="s">
        <v>30</v>
      </c>
      <c r="E922" s="1" t="s">
        <v>33</v>
      </c>
      <c r="F922" s="2">
        <v>1906.35825</v>
      </c>
    </row>
    <row r="923" spans="1:6" hidden="1">
      <c r="A923" s="1">
        <v>21</v>
      </c>
      <c r="B923" s="1" t="s">
        <v>35</v>
      </c>
      <c r="C923" s="1">
        <v>25.745000000000001</v>
      </c>
      <c r="D923" s="1" t="s">
        <v>30</v>
      </c>
      <c r="E923" s="1" t="s">
        <v>34</v>
      </c>
      <c r="F923" s="2">
        <v>3279.8685500000001</v>
      </c>
    </row>
    <row r="924" spans="1:6" hidden="1">
      <c r="A924" s="1">
        <v>21</v>
      </c>
      <c r="B924" s="1" t="s">
        <v>35</v>
      </c>
      <c r="C924" s="1">
        <v>26.03</v>
      </c>
      <c r="D924" s="1" t="s">
        <v>30</v>
      </c>
      <c r="E924" s="1" t="s">
        <v>34</v>
      </c>
      <c r="F924" s="2">
        <v>2102.2647000000002</v>
      </c>
    </row>
    <row r="925" spans="1:6" hidden="1">
      <c r="A925" s="1">
        <v>22</v>
      </c>
      <c r="B925" s="1" t="s">
        <v>35</v>
      </c>
      <c r="C925" s="1">
        <v>25.175000000000001</v>
      </c>
      <c r="D925" s="1" t="s">
        <v>30</v>
      </c>
      <c r="E925" s="1" t="s">
        <v>33</v>
      </c>
      <c r="F925" s="2">
        <v>2045.68525</v>
      </c>
    </row>
    <row r="926" spans="1:6" hidden="1">
      <c r="A926" s="1">
        <v>22</v>
      </c>
      <c r="B926" s="1" t="s">
        <v>35</v>
      </c>
      <c r="C926" s="1">
        <v>26.84</v>
      </c>
      <c r="D926" s="1" t="s">
        <v>30</v>
      </c>
      <c r="E926" s="1" t="s">
        <v>31</v>
      </c>
      <c r="F926" s="2">
        <v>1664.9996000000001</v>
      </c>
    </row>
    <row r="927" spans="1:6" hidden="1">
      <c r="A927" s="1">
        <v>22</v>
      </c>
      <c r="B927" s="1" t="s">
        <v>35</v>
      </c>
      <c r="C927" s="1">
        <v>28.31</v>
      </c>
      <c r="D927" s="1" t="s">
        <v>30</v>
      </c>
      <c r="E927" s="1" t="s">
        <v>33</v>
      </c>
      <c r="F927" s="2">
        <v>2639.0428999999999</v>
      </c>
    </row>
    <row r="928" spans="1:6" hidden="1">
      <c r="A928" s="1">
        <v>22</v>
      </c>
      <c r="B928" s="1" t="s">
        <v>35</v>
      </c>
      <c r="C928" s="1">
        <v>28.88</v>
      </c>
      <c r="D928" s="1" t="s">
        <v>30</v>
      </c>
      <c r="E928" s="1" t="s">
        <v>34</v>
      </c>
      <c r="F928" s="2">
        <v>2250.8352</v>
      </c>
    </row>
    <row r="929" spans="1:6" hidden="1">
      <c r="A929" s="1">
        <v>23</v>
      </c>
      <c r="B929" s="1" t="s">
        <v>35</v>
      </c>
      <c r="C929" s="1">
        <v>26.51</v>
      </c>
      <c r="D929" s="1" t="s">
        <v>30</v>
      </c>
      <c r="E929" s="1" t="s">
        <v>31</v>
      </c>
      <c r="F929" s="2">
        <v>1815.8759</v>
      </c>
    </row>
    <row r="930" spans="1:6" hidden="1">
      <c r="A930" s="1">
        <v>23</v>
      </c>
      <c r="B930" s="1" t="s">
        <v>35</v>
      </c>
      <c r="C930" s="1">
        <v>27.36</v>
      </c>
      <c r="D930" s="1" t="s">
        <v>30</v>
      </c>
      <c r="E930" s="1" t="s">
        <v>33</v>
      </c>
      <c r="F930" s="2">
        <v>2789.0574000000001</v>
      </c>
    </row>
    <row r="931" spans="1:6" hidden="1">
      <c r="A931" s="1">
        <v>24</v>
      </c>
      <c r="B931" s="1" t="s">
        <v>35</v>
      </c>
      <c r="C931" s="1">
        <v>28.5</v>
      </c>
      <c r="D931" s="1" t="s">
        <v>30</v>
      </c>
      <c r="E931" s="1" t="s">
        <v>33</v>
      </c>
      <c r="F931" s="2">
        <v>3537.703</v>
      </c>
    </row>
    <row r="932" spans="1:6" hidden="1">
      <c r="A932" s="1">
        <v>24</v>
      </c>
      <c r="B932" s="1" t="s">
        <v>35</v>
      </c>
      <c r="C932" s="1">
        <v>29.3</v>
      </c>
      <c r="D932" s="1" t="s">
        <v>30</v>
      </c>
      <c r="E932" s="1" t="s">
        <v>32</v>
      </c>
      <c r="F932" s="2">
        <v>1977.8150000000001</v>
      </c>
    </row>
    <row r="933" spans="1:6" hidden="1">
      <c r="A933" s="1">
        <v>24</v>
      </c>
      <c r="B933" s="1" t="s">
        <v>35</v>
      </c>
      <c r="C933" s="1">
        <v>26.79</v>
      </c>
      <c r="D933" s="1" t="s">
        <v>30</v>
      </c>
      <c r="E933" s="1" t="s">
        <v>33</v>
      </c>
      <c r="F933" s="2">
        <v>12609.88702</v>
      </c>
    </row>
    <row r="934" spans="1:6" hidden="1">
      <c r="A934" s="1">
        <v>24</v>
      </c>
      <c r="B934" s="1" t="s">
        <v>35</v>
      </c>
      <c r="C934" s="1">
        <v>25.8</v>
      </c>
      <c r="D934" s="1" t="s">
        <v>30</v>
      </c>
      <c r="E934" s="1" t="s">
        <v>32</v>
      </c>
      <c r="F934" s="2">
        <v>1972.95</v>
      </c>
    </row>
    <row r="935" spans="1:6" hidden="1">
      <c r="A935" s="1">
        <v>25</v>
      </c>
      <c r="B935" s="1" t="s">
        <v>35</v>
      </c>
      <c r="C935" s="1">
        <v>26.22</v>
      </c>
      <c r="D935" s="1" t="s">
        <v>30</v>
      </c>
      <c r="E935" s="1" t="s">
        <v>34</v>
      </c>
      <c r="F935" s="2">
        <v>2721.3208</v>
      </c>
    </row>
    <row r="936" spans="1:6" hidden="1">
      <c r="A936" s="1">
        <v>25</v>
      </c>
      <c r="B936" s="1" t="s">
        <v>35</v>
      </c>
      <c r="C936" s="1">
        <v>25.74</v>
      </c>
      <c r="D936" s="1" t="s">
        <v>30</v>
      </c>
      <c r="E936" s="1" t="s">
        <v>31</v>
      </c>
      <c r="F936" s="2">
        <v>2137.6536000000001</v>
      </c>
    </row>
    <row r="937" spans="1:6" hidden="1">
      <c r="A937" s="1">
        <v>25</v>
      </c>
      <c r="B937" s="1" t="s">
        <v>35</v>
      </c>
      <c r="C937" s="1">
        <v>27.55</v>
      </c>
      <c r="D937" s="1" t="s">
        <v>30</v>
      </c>
      <c r="E937" s="1" t="s">
        <v>33</v>
      </c>
      <c r="F937" s="2">
        <v>2523.1695</v>
      </c>
    </row>
    <row r="938" spans="1:6" hidden="1">
      <c r="A938" s="1">
        <v>25</v>
      </c>
      <c r="B938" s="1" t="s">
        <v>35</v>
      </c>
      <c r="C938" s="1">
        <v>26.8</v>
      </c>
      <c r="D938" s="1" t="s">
        <v>30</v>
      </c>
      <c r="E938" s="1" t="s">
        <v>32</v>
      </c>
      <c r="F938" s="2">
        <v>3906.127</v>
      </c>
    </row>
    <row r="939" spans="1:6" hidden="1">
      <c r="A939" s="1">
        <v>25</v>
      </c>
      <c r="B939" s="1" t="s">
        <v>35</v>
      </c>
      <c r="C939" s="1">
        <v>25.84</v>
      </c>
      <c r="D939" s="1" t="s">
        <v>30</v>
      </c>
      <c r="E939" s="1" t="s">
        <v>34</v>
      </c>
      <c r="F939" s="2">
        <v>3309.7926000000002</v>
      </c>
    </row>
    <row r="940" spans="1:6" hidden="1">
      <c r="A940" s="1">
        <v>25</v>
      </c>
      <c r="B940" s="1" t="s">
        <v>35</v>
      </c>
      <c r="C940" s="1">
        <v>26.695</v>
      </c>
      <c r="D940" s="1" t="s">
        <v>30</v>
      </c>
      <c r="E940" s="1" t="s">
        <v>33</v>
      </c>
      <c r="F940" s="2">
        <v>4877.9810500000003</v>
      </c>
    </row>
    <row r="941" spans="1:6" hidden="1">
      <c r="A941" s="1">
        <v>25</v>
      </c>
      <c r="B941" s="1" t="s">
        <v>35</v>
      </c>
      <c r="C941" s="1">
        <v>24.984999999999999</v>
      </c>
      <c r="D941" s="1" t="s">
        <v>30</v>
      </c>
      <c r="E941" s="1" t="s">
        <v>34</v>
      </c>
      <c r="F941" s="2">
        <v>23241.47453</v>
      </c>
    </row>
    <row r="942" spans="1:6" hidden="1">
      <c r="A942" s="1">
        <v>26</v>
      </c>
      <c r="B942" s="1" t="s">
        <v>35</v>
      </c>
      <c r="C942" s="1">
        <v>29.45</v>
      </c>
      <c r="D942" s="1" t="s">
        <v>30</v>
      </c>
      <c r="E942" s="1" t="s">
        <v>34</v>
      </c>
      <c r="F942" s="2">
        <v>2897.3235</v>
      </c>
    </row>
    <row r="943" spans="1:6" hidden="1">
      <c r="A943" s="1">
        <v>26</v>
      </c>
      <c r="B943" s="1" t="s">
        <v>35</v>
      </c>
      <c r="C943" s="1">
        <v>27.265000000000001</v>
      </c>
      <c r="D943" s="1" t="s">
        <v>30</v>
      </c>
      <c r="E943" s="1" t="s">
        <v>34</v>
      </c>
      <c r="F943" s="2">
        <v>4661.2863500000003</v>
      </c>
    </row>
    <row r="944" spans="1:6" hidden="1">
      <c r="A944" s="1">
        <v>26</v>
      </c>
      <c r="B944" s="1" t="s">
        <v>35</v>
      </c>
      <c r="C944" s="1">
        <v>29.15</v>
      </c>
      <c r="D944" s="1" t="s">
        <v>30</v>
      </c>
      <c r="E944" s="1" t="s">
        <v>31</v>
      </c>
      <c r="F944" s="2">
        <v>2902.9065000000001</v>
      </c>
    </row>
    <row r="945" spans="1:6" hidden="1">
      <c r="A945" s="1">
        <v>27</v>
      </c>
      <c r="B945" s="1" t="s">
        <v>35</v>
      </c>
      <c r="C945" s="1">
        <v>26.03</v>
      </c>
      <c r="D945" s="1" t="s">
        <v>30</v>
      </c>
      <c r="E945" s="1" t="s">
        <v>34</v>
      </c>
      <c r="F945" s="2">
        <v>3070.8087</v>
      </c>
    </row>
    <row r="946" spans="1:6" hidden="1">
      <c r="A946" s="1">
        <v>28</v>
      </c>
      <c r="B946" s="1" t="s">
        <v>35</v>
      </c>
      <c r="C946" s="1">
        <v>26.98</v>
      </c>
      <c r="D946" s="1" t="s">
        <v>30</v>
      </c>
      <c r="E946" s="1" t="s">
        <v>34</v>
      </c>
      <c r="F946" s="2">
        <v>4435.0941999999995</v>
      </c>
    </row>
    <row r="947" spans="1:6" hidden="1">
      <c r="A947" s="1">
        <v>28</v>
      </c>
      <c r="B947" s="1" t="s">
        <v>35</v>
      </c>
      <c r="C947" s="1">
        <v>29.26</v>
      </c>
      <c r="D947" s="1" t="s">
        <v>30</v>
      </c>
      <c r="E947" s="1" t="s">
        <v>34</v>
      </c>
      <c r="F947" s="2">
        <v>4438.2633999999998</v>
      </c>
    </row>
    <row r="948" spans="1:6" hidden="1">
      <c r="A948" s="1">
        <v>29</v>
      </c>
      <c r="B948" s="1" t="s">
        <v>35</v>
      </c>
      <c r="C948" s="1">
        <v>27.94</v>
      </c>
      <c r="D948" s="1" t="s">
        <v>30</v>
      </c>
      <c r="E948" s="1" t="s">
        <v>31</v>
      </c>
      <c r="F948" s="2">
        <v>2867.1196</v>
      </c>
    </row>
    <row r="949" spans="1:6" hidden="1">
      <c r="A949" s="1">
        <v>29</v>
      </c>
      <c r="B949" s="1" t="s">
        <v>35</v>
      </c>
      <c r="C949" s="1">
        <v>29.734999999999999</v>
      </c>
      <c r="D949" s="1" t="s">
        <v>30</v>
      </c>
      <c r="E949" s="1" t="s">
        <v>33</v>
      </c>
      <c r="F949" s="2">
        <v>18157.876</v>
      </c>
    </row>
    <row r="950" spans="1:6" hidden="1">
      <c r="A950" s="1">
        <v>29</v>
      </c>
      <c r="B950" s="1" t="s">
        <v>35</v>
      </c>
      <c r="C950" s="1">
        <v>28.975000000000001</v>
      </c>
      <c r="D950" s="1" t="s">
        <v>30</v>
      </c>
      <c r="E950" s="1" t="s">
        <v>34</v>
      </c>
      <c r="F950" s="2">
        <v>4040.55825</v>
      </c>
    </row>
    <row r="951" spans="1:6" hidden="1">
      <c r="A951" s="1">
        <v>29</v>
      </c>
      <c r="B951" s="1" t="s">
        <v>35</v>
      </c>
      <c r="C951" s="1">
        <v>29.64</v>
      </c>
      <c r="D951" s="1" t="s">
        <v>30</v>
      </c>
      <c r="E951" s="1" t="s">
        <v>34</v>
      </c>
      <c r="F951" s="2">
        <v>20277.807509999999</v>
      </c>
    </row>
    <row r="952" spans="1:6" hidden="1">
      <c r="A952" s="1">
        <v>29</v>
      </c>
      <c r="B952" s="1" t="s">
        <v>35</v>
      </c>
      <c r="C952" s="1">
        <v>27.2</v>
      </c>
      <c r="D952" s="1" t="s">
        <v>30</v>
      </c>
      <c r="E952" s="1" t="s">
        <v>32</v>
      </c>
      <c r="F952" s="2">
        <v>2866.0909999999999</v>
      </c>
    </row>
    <row r="953" spans="1:6" hidden="1">
      <c r="A953" s="1">
        <v>30</v>
      </c>
      <c r="B953" s="1" t="s">
        <v>35</v>
      </c>
      <c r="C953" s="1">
        <v>25.46</v>
      </c>
      <c r="D953" s="1" t="s">
        <v>30</v>
      </c>
      <c r="E953" s="1" t="s">
        <v>34</v>
      </c>
      <c r="F953" s="2">
        <v>3645.0893999999998</v>
      </c>
    </row>
    <row r="954" spans="1:6" hidden="1">
      <c r="A954" s="1">
        <v>30</v>
      </c>
      <c r="B954" s="1" t="s">
        <v>35</v>
      </c>
      <c r="C954" s="1">
        <v>27.645</v>
      </c>
      <c r="D954" s="1" t="s">
        <v>30</v>
      </c>
      <c r="E954" s="1" t="s">
        <v>34</v>
      </c>
      <c r="F954" s="2">
        <v>4237.12655</v>
      </c>
    </row>
    <row r="955" spans="1:6" hidden="1">
      <c r="A955" s="1">
        <v>31</v>
      </c>
      <c r="B955" s="1" t="s">
        <v>35</v>
      </c>
      <c r="C955" s="1">
        <v>28.5</v>
      </c>
      <c r="D955" s="1" t="s">
        <v>30</v>
      </c>
      <c r="E955" s="1" t="s">
        <v>34</v>
      </c>
      <c r="F955" s="2">
        <v>6799.4579999999996</v>
      </c>
    </row>
    <row r="956" spans="1:6" hidden="1">
      <c r="A956" s="1">
        <v>31</v>
      </c>
      <c r="B956" s="1" t="s">
        <v>35</v>
      </c>
      <c r="C956" s="1">
        <v>26.885000000000002</v>
      </c>
      <c r="D956" s="1" t="s">
        <v>30</v>
      </c>
      <c r="E956" s="1" t="s">
        <v>34</v>
      </c>
      <c r="F956" s="2">
        <v>4441.2131499999996</v>
      </c>
    </row>
    <row r="957" spans="1:6" hidden="1">
      <c r="A957" s="1">
        <v>31</v>
      </c>
      <c r="B957" s="1" t="s">
        <v>35</v>
      </c>
      <c r="C957" s="1">
        <v>28.594999999999999</v>
      </c>
      <c r="D957" s="1" t="s">
        <v>30</v>
      </c>
      <c r="E957" s="1" t="s">
        <v>33</v>
      </c>
      <c r="F957" s="2">
        <v>4243.5900499999998</v>
      </c>
    </row>
    <row r="958" spans="1:6" hidden="1">
      <c r="A958" s="1">
        <v>31</v>
      </c>
      <c r="B958" s="1" t="s">
        <v>35</v>
      </c>
      <c r="C958" s="1">
        <v>27.645</v>
      </c>
      <c r="D958" s="1" t="s">
        <v>30</v>
      </c>
      <c r="E958" s="1" t="s">
        <v>34</v>
      </c>
      <c r="F958" s="2">
        <v>5031.26955</v>
      </c>
    </row>
    <row r="959" spans="1:6" hidden="1">
      <c r="A959" s="1">
        <v>31</v>
      </c>
      <c r="B959" s="1" t="s">
        <v>35</v>
      </c>
      <c r="C959" s="1">
        <v>25.934999999999999</v>
      </c>
      <c r="D959" s="1" t="s">
        <v>30</v>
      </c>
      <c r="E959" s="1" t="s">
        <v>33</v>
      </c>
      <c r="F959" s="2">
        <v>4239.8926499999998</v>
      </c>
    </row>
    <row r="960" spans="1:6" hidden="1">
      <c r="A960" s="1">
        <v>32</v>
      </c>
      <c r="B960" s="1" t="s">
        <v>35</v>
      </c>
      <c r="C960" s="1">
        <v>28.88</v>
      </c>
      <c r="D960" s="1" t="s">
        <v>30</v>
      </c>
      <c r="E960" s="1" t="s">
        <v>33</v>
      </c>
      <c r="F960" s="2">
        <v>3866.8552</v>
      </c>
    </row>
    <row r="961" spans="1:6" hidden="1">
      <c r="A961" s="1">
        <v>32</v>
      </c>
      <c r="B961" s="1" t="s">
        <v>35</v>
      </c>
      <c r="C961" s="1">
        <v>27.835000000000001</v>
      </c>
      <c r="D961" s="1" t="s">
        <v>30</v>
      </c>
      <c r="E961" s="1" t="s">
        <v>33</v>
      </c>
      <c r="F961" s="2">
        <v>4454.40265</v>
      </c>
    </row>
    <row r="962" spans="1:6" hidden="1">
      <c r="A962" s="1">
        <v>33</v>
      </c>
      <c r="B962" s="1" t="s">
        <v>35</v>
      </c>
      <c r="C962" s="1">
        <v>29.4</v>
      </c>
      <c r="D962" s="1" t="s">
        <v>30</v>
      </c>
      <c r="E962" s="1" t="s">
        <v>32</v>
      </c>
      <c r="F962" s="2">
        <v>6059.1729999999998</v>
      </c>
    </row>
    <row r="963" spans="1:6" hidden="1">
      <c r="A963" s="1">
        <v>33</v>
      </c>
      <c r="B963" s="1" t="s">
        <v>35</v>
      </c>
      <c r="C963" s="1">
        <v>27.454999999999998</v>
      </c>
      <c r="D963" s="1" t="s">
        <v>30</v>
      </c>
      <c r="E963" s="1" t="s">
        <v>33</v>
      </c>
      <c r="F963" s="2">
        <v>5261.4694499999996</v>
      </c>
    </row>
    <row r="964" spans="1:6" hidden="1">
      <c r="A964" s="1">
        <v>34</v>
      </c>
      <c r="B964" s="1" t="s">
        <v>35</v>
      </c>
      <c r="C964" s="1">
        <v>25.27</v>
      </c>
      <c r="D964" s="1" t="s">
        <v>30</v>
      </c>
      <c r="E964" s="1" t="s">
        <v>33</v>
      </c>
      <c r="F964" s="2">
        <v>4894.7533000000003</v>
      </c>
    </row>
    <row r="965" spans="1:6" hidden="1">
      <c r="A965" s="1">
        <v>34</v>
      </c>
      <c r="B965" s="1" t="s">
        <v>35</v>
      </c>
      <c r="C965" s="1">
        <v>27</v>
      </c>
      <c r="D965" s="1" t="s">
        <v>30</v>
      </c>
      <c r="E965" s="1" t="s">
        <v>32</v>
      </c>
      <c r="F965" s="2">
        <v>11737.848840000001</v>
      </c>
    </row>
    <row r="966" spans="1:6" hidden="1">
      <c r="A966" s="1">
        <v>35</v>
      </c>
      <c r="B966" s="1" t="s">
        <v>35</v>
      </c>
      <c r="C966" s="1">
        <v>28.9</v>
      </c>
      <c r="D966" s="1" t="s">
        <v>30</v>
      </c>
      <c r="E966" s="1" t="s">
        <v>32</v>
      </c>
      <c r="F966" s="2">
        <v>5926.8459999999995</v>
      </c>
    </row>
    <row r="967" spans="1:6" hidden="1">
      <c r="A967" s="1">
        <v>35</v>
      </c>
      <c r="B967" s="1" t="s">
        <v>35</v>
      </c>
      <c r="C967" s="1">
        <v>27.1</v>
      </c>
      <c r="D967" s="1" t="s">
        <v>30</v>
      </c>
      <c r="E967" s="1" t="s">
        <v>32</v>
      </c>
      <c r="F967" s="2">
        <v>4746.3440000000001</v>
      </c>
    </row>
    <row r="968" spans="1:6" hidden="1">
      <c r="A968" s="1">
        <v>35</v>
      </c>
      <c r="B968" s="1" t="s">
        <v>35</v>
      </c>
      <c r="C968" s="1">
        <v>27.61</v>
      </c>
      <c r="D968" s="1" t="s">
        <v>30</v>
      </c>
      <c r="E968" s="1" t="s">
        <v>31</v>
      </c>
      <c r="F968" s="2">
        <v>4747.0528999999997</v>
      </c>
    </row>
    <row r="969" spans="1:6" hidden="1">
      <c r="A969" s="1">
        <v>36</v>
      </c>
      <c r="B969" s="1" t="s">
        <v>35</v>
      </c>
      <c r="C969" s="1">
        <v>27.55</v>
      </c>
      <c r="D969" s="1" t="s">
        <v>30</v>
      </c>
      <c r="E969" s="1" t="s">
        <v>34</v>
      </c>
      <c r="F969" s="2">
        <v>6746.7425000000003</v>
      </c>
    </row>
    <row r="970" spans="1:6" hidden="1">
      <c r="A970" s="1">
        <v>36</v>
      </c>
      <c r="B970" s="1" t="s">
        <v>35</v>
      </c>
      <c r="C970" s="1">
        <v>28.88</v>
      </c>
      <c r="D970" s="1" t="s">
        <v>30</v>
      </c>
      <c r="E970" s="1" t="s">
        <v>34</v>
      </c>
      <c r="F970" s="2">
        <v>6748.5911999999998</v>
      </c>
    </row>
    <row r="971" spans="1:6" hidden="1">
      <c r="A971" s="1">
        <v>36</v>
      </c>
      <c r="B971" s="1" t="s">
        <v>35</v>
      </c>
      <c r="C971" s="1">
        <v>29.7</v>
      </c>
      <c r="D971" s="1" t="s">
        <v>30</v>
      </c>
      <c r="E971" s="1" t="s">
        <v>31</v>
      </c>
      <c r="F971" s="2">
        <v>4399.7309999999998</v>
      </c>
    </row>
    <row r="972" spans="1:6" hidden="1">
      <c r="A972" s="1">
        <v>36</v>
      </c>
      <c r="B972" s="1" t="s">
        <v>35</v>
      </c>
      <c r="C972" s="1">
        <v>28.594999999999999</v>
      </c>
      <c r="D972" s="1" t="s">
        <v>30</v>
      </c>
      <c r="E972" s="1" t="s">
        <v>33</v>
      </c>
      <c r="F972" s="2">
        <v>6548.1950500000003</v>
      </c>
    </row>
    <row r="973" spans="1:6" hidden="1">
      <c r="A973" s="1">
        <v>37</v>
      </c>
      <c r="B973" s="1" t="s">
        <v>35</v>
      </c>
      <c r="C973" s="1">
        <v>29.83</v>
      </c>
      <c r="D973" s="1" t="s">
        <v>30</v>
      </c>
      <c r="E973" s="1" t="s">
        <v>34</v>
      </c>
      <c r="F973" s="2">
        <v>6406.4107000000004</v>
      </c>
    </row>
    <row r="974" spans="1:6" hidden="1">
      <c r="A974" s="1">
        <v>37</v>
      </c>
      <c r="B974" s="1" t="s">
        <v>35</v>
      </c>
      <c r="C974" s="1">
        <v>28.024999999999999</v>
      </c>
      <c r="D974" s="1" t="s">
        <v>30</v>
      </c>
      <c r="E974" s="1" t="s">
        <v>33</v>
      </c>
      <c r="F974" s="2">
        <v>6203.90175</v>
      </c>
    </row>
    <row r="975" spans="1:6" hidden="1">
      <c r="A975" s="1">
        <v>37</v>
      </c>
      <c r="B975" s="1" t="s">
        <v>35</v>
      </c>
      <c r="C975" s="1">
        <v>29.64</v>
      </c>
      <c r="D975" s="1" t="s">
        <v>30</v>
      </c>
      <c r="E975" s="1" t="s">
        <v>33</v>
      </c>
      <c r="F975" s="2">
        <v>5028.1466</v>
      </c>
    </row>
    <row r="976" spans="1:6" hidden="1">
      <c r="A976" s="1">
        <v>37</v>
      </c>
      <c r="B976" s="1" t="s">
        <v>35</v>
      </c>
      <c r="C976" s="1">
        <v>29.8</v>
      </c>
      <c r="D976" s="1" t="s">
        <v>30</v>
      </c>
      <c r="E976" s="1" t="s">
        <v>32</v>
      </c>
      <c r="F976" s="2">
        <v>20420.604650000001</v>
      </c>
    </row>
    <row r="977" spans="1:6" hidden="1">
      <c r="A977" s="1">
        <v>38</v>
      </c>
      <c r="B977" s="1" t="s">
        <v>35</v>
      </c>
      <c r="C977" s="1">
        <v>27.835000000000001</v>
      </c>
      <c r="D977" s="1" t="s">
        <v>30</v>
      </c>
      <c r="E977" s="1" t="s">
        <v>33</v>
      </c>
      <c r="F977" s="2">
        <v>6455.86265</v>
      </c>
    </row>
    <row r="978" spans="1:6" hidden="1">
      <c r="A978" s="1">
        <v>38</v>
      </c>
      <c r="B978" s="1" t="s">
        <v>35</v>
      </c>
      <c r="C978" s="1">
        <v>28.024999999999999</v>
      </c>
      <c r="D978" s="1" t="s">
        <v>30</v>
      </c>
      <c r="E978" s="1" t="s">
        <v>34</v>
      </c>
      <c r="F978" s="2">
        <v>6067.1267500000004</v>
      </c>
    </row>
    <row r="979" spans="1:6" hidden="1">
      <c r="A979" s="1">
        <v>38</v>
      </c>
      <c r="B979" s="1" t="s">
        <v>35</v>
      </c>
      <c r="C979" s="1">
        <v>28.27</v>
      </c>
      <c r="D979" s="1" t="s">
        <v>30</v>
      </c>
      <c r="E979" s="1" t="s">
        <v>31</v>
      </c>
      <c r="F979" s="2">
        <v>5484.4673000000003</v>
      </c>
    </row>
    <row r="980" spans="1:6" hidden="1">
      <c r="A980" s="1">
        <v>38</v>
      </c>
      <c r="B980" s="1" t="s">
        <v>35</v>
      </c>
      <c r="C980" s="1">
        <v>29.26</v>
      </c>
      <c r="D980" s="1" t="s">
        <v>30</v>
      </c>
      <c r="E980" s="1" t="s">
        <v>33</v>
      </c>
      <c r="F980" s="2">
        <v>6457.8433999999997</v>
      </c>
    </row>
    <row r="981" spans="1:6" hidden="1">
      <c r="A981" s="1">
        <v>39</v>
      </c>
      <c r="B981" s="1" t="s">
        <v>35</v>
      </c>
      <c r="C981" s="1">
        <v>29.6</v>
      </c>
      <c r="D981" s="1" t="s">
        <v>30</v>
      </c>
      <c r="E981" s="1" t="s">
        <v>32</v>
      </c>
      <c r="F981" s="2">
        <v>7512.2669999999998</v>
      </c>
    </row>
    <row r="982" spans="1:6" hidden="1">
      <c r="A982" s="1">
        <v>39</v>
      </c>
      <c r="B982" s="1" t="s">
        <v>35</v>
      </c>
      <c r="C982" s="1">
        <v>26.22</v>
      </c>
      <c r="D982" s="1" t="s">
        <v>30</v>
      </c>
      <c r="E982" s="1" t="s">
        <v>33</v>
      </c>
      <c r="F982" s="2">
        <v>6123.5688</v>
      </c>
    </row>
    <row r="983" spans="1:6" hidden="1">
      <c r="A983" s="1">
        <v>40</v>
      </c>
      <c r="B983" s="1" t="s">
        <v>35</v>
      </c>
      <c r="C983" s="1">
        <v>26.315000000000001</v>
      </c>
      <c r="D983" s="1" t="s">
        <v>30</v>
      </c>
      <c r="E983" s="1" t="s">
        <v>33</v>
      </c>
      <c r="F983" s="2">
        <v>6389.3778499999999</v>
      </c>
    </row>
    <row r="984" spans="1:6" hidden="1">
      <c r="A984" s="1">
        <v>40</v>
      </c>
      <c r="B984" s="1" t="s">
        <v>35</v>
      </c>
      <c r="C984" s="1">
        <v>29.355</v>
      </c>
      <c r="D984" s="1" t="s">
        <v>30</v>
      </c>
      <c r="E984" s="1" t="s">
        <v>33</v>
      </c>
      <c r="F984" s="2">
        <v>6393.6034499999996</v>
      </c>
    </row>
    <row r="985" spans="1:6" hidden="1">
      <c r="A985" s="1">
        <v>40</v>
      </c>
      <c r="B985" s="1" t="s">
        <v>35</v>
      </c>
      <c r="C985" s="1">
        <v>25.08</v>
      </c>
      <c r="D985" s="1" t="s">
        <v>30</v>
      </c>
      <c r="E985" s="1" t="s">
        <v>31</v>
      </c>
      <c r="F985" s="2">
        <v>5415.6611999999996</v>
      </c>
    </row>
    <row r="986" spans="1:6" hidden="1">
      <c r="A986" s="1">
        <v>40</v>
      </c>
      <c r="B986" s="1" t="s">
        <v>35</v>
      </c>
      <c r="C986" s="1">
        <v>24.97</v>
      </c>
      <c r="D986" s="1" t="s">
        <v>30</v>
      </c>
      <c r="E986" s="1" t="s">
        <v>31</v>
      </c>
      <c r="F986" s="2">
        <v>6593.5083000000004</v>
      </c>
    </row>
    <row r="987" spans="1:6" hidden="1">
      <c r="A987" s="1">
        <v>40</v>
      </c>
      <c r="B987" s="1" t="s">
        <v>35</v>
      </c>
      <c r="C987" s="1">
        <v>29.9</v>
      </c>
      <c r="D987" s="1" t="s">
        <v>30</v>
      </c>
      <c r="E987" s="1" t="s">
        <v>32</v>
      </c>
      <c r="F987" s="2">
        <v>6600.3609999999999</v>
      </c>
    </row>
    <row r="988" spans="1:6" hidden="1">
      <c r="A988" s="1">
        <v>41</v>
      </c>
      <c r="B988" s="1" t="s">
        <v>35</v>
      </c>
      <c r="C988" s="1">
        <v>28.405000000000001</v>
      </c>
      <c r="D988" s="1" t="s">
        <v>30</v>
      </c>
      <c r="E988" s="1" t="s">
        <v>33</v>
      </c>
      <c r="F988" s="2">
        <v>6664.68595</v>
      </c>
    </row>
    <row r="989" spans="1:6" hidden="1">
      <c r="A989" s="1">
        <v>41</v>
      </c>
      <c r="B989" s="1" t="s">
        <v>35</v>
      </c>
      <c r="C989" s="1">
        <v>28.8</v>
      </c>
      <c r="D989" s="1" t="s">
        <v>30</v>
      </c>
      <c r="E989" s="1" t="s">
        <v>32</v>
      </c>
      <c r="F989" s="2">
        <v>6282.2349999999997</v>
      </c>
    </row>
    <row r="990" spans="1:6" hidden="1">
      <c r="A990" s="1">
        <v>41</v>
      </c>
      <c r="B990" s="1" t="s">
        <v>35</v>
      </c>
      <c r="C990" s="1">
        <v>29.64</v>
      </c>
      <c r="D990" s="1" t="s">
        <v>30</v>
      </c>
      <c r="E990" s="1" t="s">
        <v>34</v>
      </c>
      <c r="F990" s="2">
        <v>9222.4025999999994</v>
      </c>
    </row>
    <row r="991" spans="1:6" hidden="1">
      <c r="A991" s="1">
        <v>42</v>
      </c>
      <c r="B991" s="1" t="s">
        <v>35</v>
      </c>
      <c r="C991" s="1">
        <v>26.9</v>
      </c>
      <c r="D991" s="1" t="s">
        <v>30</v>
      </c>
      <c r="E991" s="1" t="s">
        <v>32</v>
      </c>
      <c r="F991" s="2">
        <v>5969.723</v>
      </c>
    </row>
    <row r="992" spans="1:6" hidden="1">
      <c r="A992" s="1">
        <v>42</v>
      </c>
      <c r="B992" s="1" t="s">
        <v>35</v>
      </c>
      <c r="C992" s="1">
        <v>26.125</v>
      </c>
      <c r="D992" s="1" t="s">
        <v>30</v>
      </c>
      <c r="E992" s="1" t="s">
        <v>34</v>
      </c>
      <c r="F992" s="2">
        <v>7729.6457499999997</v>
      </c>
    </row>
    <row r="993" spans="1:6" hidden="1">
      <c r="A993" s="1">
        <v>42</v>
      </c>
      <c r="B993" s="1" t="s">
        <v>35</v>
      </c>
      <c r="C993" s="1">
        <v>26.315000000000001</v>
      </c>
      <c r="D993" s="1" t="s">
        <v>30</v>
      </c>
      <c r="E993" s="1" t="s">
        <v>33</v>
      </c>
      <c r="F993" s="2">
        <v>6940.90985</v>
      </c>
    </row>
    <row r="994" spans="1:6" hidden="1">
      <c r="A994" s="1">
        <v>43</v>
      </c>
      <c r="B994" s="1" t="s">
        <v>35</v>
      </c>
      <c r="C994" s="1">
        <v>27.36</v>
      </c>
      <c r="D994" s="1" t="s">
        <v>30</v>
      </c>
      <c r="E994" s="1" t="s">
        <v>34</v>
      </c>
      <c r="F994" s="2">
        <v>8606.2173999999995</v>
      </c>
    </row>
    <row r="995" spans="1:6" hidden="1">
      <c r="A995" s="1">
        <v>43</v>
      </c>
      <c r="B995" s="1" t="s">
        <v>35</v>
      </c>
      <c r="C995" s="1">
        <v>26.03</v>
      </c>
      <c r="D995" s="1" t="s">
        <v>30</v>
      </c>
      <c r="E995" s="1" t="s">
        <v>34</v>
      </c>
      <c r="F995" s="2">
        <v>6837.3687</v>
      </c>
    </row>
    <row r="996" spans="1:6" hidden="1">
      <c r="A996" s="1">
        <v>43</v>
      </c>
      <c r="B996" s="1" t="s">
        <v>35</v>
      </c>
      <c r="C996" s="1">
        <v>25.52</v>
      </c>
      <c r="D996" s="1" t="s">
        <v>30</v>
      </c>
      <c r="E996" s="1" t="s">
        <v>31</v>
      </c>
      <c r="F996" s="2">
        <v>14478.33015</v>
      </c>
    </row>
    <row r="997" spans="1:6" hidden="1">
      <c r="A997" s="1">
        <v>44</v>
      </c>
      <c r="B997" s="1" t="s">
        <v>35</v>
      </c>
      <c r="C997" s="1">
        <v>27.4</v>
      </c>
      <c r="D997" s="1" t="s">
        <v>30</v>
      </c>
      <c r="E997" s="1" t="s">
        <v>32</v>
      </c>
      <c r="F997" s="2">
        <v>7726.8540000000003</v>
      </c>
    </row>
    <row r="998" spans="1:6" hidden="1">
      <c r="A998" s="1">
        <v>44</v>
      </c>
      <c r="B998" s="1" t="s">
        <v>35</v>
      </c>
      <c r="C998" s="1">
        <v>29.734999999999999</v>
      </c>
      <c r="D998" s="1" t="s">
        <v>30</v>
      </c>
      <c r="E998" s="1" t="s">
        <v>34</v>
      </c>
      <c r="F998" s="2">
        <v>32108.662820000001</v>
      </c>
    </row>
    <row r="999" spans="1:6" hidden="1">
      <c r="A999" s="1">
        <v>44</v>
      </c>
      <c r="B999" s="1" t="s">
        <v>35</v>
      </c>
      <c r="C999" s="1">
        <v>25.364999999999998</v>
      </c>
      <c r="D999" s="1" t="s">
        <v>30</v>
      </c>
      <c r="E999" s="1" t="s">
        <v>33</v>
      </c>
      <c r="F999" s="2">
        <v>7518.0253499999999</v>
      </c>
    </row>
    <row r="1000" spans="1:6" hidden="1">
      <c r="A1000" s="1">
        <v>45</v>
      </c>
      <c r="B1000" s="1" t="s">
        <v>35</v>
      </c>
      <c r="C1000" s="1">
        <v>28.7</v>
      </c>
      <c r="D1000" s="1" t="s">
        <v>30</v>
      </c>
      <c r="E1000" s="1" t="s">
        <v>32</v>
      </c>
      <c r="F1000" s="2">
        <v>8027.9679999999998</v>
      </c>
    </row>
    <row r="1001" spans="1:6" hidden="1">
      <c r="A1001" s="1">
        <v>45</v>
      </c>
      <c r="B1001" s="1" t="s">
        <v>35</v>
      </c>
      <c r="C1001" s="1">
        <v>27.5</v>
      </c>
      <c r="D1001" s="1" t="s">
        <v>30</v>
      </c>
      <c r="E1001" s="1" t="s">
        <v>32</v>
      </c>
      <c r="F1001" s="2">
        <v>8615.2999999999993</v>
      </c>
    </row>
    <row r="1002" spans="1:6" hidden="1">
      <c r="A1002" s="1">
        <v>46</v>
      </c>
      <c r="B1002" s="1" t="s">
        <v>35</v>
      </c>
      <c r="C1002" s="1">
        <v>26.62</v>
      </c>
      <c r="D1002" s="1" t="s">
        <v>30</v>
      </c>
      <c r="E1002" s="1" t="s">
        <v>31</v>
      </c>
      <c r="F1002" s="2">
        <v>7742.1098000000002</v>
      </c>
    </row>
    <row r="1003" spans="1:6" hidden="1">
      <c r="A1003" s="1">
        <v>46</v>
      </c>
      <c r="B1003" s="1" t="s">
        <v>35</v>
      </c>
      <c r="C1003" s="1">
        <v>27.6</v>
      </c>
      <c r="D1003" s="1" t="s">
        <v>30</v>
      </c>
      <c r="E1003" s="1" t="s">
        <v>32</v>
      </c>
      <c r="F1003" s="2">
        <v>24603.04837</v>
      </c>
    </row>
    <row r="1004" spans="1:6" hidden="1">
      <c r="A1004" s="1">
        <v>46</v>
      </c>
      <c r="B1004" s="1" t="s">
        <v>35</v>
      </c>
      <c r="C1004" s="1">
        <v>25.8</v>
      </c>
      <c r="D1004" s="1" t="s">
        <v>30</v>
      </c>
      <c r="E1004" s="1" t="s">
        <v>32</v>
      </c>
      <c r="F1004" s="2">
        <v>10096.969999999999</v>
      </c>
    </row>
    <row r="1005" spans="1:6" hidden="1">
      <c r="A1005" s="1">
        <v>46</v>
      </c>
      <c r="B1005" s="1" t="s">
        <v>35</v>
      </c>
      <c r="C1005" s="1">
        <v>25.745000000000001</v>
      </c>
      <c r="D1005" s="1" t="s">
        <v>30</v>
      </c>
      <c r="E1005" s="1" t="s">
        <v>33</v>
      </c>
      <c r="F1005" s="2">
        <v>9301.8935500000007</v>
      </c>
    </row>
    <row r="1006" spans="1:6" hidden="1">
      <c r="A1006" s="1">
        <v>47</v>
      </c>
      <c r="B1006" s="1" t="s">
        <v>35</v>
      </c>
      <c r="C1006" s="1">
        <v>28.215</v>
      </c>
      <c r="D1006" s="1" t="s">
        <v>30</v>
      </c>
      <c r="E1006" s="1" t="s">
        <v>34</v>
      </c>
      <c r="F1006" s="2">
        <v>10407.085849999999</v>
      </c>
    </row>
    <row r="1007" spans="1:6" hidden="1">
      <c r="A1007" s="1">
        <v>47</v>
      </c>
      <c r="B1007" s="1" t="s">
        <v>35</v>
      </c>
      <c r="C1007" s="1">
        <v>25.46</v>
      </c>
      <c r="D1007" s="1" t="s">
        <v>30</v>
      </c>
      <c r="E1007" s="1" t="s">
        <v>34</v>
      </c>
      <c r="F1007" s="2">
        <v>9225.2564000000002</v>
      </c>
    </row>
    <row r="1008" spans="1:6" hidden="1">
      <c r="A1008" s="1">
        <v>47</v>
      </c>
      <c r="B1008" s="1" t="s">
        <v>35</v>
      </c>
      <c r="C1008" s="1">
        <v>29.83</v>
      </c>
      <c r="D1008" s="1" t="s">
        <v>30</v>
      </c>
      <c r="E1008" s="1" t="s">
        <v>33</v>
      </c>
      <c r="F1008" s="2">
        <v>9620.3307000000004</v>
      </c>
    </row>
    <row r="1009" spans="1:6" hidden="1">
      <c r="A1009" s="1">
        <v>48</v>
      </c>
      <c r="B1009" s="1" t="s">
        <v>35</v>
      </c>
      <c r="C1009" s="1">
        <v>29.7</v>
      </c>
      <c r="D1009" s="1" t="s">
        <v>30</v>
      </c>
      <c r="E1009" s="1" t="s">
        <v>31</v>
      </c>
      <c r="F1009" s="2">
        <v>7789.6350000000002</v>
      </c>
    </row>
    <row r="1010" spans="1:6" hidden="1">
      <c r="A1010" s="1">
        <v>48</v>
      </c>
      <c r="B1010" s="1" t="s">
        <v>35</v>
      </c>
      <c r="C1010" s="1">
        <v>29.6</v>
      </c>
      <c r="D1010" s="1" t="s">
        <v>30</v>
      </c>
      <c r="E1010" s="1" t="s">
        <v>32</v>
      </c>
      <c r="F1010" s="2">
        <v>21232.182260000001</v>
      </c>
    </row>
    <row r="1011" spans="1:6" hidden="1">
      <c r="A1011" s="1">
        <v>49</v>
      </c>
      <c r="B1011" s="1" t="s">
        <v>35</v>
      </c>
      <c r="C1011" s="1">
        <v>25.84</v>
      </c>
      <c r="D1011" s="1" t="s">
        <v>30</v>
      </c>
      <c r="E1011" s="1" t="s">
        <v>34</v>
      </c>
      <c r="F1011" s="2">
        <v>9282.4806000000008</v>
      </c>
    </row>
    <row r="1012" spans="1:6" hidden="1">
      <c r="A1012" s="1">
        <v>49</v>
      </c>
      <c r="B1012" s="1" t="s">
        <v>35</v>
      </c>
      <c r="C1012" s="1">
        <v>28.7</v>
      </c>
      <c r="D1012" s="1" t="s">
        <v>30</v>
      </c>
      <c r="E1012" s="1" t="s">
        <v>32</v>
      </c>
      <c r="F1012" s="2">
        <v>8703.4560000000001</v>
      </c>
    </row>
    <row r="1013" spans="1:6" hidden="1">
      <c r="A1013" s="1">
        <v>49</v>
      </c>
      <c r="B1013" s="1" t="s">
        <v>35</v>
      </c>
      <c r="C1013" s="1">
        <v>28.69</v>
      </c>
      <c r="D1013" s="1" t="s">
        <v>30</v>
      </c>
      <c r="E1013" s="1" t="s">
        <v>33</v>
      </c>
      <c r="F1013" s="2">
        <v>10264.4421</v>
      </c>
    </row>
    <row r="1014" spans="1:6" hidden="1">
      <c r="A1014" s="1">
        <v>49</v>
      </c>
      <c r="B1014" s="1" t="s">
        <v>35</v>
      </c>
      <c r="C1014" s="1">
        <v>29.83</v>
      </c>
      <c r="D1014" s="1" t="s">
        <v>30</v>
      </c>
      <c r="E1014" s="1" t="s">
        <v>34</v>
      </c>
      <c r="F1014" s="2">
        <v>9288.0267000000003</v>
      </c>
    </row>
    <row r="1015" spans="1:6" hidden="1">
      <c r="A1015" s="1">
        <v>50</v>
      </c>
      <c r="B1015" s="1" t="s">
        <v>35</v>
      </c>
      <c r="C1015" s="1">
        <v>27.454999999999998</v>
      </c>
      <c r="D1015" s="1" t="s">
        <v>30</v>
      </c>
      <c r="E1015" s="1" t="s">
        <v>34</v>
      </c>
      <c r="F1015" s="2">
        <v>9617.6624499999998</v>
      </c>
    </row>
    <row r="1016" spans="1:6" hidden="1">
      <c r="A1016" s="1">
        <v>50</v>
      </c>
      <c r="B1016" s="1" t="s">
        <v>35</v>
      </c>
      <c r="C1016" s="1">
        <v>26.6</v>
      </c>
      <c r="D1016" s="1" t="s">
        <v>30</v>
      </c>
      <c r="E1016" s="1" t="s">
        <v>32</v>
      </c>
      <c r="F1016" s="2">
        <v>8444.4740000000002</v>
      </c>
    </row>
    <row r="1017" spans="1:6" hidden="1">
      <c r="A1017" s="1">
        <v>50</v>
      </c>
      <c r="B1017" s="1" t="s">
        <v>35</v>
      </c>
      <c r="C1017" s="1">
        <v>25.364999999999998</v>
      </c>
      <c r="D1017" s="1" t="s">
        <v>30</v>
      </c>
      <c r="E1017" s="1" t="s">
        <v>33</v>
      </c>
      <c r="F1017" s="2">
        <v>30284.642940000002</v>
      </c>
    </row>
    <row r="1018" spans="1:6" hidden="1">
      <c r="A1018" s="1">
        <v>50</v>
      </c>
      <c r="B1018" s="1" t="s">
        <v>35</v>
      </c>
      <c r="C1018" s="1">
        <v>26.41</v>
      </c>
      <c r="D1018" s="1" t="s">
        <v>30</v>
      </c>
      <c r="E1018" s="1" t="s">
        <v>33</v>
      </c>
      <c r="F1018" s="2">
        <v>8827.2098999999998</v>
      </c>
    </row>
    <row r="1019" spans="1:6" hidden="1">
      <c r="A1019" s="1">
        <v>50</v>
      </c>
      <c r="B1019" s="1" t="s">
        <v>35</v>
      </c>
      <c r="C1019" s="1">
        <v>25.3</v>
      </c>
      <c r="D1019" s="1" t="s">
        <v>30</v>
      </c>
      <c r="E1019" s="1" t="s">
        <v>31</v>
      </c>
      <c r="F1019" s="2">
        <v>8442.6669999999995</v>
      </c>
    </row>
    <row r="1020" spans="1:6" hidden="1">
      <c r="A1020" s="1">
        <v>51</v>
      </c>
      <c r="B1020" s="1" t="s">
        <v>35</v>
      </c>
      <c r="C1020" s="1">
        <v>25.4</v>
      </c>
      <c r="D1020" s="1" t="s">
        <v>30</v>
      </c>
      <c r="E1020" s="1" t="s">
        <v>32</v>
      </c>
      <c r="F1020" s="2">
        <v>8782.4689999999991</v>
      </c>
    </row>
    <row r="1021" spans="1:6" hidden="1">
      <c r="A1021" s="1">
        <v>51</v>
      </c>
      <c r="B1021" s="1" t="s">
        <v>35</v>
      </c>
      <c r="C1021" s="1">
        <v>27.74</v>
      </c>
      <c r="D1021" s="1" t="s">
        <v>30</v>
      </c>
      <c r="E1021" s="1" t="s">
        <v>34</v>
      </c>
      <c r="F1021" s="2">
        <v>9957.7216000000008</v>
      </c>
    </row>
    <row r="1022" spans="1:6" hidden="1">
      <c r="A1022" s="1">
        <v>52</v>
      </c>
      <c r="B1022" s="1" t="s">
        <v>35</v>
      </c>
      <c r="C1022" s="1">
        <v>26.4</v>
      </c>
      <c r="D1022" s="1" t="s">
        <v>30</v>
      </c>
      <c r="E1022" s="1" t="s">
        <v>31</v>
      </c>
      <c r="F1022" s="2">
        <v>25992.821039999999</v>
      </c>
    </row>
    <row r="1023" spans="1:6" hidden="1">
      <c r="A1023" s="1">
        <v>53</v>
      </c>
      <c r="B1023" s="1" t="s">
        <v>35</v>
      </c>
      <c r="C1023" s="1">
        <v>26.41</v>
      </c>
      <c r="D1023" s="1" t="s">
        <v>30</v>
      </c>
      <c r="E1023" s="1" t="s">
        <v>34</v>
      </c>
      <c r="F1023" s="2">
        <v>11244.376899999999</v>
      </c>
    </row>
    <row r="1024" spans="1:6" hidden="1">
      <c r="A1024" s="1">
        <v>53</v>
      </c>
      <c r="B1024" s="1" t="s">
        <v>35</v>
      </c>
      <c r="C1024" s="1">
        <v>28.88</v>
      </c>
      <c r="D1024" s="1" t="s">
        <v>30</v>
      </c>
      <c r="E1024" s="1" t="s">
        <v>33</v>
      </c>
      <c r="F1024" s="2">
        <v>9869.8101999999999</v>
      </c>
    </row>
    <row r="1025" spans="1:6" hidden="1">
      <c r="A1025" s="1">
        <v>53</v>
      </c>
      <c r="B1025" s="1" t="s">
        <v>35</v>
      </c>
      <c r="C1025" s="1">
        <v>29.48</v>
      </c>
      <c r="D1025" s="1" t="s">
        <v>30</v>
      </c>
      <c r="E1025" s="1" t="s">
        <v>31</v>
      </c>
      <c r="F1025" s="2">
        <v>9487.6442000000006</v>
      </c>
    </row>
    <row r="1026" spans="1:6" hidden="1">
      <c r="A1026" s="1">
        <v>53</v>
      </c>
      <c r="B1026" s="1" t="s">
        <v>35</v>
      </c>
      <c r="C1026" s="1">
        <v>28.6</v>
      </c>
      <c r="D1026" s="1" t="s">
        <v>30</v>
      </c>
      <c r="E1026" s="1" t="s">
        <v>32</v>
      </c>
      <c r="F1026" s="2">
        <v>11253.421</v>
      </c>
    </row>
    <row r="1027" spans="1:6" hidden="1">
      <c r="A1027" s="1">
        <v>54</v>
      </c>
      <c r="B1027" s="1" t="s">
        <v>35</v>
      </c>
      <c r="C1027" s="1">
        <v>29.2</v>
      </c>
      <c r="D1027" s="1" t="s">
        <v>30</v>
      </c>
      <c r="E1027" s="1" t="s">
        <v>32</v>
      </c>
      <c r="F1027" s="2">
        <v>10436.096</v>
      </c>
    </row>
    <row r="1028" spans="1:6" hidden="1">
      <c r="A1028" s="1">
        <v>54</v>
      </c>
      <c r="B1028" s="1" t="s">
        <v>35</v>
      </c>
      <c r="C1028" s="1">
        <v>25.46</v>
      </c>
      <c r="D1028" s="1" t="s">
        <v>30</v>
      </c>
      <c r="E1028" s="1" t="s">
        <v>34</v>
      </c>
      <c r="F1028" s="2">
        <v>25517.11363</v>
      </c>
    </row>
    <row r="1029" spans="1:6" hidden="1">
      <c r="A1029" s="1">
        <v>55</v>
      </c>
      <c r="B1029" s="1" t="s">
        <v>35</v>
      </c>
      <c r="C1029" s="1">
        <v>27.645</v>
      </c>
      <c r="D1029" s="1" t="s">
        <v>30</v>
      </c>
      <c r="E1029" s="1" t="s">
        <v>33</v>
      </c>
      <c r="F1029" s="2">
        <v>10594.501550000001</v>
      </c>
    </row>
    <row r="1030" spans="1:6" hidden="1">
      <c r="A1030" s="1">
        <v>55</v>
      </c>
      <c r="B1030" s="1" t="s">
        <v>35</v>
      </c>
      <c r="C1030" s="1">
        <v>28.975000000000001</v>
      </c>
      <c r="D1030" s="1" t="s">
        <v>30</v>
      </c>
      <c r="E1030" s="1" t="s">
        <v>34</v>
      </c>
      <c r="F1030" s="2">
        <v>10796.35025</v>
      </c>
    </row>
    <row r="1031" spans="1:6" hidden="1">
      <c r="A1031" s="1">
        <v>55</v>
      </c>
      <c r="B1031" s="1" t="s">
        <v>35</v>
      </c>
      <c r="C1031" s="1">
        <v>29.9</v>
      </c>
      <c r="D1031" s="1" t="s">
        <v>30</v>
      </c>
      <c r="E1031" s="1" t="s">
        <v>32</v>
      </c>
      <c r="F1031" s="2">
        <v>10214.636</v>
      </c>
    </row>
    <row r="1032" spans="1:6" hidden="1">
      <c r="A1032" s="1">
        <v>56</v>
      </c>
      <c r="B1032" s="1" t="s">
        <v>35</v>
      </c>
      <c r="C1032" s="1">
        <v>25.934999999999999</v>
      </c>
      <c r="D1032" s="1" t="s">
        <v>30</v>
      </c>
      <c r="E1032" s="1" t="s">
        <v>34</v>
      </c>
      <c r="F1032" s="2">
        <v>11165.417649999999</v>
      </c>
    </row>
    <row r="1033" spans="1:6" hidden="1">
      <c r="A1033" s="1">
        <v>57</v>
      </c>
      <c r="B1033" s="1" t="s">
        <v>35</v>
      </c>
      <c r="C1033" s="1">
        <v>28.1</v>
      </c>
      <c r="D1033" s="1" t="s">
        <v>30</v>
      </c>
      <c r="E1033" s="1" t="s">
        <v>32</v>
      </c>
      <c r="F1033" s="2">
        <v>10965.446</v>
      </c>
    </row>
    <row r="1034" spans="1:6" hidden="1">
      <c r="A1034" s="1">
        <v>57</v>
      </c>
      <c r="B1034" s="1" t="s">
        <v>35</v>
      </c>
      <c r="C1034" s="1">
        <v>27.94</v>
      </c>
      <c r="D1034" s="1" t="s">
        <v>30</v>
      </c>
      <c r="E1034" s="1" t="s">
        <v>31</v>
      </c>
      <c r="F1034" s="2">
        <v>11554.223599999999</v>
      </c>
    </row>
    <row r="1035" spans="1:6" hidden="1">
      <c r="A1035" s="1">
        <v>58</v>
      </c>
      <c r="B1035" s="1" t="s">
        <v>35</v>
      </c>
      <c r="C1035" s="1">
        <v>28.594999999999999</v>
      </c>
      <c r="D1035" s="1" t="s">
        <v>30</v>
      </c>
      <c r="E1035" s="1" t="s">
        <v>33</v>
      </c>
      <c r="F1035" s="2">
        <v>11735.87905</v>
      </c>
    </row>
    <row r="1036" spans="1:6" hidden="1">
      <c r="A1036" s="1">
        <v>58</v>
      </c>
      <c r="B1036" s="1" t="s">
        <v>35</v>
      </c>
      <c r="C1036" s="1">
        <v>25.175000000000001</v>
      </c>
      <c r="D1036" s="1" t="s">
        <v>30</v>
      </c>
      <c r="E1036" s="1" t="s">
        <v>34</v>
      </c>
      <c r="F1036" s="2">
        <v>11931.125249999999</v>
      </c>
    </row>
    <row r="1037" spans="1:6" hidden="1">
      <c r="A1037" s="1">
        <v>59</v>
      </c>
      <c r="B1037" s="1" t="s">
        <v>35</v>
      </c>
      <c r="C1037" s="1">
        <v>26.4</v>
      </c>
      <c r="D1037" s="1" t="s">
        <v>30</v>
      </c>
      <c r="E1037" s="1" t="s">
        <v>31</v>
      </c>
      <c r="F1037" s="2">
        <v>11743.299000000001</v>
      </c>
    </row>
    <row r="1038" spans="1:6" hidden="1">
      <c r="A1038" s="1">
        <v>59</v>
      </c>
      <c r="B1038" s="1" t="s">
        <v>35</v>
      </c>
      <c r="C1038" s="1">
        <v>27.5</v>
      </c>
      <c r="D1038" s="1" t="s">
        <v>30</v>
      </c>
      <c r="E1038" s="1" t="s">
        <v>32</v>
      </c>
      <c r="F1038" s="2">
        <v>12333.828</v>
      </c>
    </row>
    <row r="1039" spans="1:6" hidden="1">
      <c r="A1039" s="1">
        <v>59</v>
      </c>
      <c r="B1039" s="1" t="s">
        <v>35</v>
      </c>
      <c r="C1039" s="1">
        <v>29.7</v>
      </c>
      <c r="D1039" s="1" t="s">
        <v>30</v>
      </c>
      <c r="E1039" s="1" t="s">
        <v>31</v>
      </c>
      <c r="F1039" s="2">
        <v>12925.886</v>
      </c>
    </row>
    <row r="1040" spans="1:6" hidden="1">
      <c r="A1040" s="1">
        <v>59</v>
      </c>
      <c r="B1040" s="1" t="s">
        <v>35</v>
      </c>
      <c r="C1040" s="1">
        <v>25.46</v>
      </c>
      <c r="D1040" s="1" t="s">
        <v>30</v>
      </c>
      <c r="E1040" s="1" t="s">
        <v>34</v>
      </c>
      <c r="F1040" s="2">
        <v>12913.992399999999</v>
      </c>
    </row>
    <row r="1041" spans="1:6" hidden="1">
      <c r="A1041" s="1">
        <v>59</v>
      </c>
      <c r="B1041" s="1" t="s">
        <v>35</v>
      </c>
      <c r="C1041" s="1">
        <v>28.785</v>
      </c>
      <c r="D1041" s="1" t="s">
        <v>30</v>
      </c>
      <c r="E1041" s="1" t="s">
        <v>33</v>
      </c>
      <c r="F1041" s="2">
        <v>12129.614149999999</v>
      </c>
    </row>
    <row r="1042" spans="1:6" hidden="1">
      <c r="A1042" s="1">
        <v>59</v>
      </c>
      <c r="B1042" s="1" t="s">
        <v>35</v>
      </c>
      <c r="C1042" s="1">
        <v>25.46</v>
      </c>
      <c r="D1042" s="1" t="s">
        <v>30</v>
      </c>
      <c r="E1042" s="1" t="s">
        <v>33</v>
      </c>
      <c r="F1042" s="2">
        <v>12124.992399999999</v>
      </c>
    </row>
    <row r="1043" spans="1:6" hidden="1">
      <c r="A1043" s="1">
        <v>60</v>
      </c>
      <c r="B1043" s="1" t="s">
        <v>35</v>
      </c>
      <c r="C1043" s="1">
        <v>28.594999999999999</v>
      </c>
      <c r="D1043" s="1" t="s">
        <v>30</v>
      </c>
      <c r="E1043" s="1" t="s">
        <v>34</v>
      </c>
      <c r="F1043" s="2">
        <v>30259.995559999999</v>
      </c>
    </row>
    <row r="1044" spans="1:6" hidden="1">
      <c r="A1044" s="1">
        <v>60</v>
      </c>
      <c r="B1044" s="1" t="s">
        <v>35</v>
      </c>
      <c r="C1044" s="1">
        <v>25.74</v>
      </c>
      <c r="D1044" s="1" t="s">
        <v>30</v>
      </c>
      <c r="E1044" s="1" t="s">
        <v>31</v>
      </c>
      <c r="F1044" s="2">
        <v>12142.578600000001</v>
      </c>
    </row>
    <row r="1045" spans="1:6" hidden="1">
      <c r="A1045" s="1">
        <v>60</v>
      </c>
      <c r="B1045" s="1" t="s">
        <v>35</v>
      </c>
      <c r="C1045" s="1">
        <v>29.64</v>
      </c>
      <c r="D1045" s="1" t="s">
        <v>30</v>
      </c>
      <c r="E1045" s="1" t="s">
        <v>34</v>
      </c>
      <c r="F1045" s="2">
        <v>12730.999599999999</v>
      </c>
    </row>
    <row r="1046" spans="1:6" hidden="1">
      <c r="A1046" s="1">
        <v>60</v>
      </c>
      <c r="B1046" s="1" t="s">
        <v>35</v>
      </c>
      <c r="C1046" s="1">
        <v>28.9</v>
      </c>
      <c r="D1046" s="1" t="s">
        <v>30</v>
      </c>
      <c r="E1046" s="1" t="s">
        <v>32</v>
      </c>
      <c r="F1046" s="2">
        <v>12146.971</v>
      </c>
    </row>
    <row r="1047" spans="1:6" hidden="1">
      <c r="A1047" s="1">
        <v>62</v>
      </c>
      <c r="B1047" s="1" t="s">
        <v>35</v>
      </c>
      <c r="C1047" s="1">
        <v>27.55</v>
      </c>
      <c r="D1047" s="1" t="s">
        <v>30</v>
      </c>
      <c r="E1047" s="1" t="s">
        <v>33</v>
      </c>
      <c r="F1047" s="2">
        <v>13937.666499999999</v>
      </c>
    </row>
    <row r="1048" spans="1:6" hidden="1">
      <c r="A1048" s="1">
        <v>63</v>
      </c>
      <c r="B1048" s="1" t="s">
        <v>35</v>
      </c>
      <c r="C1048" s="1">
        <v>28.31</v>
      </c>
      <c r="D1048" s="1" t="s">
        <v>30</v>
      </c>
      <c r="E1048" s="1" t="s">
        <v>33</v>
      </c>
      <c r="F1048" s="2">
        <v>13770.097900000001</v>
      </c>
    </row>
    <row r="1049" spans="1:6" hidden="1">
      <c r="A1049" s="1">
        <v>64</v>
      </c>
      <c r="B1049" s="1" t="s">
        <v>35</v>
      </c>
      <c r="C1049" s="1">
        <v>25.6</v>
      </c>
      <c r="D1049" s="1" t="s">
        <v>30</v>
      </c>
      <c r="E1049" s="1" t="s">
        <v>32</v>
      </c>
      <c r="F1049" s="2">
        <v>14988.432000000001</v>
      </c>
    </row>
    <row r="1050" spans="1:6" hidden="1">
      <c r="A1050" s="1">
        <v>64</v>
      </c>
      <c r="B1050" s="1" t="s">
        <v>35</v>
      </c>
      <c r="C1050" s="1">
        <v>26.41</v>
      </c>
      <c r="D1050" s="1" t="s">
        <v>30</v>
      </c>
      <c r="E1050" s="1" t="s">
        <v>34</v>
      </c>
      <c r="F1050" s="2">
        <v>14394.5579</v>
      </c>
    </row>
    <row r="1051" spans="1:6" hidden="1">
      <c r="A1051" s="1">
        <v>19</v>
      </c>
      <c r="B1051" s="1" t="s">
        <v>29</v>
      </c>
      <c r="C1051" s="1">
        <v>17.8</v>
      </c>
      <c r="D1051" s="1" t="s">
        <v>30</v>
      </c>
      <c r="E1051" s="1" t="s">
        <v>32</v>
      </c>
      <c r="F1051" s="2">
        <v>1727.7850000000001</v>
      </c>
    </row>
    <row r="1052" spans="1:6" hidden="1">
      <c r="A1052" s="1">
        <v>21</v>
      </c>
      <c r="B1052" s="1" t="s">
        <v>29</v>
      </c>
      <c r="C1052" s="1">
        <v>16.815000000000001</v>
      </c>
      <c r="D1052" s="1" t="s">
        <v>30</v>
      </c>
      <c r="E1052" s="1" t="s">
        <v>34</v>
      </c>
      <c r="F1052" s="2">
        <v>3167.4558499999998</v>
      </c>
    </row>
    <row r="1053" spans="1:6" hidden="1">
      <c r="A1053" s="1">
        <v>21</v>
      </c>
      <c r="B1053" s="1" t="s">
        <v>29</v>
      </c>
      <c r="C1053" s="1">
        <v>17.399999999999999</v>
      </c>
      <c r="D1053" s="1" t="s">
        <v>30</v>
      </c>
      <c r="E1053" s="1" t="s">
        <v>32</v>
      </c>
      <c r="F1053" s="2">
        <v>2585.2689999999998</v>
      </c>
    </row>
    <row r="1054" spans="1:6" hidden="1">
      <c r="A1054" s="1">
        <v>28</v>
      </c>
      <c r="B1054" s="1" t="s">
        <v>29</v>
      </c>
      <c r="C1054" s="1">
        <v>17.29</v>
      </c>
      <c r="D1054" s="1" t="s">
        <v>30</v>
      </c>
      <c r="E1054" s="1" t="s">
        <v>34</v>
      </c>
      <c r="F1054" s="2">
        <v>3732.6251000000002</v>
      </c>
    </row>
    <row r="1055" spans="1:6" hidden="1">
      <c r="A1055" s="1">
        <v>37</v>
      </c>
      <c r="B1055" s="1" t="s">
        <v>29</v>
      </c>
      <c r="C1055" s="1">
        <v>17.29</v>
      </c>
      <c r="D1055" s="1" t="s">
        <v>30</v>
      </c>
      <c r="E1055" s="1" t="s">
        <v>34</v>
      </c>
      <c r="F1055" s="2">
        <v>6877.9800999999998</v>
      </c>
    </row>
    <row r="1056" spans="1:6" hidden="1">
      <c r="A1056" s="1">
        <v>51</v>
      </c>
      <c r="B1056" s="1" t="s">
        <v>29</v>
      </c>
      <c r="C1056" s="1">
        <v>18.05</v>
      </c>
      <c r="D1056" s="1" t="s">
        <v>30</v>
      </c>
      <c r="E1056" s="1" t="s">
        <v>33</v>
      </c>
      <c r="F1056" s="2">
        <v>9644.2525000000005</v>
      </c>
    </row>
    <row r="1057" spans="1:6" hidden="1">
      <c r="A1057" s="1">
        <v>52</v>
      </c>
      <c r="B1057" s="1" t="s">
        <v>29</v>
      </c>
      <c r="C1057" s="1">
        <v>18.335000000000001</v>
      </c>
      <c r="D1057" s="1" t="s">
        <v>30</v>
      </c>
      <c r="E1057" s="1" t="s">
        <v>33</v>
      </c>
      <c r="F1057" s="2">
        <v>9991.0376500000002</v>
      </c>
    </row>
    <row r="1058" spans="1:6" hidden="1">
      <c r="A1058" s="1">
        <v>60</v>
      </c>
      <c r="B1058" s="1" t="s">
        <v>29</v>
      </c>
      <c r="C1058" s="1">
        <v>18.335000000000001</v>
      </c>
      <c r="D1058" s="1" t="s">
        <v>30</v>
      </c>
      <c r="E1058" s="1" t="s">
        <v>34</v>
      </c>
      <c r="F1058" s="2">
        <v>13204.28565</v>
      </c>
    </row>
    <row r="1059" spans="1:6" hidden="1">
      <c r="A1059" s="1">
        <v>18</v>
      </c>
      <c r="B1059" s="1" t="s">
        <v>35</v>
      </c>
      <c r="C1059" s="1">
        <v>15.96</v>
      </c>
      <c r="D1059" s="1" t="s">
        <v>30</v>
      </c>
      <c r="E1059" s="1" t="s">
        <v>34</v>
      </c>
      <c r="F1059" s="2">
        <v>1694.7963999999999</v>
      </c>
    </row>
    <row r="1060" spans="1:6" hidden="1">
      <c r="A1060" s="1">
        <v>19</v>
      </c>
      <c r="B1060" s="1" t="s">
        <v>35</v>
      </c>
      <c r="C1060" s="1">
        <v>17.48</v>
      </c>
      <c r="D1060" s="1" t="s">
        <v>30</v>
      </c>
      <c r="E1060" s="1" t="s">
        <v>33</v>
      </c>
      <c r="F1060" s="2">
        <v>1621.3402000000001</v>
      </c>
    </row>
    <row r="1061" spans="1:6" hidden="1">
      <c r="A1061" s="1">
        <v>23</v>
      </c>
      <c r="B1061" s="1" t="s">
        <v>35</v>
      </c>
      <c r="C1061" s="1">
        <v>17.385000000000002</v>
      </c>
      <c r="D1061" s="1" t="s">
        <v>30</v>
      </c>
      <c r="E1061" s="1" t="s">
        <v>33</v>
      </c>
      <c r="F1061" s="2">
        <v>2775.1921499999999</v>
      </c>
    </row>
    <row r="1062" spans="1:6" hidden="1">
      <c r="A1062" s="1">
        <v>26</v>
      </c>
      <c r="B1062" s="1" t="s">
        <v>35</v>
      </c>
      <c r="C1062" s="1">
        <v>17.670000000000002</v>
      </c>
      <c r="D1062" s="1" t="s">
        <v>30</v>
      </c>
      <c r="E1062" s="1" t="s">
        <v>33</v>
      </c>
      <c r="F1062" s="2">
        <v>2680.9493000000002</v>
      </c>
    </row>
    <row r="1063" spans="1:6" hidden="1">
      <c r="A1063" s="1">
        <v>35</v>
      </c>
      <c r="B1063" s="1" t="s">
        <v>35</v>
      </c>
      <c r="C1063" s="1">
        <v>17.86</v>
      </c>
      <c r="D1063" s="1" t="s">
        <v>30</v>
      </c>
      <c r="E1063" s="1" t="s">
        <v>33</v>
      </c>
      <c r="F1063" s="2">
        <v>5116.5003999999999</v>
      </c>
    </row>
    <row r="1064" spans="1:6" hidden="1">
      <c r="A1064" s="1">
        <v>38</v>
      </c>
      <c r="B1064" s="1" t="s">
        <v>35</v>
      </c>
      <c r="C1064" s="1">
        <v>16.815000000000001</v>
      </c>
      <c r="D1064" s="1" t="s">
        <v>30</v>
      </c>
      <c r="E1064" s="1" t="s">
        <v>34</v>
      </c>
      <c r="F1064" s="2">
        <v>6640.5448500000002</v>
      </c>
    </row>
    <row r="1065" spans="1:6" hidden="1">
      <c r="A1065" s="1">
        <v>57</v>
      </c>
      <c r="B1065" s="1" t="s">
        <v>35</v>
      </c>
      <c r="C1065" s="1">
        <v>18.335000000000001</v>
      </c>
      <c r="D1065" s="1" t="s">
        <v>30</v>
      </c>
      <c r="E1065" s="1" t="s">
        <v>34</v>
      </c>
      <c r="F1065" s="2">
        <v>11534.872649999999</v>
      </c>
    </row>
    <row r="1066" spans="1:6">
      <c r="A1066" s="1">
        <v>53</v>
      </c>
      <c r="B1066" s="1" t="s">
        <v>29</v>
      </c>
      <c r="C1066" s="1">
        <v>22.88</v>
      </c>
      <c r="D1066" s="1" t="s">
        <v>36</v>
      </c>
      <c r="E1066" s="1" t="s">
        <v>31</v>
      </c>
      <c r="F1066" s="2">
        <v>23244.790199999999</v>
      </c>
    </row>
    <row r="1067" spans="1:6">
      <c r="A1067" s="1">
        <v>20</v>
      </c>
      <c r="B1067" s="1" t="s">
        <v>29</v>
      </c>
      <c r="C1067" s="1">
        <v>22.42</v>
      </c>
      <c r="D1067" s="1" t="s">
        <v>36</v>
      </c>
      <c r="E1067" s="1" t="s">
        <v>33</v>
      </c>
      <c r="F1067" s="2">
        <v>14711.7438</v>
      </c>
    </row>
    <row r="1068" spans="1:6">
      <c r="A1068" s="1">
        <v>27</v>
      </c>
      <c r="B1068" s="1" t="s">
        <v>29</v>
      </c>
      <c r="C1068" s="1">
        <v>24.75</v>
      </c>
      <c r="D1068" s="1" t="s">
        <v>36</v>
      </c>
      <c r="E1068" s="1" t="s">
        <v>31</v>
      </c>
      <c r="F1068" s="2">
        <v>16577.779500000001</v>
      </c>
    </row>
    <row r="1069" spans="1:6">
      <c r="A1069" s="1">
        <v>42</v>
      </c>
      <c r="B1069" s="1" t="s">
        <v>29</v>
      </c>
      <c r="C1069" s="1">
        <v>23.37</v>
      </c>
      <c r="D1069" s="1" t="s">
        <v>36</v>
      </c>
      <c r="E1069" s="1" t="s">
        <v>34</v>
      </c>
      <c r="F1069" s="2">
        <v>19964.746299999999</v>
      </c>
    </row>
    <row r="1070" spans="1:6">
      <c r="A1070" s="1">
        <v>40</v>
      </c>
      <c r="B1070" s="1" t="s">
        <v>29</v>
      </c>
      <c r="C1070" s="1">
        <v>22.22</v>
      </c>
      <c r="D1070" s="1" t="s">
        <v>36</v>
      </c>
      <c r="E1070" s="1" t="s">
        <v>31</v>
      </c>
      <c r="F1070" s="2">
        <v>19444.265800000001</v>
      </c>
    </row>
    <row r="1071" spans="1:6">
      <c r="A1071" s="1">
        <v>53</v>
      </c>
      <c r="B1071" s="1" t="s">
        <v>29</v>
      </c>
      <c r="C1071" s="1">
        <v>22.61</v>
      </c>
      <c r="D1071" s="1" t="s">
        <v>36</v>
      </c>
      <c r="E1071" s="1" t="s">
        <v>34</v>
      </c>
      <c r="F1071" s="2">
        <v>24873.384900000001</v>
      </c>
    </row>
    <row r="1072" spans="1:6">
      <c r="A1072" s="1">
        <v>19</v>
      </c>
      <c r="B1072" s="1" t="s">
        <v>29</v>
      </c>
      <c r="C1072" s="1">
        <v>21.7</v>
      </c>
      <c r="D1072" s="1" t="s">
        <v>36</v>
      </c>
      <c r="E1072" s="1" t="s">
        <v>32</v>
      </c>
      <c r="F1072" s="2">
        <v>13844.505999999999</v>
      </c>
    </row>
    <row r="1073" spans="1:6">
      <c r="A1073" s="1">
        <v>39</v>
      </c>
      <c r="B1073" s="1" t="s">
        <v>29</v>
      </c>
      <c r="C1073" s="1">
        <v>24.89</v>
      </c>
      <c r="D1073" s="1" t="s">
        <v>36</v>
      </c>
      <c r="E1073" s="1" t="s">
        <v>34</v>
      </c>
      <c r="F1073" s="2">
        <v>21659.930100000001</v>
      </c>
    </row>
    <row r="1074" spans="1:6">
      <c r="A1074" s="1">
        <v>44</v>
      </c>
      <c r="B1074" s="1" t="s">
        <v>29</v>
      </c>
      <c r="C1074" s="1">
        <v>20.234999999999999</v>
      </c>
      <c r="D1074" s="1" t="s">
        <v>36</v>
      </c>
      <c r="E1074" s="1" t="s">
        <v>34</v>
      </c>
      <c r="F1074" s="2">
        <v>19594.809649999999</v>
      </c>
    </row>
    <row r="1075" spans="1:6">
      <c r="A1075" s="1">
        <v>36</v>
      </c>
      <c r="B1075" s="1" t="s">
        <v>29</v>
      </c>
      <c r="C1075" s="1">
        <v>22.6</v>
      </c>
      <c r="D1075" s="1" t="s">
        <v>36</v>
      </c>
      <c r="E1075" s="1" t="s">
        <v>32</v>
      </c>
      <c r="F1075" s="2">
        <v>18608.261999999999</v>
      </c>
    </row>
    <row r="1076" spans="1:6">
      <c r="A1076" s="1">
        <v>21</v>
      </c>
      <c r="B1076" s="1" t="s">
        <v>29</v>
      </c>
      <c r="C1076" s="1">
        <v>21.85</v>
      </c>
      <c r="D1076" s="1" t="s">
        <v>36</v>
      </c>
      <c r="E1076" s="1" t="s">
        <v>34</v>
      </c>
      <c r="F1076" s="2">
        <v>15359.104499999999</v>
      </c>
    </row>
    <row r="1077" spans="1:6">
      <c r="A1077" s="1">
        <v>59</v>
      </c>
      <c r="B1077" s="1" t="s">
        <v>29</v>
      </c>
      <c r="C1077" s="1">
        <v>23.655000000000001</v>
      </c>
      <c r="D1077" s="1" t="s">
        <v>36</v>
      </c>
      <c r="E1077" s="1" t="s">
        <v>33</v>
      </c>
      <c r="F1077" s="2">
        <v>25678.778450000002</v>
      </c>
    </row>
    <row r="1078" spans="1:6">
      <c r="A1078" s="1">
        <v>64</v>
      </c>
      <c r="B1078" s="1" t="s">
        <v>29</v>
      </c>
      <c r="C1078" s="1">
        <v>22.99</v>
      </c>
      <c r="D1078" s="1" t="s">
        <v>36</v>
      </c>
      <c r="E1078" s="1" t="s">
        <v>31</v>
      </c>
      <c r="F1078" s="2">
        <v>27037.914100000002</v>
      </c>
    </row>
    <row r="1079" spans="1:6">
      <c r="A1079" s="1">
        <v>29</v>
      </c>
      <c r="B1079" s="1" t="s">
        <v>29</v>
      </c>
      <c r="C1079" s="1">
        <v>21.754999999999999</v>
      </c>
      <c r="D1079" s="1" t="s">
        <v>36</v>
      </c>
      <c r="E1079" s="1" t="s">
        <v>34</v>
      </c>
      <c r="F1079" s="2">
        <v>16657.71745</v>
      </c>
    </row>
    <row r="1080" spans="1:6">
      <c r="A1080" s="1">
        <v>49</v>
      </c>
      <c r="B1080" s="1" t="s">
        <v>29</v>
      </c>
      <c r="C1080" s="1">
        <v>23.844999999999999</v>
      </c>
      <c r="D1080" s="1" t="s">
        <v>36</v>
      </c>
      <c r="E1080" s="1" t="s">
        <v>34</v>
      </c>
      <c r="F1080" s="2">
        <v>24106.912550000001</v>
      </c>
    </row>
    <row r="1081" spans="1:6">
      <c r="A1081" s="1">
        <v>43</v>
      </c>
      <c r="B1081" s="1" t="s">
        <v>29</v>
      </c>
      <c r="C1081" s="1">
        <v>20.045000000000002</v>
      </c>
      <c r="D1081" s="1" t="s">
        <v>36</v>
      </c>
      <c r="E1081" s="1" t="s">
        <v>34</v>
      </c>
      <c r="F1081" s="2">
        <v>19798.054550000001</v>
      </c>
    </row>
    <row r="1082" spans="1:6">
      <c r="A1082" s="1">
        <v>32</v>
      </c>
      <c r="B1082" s="1" t="s">
        <v>29</v>
      </c>
      <c r="C1082" s="1">
        <v>24.6</v>
      </c>
      <c r="D1082" s="1" t="s">
        <v>36</v>
      </c>
      <c r="E1082" s="1" t="s">
        <v>32</v>
      </c>
      <c r="F1082" s="2">
        <v>17496.306</v>
      </c>
    </row>
    <row r="1083" spans="1:6">
      <c r="A1083" s="1">
        <v>24</v>
      </c>
      <c r="B1083" s="1" t="s">
        <v>29</v>
      </c>
      <c r="C1083" s="1">
        <v>20.52</v>
      </c>
      <c r="D1083" s="1" t="s">
        <v>36</v>
      </c>
      <c r="E1083" s="1" t="s">
        <v>34</v>
      </c>
      <c r="F1083" s="2">
        <v>14571.890799999999</v>
      </c>
    </row>
    <row r="1084" spans="1:6">
      <c r="A1084" s="1">
        <v>27</v>
      </c>
      <c r="B1084" s="1" t="s">
        <v>29</v>
      </c>
      <c r="C1084" s="1">
        <v>20.045000000000002</v>
      </c>
      <c r="D1084" s="1" t="s">
        <v>36</v>
      </c>
      <c r="E1084" s="1" t="s">
        <v>33</v>
      </c>
      <c r="F1084" s="2">
        <v>16420.494549999999</v>
      </c>
    </row>
    <row r="1085" spans="1:6">
      <c r="A1085" s="1">
        <v>46</v>
      </c>
      <c r="B1085" s="1" t="s">
        <v>29</v>
      </c>
      <c r="C1085" s="1">
        <v>23.655000000000001</v>
      </c>
      <c r="D1085" s="1" t="s">
        <v>36</v>
      </c>
      <c r="E1085" s="1" t="s">
        <v>33</v>
      </c>
      <c r="F1085" s="2">
        <v>21677.283449999999</v>
      </c>
    </row>
    <row r="1086" spans="1:6">
      <c r="A1086" s="1">
        <v>43</v>
      </c>
      <c r="B1086" s="1" t="s">
        <v>29</v>
      </c>
      <c r="C1086" s="1">
        <v>24.7</v>
      </c>
      <c r="D1086" s="1" t="s">
        <v>36</v>
      </c>
      <c r="E1086" s="1" t="s">
        <v>33</v>
      </c>
      <c r="F1086" s="2">
        <v>21880.82</v>
      </c>
    </row>
    <row r="1087" spans="1:6">
      <c r="A1087" s="1">
        <v>33</v>
      </c>
      <c r="B1087" s="1" t="s">
        <v>29</v>
      </c>
      <c r="C1087" s="1">
        <v>19.094999999999999</v>
      </c>
      <c r="D1087" s="1" t="s">
        <v>36</v>
      </c>
      <c r="E1087" s="1" t="s">
        <v>34</v>
      </c>
      <c r="F1087" s="2">
        <v>16776.304049999999</v>
      </c>
    </row>
    <row r="1088" spans="1:6">
      <c r="A1088" s="1">
        <v>52</v>
      </c>
      <c r="B1088" s="1" t="s">
        <v>29</v>
      </c>
      <c r="C1088" s="1">
        <v>24.13</v>
      </c>
      <c r="D1088" s="1" t="s">
        <v>36</v>
      </c>
      <c r="E1088" s="1" t="s">
        <v>33</v>
      </c>
      <c r="F1088" s="2">
        <v>23887.662700000001</v>
      </c>
    </row>
    <row r="1089" spans="1:6">
      <c r="A1089" s="1">
        <v>20</v>
      </c>
      <c r="B1089" s="1" t="s">
        <v>29</v>
      </c>
      <c r="C1089" s="1">
        <v>24.42</v>
      </c>
      <c r="D1089" s="1" t="s">
        <v>36</v>
      </c>
      <c r="E1089" s="1" t="s">
        <v>31</v>
      </c>
      <c r="F1089" s="2">
        <v>26125.674770000001</v>
      </c>
    </row>
    <row r="1090" spans="1:6">
      <c r="A1090" s="1">
        <v>20</v>
      </c>
      <c r="B1090" s="1" t="s">
        <v>29</v>
      </c>
      <c r="C1090" s="1">
        <v>21.8</v>
      </c>
      <c r="D1090" s="1" t="s">
        <v>36</v>
      </c>
      <c r="E1090" s="1" t="s">
        <v>32</v>
      </c>
      <c r="F1090" s="2">
        <v>20167.336029999999</v>
      </c>
    </row>
    <row r="1091" spans="1:6">
      <c r="A1091" s="1">
        <v>18</v>
      </c>
      <c r="B1091" s="1" t="s">
        <v>29</v>
      </c>
      <c r="C1091" s="1">
        <v>21.66</v>
      </c>
      <c r="D1091" s="1" t="s">
        <v>36</v>
      </c>
      <c r="E1091" s="1" t="s">
        <v>34</v>
      </c>
      <c r="F1091" s="2">
        <v>14283.4594</v>
      </c>
    </row>
    <row r="1092" spans="1:6">
      <c r="A1092" s="1">
        <v>29</v>
      </c>
      <c r="B1092" s="1" t="s">
        <v>29</v>
      </c>
      <c r="C1092" s="1">
        <v>21.85</v>
      </c>
      <c r="D1092" s="1" t="s">
        <v>36</v>
      </c>
      <c r="E1092" s="1" t="s">
        <v>34</v>
      </c>
      <c r="F1092" s="2">
        <v>16115.3045</v>
      </c>
    </row>
    <row r="1093" spans="1:6">
      <c r="A1093" s="1">
        <v>30</v>
      </c>
      <c r="B1093" s="1" t="s">
        <v>29</v>
      </c>
      <c r="C1093" s="1">
        <v>23.655000000000001</v>
      </c>
      <c r="D1093" s="1" t="s">
        <v>36</v>
      </c>
      <c r="E1093" s="1" t="s">
        <v>33</v>
      </c>
      <c r="F1093" s="2">
        <v>18765.87545</v>
      </c>
    </row>
    <row r="1094" spans="1:6">
      <c r="A1094" s="1">
        <v>28</v>
      </c>
      <c r="B1094" s="1" t="s">
        <v>35</v>
      </c>
      <c r="C1094" s="1">
        <v>23.98</v>
      </c>
      <c r="D1094" s="1" t="s">
        <v>36</v>
      </c>
      <c r="E1094" s="1" t="s">
        <v>31</v>
      </c>
      <c r="F1094" s="2">
        <v>17663.144199999999</v>
      </c>
    </row>
    <row r="1095" spans="1:6">
      <c r="A1095" s="1">
        <v>45</v>
      </c>
      <c r="B1095" s="1" t="s">
        <v>35</v>
      </c>
      <c r="C1095" s="1">
        <v>22.895</v>
      </c>
      <c r="D1095" s="1" t="s">
        <v>36</v>
      </c>
      <c r="E1095" s="1" t="s">
        <v>33</v>
      </c>
      <c r="F1095" s="2">
        <v>21098.554049999999</v>
      </c>
    </row>
    <row r="1096" spans="1:6">
      <c r="A1096" s="1">
        <v>56</v>
      </c>
      <c r="B1096" s="1" t="s">
        <v>35</v>
      </c>
      <c r="C1096" s="1">
        <v>19.95</v>
      </c>
      <c r="D1096" s="1" t="s">
        <v>36</v>
      </c>
      <c r="E1096" s="1" t="s">
        <v>34</v>
      </c>
      <c r="F1096" s="2">
        <v>22412.648499999999</v>
      </c>
    </row>
    <row r="1097" spans="1:6">
      <c r="A1097" s="1">
        <v>38</v>
      </c>
      <c r="B1097" s="1" t="s">
        <v>35</v>
      </c>
      <c r="C1097" s="1">
        <v>19.3</v>
      </c>
      <c r="D1097" s="1" t="s">
        <v>36</v>
      </c>
      <c r="E1097" s="1" t="s">
        <v>32</v>
      </c>
      <c r="F1097" s="2">
        <v>15820.699000000001</v>
      </c>
    </row>
    <row r="1098" spans="1:6">
      <c r="A1098" s="1">
        <v>48</v>
      </c>
      <c r="B1098" s="1" t="s">
        <v>35</v>
      </c>
      <c r="C1098" s="1">
        <v>24.42</v>
      </c>
      <c r="D1098" s="1" t="s">
        <v>36</v>
      </c>
      <c r="E1098" s="1" t="s">
        <v>31</v>
      </c>
      <c r="F1098" s="2">
        <v>21223.675800000001</v>
      </c>
    </row>
    <row r="1099" spans="1:6">
      <c r="A1099" s="1">
        <v>42</v>
      </c>
      <c r="B1099" s="1" t="s">
        <v>35</v>
      </c>
      <c r="C1099" s="1">
        <v>24.64</v>
      </c>
      <c r="D1099" s="1" t="s">
        <v>36</v>
      </c>
      <c r="E1099" s="1" t="s">
        <v>31</v>
      </c>
      <c r="F1099" s="2">
        <v>19515.5416</v>
      </c>
    </row>
    <row r="1100" spans="1:6">
      <c r="A1100" s="1">
        <v>52</v>
      </c>
      <c r="B1100" s="1" t="s">
        <v>35</v>
      </c>
      <c r="C1100" s="1">
        <v>24.32</v>
      </c>
      <c r="D1100" s="1" t="s">
        <v>36</v>
      </c>
      <c r="E1100" s="1" t="s">
        <v>34</v>
      </c>
      <c r="F1100" s="2">
        <v>24869.836800000001</v>
      </c>
    </row>
    <row r="1101" spans="1:6">
      <c r="A1101" s="1">
        <v>40</v>
      </c>
      <c r="B1101" s="1" t="s">
        <v>35</v>
      </c>
      <c r="C1101" s="1">
        <v>19.8</v>
      </c>
      <c r="D1101" s="1" t="s">
        <v>36</v>
      </c>
      <c r="E1101" s="1" t="s">
        <v>31</v>
      </c>
      <c r="F1101" s="2">
        <v>17179.522000000001</v>
      </c>
    </row>
    <row r="1102" spans="1:6">
      <c r="A1102" s="1">
        <v>51</v>
      </c>
      <c r="B1102" s="1" t="s">
        <v>35</v>
      </c>
      <c r="C1102" s="1">
        <v>23.21</v>
      </c>
      <c r="D1102" s="1" t="s">
        <v>36</v>
      </c>
      <c r="E1102" s="1" t="s">
        <v>31</v>
      </c>
      <c r="F1102" s="2">
        <v>22218.1149</v>
      </c>
    </row>
    <row r="1103" spans="1:6">
      <c r="A1103" s="1">
        <v>35</v>
      </c>
      <c r="B1103" s="1" t="s">
        <v>35</v>
      </c>
      <c r="C1103" s="1">
        <v>24.42</v>
      </c>
      <c r="D1103" s="1" t="s">
        <v>36</v>
      </c>
      <c r="E1103" s="1" t="s">
        <v>31</v>
      </c>
      <c r="F1103" s="2">
        <v>19361.998800000001</v>
      </c>
    </row>
    <row r="1104" spans="1:6">
      <c r="A1104" s="1">
        <v>30</v>
      </c>
      <c r="B1104" s="1" t="s">
        <v>35</v>
      </c>
      <c r="C1104" s="1">
        <v>24.4</v>
      </c>
      <c r="D1104" s="1" t="s">
        <v>36</v>
      </c>
      <c r="E1104" s="1" t="s">
        <v>32</v>
      </c>
      <c r="F1104" s="2">
        <v>18259.216</v>
      </c>
    </row>
    <row r="1105" spans="1:6">
      <c r="A1105" s="1">
        <v>53</v>
      </c>
      <c r="B1105" s="1" t="s">
        <v>35</v>
      </c>
      <c r="C1105" s="1">
        <v>20.9</v>
      </c>
      <c r="D1105" s="1" t="s">
        <v>36</v>
      </c>
      <c r="E1105" s="1" t="s">
        <v>31</v>
      </c>
      <c r="F1105" s="2">
        <v>21195.817999999999</v>
      </c>
    </row>
    <row r="1106" spans="1:6">
      <c r="A1106" s="1">
        <v>33</v>
      </c>
      <c r="B1106" s="1" t="s">
        <v>35</v>
      </c>
      <c r="C1106" s="1">
        <v>24.795000000000002</v>
      </c>
      <c r="D1106" s="1" t="s">
        <v>36</v>
      </c>
      <c r="E1106" s="1" t="s">
        <v>34</v>
      </c>
      <c r="F1106" s="2">
        <v>17904.527050000001</v>
      </c>
    </row>
    <row r="1107" spans="1:6">
      <c r="A1107" s="1">
        <v>25</v>
      </c>
      <c r="B1107" s="1" t="s">
        <v>35</v>
      </c>
      <c r="C1107" s="1">
        <v>24.13</v>
      </c>
      <c r="D1107" s="1" t="s">
        <v>36</v>
      </c>
      <c r="E1107" s="1" t="s">
        <v>33</v>
      </c>
      <c r="F1107" s="2">
        <v>15817.985699999999</v>
      </c>
    </row>
    <row r="1108" spans="1:6">
      <c r="A1108" s="1">
        <v>45</v>
      </c>
      <c r="B1108" s="1" t="s">
        <v>35</v>
      </c>
      <c r="C1108" s="1">
        <v>22.895</v>
      </c>
      <c r="D1108" s="1" t="s">
        <v>36</v>
      </c>
      <c r="E1108" s="1" t="s">
        <v>34</v>
      </c>
      <c r="F1108" s="2">
        <v>35069.374519999998</v>
      </c>
    </row>
    <row r="1109" spans="1:6">
      <c r="A1109" s="1">
        <v>51</v>
      </c>
      <c r="B1109" s="1" t="s">
        <v>35</v>
      </c>
      <c r="C1109" s="1">
        <v>24.795000000000002</v>
      </c>
      <c r="D1109" s="1" t="s">
        <v>36</v>
      </c>
      <c r="E1109" s="1" t="s">
        <v>33</v>
      </c>
      <c r="F1109" s="2">
        <v>23967.38305</v>
      </c>
    </row>
    <row r="1110" spans="1:6">
      <c r="A1110" s="1">
        <v>29</v>
      </c>
      <c r="B1110" s="1" t="s">
        <v>35</v>
      </c>
      <c r="C1110" s="1">
        <v>22.895</v>
      </c>
      <c r="D1110" s="1" t="s">
        <v>36</v>
      </c>
      <c r="E1110" s="1" t="s">
        <v>34</v>
      </c>
      <c r="F1110" s="2">
        <v>16138.762049999999</v>
      </c>
    </row>
    <row r="1111" spans="1:6">
      <c r="A1111" s="1">
        <v>30</v>
      </c>
      <c r="B1111" s="1" t="s">
        <v>35</v>
      </c>
      <c r="C1111" s="1">
        <v>22.99</v>
      </c>
      <c r="D1111" s="1" t="s">
        <v>36</v>
      </c>
      <c r="E1111" s="1" t="s">
        <v>33</v>
      </c>
      <c r="F1111" s="2">
        <v>17361.766100000001</v>
      </c>
    </row>
    <row r="1112" spans="1:6">
      <c r="A1112" s="1">
        <v>43</v>
      </c>
      <c r="B1112" s="1" t="s">
        <v>35</v>
      </c>
      <c r="C1112" s="1">
        <v>20.13</v>
      </c>
      <c r="D1112" s="1" t="s">
        <v>36</v>
      </c>
      <c r="E1112" s="1" t="s">
        <v>31</v>
      </c>
      <c r="F1112" s="2">
        <v>18767.737700000001</v>
      </c>
    </row>
    <row r="1113" spans="1:6">
      <c r="A1113" s="1">
        <v>18</v>
      </c>
      <c r="B1113" s="1" t="s">
        <v>35</v>
      </c>
      <c r="C1113" s="1">
        <v>21.565000000000001</v>
      </c>
      <c r="D1113" s="1" t="s">
        <v>36</v>
      </c>
      <c r="E1113" s="1" t="s">
        <v>34</v>
      </c>
      <c r="F1113" s="2">
        <v>13747.87235</v>
      </c>
    </row>
    <row r="1114" spans="1:6">
      <c r="A1114" s="1">
        <v>64</v>
      </c>
      <c r="B1114" s="1" t="s">
        <v>35</v>
      </c>
      <c r="C1114" s="1">
        <v>23.76</v>
      </c>
      <c r="D1114" s="1" t="s">
        <v>36</v>
      </c>
      <c r="E1114" s="1" t="s">
        <v>31</v>
      </c>
      <c r="F1114" s="2">
        <v>26926.5144</v>
      </c>
    </row>
    <row r="1115" spans="1:6">
      <c r="A1115" s="1">
        <v>42</v>
      </c>
      <c r="B1115" s="1" t="s">
        <v>35</v>
      </c>
      <c r="C1115" s="1">
        <v>24.605</v>
      </c>
      <c r="D1115" s="1" t="s">
        <v>36</v>
      </c>
      <c r="E1115" s="1" t="s">
        <v>34</v>
      </c>
      <c r="F1115" s="2">
        <v>21259.377949999998</v>
      </c>
    </row>
    <row r="1116" spans="1:6">
      <c r="A1116" s="1">
        <v>34</v>
      </c>
      <c r="B1116" s="1" t="s">
        <v>29</v>
      </c>
      <c r="C1116" s="1">
        <v>31.92</v>
      </c>
      <c r="D1116" s="1" t="s">
        <v>36</v>
      </c>
      <c r="E1116" s="1" t="s">
        <v>34</v>
      </c>
      <c r="F1116" s="2">
        <v>37701.876799999998</v>
      </c>
    </row>
    <row r="1117" spans="1:6">
      <c r="A1117" s="1">
        <v>37</v>
      </c>
      <c r="B1117" s="1" t="s">
        <v>29</v>
      </c>
      <c r="C1117" s="1">
        <v>34.799999999999997</v>
      </c>
      <c r="D1117" s="1" t="s">
        <v>36</v>
      </c>
      <c r="E1117" s="1" t="s">
        <v>32</v>
      </c>
      <c r="F1117" s="2">
        <v>39836.519</v>
      </c>
    </row>
    <row r="1118" spans="1:6">
      <c r="A1118" s="1">
        <v>57</v>
      </c>
      <c r="B1118" s="1" t="s">
        <v>29</v>
      </c>
      <c r="C1118" s="1">
        <v>31.16</v>
      </c>
      <c r="D1118" s="1" t="s">
        <v>36</v>
      </c>
      <c r="E1118" s="1" t="s">
        <v>33</v>
      </c>
      <c r="F1118" s="2">
        <v>43578.939400000003</v>
      </c>
    </row>
    <row r="1119" spans="1:6">
      <c r="A1119" s="1">
        <v>64</v>
      </c>
      <c r="B1119" s="1" t="s">
        <v>29</v>
      </c>
      <c r="C1119" s="1">
        <v>31.3</v>
      </c>
      <c r="D1119" s="1" t="s">
        <v>36</v>
      </c>
      <c r="E1119" s="1" t="s">
        <v>32</v>
      </c>
      <c r="F1119" s="2">
        <v>47291.055</v>
      </c>
    </row>
    <row r="1120" spans="1:6">
      <c r="A1120" s="1">
        <v>61</v>
      </c>
      <c r="B1120" s="1" t="s">
        <v>29</v>
      </c>
      <c r="C1120" s="1">
        <v>29.92</v>
      </c>
      <c r="D1120" s="1" t="s">
        <v>36</v>
      </c>
      <c r="E1120" s="1" t="s">
        <v>31</v>
      </c>
      <c r="F1120" s="2">
        <v>30942.191800000001</v>
      </c>
    </row>
    <row r="1121" spans="1:6">
      <c r="A1121" s="1">
        <v>18</v>
      </c>
      <c r="B1121" s="1" t="s">
        <v>29</v>
      </c>
      <c r="C1121" s="1">
        <v>36.85</v>
      </c>
      <c r="D1121" s="1" t="s">
        <v>36</v>
      </c>
      <c r="E1121" s="1" t="s">
        <v>31</v>
      </c>
      <c r="F1121" s="2">
        <v>36149.483500000002</v>
      </c>
    </row>
    <row r="1122" spans="1:6">
      <c r="A1122" s="1">
        <v>63</v>
      </c>
      <c r="B1122" s="1" t="s">
        <v>29</v>
      </c>
      <c r="C1122" s="1">
        <v>37.700000000000003</v>
      </c>
      <c r="D1122" s="1" t="s">
        <v>36</v>
      </c>
      <c r="E1122" s="1" t="s">
        <v>32</v>
      </c>
      <c r="F1122" s="2">
        <v>48824.45</v>
      </c>
    </row>
    <row r="1123" spans="1:6">
      <c r="A1123" s="1">
        <v>27</v>
      </c>
      <c r="B1123" s="1" t="s">
        <v>29</v>
      </c>
      <c r="C1123" s="1">
        <v>36.08</v>
      </c>
      <c r="D1123" s="1" t="s">
        <v>36</v>
      </c>
      <c r="E1123" s="1" t="s">
        <v>31</v>
      </c>
      <c r="F1123" s="2">
        <v>37133.898200000003</v>
      </c>
    </row>
    <row r="1124" spans="1:6">
      <c r="A1124" s="1">
        <v>23</v>
      </c>
      <c r="B1124" s="1" t="s">
        <v>29</v>
      </c>
      <c r="C1124" s="1">
        <v>36.67</v>
      </c>
      <c r="D1124" s="1" t="s">
        <v>36</v>
      </c>
      <c r="E1124" s="1" t="s">
        <v>34</v>
      </c>
      <c r="F1124" s="2">
        <v>38511.628299999997</v>
      </c>
    </row>
    <row r="1125" spans="1:6">
      <c r="A1125" s="1">
        <v>63</v>
      </c>
      <c r="B1125" s="1" t="s">
        <v>29</v>
      </c>
      <c r="C1125" s="1">
        <v>32.200000000000003</v>
      </c>
      <c r="D1125" s="1" t="s">
        <v>36</v>
      </c>
      <c r="E1125" s="1" t="s">
        <v>32</v>
      </c>
      <c r="F1125" s="2">
        <v>47305.305</v>
      </c>
    </row>
    <row r="1126" spans="1:6">
      <c r="A1126" s="1">
        <v>59</v>
      </c>
      <c r="B1126" s="1" t="s">
        <v>29</v>
      </c>
      <c r="C1126" s="1">
        <v>36.765000000000001</v>
      </c>
      <c r="D1126" s="1" t="s">
        <v>36</v>
      </c>
      <c r="E1126" s="1" t="s">
        <v>34</v>
      </c>
      <c r="F1126" s="2">
        <v>47896.79135</v>
      </c>
    </row>
    <row r="1127" spans="1:6">
      <c r="A1127" s="1">
        <v>27</v>
      </c>
      <c r="B1127" s="1" t="s">
        <v>29</v>
      </c>
      <c r="C1127" s="1">
        <v>31.4</v>
      </c>
      <c r="D1127" s="1" t="s">
        <v>36</v>
      </c>
      <c r="E1127" s="1" t="s">
        <v>32</v>
      </c>
      <c r="F1127" s="2">
        <v>34838.873</v>
      </c>
    </row>
    <row r="1128" spans="1:6">
      <c r="A1128" s="1">
        <v>64</v>
      </c>
      <c r="B1128" s="1" t="s">
        <v>29</v>
      </c>
      <c r="C1128" s="1">
        <v>33.799999999999997</v>
      </c>
      <c r="D1128" s="1" t="s">
        <v>36</v>
      </c>
      <c r="E1128" s="1" t="s">
        <v>32</v>
      </c>
      <c r="F1128" s="2">
        <v>47928.03</v>
      </c>
    </row>
    <row r="1129" spans="1:6">
      <c r="A1129" s="1">
        <v>61</v>
      </c>
      <c r="B1129" s="1" t="s">
        <v>29</v>
      </c>
      <c r="C1129" s="1">
        <v>36.384999999999998</v>
      </c>
      <c r="D1129" s="1" t="s">
        <v>36</v>
      </c>
      <c r="E1129" s="1" t="s">
        <v>34</v>
      </c>
      <c r="F1129" s="2">
        <v>48517.563150000002</v>
      </c>
    </row>
    <row r="1130" spans="1:6">
      <c r="A1130" s="1">
        <v>33</v>
      </c>
      <c r="B1130" s="1" t="s">
        <v>29</v>
      </c>
      <c r="C1130" s="1">
        <v>33.5</v>
      </c>
      <c r="D1130" s="1" t="s">
        <v>36</v>
      </c>
      <c r="E1130" s="1" t="s">
        <v>32</v>
      </c>
      <c r="F1130" s="2">
        <v>37079.372000000003</v>
      </c>
    </row>
    <row r="1131" spans="1:6">
      <c r="A1131" s="1">
        <v>44</v>
      </c>
      <c r="B1131" s="1" t="s">
        <v>29</v>
      </c>
      <c r="C1131" s="1">
        <v>38.06</v>
      </c>
      <c r="D1131" s="1" t="s">
        <v>36</v>
      </c>
      <c r="E1131" s="1" t="s">
        <v>31</v>
      </c>
      <c r="F1131" s="2">
        <v>48885.135609999998</v>
      </c>
    </row>
    <row r="1132" spans="1:6">
      <c r="A1132" s="1">
        <v>54</v>
      </c>
      <c r="B1132" s="1" t="s">
        <v>29</v>
      </c>
      <c r="C1132" s="1">
        <v>47.41</v>
      </c>
      <c r="D1132" s="1" t="s">
        <v>36</v>
      </c>
      <c r="E1132" s="1" t="s">
        <v>31</v>
      </c>
      <c r="F1132" s="2">
        <v>63770.428010000003</v>
      </c>
    </row>
    <row r="1133" spans="1:6">
      <c r="A1133" s="1">
        <v>43</v>
      </c>
      <c r="B1133" s="1" t="s">
        <v>29</v>
      </c>
      <c r="C1133" s="1">
        <v>46.2</v>
      </c>
      <c r="D1133" s="1" t="s">
        <v>36</v>
      </c>
      <c r="E1133" s="1" t="s">
        <v>31</v>
      </c>
      <c r="F1133" s="2">
        <v>45863.205000000002</v>
      </c>
    </row>
    <row r="1134" spans="1:6">
      <c r="A1134" s="1">
        <v>35</v>
      </c>
      <c r="B1134" s="1" t="s">
        <v>29</v>
      </c>
      <c r="C1134" s="1">
        <v>34.104999999999997</v>
      </c>
      <c r="D1134" s="1" t="s">
        <v>36</v>
      </c>
      <c r="E1134" s="1" t="s">
        <v>33</v>
      </c>
      <c r="F1134" s="2">
        <v>39983.425949999997</v>
      </c>
    </row>
    <row r="1135" spans="1:6">
      <c r="A1135" s="1">
        <v>31</v>
      </c>
      <c r="B1135" s="1" t="s">
        <v>29</v>
      </c>
      <c r="C1135" s="1">
        <v>38.094999999999999</v>
      </c>
      <c r="D1135" s="1" t="s">
        <v>36</v>
      </c>
      <c r="E1135" s="1" t="s">
        <v>34</v>
      </c>
      <c r="F1135" s="2">
        <v>58571.074480000003</v>
      </c>
    </row>
    <row r="1136" spans="1:6">
      <c r="A1136" s="1">
        <v>34</v>
      </c>
      <c r="B1136" s="1" t="s">
        <v>29</v>
      </c>
      <c r="C1136" s="1">
        <v>30.21</v>
      </c>
      <c r="D1136" s="1" t="s">
        <v>36</v>
      </c>
      <c r="E1136" s="1" t="s">
        <v>33</v>
      </c>
      <c r="F1136" s="2">
        <v>43943.876100000001</v>
      </c>
    </row>
    <row r="1137" spans="1:6">
      <c r="A1137" s="1">
        <v>47</v>
      </c>
      <c r="B1137" s="1" t="s">
        <v>29</v>
      </c>
      <c r="C1137" s="1">
        <v>36.630000000000003</v>
      </c>
      <c r="D1137" s="1" t="s">
        <v>36</v>
      </c>
      <c r="E1137" s="1" t="s">
        <v>31</v>
      </c>
      <c r="F1137" s="2">
        <v>42969.852700000003</v>
      </c>
    </row>
    <row r="1138" spans="1:6">
      <c r="A1138" s="1">
        <v>19</v>
      </c>
      <c r="B1138" s="1" t="s">
        <v>29</v>
      </c>
      <c r="C1138" s="1">
        <v>33.11</v>
      </c>
      <c r="D1138" s="1" t="s">
        <v>36</v>
      </c>
      <c r="E1138" s="1" t="s">
        <v>31</v>
      </c>
      <c r="F1138" s="2">
        <v>34439.855900000002</v>
      </c>
    </row>
    <row r="1139" spans="1:6">
      <c r="A1139" s="1">
        <v>44</v>
      </c>
      <c r="B1139" s="1" t="s">
        <v>29</v>
      </c>
      <c r="C1139" s="1">
        <v>38.950000000000003</v>
      </c>
      <c r="D1139" s="1" t="s">
        <v>36</v>
      </c>
      <c r="E1139" s="1" t="s">
        <v>33</v>
      </c>
      <c r="F1139" s="2">
        <v>42983.458500000001</v>
      </c>
    </row>
    <row r="1140" spans="1:6">
      <c r="A1140" s="1">
        <v>40</v>
      </c>
      <c r="B1140" s="1" t="s">
        <v>29</v>
      </c>
      <c r="C1140" s="1">
        <v>32.774999999999999</v>
      </c>
      <c r="D1140" s="1" t="s">
        <v>36</v>
      </c>
      <c r="E1140" s="1" t="s">
        <v>33</v>
      </c>
      <c r="F1140" s="2">
        <v>40003.332249999999</v>
      </c>
    </row>
    <row r="1141" spans="1:6">
      <c r="A1141" s="1">
        <v>44</v>
      </c>
      <c r="B1141" s="1" t="s">
        <v>29</v>
      </c>
      <c r="C1141" s="1">
        <v>43.89</v>
      </c>
      <c r="D1141" s="1" t="s">
        <v>36</v>
      </c>
      <c r="E1141" s="1" t="s">
        <v>31</v>
      </c>
      <c r="F1141" s="2">
        <v>46200.985099999998</v>
      </c>
    </row>
    <row r="1142" spans="1:6">
      <c r="A1142" s="1">
        <v>51</v>
      </c>
      <c r="B1142" s="1" t="s">
        <v>29</v>
      </c>
      <c r="C1142" s="1">
        <v>38.06</v>
      </c>
      <c r="D1142" s="1" t="s">
        <v>36</v>
      </c>
      <c r="E1142" s="1" t="s">
        <v>31</v>
      </c>
      <c r="F1142" s="2">
        <v>44400.4064</v>
      </c>
    </row>
    <row r="1143" spans="1:6">
      <c r="A1143" s="1">
        <v>30</v>
      </c>
      <c r="B1143" s="1" t="s">
        <v>29</v>
      </c>
      <c r="C1143" s="1">
        <v>39.049999999999997</v>
      </c>
      <c r="D1143" s="1" t="s">
        <v>36</v>
      </c>
      <c r="E1143" s="1" t="s">
        <v>31</v>
      </c>
      <c r="F1143" s="2">
        <v>40932.429499999998</v>
      </c>
    </row>
    <row r="1144" spans="1:6">
      <c r="A1144" s="1">
        <v>37</v>
      </c>
      <c r="B1144" s="1" t="s">
        <v>29</v>
      </c>
      <c r="C1144" s="1">
        <v>38.39</v>
      </c>
      <c r="D1144" s="1" t="s">
        <v>36</v>
      </c>
      <c r="E1144" s="1" t="s">
        <v>31</v>
      </c>
      <c r="F1144" s="2">
        <v>40419.019099999998</v>
      </c>
    </row>
    <row r="1145" spans="1:6">
      <c r="A1145" s="1">
        <v>18</v>
      </c>
      <c r="B1145" s="1" t="s">
        <v>29</v>
      </c>
      <c r="C1145" s="1">
        <v>42.24</v>
      </c>
      <c r="D1145" s="1" t="s">
        <v>36</v>
      </c>
      <c r="E1145" s="1" t="s">
        <v>31</v>
      </c>
      <c r="F1145" s="2">
        <v>38792.685599999997</v>
      </c>
    </row>
    <row r="1146" spans="1:6">
      <c r="A1146" s="1">
        <v>33</v>
      </c>
      <c r="B1146" s="1" t="s">
        <v>29</v>
      </c>
      <c r="C1146" s="1">
        <v>35.53</v>
      </c>
      <c r="D1146" s="1" t="s">
        <v>36</v>
      </c>
      <c r="E1146" s="1" t="s">
        <v>33</v>
      </c>
      <c r="F1146" s="2">
        <v>55135.402090000003</v>
      </c>
    </row>
    <row r="1147" spans="1:6">
      <c r="A1147" s="1">
        <v>23</v>
      </c>
      <c r="B1147" s="1" t="s">
        <v>29</v>
      </c>
      <c r="C1147" s="1">
        <v>32.78</v>
      </c>
      <c r="D1147" s="1" t="s">
        <v>36</v>
      </c>
      <c r="E1147" s="1" t="s">
        <v>31</v>
      </c>
      <c r="F1147" s="2">
        <v>36021.011200000001</v>
      </c>
    </row>
    <row r="1148" spans="1:6">
      <c r="A1148" s="1">
        <v>60</v>
      </c>
      <c r="B1148" s="1" t="s">
        <v>29</v>
      </c>
      <c r="C1148" s="1">
        <v>32.450000000000003</v>
      </c>
      <c r="D1148" s="1" t="s">
        <v>36</v>
      </c>
      <c r="E1148" s="1" t="s">
        <v>31</v>
      </c>
      <c r="F1148" s="2">
        <v>45008.955499999996</v>
      </c>
    </row>
    <row r="1149" spans="1:6">
      <c r="A1149" s="1">
        <v>37</v>
      </c>
      <c r="B1149" s="1" t="s">
        <v>29</v>
      </c>
      <c r="C1149" s="1">
        <v>30.78</v>
      </c>
      <c r="D1149" s="1" t="s">
        <v>36</v>
      </c>
      <c r="E1149" s="1" t="s">
        <v>34</v>
      </c>
      <c r="F1149" s="2">
        <v>37270.1512</v>
      </c>
    </row>
    <row r="1150" spans="1:6">
      <c r="A1150" s="1">
        <v>46</v>
      </c>
      <c r="B1150" s="1" t="s">
        <v>29</v>
      </c>
      <c r="C1150" s="1">
        <v>35.53</v>
      </c>
      <c r="D1150" s="1" t="s">
        <v>36</v>
      </c>
      <c r="E1150" s="1" t="s">
        <v>34</v>
      </c>
      <c r="F1150" s="2">
        <v>42111.664700000001</v>
      </c>
    </row>
    <row r="1151" spans="1:6">
      <c r="A1151" s="1">
        <v>48</v>
      </c>
      <c r="B1151" s="1" t="s">
        <v>29</v>
      </c>
      <c r="C1151" s="1">
        <v>33.11</v>
      </c>
      <c r="D1151" s="1" t="s">
        <v>36</v>
      </c>
      <c r="E1151" s="1" t="s">
        <v>31</v>
      </c>
      <c r="F1151" s="2">
        <v>40974.164900000003</v>
      </c>
    </row>
    <row r="1152" spans="1:6">
      <c r="A1152" s="1">
        <v>37</v>
      </c>
      <c r="B1152" s="1" t="s">
        <v>29</v>
      </c>
      <c r="C1152" s="1">
        <v>47.6</v>
      </c>
      <c r="D1152" s="1" t="s">
        <v>36</v>
      </c>
      <c r="E1152" s="1" t="s">
        <v>32</v>
      </c>
      <c r="F1152" s="2">
        <v>46113.510999999999</v>
      </c>
    </row>
    <row r="1153" spans="1:6">
      <c r="A1153" s="1">
        <v>51</v>
      </c>
      <c r="B1153" s="1" t="s">
        <v>29</v>
      </c>
      <c r="C1153" s="1">
        <v>37.049999999999997</v>
      </c>
      <c r="D1153" s="1" t="s">
        <v>36</v>
      </c>
      <c r="E1153" s="1" t="s">
        <v>34</v>
      </c>
      <c r="F1153" s="2">
        <v>46255.112500000003</v>
      </c>
    </row>
    <row r="1154" spans="1:6">
      <c r="A1154" s="1">
        <v>22</v>
      </c>
      <c r="B1154" s="1" t="s">
        <v>29</v>
      </c>
      <c r="C1154" s="1">
        <v>31.02</v>
      </c>
      <c r="D1154" s="1" t="s">
        <v>36</v>
      </c>
      <c r="E1154" s="1" t="s">
        <v>31</v>
      </c>
      <c r="F1154" s="2">
        <v>35595.589800000002</v>
      </c>
    </row>
    <row r="1155" spans="1:6">
      <c r="A1155" s="1">
        <v>55</v>
      </c>
      <c r="B1155" s="1" t="s">
        <v>29</v>
      </c>
      <c r="C1155" s="1">
        <v>35.200000000000003</v>
      </c>
      <c r="D1155" s="1" t="s">
        <v>36</v>
      </c>
      <c r="E1155" s="1" t="s">
        <v>31</v>
      </c>
      <c r="F1155" s="2">
        <v>44423.803</v>
      </c>
    </row>
    <row r="1156" spans="1:6">
      <c r="A1156" s="1">
        <v>45</v>
      </c>
      <c r="B1156" s="1" t="s">
        <v>29</v>
      </c>
      <c r="C1156" s="1">
        <v>30.495000000000001</v>
      </c>
      <c r="D1156" s="1" t="s">
        <v>36</v>
      </c>
      <c r="E1156" s="1" t="s">
        <v>33</v>
      </c>
      <c r="F1156" s="2">
        <v>39725.518049999999</v>
      </c>
    </row>
    <row r="1157" spans="1:6">
      <c r="A1157" s="1">
        <v>22</v>
      </c>
      <c r="B1157" s="1" t="s">
        <v>29</v>
      </c>
      <c r="C1157" s="1">
        <v>30.4</v>
      </c>
      <c r="D1157" s="1" t="s">
        <v>36</v>
      </c>
      <c r="E1157" s="1" t="s">
        <v>33</v>
      </c>
      <c r="F1157" s="2">
        <v>33907.548000000003</v>
      </c>
    </row>
    <row r="1158" spans="1:6">
      <c r="A1158" s="1">
        <v>51</v>
      </c>
      <c r="B1158" s="1" t="s">
        <v>29</v>
      </c>
      <c r="C1158" s="1">
        <v>34.96</v>
      </c>
      <c r="D1158" s="1" t="s">
        <v>36</v>
      </c>
      <c r="E1158" s="1" t="s">
        <v>34</v>
      </c>
      <c r="F1158" s="2">
        <v>44641.197399999997</v>
      </c>
    </row>
    <row r="1159" spans="1:6">
      <c r="A1159" s="1">
        <v>23</v>
      </c>
      <c r="B1159" s="1" t="s">
        <v>29</v>
      </c>
      <c r="C1159" s="1">
        <v>31.4</v>
      </c>
      <c r="D1159" s="1" t="s">
        <v>36</v>
      </c>
      <c r="E1159" s="1" t="s">
        <v>32</v>
      </c>
      <c r="F1159" s="2">
        <v>34166.273000000001</v>
      </c>
    </row>
    <row r="1160" spans="1:6">
      <c r="A1160" s="1">
        <v>53</v>
      </c>
      <c r="B1160" s="1" t="s">
        <v>29</v>
      </c>
      <c r="C1160" s="1">
        <v>36.86</v>
      </c>
      <c r="D1160" s="1" t="s">
        <v>36</v>
      </c>
      <c r="E1160" s="1" t="s">
        <v>33</v>
      </c>
      <c r="F1160" s="2">
        <v>46661.4424</v>
      </c>
    </row>
    <row r="1161" spans="1:6">
      <c r="A1161" s="1">
        <v>23</v>
      </c>
      <c r="B1161" s="1" t="s">
        <v>29</v>
      </c>
      <c r="C1161" s="1">
        <v>42.75</v>
      </c>
      <c r="D1161" s="1" t="s">
        <v>36</v>
      </c>
      <c r="E1161" s="1" t="s">
        <v>34</v>
      </c>
      <c r="F1161" s="2">
        <v>40904.199500000002</v>
      </c>
    </row>
    <row r="1162" spans="1:6">
      <c r="A1162" s="1">
        <v>19</v>
      </c>
      <c r="B1162" s="1" t="s">
        <v>29</v>
      </c>
      <c r="C1162" s="1">
        <v>32.49</v>
      </c>
      <c r="D1162" s="1" t="s">
        <v>36</v>
      </c>
      <c r="E1162" s="1" t="s">
        <v>33</v>
      </c>
      <c r="F1162" s="2">
        <v>36898.733079999998</v>
      </c>
    </row>
    <row r="1163" spans="1:6">
      <c r="A1163" s="1">
        <v>43</v>
      </c>
      <c r="B1163" s="1" t="s">
        <v>29</v>
      </c>
      <c r="C1163" s="1">
        <v>32.56</v>
      </c>
      <c r="D1163" s="1" t="s">
        <v>36</v>
      </c>
      <c r="E1163" s="1" t="s">
        <v>31</v>
      </c>
      <c r="F1163" s="2">
        <v>40941.285400000001</v>
      </c>
    </row>
    <row r="1164" spans="1:6">
      <c r="A1164" s="1">
        <v>19</v>
      </c>
      <c r="B1164" s="1" t="s">
        <v>29</v>
      </c>
      <c r="C1164" s="1">
        <v>30.02</v>
      </c>
      <c r="D1164" s="1" t="s">
        <v>36</v>
      </c>
      <c r="E1164" s="1" t="s">
        <v>33</v>
      </c>
      <c r="F1164" s="2">
        <v>33307.550799999997</v>
      </c>
    </row>
    <row r="1165" spans="1:6">
      <c r="A1165" s="1">
        <v>46</v>
      </c>
      <c r="B1165" s="1" t="s">
        <v>29</v>
      </c>
      <c r="C1165" s="1">
        <v>34.6</v>
      </c>
      <c r="D1165" s="1" t="s">
        <v>36</v>
      </c>
      <c r="E1165" s="1" t="s">
        <v>32</v>
      </c>
      <c r="F1165" s="2">
        <v>41661.601999999999</v>
      </c>
    </row>
    <row r="1166" spans="1:6">
      <c r="A1166" s="1">
        <v>25</v>
      </c>
      <c r="B1166" s="1" t="s">
        <v>29</v>
      </c>
      <c r="C1166" s="1">
        <v>30.2</v>
      </c>
      <c r="D1166" s="1" t="s">
        <v>36</v>
      </c>
      <c r="E1166" s="1" t="s">
        <v>32</v>
      </c>
      <c r="F1166" s="2">
        <v>33900.652999999998</v>
      </c>
    </row>
    <row r="1167" spans="1:6">
      <c r="A1167" s="1">
        <v>19</v>
      </c>
      <c r="B1167" s="1" t="s">
        <v>29</v>
      </c>
      <c r="C1167" s="1">
        <v>34.700000000000003</v>
      </c>
      <c r="D1167" s="1" t="s">
        <v>36</v>
      </c>
      <c r="E1167" s="1" t="s">
        <v>32</v>
      </c>
      <c r="F1167" s="2">
        <v>36397.576000000001</v>
      </c>
    </row>
    <row r="1168" spans="1:6">
      <c r="A1168" s="1">
        <v>42</v>
      </c>
      <c r="B1168" s="1" t="s">
        <v>29</v>
      </c>
      <c r="C1168" s="1">
        <v>40.369999999999997</v>
      </c>
      <c r="D1168" s="1" t="s">
        <v>36</v>
      </c>
      <c r="E1168" s="1" t="s">
        <v>31</v>
      </c>
      <c r="F1168" s="2">
        <v>43896.376300000004</v>
      </c>
    </row>
    <row r="1169" spans="1:6">
      <c r="A1169" s="1">
        <v>27</v>
      </c>
      <c r="B1169" s="1" t="s">
        <v>35</v>
      </c>
      <c r="C1169" s="1">
        <v>42.13</v>
      </c>
      <c r="D1169" s="1" t="s">
        <v>36</v>
      </c>
      <c r="E1169" s="1" t="s">
        <v>31</v>
      </c>
      <c r="F1169" s="2">
        <v>39611.757700000002</v>
      </c>
    </row>
    <row r="1170" spans="1:6">
      <c r="A1170" s="1">
        <v>30</v>
      </c>
      <c r="B1170" s="1" t="s">
        <v>35</v>
      </c>
      <c r="C1170" s="1">
        <v>35.299999999999997</v>
      </c>
      <c r="D1170" s="1" t="s">
        <v>36</v>
      </c>
      <c r="E1170" s="1" t="s">
        <v>32</v>
      </c>
      <c r="F1170" s="2">
        <v>36837.466999999997</v>
      </c>
    </row>
    <row r="1171" spans="1:6">
      <c r="A1171" s="1">
        <v>31</v>
      </c>
      <c r="B1171" s="1" t="s">
        <v>35</v>
      </c>
      <c r="C1171" s="1">
        <v>36.299999999999997</v>
      </c>
      <c r="D1171" s="1" t="s">
        <v>36</v>
      </c>
      <c r="E1171" s="1" t="s">
        <v>32</v>
      </c>
      <c r="F1171" s="2">
        <v>38711</v>
      </c>
    </row>
    <row r="1172" spans="1:6">
      <c r="A1172" s="1">
        <v>22</v>
      </c>
      <c r="B1172" s="1" t="s">
        <v>35</v>
      </c>
      <c r="C1172" s="1">
        <v>35.6</v>
      </c>
      <c r="D1172" s="1" t="s">
        <v>36</v>
      </c>
      <c r="E1172" s="1" t="s">
        <v>32</v>
      </c>
      <c r="F1172" s="2">
        <v>35585.576000000001</v>
      </c>
    </row>
    <row r="1173" spans="1:6">
      <c r="A1173" s="1">
        <v>28</v>
      </c>
      <c r="B1173" s="1" t="s">
        <v>35</v>
      </c>
      <c r="C1173" s="1">
        <v>36.4</v>
      </c>
      <c r="D1173" s="1" t="s">
        <v>36</v>
      </c>
      <c r="E1173" s="1" t="s">
        <v>32</v>
      </c>
      <c r="F1173" s="2">
        <v>51194.559139999998</v>
      </c>
    </row>
    <row r="1174" spans="1:6">
      <c r="A1174" s="1">
        <v>35</v>
      </c>
      <c r="B1174" s="1" t="s">
        <v>35</v>
      </c>
      <c r="C1174" s="1">
        <v>36.67</v>
      </c>
      <c r="D1174" s="1" t="s">
        <v>36</v>
      </c>
      <c r="E1174" s="1" t="s">
        <v>34</v>
      </c>
      <c r="F1174" s="2">
        <v>39774.276299999998</v>
      </c>
    </row>
    <row r="1175" spans="1:6">
      <c r="A1175" s="1">
        <v>60</v>
      </c>
      <c r="B1175" s="1" t="s">
        <v>35</v>
      </c>
      <c r="C1175" s="1">
        <v>39.9</v>
      </c>
      <c r="D1175" s="1" t="s">
        <v>36</v>
      </c>
      <c r="E1175" s="1" t="s">
        <v>32</v>
      </c>
      <c r="F1175" s="2">
        <v>48173.360999999997</v>
      </c>
    </row>
    <row r="1176" spans="1:6">
      <c r="A1176" s="1">
        <v>36</v>
      </c>
      <c r="B1176" s="1" t="s">
        <v>35</v>
      </c>
      <c r="C1176" s="1">
        <v>35.200000000000003</v>
      </c>
      <c r="D1176" s="1" t="s">
        <v>36</v>
      </c>
      <c r="E1176" s="1" t="s">
        <v>31</v>
      </c>
      <c r="F1176" s="2">
        <v>38709.175999999999</v>
      </c>
    </row>
    <row r="1177" spans="1:6">
      <c r="A1177" s="1">
        <v>36</v>
      </c>
      <c r="B1177" s="1" t="s">
        <v>35</v>
      </c>
      <c r="C1177" s="1">
        <v>34.43</v>
      </c>
      <c r="D1177" s="1" t="s">
        <v>36</v>
      </c>
      <c r="E1177" s="1" t="s">
        <v>31</v>
      </c>
      <c r="F1177" s="2">
        <v>37742.575700000001</v>
      </c>
    </row>
    <row r="1178" spans="1:6">
      <c r="A1178" s="1">
        <v>58</v>
      </c>
      <c r="B1178" s="1" t="s">
        <v>35</v>
      </c>
      <c r="C1178" s="1">
        <v>36.954999999999998</v>
      </c>
      <c r="D1178" s="1" t="s">
        <v>36</v>
      </c>
      <c r="E1178" s="1" t="s">
        <v>33</v>
      </c>
      <c r="F1178" s="2">
        <v>47496.494449999998</v>
      </c>
    </row>
    <row r="1179" spans="1:6">
      <c r="A1179" s="1">
        <v>18</v>
      </c>
      <c r="B1179" s="1" t="s">
        <v>35</v>
      </c>
      <c r="C1179" s="1">
        <v>31.68</v>
      </c>
      <c r="D1179" s="1" t="s">
        <v>36</v>
      </c>
      <c r="E1179" s="1" t="s">
        <v>31</v>
      </c>
      <c r="F1179" s="2">
        <v>34303.167200000004</v>
      </c>
    </row>
    <row r="1180" spans="1:6">
      <c r="A1180" s="1">
        <v>22</v>
      </c>
      <c r="B1180" s="1" t="s">
        <v>35</v>
      </c>
      <c r="C1180" s="1">
        <v>37.619999999999997</v>
      </c>
      <c r="D1180" s="1" t="s">
        <v>36</v>
      </c>
      <c r="E1180" s="1" t="s">
        <v>31</v>
      </c>
      <c r="F1180" s="2">
        <v>37165.163800000002</v>
      </c>
    </row>
    <row r="1181" spans="1:6">
      <c r="A1181" s="1">
        <v>63</v>
      </c>
      <c r="B1181" s="1" t="s">
        <v>35</v>
      </c>
      <c r="C1181" s="1">
        <v>35.090000000000003</v>
      </c>
      <c r="D1181" s="1" t="s">
        <v>36</v>
      </c>
      <c r="E1181" s="1" t="s">
        <v>31</v>
      </c>
      <c r="F1181" s="2">
        <v>47055.532099999997</v>
      </c>
    </row>
    <row r="1182" spans="1:6">
      <c r="A1182" s="1">
        <v>44</v>
      </c>
      <c r="B1182" s="1" t="s">
        <v>35</v>
      </c>
      <c r="C1182" s="1">
        <v>31.35</v>
      </c>
      <c r="D1182" s="1" t="s">
        <v>36</v>
      </c>
      <c r="E1182" s="1" t="s">
        <v>34</v>
      </c>
      <c r="F1182" s="2">
        <v>39556.494500000001</v>
      </c>
    </row>
    <row r="1183" spans="1:6">
      <c r="A1183" s="1">
        <v>46</v>
      </c>
      <c r="B1183" s="1" t="s">
        <v>35</v>
      </c>
      <c r="C1183" s="1">
        <v>30.495000000000001</v>
      </c>
      <c r="D1183" s="1" t="s">
        <v>36</v>
      </c>
      <c r="E1183" s="1" t="s">
        <v>33</v>
      </c>
      <c r="F1183" s="2">
        <v>40720.551050000002</v>
      </c>
    </row>
    <row r="1184" spans="1:6">
      <c r="A1184" s="1">
        <v>30</v>
      </c>
      <c r="B1184" s="1" t="s">
        <v>35</v>
      </c>
      <c r="C1184" s="1">
        <v>35.53</v>
      </c>
      <c r="D1184" s="1" t="s">
        <v>36</v>
      </c>
      <c r="E1184" s="1" t="s">
        <v>31</v>
      </c>
      <c r="F1184" s="2">
        <v>36950.256699999998</v>
      </c>
    </row>
    <row r="1185" spans="1:6">
      <c r="A1185" s="1">
        <v>36</v>
      </c>
      <c r="B1185" s="1" t="s">
        <v>35</v>
      </c>
      <c r="C1185" s="1">
        <v>41.895000000000003</v>
      </c>
      <c r="D1185" s="1" t="s">
        <v>36</v>
      </c>
      <c r="E1185" s="1" t="s">
        <v>34</v>
      </c>
      <c r="F1185" s="2">
        <v>43753.337050000002</v>
      </c>
    </row>
    <row r="1186" spans="1:6">
      <c r="A1186" s="1">
        <v>19</v>
      </c>
      <c r="B1186" s="1" t="s">
        <v>35</v>
      </c>
      <c r="C1186" s="1">
        <v>34.799999999999997</v>
      </c>
      <c r="D1186" s="1" t="s">
        <v>36</v>
      </c>
      <c r="E1186" s="1" t="s">
        <v>32</v>
      </c>
      <c r="F1186" s="2">
        <v>34779.614999999998</v>
      </c>
    </row>
    <row r="1187" spans="1:6">
      <c r="A1187" s="1">
        <v>54</v>
      </c>
      <c r="B1187" s="1" t="s">
        <v>35</v>
      </c>
      <c r="C1187" s="1">
        <v>34.21</v>
      </c>
      <c r="D1187" s="1" t="s">
        <v>36</v>
      </c>
      <c r="E1187" s="1" t="s">
        <v>31</v>
      </c>
      <c r="F1187" s="2">
        <v>44260.749900000003</v>
      </c>
    </row>
    <row r="1188" spans="1:6">
      <c r="A1188" s="1">
        <v>50</v>
      </c>
      <c r="B1188" s="1" t="s">
        <v>35</v>
      </c>
      <c r="C1188" s="1">
        <v>31.824999999999999</v>
      </c>
      <c r="D1188" s="1" t="s">
        <v>36</v>
      </c>
      <c r="E1188" s="1" t="s">
        <v>34</v>
      </c>
      <c r="F1188" s="2">
        <v>41097.161749999999</v>
      </c>
    </row>
    <row r="1189" spans="1:6">
      <c r="A1189" s="1">
        <v>56</v>
      </c>
      <c r="B1189" s="1" t="s">
        <v>35</v>
      </c>
      <c r="C1189" s="1">
        <v>33.630000000000003</v>
      </c>
      <c r="D1189" s="1" t="s">
        <v>36</v>
      </c>
      <c r="E1189" s="1" t="s">
        <v>33</v>
      </c>
      <c r="F1189" s="2">
        <v>43921.183700000001</v>
      </c>
    </row>
    <row r="1190" spans="1:6">
      <c r="A1190" s="1">
        <v>19</v>
      </c>
      <c r="B1190" s="1" t="s">
        <v>35</v>
      </c>
      <c r="C1190" s="1">
        <v>31.92</v>
      </c>
      <c r="D1190" s="1" t="s">
        <v>36</v>
      </c>
      <c r="E1190" s="1" t="s">
        <v>33</v>
      </c>
      <c r="F1190" s="2">
        <v>33750.291799999999</v>
      </c>
    </row>
    <row r="1191" spans="1:6">
      <c r="A1191" s="1">
        <v>19</v>
      </c>
      <c r="B1191" s="1" t="s">
        <v>35</v>
      </c>
      <c r="C1191" s="1">
        <v>36.954999999999998</v>
      </c>
      <c r="D1191" s="1" t="s">
        <v>36</v>
      </c>
      <c r="E1191" s="1" t="s">
        <v>33</v>
      </c>
      <c r="F1191" s="2">
        <v>36219.405449999998</v>
      </c>
    </row>
    <row r="1192" spans="1:6">
      <c r="A1192" s="1">
        <v>46</v>
      </c>
      <c r="B1192" s="1" t="s">
        <v>35</v>
      </c>
      <c r="C1192" s="1">
        <v>42.35</v>
      </c>
      <c r="D1192" s="1" t="s">
        <v>36</v>
      </c>
      <c r="E1192" s="1" t="s">
        <v>31</v>
      </c>
      <c r="F1192" s="2">
        <v>46151.124499999998</v>
      </c>
    </row>
    <row r="1193" spans="1:6">
      <c r="A1193" s="1">
        <v>50</v>
      </c>
      <c r="B1193" s="1" t="s">
        <v>35</v>
      </c>
      <c r="C1193" s="1">
        <v>34.200000000000003</v>
      </c>
      <c r="D1193" s="1" t="s">
        <v>36</v>
      </c>
      <c r="E1193" s="1" t="s">
        <v>32</v>
      </c>
      <c r="F1193" s="2">
        <v>42856.838000000003</v>
      </c>
    </row>
    <row r="1194" spans="1:6">
      <c r="A1194" s="1">
        <v>54</v>
      </c>
      <c r="B1194" s="1" t="s">
        <v>35</v>
      </c>
      <c r="C1194" s="1">
        <v>40.564999999999998</v>
      </c>
      <c r="D1194" s="1" t="s">
        <v>36</v>
      </c>
      <c r="E1194" s="1" t="s">
        <v>34</v>
      </c>
      <c r="F1194" s="2">
        <v>48549.178350000002</v>
      </c>
    </row>
    <row r="1195" spans="1:6">
      <c r="A1195" s="1">
        <v>25</v>
      </c>
      <c r="B1195" s="1" t="s">
        <v>35</v>
      </c>
      <c r="C1195" s="1">
        <v>45.54</v>
      </c>
      <c r="D1195" s="1" t="s">
        <v>36</v>
      </c>
      <c r="E1195" s="1" t="s">
        <v>31</v>
      </c>
      <c r="F1195" s="2">
        <v>42112.2356</v>
      </c>
    </row>
    <row r="1196" spans="1:6">
      <c r="A1196" s="1">
        <v>31</v>
      </c>
      <c r="B1196" s="1" t="s">
        <v>35</v>
      </c>
      <c r="C1196" s="1">
        <v>34.39</v>
      </c>
      <c r="D1196" s="1" t="s">
        <v>36</v>
      </c>
      <c r="E1196" s="1" t="s">
        <v>33</v>
      </c>
      <c r="F1196" s="2">
        <v>38746.355100000001</v>
      </c>
    </row>
    <row r="1197" spans="1:6">
      <c r="A1197" s="1">
        <v>43</v>
      </c>
      <c r="B1197" s="1" t="s">
        <v>35</v>
      </c>
      <c r="C1197" s="1">
        <v>35.97</v>
      </c>
      <c r="D1197" s="1" t="s">
        <v>36</v>
      </c>
      <c r="E1197" s="1" t="s">
        <v>31</v>
      </c>
      <c r="F1197" s="2">
        <v>42124.515299999999</v>
      </c>
    </row>
    <row r="1198" spans="1:6">
      <c r="A1198" s="1">
        <v>34</v>
      </c>
      <c r="B1198" s="1" t="s">
        <v>35</v>
      </c>
      <c r="C1198" s="1">
        <v>30.8</v>
      </c>
      <c r="D1198" s="1" t="s">
        <v>36</v>
      </c>
      <c r="E1198" s="1" t="s">
        <v>32</v>
      </c>
      <c r="F1198" s="2">
        <v>35491.64</v>
      </c>
    </row>
    <row r="1199" spans="1:6">
      <c r="A1199" s="1">
        <v>45</v>
      </c>
      <c r="B1199" s="1" t="s">
        <v>35</v>
      </c>
      <c r="C1199" s="1">
        <v>36.479999999999997</v>
      </c>
      <c r="D1199" s="1" t="s">
        <v>36</v>
      </c>
      <c r="E1199" s="1" t="s">
        <v>33</v>
      </c>
      <c r="F1199" s="2">
        <v>42760.502200000003</v>
      </c>
    </row>
    <row r="1200" spans="1:6">
      <c r="A1200" s="1">
        <v>50</v>
      </c>
      <c r="B1200" s="1" t="s">
        <v>35</v>
      </c>
      <c r="C1200" s="1">
        <v>32.299999999999997</v>
      </c>
      <c r="D1200" s="1" t="s">
        <v>36</v>
      </c>
      <c r="E1200" s="1" t="s">
        <v>34</v>
      </c>
      <c r="F1200" s="2">
        <v>41919.097000000002</v>
      </c>
    </row>
    <row r="1201" spans="1:6">
      <c r="A1201" s="1">
        <v>26</v>
      </c>
      <c r="B1201" s="1" t="s">
        <v>35</v>
      </c>
      <c r="C1201" s="1">
        <v>32.9</v>
      </c>
      <c r="D1201" s="1" t="s">
        <v>36</v>
      </c>
      <c r="E1201" s="1" t="s">
        <v>32</v>
      </c>
      <c r="F1201" s="2">
        <v>36085.218999999997</v>
      </c>
    </row>
    <row r="1202" spans="1:6">
      <c r="A1202" s="1">
        <v>24</v>
      </c>
      <c r="B1202" s="1" t="s">
        <v>35</v>
      </c>
      <c r="C1202" s="1">
        <v>40.15</v>
      </c>
      <c r="D1202" s="1" t="s">
        <v>36</v>
      </c>
      <c r="E1202" s="1" t="s">
        <v>31</v>
      </c>
      <c r="F1202" s="2">
        <v>38126.246500000001</v>
      </c>
    </row>
    <row r="1203" spans="1:6">
      <c r="A1203" s="1">
        <v>55</v>
      </c>
      <c r="B1203" s="1" t="s">
        <v>35</v>
      </c>
      <c r="C1203" s="1">
        <v>30.684999999999999</v>
      </c>
      <c r="D1203" s="1" t="s">
        <v>36</v>
      </c>
      <c r="E1203" s="1" t="s">
        <v>34</v>
      </c>
      <c r="F1203" s="2">
        <v>42303.692150000003</v>
      </c>
    </row>
    <row r="1204" spans="1:6">
      <c r="A1204" s="1">
        <v>64</v>
      </c>
      <c r="B1204" s="1" t="s">
        <v>35</v>
      </c>
      <c r="C1204" s="1">
        <v>33.880000000000003</v>
      </c>
      <c r="D1204" s="1" t="s">
        <v>36</v>
      </c>
      <c r="E1204" s="1" t="s">
        <v>31</v>
      </c>
      <c r="F1204" s="2">
        <v>46889.261200000001</v>
      </c>
    </row>
    <row r="1205" spans="1:6">
      <c r="A1205" s="1">
        <v>61</v>
      </c>
      <c r="B1205" s="1" t="s">
        <v>35</v>
      </c>
      <c r="C1205" s="1">
        <v>35.86</v>
      </c>
      <c r="D1205" s="1" t="s">
        <v>36</v>
      </c>
      <c r="E1205" s="1" t="s">
        <v>31</v>
      </c>
      <c r="F1205" s="2">
        <v>46599.108399999997</v>
      </c>
    </row>
    <row r="1206" spans="1:6">
      <c r="A1206" s="1">
        <v>40</v>
      </c>
      <c r="B1206" s="1" t="s">
        <v>35</v>
      </c>
      <c r="C1206" s="1">
        <v>32.774999999999999</v>
      </c>
      <c r="D1206" s="1" t="s">
        <v>36</v>
      </c>
      <c r="E1206" s="1" t="s">
        <v>34</v>
      </c>
      <c r="F1206" s="2">
        <v>39125.332249999999</v>
      </c>
    </row>
    <row r="1207" spans="1:6">
      <c r="A1207" s="1">
        <v>42</v>
      </c>
      <c r="B1207" s="1" t="s">
        <v>35</v>
      </c>
      <c r="C1207" s="1">
        <v>30</v>
      </c>
      <c r="D1207" s="1" t="s">
        <v>36</v>
      </c>
      <c r="E1207" s="1" t="s">
        <v>32</v>
      </c>
      <c r="F1207" s="2">
        <v>22144.031999999999</v>
      </c>
    </row>
    <row r="1208" spans="1:6">
      <c r="A1208" s="1">
        <v>29</v>
      </c>
      <c r="B1208" s="1" t="s">
        <v>35</v>
      </c>
      <c r="C1208" s="1">
        <v>34.4</v>
      </c>
      <c r="D1208" s="1" t="s">
        <v>36</v>
      </c>
      <c r="E1208" s="1" t="s">
        <v>32</v>
      </c>
      <c r="F1208" s="2">
        <v>36197.699000000001</v>
      </c>
    </row>
    <row r="1209" spans="1:6">
      <c r="A1209" s="1">
        <v>19</v>
      </c>
      <c r="B1209" s="1" t="s">
        <v>35</v>
      </c>
      <c r="C1209" s="1">
        <v>30.25</v>
      </c>
      <c r="D1209" s="1" t="s">
        <v>36</v>
      </c>
      <c r="E1209" s="1" t="s">
        <v>31</v>
      </c>
      <c r="F1209" s="2">
        <v>32548.340499999998</v>
      </c>
    </row>
    <row r="1210" spans="1:6">
      <c r="A1210" s="1">
        <v>57</v>
      </c>
      <c r="B1210" s="1" t="s">
        <v>35</v>
      </c>
      <c r="C1210" s="1">
        <v>42.13</v>
      </c>
      <c r="D1210" s="1" t="s">
        <v>36</v>
      </c>
      <c r="E1210" s="1" t="s">
        <v>31</v>
      </c>
      <c r="F1210" s="2">
        <v>48675.517699999997</v>
      </c>
    </row>
    <row r="1211" spans="1:6">
      <c r="A1211" s="1">
        <v>48</v>
      </c>
      <c r="B1211" s="1" t="s">
        <v>35</v>
      </c>
      <c r="C1211" s="1">
        <v>40.564999999999998</v>
      </c>
      <c r="D1211" s="1" t="s">
        <v>36</v>
      </c>
      <c r="E1211" s="1" t="s">
        <v>33</v>
      </c>
      <c r="F1211" s="2">
        <v>45702.022349999999</v>
      </c>
    </row>
    <row r="1212" spans="1:6">
      <c r="A1212" s="1">
        <v>30</v>
      </c>
      <c r="B1212" s="1" t="s">
        <v>35</v>
      </c>
      <c r="C1212" s="1">
        <v>37.799999999999997</v>
      </c>
      <c r="D1212" s="1" t="s">
        <v>36</v>
      </c>
      <c r="E1212" s="1" t="s">
        <v>32</v>
      </c>
      <c r="F1212" s="2">
        <v>39241.442000000003</v>
      </c>
    </row>
    <row r="1213" spans="1:6">
      <c r="A1213" s="1">
        <v>37</v>
      </c>
      <c r="B1213" s="1" t="s">
        <v>35</v>
      </c>
      <c r="C1213" s="1">
        <v>34.1</v>
      </c>
      <c r="D1213" s="1" t="s">
        <v>36</v>
      </c>
      <c r="E1213" s="1" t="s">
        <v>32</v>
      </c>
      <c r="F1213" s="2">
        <v>40182.245999999999</v>
      </c>
    </row>
    <row r="1214" spans="1:6">
      <c r="A1214" s="1">
        <v>18</v>
      </c>
      <c r="B1214" s="1" t="s">
        <v>35</v>
      </c>
      <c r="C1214" s="1">
        <v>33.534999999999997</v>
      </c>
      <c r="D1214" s="1" t="s">
        <v>36</v>
      </c>
      <c r="E1214" s="1" t="s">
        <v>34</v>
      </c>
      <c r="F1214" s="2">
        <v>34617.840649999998</v>
      </c>
    </row>
    <row r="1215" spans="1:6">
      <c r="A1215" s="1">
        <v>43</v>
      </c>
      <c r="B1215" s="1" t="s">
        <v>35</v>
      </c>
      <c r="C1215" s="1">
        <v>38.06</v>
      </c>
      <c r="D1215" s="1" t="s">
        <v>36</v>
      </c>
      <c r="E1215" s="1" t="s">
        <v>31</v>
      </c>
      <c r="F1215" s="2">
        <v>42560.430399999997</v>
      </c>
    </row>
    <row r="1216" spans="1:6">
      <c r="A1216" s="1">
        <v>62</v>
      </c>
      <c r="B1216" s="1" t="s">
        <v>35</v>
      </c>
      <c r="C1216" s="1">
        <v>32.015000000000001</v>
      </c>
      <c r="D1216" s="1" t="s">
        <v>36</v>
      </c>
      <c r="E1216" s="1" t="s">
        <v>34</v>
      </c>
      <c r="F1216" s="2">
        <v>45710.207849999999</v>
      </c>
    </row>
    <row r="1217" spans="1:6">
      <c r="A1217" s="1">
        <v>60</v>
      </c>
      <c r="B1217" s="1" t="s">
        <v>35</v>
      </c>
      <c r="C1217" s="1">
        <v>31.35</v>
      </c>
      <c r="D1217" s="1" t="s">
        <v>36</v>
      </c>
      <c r="E1217" s="1" t="s">
        <v>33</v>
      </c>
      <c r="F1217" s="2">
        <v>46130.5265</v>
      </c>
    </row>
    <row r="1218" spans="1:6">
      <c r="A1218" s="1">
        <v>39</v>
      </c>
      <c r="B1218" s="1" t="s">
        <v>35</v>
      </c>
      <c r="C1218" s="1">
        <v>35.299999999999997</v>
      </c>
      <c r="D1218" s="1" t="s">
        <v>36</v>
      </c>
      <c r="E1218" s="1" t="s">
        <v>32</v>
      </c>
      <c r="F1218" s="2">
        <v>40103.89</v>
      </c>
    </row>
    <row r="1219" spans="1:6">
      <c r="A1219" s="1">
        <v>27</v>
      </c>
      <c r="B1219" s="1" t="s">
        <v>35</v>
      </c>
      <c r="C1219" s="1">
        <v>31.13</v>
      </c>
      <c r="D1219" s="1" t="s">
        <v>36</v>
      </c>
      <c r="E1219" s="1" t="s">
        <v>31</v>
      </c>
      <c r="F1219" s="2">
        <v>34806.467700000001</v>
      </c>
    </row>
    <row r="1220" spans="1:6">
      <c r="A1220" s="1">
        <v>41</v>
      </c>
      <c r="B1220" s="1" t="s">
        <v>35</v>
      </c>
      <c r="C1220" s="1">
        <v>35.75</v>
      </c>
      <c r="D1220" s="1" t="s">
        <v>36</v>
      </c>
      <c r="E1220" s="1" t="s">
        <v>31</v>
      </c>
      <c r="F1220" s="2">
        <v>40273.645499999999</v>
      </c>
    </row>
    <row r="1221" spans="1:6">
      <c r="A1221" s="1">
        <v>23</v>
      </c>
      <c r="B1221" s="1" t="s">
        <v>35</v>
      </c>
      <c r="C1221" s="1">
        <v>31.73</v>
      </c>
      <c r="D1221" s="1" t="s">
        <v>36</v>
      </c>
      <c r="E1221" s="1" t="s">
        <v>34</v>
      </c>
      <c r="F1221" s="2">
        <v>36189.101699999999</v>
      </c>
    </row>
    <row r="1222" spans="1:6">
      <c r="A1222" s="1">
        <v>29</v>
      </c>
      <c r="B1222" s="1" t="s">
        <v>35</v>
      </c>
      <c r="C1222" s="1">
        <v>35.5</v>
      </c>
      <c r="D1222" s="1" t="s">
        <v>36</v>
      </c>
      <c r="E1222" s="1" t="s">
        <v>32</v>
      </c>
      <c r="F1222" s="2">
        <v>44585.455869999998</v>
      </c>
    </row>
    <row r="1223" spans="1:6">
      <c r="A1223" s="1">
        <v>53</v>
      </c>
      <c r="B1223" s="1" t="s">
        <v>35</v>
      </c>
      <c r="C1223" s="1">
        <v>34.104999999999997</v>
      </c>
      <c r="D1223" s="1" t="s">
        <v>36</v>
      </c>
      <c r="E1223" s="1" t="s">
        <v>34</v>
      </c>
      <c r="F1223" s="2">
        <v>43254.417950000003</v>
      </c>
    </row>
    <row r="1224" spans="1:6">
      <c r="A1224" s="1">
        <v>18</v>
      </c>
      <c r="B1224" s="1" t="s">
        <v>35</v>
      </c>
      <c r="C1224" s="1">
        <v>38.17</v>
      </c>
      <c r="D1224" s="1" t="s">
        <v>36</v>
      </c>
      <c r="E1224" s="1" t="s">
        <v>31</v>
      </c>
      <c r="F1224" s="2">
        <v>36307.798300000002</v>
      </c>
    </row>
    <row r="1225" spans="1:6">
      <c r="A1225" s="1">
        <v>56</v>
      </c>
      <c r="B1225" s="1" t="s">
        <v>35</v>
      </c>
      <c r="C1225" s="1">
        <v>31.79</v>
      </c>
      <c r="D1225" s="1" t="s">
        <v>36</v>
      </c>
      <c r="E1225" s="1" t="s">
        <v>31</v>
      </c>
      <c r="F1225" s="2">
        <v>43813.866099999999</v>
      </c>
    </row>
    <row r="1226" spans="1:6">
      <c r="A1226" s="1">
        <v>41</v>
      </c>
      <c r="B1226" s="1" t="s">
        <v>35</v>
      </c>
      <c r="C1226" s="1">
        <v>30.78</v>
      </c>
      <c r="D1226" s="1" t="s">
        <v>36</v>
      </c>
      <c r="E1226" s="1" t="s">
        <v>34</v>
      </c>
      <c r="F1226" s="2">
        <v>39597.407200000001</v>
      </c>
    </row>
    <row r="1227" spans="1:6">
      <c r="A1227" s="1">
        <v>47</v>
      </c>
      <c r="B1227" s="1" t="s">
        <v>35</v>
      </c>
      <c r="C1227" s="1">
        <v>38.94</v>
      </c>
      <c r="D1227" s="1" t="s">
        <v>36</v>
      </c>
      <c r="E1227" s="1" t="s">
        <v>31</v>
      </c>
      <c r="F1227" s="2">
        <v>44202.653599999998</v>
      </c>
    </row>
    <row r="1228" spans="1:6">
      <c r="A1228" s="1">
        <v>60</v>
      </c>
      <c r="B1228" s="1" t="s">
        <v>35</v>
      </c>
      <c r="C1228" s="1">
        <v>40.92</v>
      </c>
      <c r="D1228" s="1" t="s">
        <v>36</v>
      </c>
      <c r="E1228" s="1" t="s">
        <v>31</v>
      </c>
      <c r="F1228" s="2">
        <v>48673.558799999999</v>
      </c>
    </row>
    <row r="1229" spans="1:6">
      <c r="A1229" s="1">
        <v>18</v>
      </c>
      <c r="B1229" s="1" t="s">
        <v>35</v>
      </c>
      <c r="C1229" s="1">
        <v>31.73</v>
      </c>
      <c r="D1229" s="1" t="s">
        <v>36</v>
      </c>
      <c r="E1229" s="1" t="s">
        <v>34</v>
      </c>
      <c r="F1229" s="2">
        <v>33732.686699999998</v>
      </c>
    </row>
    <row r="1230" spans="1:6">
      <c r="A1230" s="1">
        <v>37</v>
      </c>
      <c r="B1230" s="1" t="s">
        <v>35</v>
      </c>
      <c r="C1230" s="1">
        <v>34.200000000000003</v>
      </c>
      <c r="D1230" s="1" t="s">
        <v>36</v>
      </c>
      <c r="E1230" s="1" t="s">
        <v>34</v>
      </c>
      <c r="F1230" s="2">
        <v>39047.285000000003</v>
      </c>
    </row>
    <row r="1231" spans="1:6">
      <c r="A1231" s="1">
        <v>51</v>
      </c>
      <c r="B1231" s="1" t="s">
        <v>35</v>
      </c>
      <c r="C1231" s="1">
        <v>42.9</v>
      </c>
      <c r="D1231" s="1" t="s">
        <v>36</v>
      </c>
      <c r="E1231" s="1" t="s">
        <v>31</v>
      </c>
      <c r="F1231" s="2">
        <v>47462.894</v>
      </c>
    </row>
    <row r="1232" spans="1:6">
      <c r="A1232" s="1">
        <v>44</v>
      </c>
      <c r="B1232" s="1" t="s">
        <v>35</v>
      </c>
      <c r="C1232" s="1">
        <v>30.2</v>
      </c>
      <c r="D1232" s="1" t="s">
        <v>36</v>
      </c>
      <c r="E1232" s="1" t="s">
        <v>32</v>
      </c>
      <c r="F1232" s="2">
        <v>38998.546000000002</v>
      </c>
    </row>
    <row r="1233" spans="1:6">
      <c r="A1233" s="1">
        <v>54</v>
      </c>
      <c r="B1233" s="1" t="s">
        <v>35</v>
      </c>
      <c r="C1233" s="1">
        <v>30.8</v>
      </c>
      <c r="D1233" s="1" t="s">
        <v>36</v>
      </c>
      <c r="E1233" s="1" t="s">
        <v>31</v>
      </c>
      <c r="F1233" s="2">
        <v>41999.519999999997</v>
      </c>
    </row>
    <row r="1234" spans="1:6">
      <c r="A1234" s="1">
        <v>43</v>
      </c>
      <c r="B1234" s="1" t="s">
        <v>35</v>
      </c>
      <c r="C1234" s="1">
        <v>34.96</v>
      </c>
      <c r="D1234" s="1" t="s">
        <v>36</v>
      </c>
      <c r="E1234" s="1" t="s">
        <v>34</v>
      </c>
      <c r="F1234" s="2">
        <v>41034.221400000002</v>
      </c>
    </row>
    <row r="1235" spans="1:6">
      <c r="A1235" s="1">
        <v>24</v>
      </c>
      <c r="B1235" s="1" t="s">
        <v>35</v>
      </c>
      <c r="C1235" s="1">
        <v>32.700000000000003</v>
      </c>
      <c r="D1235" s="1" t="s">
        <v>36</v>
      </c>
      <c r="E1235" s="1" t="s">
        <v>32</v>
      </c>
      <c r="F1235" s="2">
        <v>34472.841</v>
      </c>
    </row>
    <row r="1236" spans="1:6">
      <c r="A1236" s="1">
        <v>47</v>
      </c>
      <c r="B1236" s="1" t="s">
        <v>35</v>
      </c>
      <c r="C1236" s="1">
        <v>36.08</v>
      </c>
      <c r="D1236" s="1" t="s">
        <v>36</v>
      </c>
      <c r="E1236" s="1" t="s">
        <v>31</v>
      </c>
      <c r="F1236" s="2">
        <v>42211.138200000001</v>
      </c>
    </row>
    <row r="1237" spans="1:6">
      <c r="A1237" s="1">
        <v>22</v>
      </c>
      <c r="B1237" s="1" t="s">
        <v>35</v>
      </c>
      <c r="C1237" s="1">
        <v>37.07</v>
      </c>
      <c r="D1237" s="1" t="s">
        <v>36</v>
      </c>
      <c r="E1237" s="1" t="s">
        <v>31</v>
      </c>
      <c r="F1237" s="2">
        <v>37484.4493</v>
      </c>
    </row>
    <row r="1238" spans="1:6">
      <c r="A1238" s="1">
        <v>20</v>
      </c>
      <c r="B1238" s="1" t="s">
        <v>35</v>
      </c>
      <c r="C1238" s="1">
        <v>30.684999999999999</v>
      </c>
      <c r="D1238" s="1" t="s">
        <v>36</v>
      </c>
      <c r="E1238" s="1" t="s">
        <v>34</v>
      </c>
      <c r="F1238" s="2">
        <v>33475.817150000003</v>
      </c>
    </row>
    <row r="1239" spans="1:6">
      <c r="A1239" s="1">
        <v>22</v>
      </c>
      <c r="B1239" s="1" t="s">
        <v>35</v>
      </c>
      <c r="C1239" s="1">
        <v>52.58</v>
      </c>
      <c r="D1239" s="1" t="s">
        <v>36</v>
      </c>
      <c r="E1239" s="1" t="s">
        <v>31</v>
      </c>
      <c r="F1239" s="2">
        <v>44501.398200000003</v>
      </c>
    </row>
    <row r="1240" spans="1:6">
      <c r="A1240" s="1">
        <v>49</v>
      </c>
      <c r="B1240" s="1" t="s">
        <v>35</v>
      </c>
      <c r="C1240" s="1">
        <v>30.9</v>
      </c>
      <c r="D1240" s="1" t="s">
        <v>36</v>
      </c>
      <c r="E1240" s="1" t="s">
        <v>32</v>
      </c>
      <c r="F1240" s="2">
        <v>39727.614000000001</v>
      </c>
    </row>
    <row r="1241" spans="1:6">
      <c r="A1241" s="1">
        <v>59</v>
      </c>
      <c r="B1241" s="1" t="s">
        <v>35</v>
      </c>
      <c r="C1241" s="1">
        <v>41.14</v>
      </c>
      <c r="D1241" s="1" t="s">
        <v>36</v>
      </c>
      <c r="E1241" s="1" t="s">
        <v>31</v>
      </c>
      <c r="F1241" s="2">
        <v>48970.247600000002</v>
      </c>
    </row>
    <row r="1242" spans="1:6">
      <c r="A1242" s="1">
        <v>37</v>
      </c>
      <c r="B1242" s="1" t="s">
        <v>35</v>
      </c>
      <c r="C1242" s="1">
        <v>37.07</v>
      </c>
      <c r="D1242" s="1" t="s">
        <v>36</v>
      </c>
      <c r="E1242" s="1" t="s">
        <v>31</v>
      </c>
      <c r="F1242" s="2">
        <v>39871.704299999998</v>
      </c>
    </row>
    <row r="1243" spans="1:6">
      <c r="A1243" s="1">
        <v>28</v>
      </c>
      <c r="B1243" s="1" t="s">
        <v>35</v>
      </c>
      <c r="C1243" s="1">
        <v>31.68</v>
      </c>
      <c r="D1243" s="1" t="s">
        <v>36</v>
      </c>
      <c r="E1243" s="1" t="s">
        <v>31</v>
      </c>
      <c r="F1243" s="2">
        <v>34672.147199999999</v>
      </c>
    </row>
    <row r="1244" spans="1:6">
      <c r="A1244" s="1">
        <v>47</v>
      </c>
      <c r="B1244" s="1" t="s">
        <v>35</v>
      </c>
      <c r="C1244" s="1">
        <v>36.19</v>
      </c>
      <c r="D1244" s="1" t="s">
        <v>36</v>
      </c>
      <c r="E1244" s="1" t="s">
        <v>31</v>
      </c>
      <c r="F1244" s="2">
        <v>41676.081100000003</v>
      </c>
    </row>
    <row r="1245" spans="1:6">
      <c r="A1245" s="1">
        <v>38</v>
      </c>
      <c r="B1245" s="1" t="s">
        <v>35</v>
      </c>
      <c r="C1245" s="1">
        <v>38.39</v>
      </c>
      <c r="D1245" s="1" t="s">
        <v>36</v>
      </c>
      <c r="E1245" s="1" t="s">
        <v>31</v>
      </c>
      <c r="F1245" s="2">
        <v>41949.244100000004</v>
      </c>
    </row>
    <row r="1246" spans="1:6">
      <c r="A1246" s="1">
        <v>25</v>
      </c>
      <c r="B1246" s="1" t="s">
        <v>35</v>
      </c>
      <c r="C1246" s="1">
        <v>33.33</v>
      </c>
      <c r="D1246" s="1" t="s">
        <v>36</v>
      </c>
      <c r="E1246" s="1" t="s">
        <v>31</v>
      </c>
      <c r="F1246" s="2">
        <v>36124.573700000001</v>
      </c>
    </row>
    <row r="1247" spans="1:6">
      <c r="A1247" s="1">
        <v>33</v>
      </c>
      <c r="B1247" s="1" t="s">
        <v>35</v>
      </c>
      <c r="C1247" s="1">
        <v>35.75</v>
      </c>
      <c r="D1247" s="1" t="s">
        <v>36</v>
      </c>
      <c r="E1247" s="1" t="s">
        <v>31</v>
      </c>
      <c r="F1247" s="2">
        <v>38282.749499999998</v>
      </c>
    </row>
    <row r="1248" spans="1:6">
      <c r="A1248" s="1">
        <v>60</v>
      </c>
      <c r="B1248" s="1" t="s">
        <v>35</v>
      </c>
      <c r="C1248" s="1">
        <v>32.799999999999997</v>
      </c>
      <c r="D1248" s="1" t="s">
        <v>36</v>
      </c>
      <c r="E1248" s="1" t="s">
        <v>32</v>
      </c>
      <c r="F1248" s="2">
        <v>52590.829389999999</v>
      </c>
    </row>
    <row r="1249" spans="1:6">
      <c r="A1249" s="1">
        <v>19</v>
      </c>
      <c r="B1249" s="1" t="s">
        <v>35</v>
      </c>
      <c r="C1249" s="1">
        <v>44.88</v>
      </c>
      <c r="D1249" s="1" t="s">
        <v>36</v>
      </c>
      <c r="E1249" s="1" t="s">
        <v>31</v>
      </c>
      <c r="F1249" s="2">
        <v>39722.746200000001</v>
      </c>
    </row>
    <row r="1250" spans="1:6">
      <c r="A1250" s="1">
        <v>20</v>
      </c>
      <c r="B1250" s="1" t="s">
        <v>35</v>
      </c>
      <c r="C1250" s="1">
        <v>35.625</v>
      </c>
      <c r="D1250" s="1" t="s">
        <v>36</v>
      </c>
      <c r="E1250" s="1" t="s">
        <v>33</v>
      </c>
      <c r="F1250" s="2">
        <v>37465.34375</v>
      </c>
    </row>
    <row r="1251" spans="1:6">
      <c r="A1251" s="1">
        <v>36</v>
      </c>
      <c r="B1251" s="1" t="s">
        <v>35</v>
      </c>
      <c r="C1251" s="1">
        <v>33.4</v>
      </c>
      <c r="D1251" s="1" t="s">
        <v>36</v>
      </c>
      <c r="E1251" s="1" t="s">
        <v>32</v>
      </c>
      <c r="F1251" s="2">
        <v>38415.474000000002</v>
      </c>
    </row>
    <row r="1252" spans="1:6">
      <c r="A1252" s="1">
        <v>52</v>
      </c>
      <c r="B1252" s="1" t="s">
        <v>35</v>
      </c>
      <c r="C1252" s="1">
        <v>34.484999999999999</v>
      </c>
      <c r="D1252" s="1" t="s">
        <v>36</v>
      </c>
      <c r="E1252" s="1" t="s">
        <v>33</v>
      </c>
      <c r="F1252" s="2">
        <v>60021.398970000002</v>
      </c>
    </row>
    <row r="1253" spans="1:6">
      <c r="A1253" s="1">
        <v>52</v>
      </c>
      <c r="B1253" s="1" t="s">
        <v>35</v>
      </c>
      <c r="C1253" s="1">
        <v>41.8</v>
      </c>
      <c r="D1253" s="1" t="s">
        <v>36</v>
      </c>
      <c r="E1253" s="1" t="s">
        <v>31</v>
      </c>
      <c r="F1253" s="2">
        <v>47269.853999999999</v>
      </c>
    </row>
    <row r="1254" spans="1:6">
      <c r="A1254" s="1">
        <v>64</v>
      </c>
      <c r="B1254" s="1" t="s">
        <v>35</v>
      </c>
      <c r="C1254" s="1">
        <v>36.96</v>
      </c>
      <c r="D1254" s="1" t="s">
        <v>36</v>
      </c>
      <c r="E1254" s="1" t="s">
        <v>31</v>
      </c>
      <c r="F1254" s="2">
        <v>49577.662400000001</v>
      </c>
    </row>
    <row r="1255" spans="1:6">
      <c r="A1255" s="1">
        <v>32</v>
      </c>
      <c r="B1255" s="1" t="s">
        <v>35</v>
      </c>
      <c r="C1255" s="1">
        <v>33.630000000000003</v>
      </c>
      <c r="D1255" s="1" t="s">
        <v>36</v>
      </c>
      <c r="E1255" s="1" t="s">
        <v>34</v>
      </c>
      <c r="F1255" s="2">
        <v>37607.527699999999</v>
      </c>
    </row>
    <row r="1256" spans="1:6">
      <c r="A1256" s="1">
        <v>24</v>
      </c>
      <c r="B1256" s="1" t="s">
        <v>35</v>
      </c>
      <c r="C1256" s="1">
        <v>31.065000000000001</v>
      </c>
      <c r="D1256" s="1" t="s">
        <v>36</v>
      </c>
      <c r="E1256" s="1" t="s">
        <v>34</v>
      </c>
      <c r="F1256" s="2">
        <v>34254.053350000002</v>
      </c>
    </row>
    <row r="1257" spans="1:6">
      <c r="A1257" s="1">
        <v>39</v>
      </c>
      <c r="B1257" s="1" t="s">
        <v>35</v>
      </c>
      <c r="C1257" s="1">
        <v>29.925000000000001</v>
      </c>
      <c r="D1257" s="1" t="s">
        <v>36</v>
      </c>
      <c r="E1257" s="1" t="s">
        <v>34</v>
      </c>
      <c r="F1257" s="2">
        <v>22462.043750000001</v>
      </c>
    </row>
    <row r="1258" spans="1:6">
      <c r="A1258" s="1">
        <v>61</v>
      </c>
      <c r="B1258" s="1" t="s">
        <v>35</v>
      </c>
      <c r="C1258" s="1">
        <v>36.299999999999997</v>
      </c>
      <c r="D1258" s="1" t="s">
        <v>36</v>
      </c>
      <c r="E1258" s="1" t="s">
        <v>32</v>
      </c>
      <c r="F1258" s="2">
        <v>47403.88</v>
      </c>
    </row>
    <row r="1259" spans="1:6">
      <c r="A1259" s="1">
        <v>20</v>
      </c>
      <c r="B1259" s="1" t="s">
        <v>35</v>
      </c>
      <c r="C1259" s="1">
        <v>39.4</v>
      </c>
      <c r="D1259" s="1" t="s">
        <v>36</v>
      </c>
      <c r="E1259" s="1" t="s">
        <v>32</v>
      </c>
      <c r="F1259" s="2">
        <v>38344.565999999999</v>
      </c>
    </row>
    <row r="1260" spans="1:6">
      <c r="A1260" s="1">
        <v>19</v>
      </c>
      <c r="B1260" s="1" t="s">
        <v>35</v>
      </c>
      <c r="C1260" s="1">
        <v>34.9</v>
      </c>
      <c r="D1260" s="1" t="s">
        <v>36</v>
      </c>
      <c r="E1260" s="1" t="s">
        <v>32</v>
      </c>
      <c r="F1260" s="2">
        <v>34828.654000000002</v>
      </c>
    </row>
    <row r="1261" spans="1:6">
      <c r="A1261" s="1">
        <v>45</v>
      </c>
      <c r="B1261" s="1" t="s">
        <v>35</v>
      </c>
      <c r="C1261" s="1">
        <v>30.36</v>
      </c>
      <c r="D1261" s="1" t="s">
        <v>36</v>
      </c>
      <c r="E1261" s="1" t="s">
        <v>31</v>
      </c>
      <c r="F1261" s="2">
        <v>62592.873090000001</v>
      </c>
    </row>
    <row r="1262" spans="1:6">
      <c r="A1262" s="1">
        <v>62</v>
      </c>
      <c r="B1262" s="1" t="s">
        <v>35</v>
      </c>
      <c r="C1262" s="1">
        <v>30.875</v>
      </c>
      <c r="D1262" s="1" t="s">
        <v>36</v>
      </c>
      <c r="E1262" s="1" t="s">
        <v>33</v>
      </c>
      <c r="F1262" s="2">
        <v>46718.163249999998</v>
      </c>
    </row>
    <row r="1263" spans="1:6">
      <c r="A1263" s="1">
        <v>19</v>
      </c>
      <c r="B1263" s="1" t="s">
        <v>29</v>
      </c>
      <c r="C1263" s="1">
        <v>27.9</v>
      </c>
      <c r="D1263" s="1" t="s">
        <v>36</v>
      </c>
      <c r="E1263" s="1" t="s">
        <v>32</v>
      </c>
      <c r="F1263" s="2">
        <v>16884.923999999999</v>
      </c>
    </row>
    <row r="1264" spans="1:6">
      <c r="A1264" s="1">
        <v>62</v>
      </c>
      <c r="B1264" s="1" t="s">
        <v>29</v>
      </c>
      <c r="C1264" s="1">
        <v>26.29</v>
      </c>
      <c r="D1264" s="1" t="s">
        <v>36</v>
      </c>
      <c r="E1264" s="1" t="s">
        <v>31</v>
      </c>
      <c r="F1264" s="2">
        <v>27808.7251</v>
      </c>
    </row>
    <row r="1265" spans="1:6">
      <c r="A1265" s="1">
        <v>29</v>
      </c>
      <c r="B1265" s="1" t="s">
        <v>29</v>
      </c>
      <c r="C1265" s="1">
        <v>27.94</v>
      </c>
      <c r="D1265" s="1" t="s">
        <v>36</v>
      </c>
      <c r="E1265" s="1" t="s">
        <v>31</v>
      </c>
      <c r="F1265" s="2">
        <v>19107.779600000002</v>
      </c>
    </row>
    <row r="1266" spans="1:6">
      <c r="A1266" s="1">
        <v>19</v>
      </c>
      <c r="B1266" s="1" t="s">
        <v>29</v>
      </c>
      <c r="C1266" s="1">
        <v>28.3</v>
      </c>
      <c r="D1266" s="1" t="s">
        <v>36</v>
      </c>
      <c r="E1266" s="1" t="s">
        <v>32</v>
      </c>
      <c r="F1266" s="2">
        <v>17081.080000000002</v>
      </c>
    </row>
    <row r="1267" spans="1:6">
      <c r="A1267" s="1">
        <v>42</v>
      </c>
      <c r="B1267" s="1" t="s">
        <v>29</v>
      </c>
      <c r="C1267" s="1">
        <v>26.6</v>
      </c>
      <c r="D1267" s="1" t="s">
        <v>36</v>
      </c>
      <c r="E1267" s="1" t="s">
        <v>33</v>
      </c>
      <c r="F1267" s="2">
        <v>21348.705999999998</v>
      </c>
    </row>
    <row r="1268" spans="1:6">
      <c r="A1268" s="1">
        <v>63</v>
      </c>
      <c r="B1268" s="1" t="s">
        <v>29</v>
      </c>
      <c r="C1268" s="1">
        <v>27.74</v>
      </c>
      <c r="D1268" s="1" t="s">
        <v>36</v>
      </c>
      <c r="E1268" s="1" t="s">
        <v>34</v>
      </c>
      <c r="F1268" s="2">
        <v>29523.1656</v>
      </c>
    </row>
    <row r="1269" spans="1:6">
      <c r="A1269" s="1">
        <v>20</v>
      </c>
      <c r="B1269" s="1" t="s">
        <v>29</v>
      </c>
      <c r="C1269" s="1">
        <v>26.84</v>
      </c>
      <c r="D1269" s="1" t="s">
        <v>36</v>
      </c>
      <c r="E1269" s="1" t="s">
        <v>31</v>
      </c>
      <c r="F1269" s="2">
        <v>17085.267599999999</v>
      </c>
    </row>
    <row r="1270" spans="1:6">
      <c r="A1270" s="1">
        <v>40</v>
      </c>
      <c r="B1270" s="1" t="s">
        <v>29</v>
      </c>
      <c r="C1270" s="1">
        <v>28.12</v>
      </c>
      <c r="D1270" s="1" t="s">
        <v>36</v>
      </c>
      <c r="E1270" s="1" t="s">
        <v>34</v>
      </c>
      <c r="F1270" s="2">
        <v>22331.566800000001</v>
      </c>
    </row>
    <row r="1271" spans="1:6">
      <c r="A1271" s="1">
        <v>23</v>
      </c>
      <c r="B1271" s="1" t="s">
        <v>29</v>
      </c>
      <c r="C1271" s="1">
        <v>28.31</v>
      </c>
      <c r="D1271" s="1" t="s">
        <v>36</v>
      </c>
      <c r="E1271" s="1" t="s">
        <v>33</v>
      </c>
      <c r="F1271" s="2">
        <v>18033.9679</v>
      </c>
    </row>
    <row r="1272" spans="1:6">
      <c r="A1272" s="1">
        <v>63</v>
      </c>
      <c r="B1272" s="1" t="s">
        <v>29</v>
      </c>
      <c r="C1272" s="1">
        <v>26.98</v>
      </c>
      <c r="D1272" s="1" t="s">
        <v>36</v>
      </c>
      <c r="E1272" s="1" t="s">
        <v>33</v>
      </c>
      <c r="F1272" s="2">
        <v>28950.4692</v>
      </c>
    </row>
    <row r="1273" spans="1:6">
      <c r="A1273" s="1">
        <v>30</v>
      </c>
      <c r="B1273" s="1" t="s">
        <v>29</v>
      </c>
      <c r="C1273" s="1">
        <v>28.38</v>
      </c>
      <c r="D1273" s="1" t="s">
        <v>36</v>
      </c>
      <c r="E1273" s="1" t="s">
        <v>31</v>
      </c>
      <c r="F1273" s="2">
        <v>19521.968199999999</v>
      </c>
    </row>
    <row r="1274" spans="1:6">
      <c r="A1274" s="1">
        <v>19</v>
      </c>
      <c r="B1274" s="1" t="s">
        <v>29</v>
      </c>
      <c r="C1274" s="1">
        <v>28.31</v>
      </c>
      <c r="D1274" s="1" t="s">
        <v>36</v>
      </c>
      <c r="E1274" s="1" t="s">
        <v>33</v>
      </c>
      <c r="F1274" s="2">
        <v>17468.983899999999</v>
      </c>
    </row>
    <row r="1275" spans="1:6">
      <c r="A1275" s="1">
        <v>52</v>
      </c>
      <c r="B1275" s="1" t="s">
        <v>29</v>
      </c>
      <c r="C1275" s="1">
        <v>25.3</v>
      </c>
      <c r="D1275" s="1" t="s">
        <v>36</v>
      </c>
      <c r="E1275" s="1" t="s">
        <v>31</v>
      </c>
      <c r="F1275" s="2">
        <v>24667.419000000002</v>
      </c>
    </row>
    <row r="1276" spans="1:6">
      <c r="A1276" s="1">
        <v>37</v>
      </c>
      <c r="B1276" s="1" t="s">
        <v>29</v>
      </c>
      <c r="C1276" s="1">
        <v>26.4</v>
      </c>
      <c r="D1276" s="1" t="s">
        <v>36</v>
      </c>
      <c r="E1276" s="1" t="s">
        <v>31</v>
      </c>
      <c r="F1276" s="2">
        <v>19539.242999999999</v>
      </c>
    </row>
    <row r="1277" spans="1:6">
      <c r="A1277" s="1">
        <v>47</v>
      </c>
      <c r="B1277" s="1" t="s">
        <v>29</v>
      </c>
      <c r="C1277" s="1">
        <v>27.83</v>
      </c>
      <c r="D1277" s="1" t="s">
        <v>36</v>
      </c>
      <c r="E1277" s="1" t="s">
        <v>31</v>
      </c>
      <c r="F1277" s="2">
        <v>23065.420699999999</v>
      </c>
    </row>
    <row r="1278" spans="1:6">
      <c r="A1278" s="1">
        <v>19</v>
      </c>
      <c r="B1278" s="1" t="s">
        <v>29</v>
      </c>
      <c r="C1278" s="1">
        <v>28.88</v>
      </c>
      <c r="D1278" s="1" t="s">
        <v>36</v>
      </c>
      <c r="E1278" s="1" t="s">
        <v>33</v>
      </c>
      <c r="F1278" s="2">
        <v>17748.5062</v>
      </c>
    </row>
    <row r="1279" spans="1:6">
      <c r="A1279" s="1">
        <v>50</v>
      </c>
      <c r="B1279" s="1" t="s">
        <v>29</v>
      </c>
      <c r="C1279" s="1">
        <v>27.6</v>
      </c>
      <c r="D1279" s="1" t="s">
        <v>36</v>
      </c>
      <c r="E1279" s="1" t="s">
        <v>32</v>
      </c>
      <c r="F1279" s="2">
        <v>24520.263999999999</v>
      </c>
    </row>
    <row r="1280" spans="1:6">
      <c r="A1280" s="1">
        <v>47</v>
      </c>
      <c r="B1280" s="1" t="s">
        <v>29</v>
      </c>
      <c r="C1280" s="1">
        <v>26.125</v>
      </c>
      <c r="D1280" s="1" t="s">
        <v>36</v>
      </c>
      <c r="E1280" s="1" t="s">
        <v>34</v>
      </c>
      <c r="F1280" s="2">
        <v>23401.30575</v>
      </c>
    </row>
    <row r="1281" spans="1:6">
      <c r="A1281" s="1">
        <v>57</v>
      </c>
      <c r="B1281" s="1" t="s">
        <v>29</v>
      </c>
      <c r="C1281" s="1">
        <v>29.81</v>
      </c>
      <c r="D1281" s="1" t="s">
        <v>36</v>
      </c>
      <c r="E1281" s="1" t="s">
        <v>31</v>
      </c>
      <c r="F1281" s="2">
        <v>27533.912899999999</v>
      </c>
    </row>
    <row r="1282" spans="1:6">
      <c r="A1282" s="1">
        <v>64</v>
      </c>
      <c r="B1282" s="1" t="s">
        <v>29</v>
      </c>
      <c r="C1282" s="1">
        <v>26.885000000000002</v>
      </c>
      <c r="D1282" s="1" t="s">
        <v>36</v>
      </c>
      <c r="E1282" s="1" t="s">
        <v>33</v>
      </c>
      <c r="F1282" s="2">
        <v>29330.98315</v>
      </c>
    </row>
    <row r="1283" spans="1:6">
      <c r="A1283" s="1">
        <v>43</v>
      </c>
      <c r="B1283" s="1" t="s">
        <v>29</v>
      </c>
      <c r="C1283" s="1">
        <v>26.885000000000002</v>
      </c>
      <c r="D1283" s="1" t="s">
        <v>36</v>
      </c>
      <c r="E1283" s="1" t="s">
        <v>33</v>
      </c>
      <c r="F1283" s="2">
        <v>21774.32215</v>
      </c>
    </row>
    <row r="1284" spans="1:6">
      <c r="A1284" s="1">
        <v>35</v>
      </c>
      <c r="B1284" s="1" t="s">
        <v>29</v>
      </c>
      <c r="C1284" s="1">
        <v>28.024999999999999</v>
      </c>
      <c r="D1284" s="1" t="s">
        <v>36</v>
      </c>
      <c r="E1284" s="1" t="s">
        <v>33</v>
      </c>
      <c r="F1284" s="2">
        <v>20234.854749999999</v>
      </c>
    </row>
    <row r="1285" spans="1:6">
      <c r="A1285" s="1">
        <v>48</v>
      </c>
      <c r="B1285" s="1" t="s">
        <v>29</v>
      </c>
      <c r="C1285" s="1">
        <v>25.85</v>
      </c>
      <c r="D1285" s="1" t="s">
        <v>36</v>
      </c>
      <c r="E1285" s="1" t="s">
        <v>31</v>
      </c>
      <c r="F1285" s="2">
        <v>24180.933499999999</v>
      </c>
    </row>
    <row r="1286" spans="1:6">
      <c r="A1286" s="1">
        <v>43</v>
      </c>
      <c r="B1286" s="1" t="s">
        <v>29</v>
      </c>
      <c r="C1286" s="1">
        <v>26.7</v>
      </c>
      <c r="D1286" s="1" t="s">
        <v>36</v>
      </c>
      <c r="E1286" s="1" t="s">
        <v>32</v>
      </c>
      <c r="F1286" s="2">
        <v>22478.6</v>
      </c>
    </row>
    <row r="1287" spans="1:6">
      <c r="A1287" s="1">
        <v>23</v>
      </c>
      <c r="B1287" s="1" t="s">
        <v>29</v>
      </c>
      <c r="C1287" s="1">
        <v>28.49</v>
      </c>
      <c r="D1287" s="1" t="s">
        <v>36</v>
      </c>
      <c r="E1287" s="1" t="s">
        <v>31</v>
      </c>
      <c r="F1287" s="2">
        <v>18328.238099999999</v>
      </c>
    </row>
    <row r="1288" spans="1:6">
      <c r="A1288" s="1">
        <v>43</v>
      </c>
      <c r="B1288" s="1" t="s">
        <v>29</v>
      </c>
      <c r="C1288" s="1">
        <v>25.27</v>
      </c>
      <c r="D1288" s="1" t="s">
        <v>36</v>
      </c>
      <c r="E1288" s="1" t="s">
        <v>34</v>
      </c>
      <c r="F1288" s="2">
        <v>21771.3423</v>
      </c>
    </row>
    <row r="1289" spans="1:6">
      <c r="A1289" s="1">
        <v>18</v>
      </c>
      <c r="B1289" s="1" t="s">
        <v>29</v>
      </c>
      <c r="C1289" s="1">
        <v>27.28</v>
      </c>
      <c r="D1289" s="1" t="s">
        <v>36</v>
      </c>
      <c r="E1289" s="1" t="s">
        <v>31</v>
      </c>
      <c r="F1289" s="2">
        <v>18223.4512</v>
      </c>
    </row>
    <row r="1290" spans="1:6">
      <c r="A1290" s="1">
        <v>37</v>
      </c>
      <c r="B1290" s="1" t="s">
        <v>29</v>
      </c>
      <c r="C1290" s="1">
        <v>25.555</v>
      </c>
      <c r="D1290" s="1" t="s">
        <v>36</v>
      </c>
      <c r="E1290" s="1" t="s">
        <v>34</v>
      </c>
      <c r="F1290" s="2">
        <v>20296.863450000001</v>
      </c>
    </row>
    <row r="1291" spans="1:6">
      <c r="A1291" s="1">
        <v>47</v>
      </c>
      <c r="B1291" s="1" t="s">
        <v>29</v>
      </c>
      <c r="C1291" s="1">
        <v>27.645</v>
      </c>
      <c r="D1291" s="1" t="s">
        <v>36</v>
      </c>
      <c r="E1291" s="1" t="s">
        <v>33</v>
      </c>
      <c r="F1291" s="2">
        <v>24535.698550000001</v>
      </c>
    </row>
    <row r="1292" spans="1:6">
      <c r="A1292" s="1">
        <v>61</v>
      </c>
      <c r="B1292" s="1" t="s">
        <v>29</v>
      </c>
      <c r="C1292" s="1">
        <v>29.07</v>
      </c>
      <c r="D1292" s="1" t="s">
        <v>36</v>
      </c>
      <c r="E1292" s="1" t="s">
        <v>33</v>
      </c>
      <c r="F1292" s="2">
        <v>29141.3603</v>
      </c>
    </row>
    <row r="1293" spans="1:6">
      <c r="A1293" s="1">
        <v>48</v>
      </c>
      <c r="B1293" s="1" t="s">
        <v>35</v>
      </c>
      <c r="C1293" s="1">
        <v>28</v>
      </c>
      <c r="D1293" s="1" t="s">
        <v>36</v>
      </c>
      <c r="E1293" s="1" t="s">
        <v>32</v>
      </c>
      <c r="F1293" s="2">
        <v>23568.272000000001</v>
      </c>
    </row>
    <row r="1294" spans="1:6">
      <c r="A1294" s="1">
        <v>59</v>
      </c>
      <c r="B1294" s="1" t="s">
        <v>35</v>
      </c>
      <c r="C1294" s="1">
        <v>29.83</v>
      </c>
      <c r="D1294" s="1" t="s">
        <v>36</v>
      </c>
      <c r="E1294" s="1" t="s">
        <v>34</v>
      </c>
      <c r="F1294" s="2">
        <v>30184.936699999998</v>
      </c>
    </row>
    <row r="1295" spans="1:6">
      <c r="A1295" s="1">
        <v>20</v>
      </c>
      <c r="B1295" s="1" t="s">
        <v>35</v>
      </c>
      <c r="C1295" s="1">
        <v>28.024999999999999</v>
      </c>
      <c r="D1295" s="1" t="s">
        <v>36</v>
      </c>
      <c r="E1295" s="1" t="s">
        <v>33</v>
      </c>
      <c r="F1295" s="2">
        <v>17560.37975</v>
      </c>
    </row>
    <row r="1296" spans="1:6">
      <c r="A1296" s="1">
        <v>34</v>
      </c>
      <c r="B1296" s="1" t="s">
        <v>35</v>
      </c>
      <c r="C1296" s="1">
        <v>25.3</v>
      </c>
      <c r="D1296" s="1" t="s">
        <v>36</v>
      </c>
      <c r="E1296" s="1" t="s">
        <v>31</v>
      </c>
      <c r="F1296" s="2">
        <v>18972.494999999999</v>
      </c>
    </row>
    <row r="1297" spans="1:6">
      <c r="A1297" s="1">
        <v>30</v>
      </c>
      <c r="B1297" s="1" t="s">
        <v>35</v>
      </c>
      <c r="C1297" s="1">
        <v>28.69</v>
      </c>
      <c r="D1297" s="1" t="s">
        <v>36</v>
      </c>
      <c r="E1297" s="1" t="s">
        <v>33</v>
      </c>
      <c r="F1297" s="2">
        <v>20745.989099999999</v>
      </c>
    </row>
    <row r="1298" spans="1:6">
      <c r="A1298" s="1">
        <v>18</v>
      </c>
      <c r="B1298" s="1" t="s">
        <v>35</v>
      </c>
      <c r="C1298" s="1">
        <v>25.175000000000001</v>
      </c>
      <c r="D1298" s="1" t="s">
        <v>36</v>
      </c>
      <c r="E1298" s="1" t="s">
        <v>34</v>
      </c>
      <c r="F1298" s="2">
        <v>15518.180249999999</v>
      </c>
    </row>
    <row r="1299" spans="1:6">
      <c r="A1299" s="1">
        <v>35</v>
      </c>
      <c r="B1299" s="1" t="s">
        <v>35</v>
      </c>
      <c r="C1299" s="1">
        <v>27.74</v>
      </c>
      <c r="D1299" s="1" t="s">
        <v>36</v>
      </c>
      <c r="E1299" s="1" t="s">
        <v>34</v>
      </c>
      <c r="F1299" s="2">
        <v>20984.0936</v>
      </c>
    </row>
    <row r="1300" spans="1:6">
      <c r="A1300" s="1">
        <v>19</v>
      </c>
      <c r="B1300" s="1" t="s">
        <v>35</v>
      </c>
      <c r="C1300" s="1">
        <v>29.07</v>
      </c>
      <c r="D1300" s="1" t="s">
        <v>36</v>
      </c>
      <c r="E1300" s="1" t="s">
        <v>33</v>
      </c>
      <c r="F1300" s="2">
        <v>17352.6803</v>
      </c>
    </row>
    <row r="1301" spans="1:6">
      <c r="A1301" s="1">
        <v>19</v>
      </c>
      <c r="B1301" s="1" t="s">
        <v>35</v>
      </c>
      <c r="C1301" s="1">
        <v>27.7</v>
      </c>
      <c r="D1301" s="1" t="s">
        <v>36</v>
      </c>
      <c r="E1301" s="1" t="s">
        <v>32</v>
      </c>
      <c r="F1301" s="2">
        <v>16297.846</v>
      </c>
    </row>
    <row r="1302" spans="1:6">
      <c r="A1302" s="1">
        <v>47</v>
      </c>
      <c r="B1302" s="1" t="s">
        <v>35</v>
      </c>
      <c r="C1302" s="1">
        <v>25.41</v>
      </c>
      <c r="D1302" s="1" t="s">
        <v>36</v>
      </c>
      <c r="E1302" s="1" t="s">
        <v>31</v>
      </c>
      <c r="F1302" s="2">
        <v>21978.676899999999</v>
      </c>
    </row>
    <row r="1303" spans="1:6">
      <c r="A1303" s="1">
        <v>52</v>
      </c>
      <c r="B1303" s="1" t="s">
        <v>35</v>
      </c>
      <c r="C1303" s="1">
        <v>27.36</v>
      </c>
      <c r="D1303" s="1" t="s">
        <v>36</v>
      </c>
      <c r="E1303" s="1" t="s">
        <v>33</v>
      </c>
      <c r="F1303" s="2">
        <v>24393.6224</v>
      </c>
    </row>
    <row r="1304" spans="1:6">
      <c r="A1304" s="1">
        <v>56</v>
      </c>
      <c r="B1304" s="1" t="s">
        <v>35</v>
      </c>
      <c r="C1304" s="1">
        <v>26.695</v>
      </c>
      <c r="D1304" s="1" t="s">
        <v>36</v>
      </c>
      <c r="E1304" s="1" t="s">
        <v>33</v>
      </c>
      <c r="F1304" s="2">
        <v>26109.32905</v>
      </c>
    </row>
    <row r="1305" spans="1:6">
      <c r="A1305" s="1">
        <v>54</v>
      </c>
      <c r="B1305" s="1" t="s">
        <v>35</v>
      </c>
      <c r="C1305" s="1">
        <v>25.1</v>
      </c>
      <c r="D1305" s="1" t="s">
        <v>36</v>
      </c>
      <c r="E1305" s="1" t="s">
        <v>32</v>
      </c>
      <c r="F1305" s="2">
        <v>25382.296999999999</v>
      </c>
    </row>
    <row r="1306" spans="1:6">
      <c r="A1306" s="1">
        <v>61</v>
      </c>
      <c r="B1306" s="1" t="s">
        <v>35</v>
      </c>
      <c r="C1306" s="1">
        <v>28.31</v>
      </c>
      <c r="D1306" s="1" t="s">
        <v>36</v>
      </c>
      <c r="E1306" s="1" t="s">
        <v>33</v>
      </c>
      <c r="F1306" s="2">
        <v>28868.6639</v>
      </c>
    </row>
    <row r="1307" spans="1:6">
      <c r="A1307" s="1">
        <v>24</v>
      </c>
      <c r="B1307" s="1" t="s">
        <v>35</v>
      </c>
      <c r="C1307" s="1">
        <v>28.5</v>
      </c>
      <c r="D1307" s="1" t="s">
        <v>36</v>
      </c>
      <c r="E1307" s="1" t="s">
        <v>34</v>
      </c>
      <c r="F1307" s="2">
        <v>35147.528480000001</v>
      </c>
    </row>
    <row r="1308" spans="1:6">
      <c r="A1308" s="1">
        <v>21</v>
      </c>
      <c r="B1308" s="1" t="s">
        <v>35</v>
      </c>
      <c r="C1308" s="1">
        <v>25.7</v>
      </c>
      <c r="D1308" s="1" t="s">
        <v>36</v>
      </c>
      <c r="E1308" s="1" t="s">
        <v>32</v>
      </c>
      <c r="F1308" s="2">
        <v>17942.106</v>
      </c>
    </row>
    <row r="1309" spans="1:6">
      <c r="A1309" s="1">
        <v>39</v>
      </c>
      <c r="B1309" s="1" t="s">
        <v>35</v>
      </c>
      <c r="C1309" s="1">
        <v>28.3</v>
      </c>
      <c r="D1309" s="1" t="s">
        <v>36</v>
      </c>
      <c r="E1309" s="1" t="s">
        <v>32</v>
      </c>
      <c r="F1309" s="2">
        <v>21082.16</v>
      </c>
    </row>
    <row r="1310" spans="1:6">
      <c r="A1310" s="1">
        <v>42</v>
      </c>
      <c r="B1310" s="1" t="s">
        <v>35</v>
      </c>
      <c r="C1310" s="1">
        <v>26.07</v>
      </c>
      <c r="D1310" s="1" t="s">
        <v>36</v>
      </c>
      <c r="E1310" s="1" t="s">
        <v>31</v>
      </c>
      <c r="F1310" s="2">
        <v>38245.593269999998</v>
      </c>
    </row>
    <row r="1311" spans="1:6">
      <c r="A1311" s="1">
        <v>49</v>
      </c>
      <c r="B1311" s="1" t="s">
        <v>35</v>
      </c>
      <c r="C1311" s="1">
        <v>25.84</v>
      </c>
      <c r="D1311" s="1" t="s">
        <v>36</v>
      </c>
      <c r="E1311" s="1" t="s">
        <v>33</v>
      </c>
      <c r="F1311" s="2">
        <v>23807.240600000001</v>
      </c>
    </row>
    <row r="1312" spans="1:6">
      <c r="A1312" s="1">
        <v>49</v>
      </c>
      <c r="B1312" s="1" t="s">
        <v>35</v>
      </c>
      <c r="C1312" s="1">
        <v>25.6</v>
      </c>
      <c r="D1312" s="1" t="s">
        <v>36</v>
      </c>
      <c r="E1312" s="1" t="s">
        <v>32</v>
      </c>
      <c r="F1312" s="2">
        <v>23306.546999999999</v>
      </c>
    </row>
    <row r="1313" spans="1:6">
      <c r="A1313" s="1">
        <v>39</v>
      </c>
      <c r="B1313" s="1" t="s">
        <v>35</v>
      </c>
      <c r="C1313" s="1">
        <v>26.41</v>
      </c>
      <c r="D1313" s="1" t="s">
        <v>36</v>
      </c>
      <c r="E1313" s="1" t="s">
        <v>34</v>
      </c>
      <c r="F1313" s="2">
        <v>20149.322899999999</v>
      </c>
    </row>
    <row r="1314" spans="1:6">
      <c r="A1314" s="1">
        <v>42</v>
      </c>
      <c r="B1314" s="1" t="s">
        <v>35</v>
      </c>
      <c r="C1314" s="1">
        <v>28.31</v>
      </c>
      <c r="D1314" s="1" t="s">
        <v>36</v>
      </c>
      <c r="E1314" s="1" t="s">
        <v>33</v>
      </c>
      <c r="F1314" s="2">
        <v>32787.458590000002</v>
      </c>
    </row>
    <row r="1315" spans="1:6">
      <c r="A1315" s="1">
        <v>27</v>
      </c>
      <c r="B1315" s="1" t="s">
        <v>35</v>
      </c>
      <c r="C1315" s="1">
        <v>29.15</v>
      </c>
      <c r="D1315" s="1" t="s">
        <v>36</v>
      </c>
      <c r="E1315" s="1" t="s">
        <v>31</v>
      </c>
      <c r="F1315" s="2">
        <v>18246.495500000001</v>
      </c>
    </row>
    <row r="1316" spans="1:6">
      <c r="A1316" s="1">
        <v>33</v>
      </c>
      <c r="B1316" s="1" t="s">
        <v>35</v>
      </c>
      <c r="C1316" s="1">
        <v>27.1</v>
      </c>
      <c r="D1316" s="1" t="s">
        <v>36</v>
      </c>
      <c r="E1316" s="1" t="s">
        <v>32</v>
      </c>
      <c r="F1316" s="2">
        <v>19040.876</v>
      </c>
    </row>
    <row r="1317" spans="1:6">
      <c r="A1317" s="1">
        <v>27</v>
      </c>
      <c r="B1317" s="1" t="s">
        <v>35</v>
      </c>
      <c r="C1317" s="1">
        <v>28.5</v>
      </c>
      <c r="D1317" s="1" t="s">
        <v>36</v>
      </c>
      <c r="E1317" s="1" t="s">
        <v>33</v>
      </c>
      <c r="F1317" s="2">
        <v>18310.741999999998</v>
      </c>
    </row>
    <row r="1318" spans="1:6">
      <c r="A1318" s="1">
        <v>36</v>
      </c>
      <c r="B1318" s="1" t="s">
        <v>35</v>
      </c>
      <c r="C1318" s="1">
        <v>28.024999999999999</v>
      </c>
      <c r="D1318" s="1" t="s">
        <v>36</v>
      </c>
      <c r="E1318" s="1" t="s">
        <v>34</v>
      </c>
      <c r="F1318" s="2">
        <v>20773.62775</v>
      </c>
    </row>
    <row r="1319" spans="1:6">
      <c r="A1319" s="1">
        <v>32</v>
      </c>
      <c r="B1319" s="1" t="s">
        <v>35</v>
      </c>
      <c r="C1319" s="1">
        <v>28.93</v>
      </c>
      <c r="D1319" s="1" t="s">
        <v>36</v>
      </c>
      <c r="E1319" s="1" t="s">
        <v>31</v>
      </c>
      <c r="F1319" s="2">
        <v>19719.6947</v>
      </c>
    </row>
    <row r="1320" spans="1:6">
      <c r="A1320" s="1">
        <v>57</v>
      </c>
      <c r="B1320" s="1" t="s">
        <v>35</v>
      </c>
      <c r="C1320" s="1">
        <v>28.975000000000001</v>
      </c>
      <c r="D1320" s="1" t="s">
        <v>36</v>
      </c>
      <c r="E1320" s="1" t="s">
        <v>34</v>
      </c>
      <c r="F1320" s="2">
        <v>27218.437249999999</v>
      </c>
    </row>
    <row r="1321" spans="1:6">
      <c r="A1321" s="1">
        <v>25</v>
      </c>
      <c r="B1321" s="1" t="s">
        <v>35</v>
      </c>
      <c r="C1321" s="1">
        <v>29.7</v>
      </c>
      <c r="D1321" s="1" t="s">
        <v>36</v>
      </c>
      <c r="E1321" s="1" t="s">
        <v>32</v>
      </c>
      <c r="F1321" s="2">
        <v>19933.457999999999</v>
      </c>
    </row>
    <row r="1322" spans="1:6">
      <c r="A1322" s="1">
        <v>34</v>
      </c>
      <c r="B1322" s="1" t="s">
        <v>35</v>
      </c>
      <c r="C1322" s="1">
        <v>27.835000000000001</v>
      </c>
      <c r="D1322" s="1" t="s">
        <v>36</v>
      </c>
      <c r="E1322" s="1" t="s">
        <v>33</v>
      </c>
      <c r="F1322" s="2">
        <v>20009.63365</v>
      </c>
    </row>
    <row r="1323" spans="1:6">
      <c r="A1323" s="1">
        <v>31</v>
      </c>
      <c r="B1323" s="1" t="s">
        <v>35</v>
      </c>
      <c r="C1323" s="1">
        <v>25.9</v>
      </c>
      <c r="D1323" s="1" t="s">
        <v>36</v>
      </c>
      <c r="E1323" s="1" t="s">
        <v>32</v>
      </c>
      <c r="F1323" s="2">
        <v>19199.944</v>
      </c>
    </row>
    <row r="1324" spans="1:6">
      <c r="A1324" s="1">
        <v>47</v>
      </c>
      <c r="B1324" s="1" t="s">
        <v>35</v>
      </c>
      <c r="C1324" s="1">
        <v>28.215</v>
      </c>
      <c r="D1324" s="1" t="s">
        <v>36</v>
      </c>
      <c r="E1324" s="1" t="s">
        <v>33</v>
      </c>
      <c r="F1324" s="2">
        <v>24915.220850000002</v>
      </c>
    </row>
    <row r="1325" spans="1:6">
      <c r="A1325" s="1">
        <v>19</v>
      </c>
      <c r="B1325" s="1" t="s">
        <v>35</v>
      </c>
      <c r="C1325" s="1">
        <v>26.03</v>
      </c>
      <c r="D1325" s="1" t="s">
        <v>36</v>
      </c>
      <c r="E1325" s="1" t="s">
        <v>33</v>
      </c>
      <c r="F1325" s="2">
        <v>16450.894700000001</v>
      </c>
    </row>
    <row r="1326" spans="1:6">
      <c r="A1326" s="1">
        <v>47</v>
      </c>
      <c r="B1326" s="1" t="s">
        <v>35</v>
      </c>
      <c r="C1326" s="1">
        <v>29.8</v>
      </c>
      <c r="D1326" s="1" t="s">
        <v>36</v>
      </c>
      <c r="E1326" s="1" t="s">
        <v>32</v>
      </c>
      <c r="F1326" s="2">
        <v>25309.489000000001</v>
      </c>
    </row>
    <row r="1327" spans="1:6">
      <c r="A1327" s="1">
        <v>18</v>
      </c>
      <c r="B1327" s="1" t="s">
        <v>35</v>
      </c>
      <c r="C1327" s="1">
        <v>27.36</v>
      </c>
      <c r="D1327" s="1" t="s">
        <v>36</v>
      </c>
      <c r="E1327" s="1" t="s">
        <v>34</v>
      </c>
      <c r="F1327" s="2">
        <v>17178.682400000002</v>
      </c>
    </row>
    <row r="1328" spans="1:6">
      <c r="A1328" s="1">
        <v>31</v>
      </c>
      <c r="B1328" s="1" t="s">
        <v>35</v>
      </c>
      <c r="C1328" s="1">
        <v>29.81</v>
      </c>
      <c r="D1328" s="1" t="s">
        <v>36</v>
      </c>
      <c r="E1328" s="1" t="s">
        <v>31</v>
      </c>
      <c r="F1328" s="2">
        <v>19350.368900000001</v>
      </c>
    </row>
    <row r="1329" spans="1:6">
      <c r="A1329" s="1">
        <v>24</v>
      </c>
      <c r="B1329" s="1" t="s">
        <v>35</v>
      </c>
      <c r="C1329" s="1">
        <v>29.83</v>
      </c>
      <c r="D1329" s="1" t="s">
        <v>36</v>
      </c>
      <c r="E1329" s="1" t="s">
        <v>34</v>
      </c>
      <c r="F1329" s="2">
        <v>18648.421699999999</v>
      </c>
    </row>
    <row r="1330" spans="1:6">
      <c r="A1330" s="1">
        <v>20</v>
      </c>
      <c r="B1330" s="1" t="s">
        <v>35</v>
      </c>
      <c r="C1330" s="1">
        <v>27.3</v>
      </c>
      <c r="D1330" s="1" t="s">
        <v>36</v>
      </c>
      <c r="E1330" s="1" t="s">
        <v>32</v>
      </c>
      <c r="F1330" s="2">
        <v>16232.847</v>
      </c>
    </row>
    <row r="1331" spans="1:6">
      <c r="A1331" s="1">
        <v>26</v>
      </c>
      <c r="B1331" s="1" t="s">
        <v>35</v>
      </c>
      <c r="C1331" s="1">
        <v>27.06</v>
      </c>
      <c r="D1331" s="1" t="s">
        <v>36</v>
      </c>
      <c r="E1331" s="1" t="s">
        <v>31</v>
      </c>
      <c r="F1331" s="2">
        <v>17043.341400000001</v>
      </c>
    </row>
    <row r="1332" spans="1:6">
      <c r="A1332" s="1">
        <v>43</v>
      </c>
      <c r="B1332" s="1" t="s">
        <v>35</v>
      </c>
      <c r="C1332" s="1">
        <v>27.8</v>
      </c>
      <c r="D1332" s="1" t="s">
        <v>36</v>
      </c>
      <c r="E1332" s="1" t="s">
        <v>32</v>
      </c>
      <c r="F1332" s="2">
        <v>37829.724199999997</v>
      </c>
    </row>
    <row r="1333" spans="1:6">
      <c r="A1333" s="1">
        <v>32</v>
      </c>
      <c r="B1333" s="1" t="s">
        <v>35</v>
      </c>
      <c r="C1333" s="1">
        <v>28.12</v>
      </c>
      <c r="D1333" s="1" t="s">
        <v>36</v>
      </c>
      <c r="E1333" s="1" t="s">
        <v>33</v>
      </c>
      <c r="F1333" s="2">
        <v>21472.478800000001</v>
      </c>
    </row>
    <row r="1334" spans="1:6">
      <c r="A1334" s="1">
        <v>62</v>
      </c>
      <c r="B1334" s="1" t="s">
        <v>35</v>
      </c>
      <c r="C1334" s="1">
        <v>26.695</v>
      </c>
      <c r="D1334" s="1" t="s">
        <v>36</v>
      </c>
      <c r="E1334" s="1" t="s">
        <v>34</v>
      </c>
      <c r="F1334" s="2">
        <v>28101.333050000001</v>
      </c>
    </row>
    <row r="1335" spans="1:6">
      <c r="A1335" s="1">
        <v>32</v>
      </c>
      <c r="B1335" s="1" t="s">
        <v>29</v>
      </c>
      <c r="C1335" s="1">
        <v>17.765000000000001</v>
      </c>
      <c r="D1335" s="1" t="s">
        <v>36</v>
      </c>
      <c r="E1335" s="1" t="s">
        <v>33</v>
      </c>
      <c r="F1335" s="2">
        <v>32734.186300000001</v>
      </c>
    </row>
    <row r="1336" spans="1:6">
      <c r="A1336" s="1">
        <v>27</v>
      </c>
      <c r="B1336" s="1" t="s">
        <v>29</v>
      </c>
      <c r="C1336" s="1">
        <v>17.954999999999998</v>
      </c>
      <c r="D1336" s="1" t="s">
        <v>36</v>
      </c>
      <c r="E1336" s="1" t="s">
        <v>34</v>
      </c>
      <c r="F1336" s="2">
        <v>15006.579449999999</v>
      </c>
    </row>
    <row r="1337" spans="1:6">
      <c r="A1337" s="1">
        <v>26</v>
      </c>
      <c r="B1337" s="1" t="s">
        <v>29</v>
      </c>
      <c r="C1337" s="1">
        <v>17.195</v>
      </c>
      <c r="D1337" s="1" t="s">
        <v>36</v>
      </c>
      <c r="E1337" s="1" t="s">
        <v>34</v>
      </c>
      <c r="F1337" s="2">
        <v>14455.644050000001</v>
      </c>
    </row>
    <row r="1338" spans="1:6">
      <c r="A1338" s="1">
        <v>39</v>
      </c>
      <c r="B1338" s="1" t="s">
        <v>29</v>
      </c>
      <c r="C1338" s="1">
        <v>18.3</v>
      </c>
      <c r="D1338" s="1" t="s">
        <v>36</v>
      </c>
      <c r="E1338" s="1" t="s">
        <v>32</v>
      </c>
      <c r="F1338" s="2">
        <v>19023.259999999998</v>
      </c>
    </row>
    <row r="1339" spans="1:6">
      <c r="A1339" s="1">
        <v>18</v>
      </c>
      <c r="B1339" s="1" t="s">
        <v>35</v>
      </c>
      <c r="C1339" s="1">
        <v>17.29</v>
      </c>
      <c r="D1339" s="1" t="s">
        <v>36</v>
      </c>
      <c r="E1339" s="1" t="s">
        <v>34</v>
      </c>
      <c r="F1339" s="2">
        <v>12829.455099999999</v>
      </c>
    </row>
  </sheetData>
  <autoFilter ref="A1:F1339" xr:uid="{53FD8054-B3BF-4E6B-9AC7-A8AD2BFC5D9E}">
    <filterColumn colId="3">
      <filters>
        <filter val="yes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D806-BBFE-46A9-8410-C8AE3FFE07BD}">
  <sheetPr filterMode="1">
    <tabColor rgb="FFF14989"/>
  </sheetPr>
  <dimension ref="A1:Q1339"/>
  <sheetViews>
    <sheetView topLeftCell="E1" zoomScale="130" zoomScaleNormal="130" workbookViewId="0">
      <selection activeCell="I1" activeCellId="1" sqref="Q1:Q1048576 I1:L1048576"/>
    </sheetView>
  </sheetViews>
  <sheetFormatPr defaultColWidth="8.85546875" defaultRowHeight="15"/>
  <cols>
    <col min="1" max="1" width="9.140625" customWidth="1"/>
    <col min="2" max="2" width="7.85546875" bestFit="1" customWidth="1"/>
    <col min="3" max="3" width="13.85546875" bestFit="1" customWidth="1"/>
    <col min="4" max="4" width="18.28515625" bestFit="1" customWidth="1"/>
    <col min="5" max="5" width="27.140625" bestFit="1" customWidth="1"/>
    <col min="6" max="6" width="19.42578125" bestFit="1" customWidth="1"/>
    <col min="10" max="10" width="10.42578125" bestFit="1" customWidth="1"/>
    <col min="13" max="13" width="11.28515625" hidden="1" customWidth="1"/>
    <col min="14" max="14" width="5.42578125" hidden="1" customWidth="1"/>
    <col min="15" max="15" width="15.42578125" hidden="1" customWidth="1"/>
    <col min="16" max="16" width="6.42578125" hidden="1" customWidth="1"/>
    <col min="17" max="17" width="29.85546875" style="3" bestFit="1" customWidth="1"/>
  </cols>
  <sheetData>
    <row r="1" spans="1:17" s="56" customFormat="1">
      <c r="A1" s="57" t="s">
        <v>23</v>
      </c>
      <c r="B1" s="57" t="s">
        <v>25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13</v>
      </c>
      <c r="H1" s="57" t="s">
        <v>17</v>
      </c>
      <c r="I1" s="57" t="s">
        <v>31</v>
      </c>
      <c r="J1" s="57" t="s">
        <v>32</v>
      </c>
      <c r="K1" s="57" t="s">
        <v>33</v>
      </c>
      <c r="L1" s="57" t="s">
        <v>34</v>
      </c>
      <c r="M1" s="57" t="s">
        <v>41</v>
      </c>
      <c r="N1" s="57" t="s">
        <v>42</v>
      </c>
      <c r="O1" s="57" t="s">
        <v>43</v>
      </c>
      <c r="P1" s="57" t="s">
        <v>44</v>
      </c>
      <c r="Q1" s="58" t="s">
        <v>28</v>
      </c>
    </row>
    <row r="2" spans="1:17" hidden="1">
      <c r="A2" s="22">
        <v>18</v>
      </c>
      <c r="B2" s="22">
        <v>20.79</v>
      </c>
      <c r="C2" s="24">
        <v>1</v>
      </c>
      <c r="D2" s="24">
        <v>0</v>
      </c>
      <c r="E2" s="24">
        <v>0</v>
      </c>
      <c r="F2" s="24">
        <v>0</v>
      </c>
      <c r="G2" s="24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 s="23">
        <v>1607.5101</v>
      </c>
    </row>
    <row r="3" spans="1:17" hidden="1">
      <c r="A3" s="22">
        <v>18</v>
      </c>
      <c r="B3" s="22">
        <v>24.09</v>
      </c>
      <c r="C3" s="24">
        <v>1</v>
      </c>
      <c r="D3" s="24">
        <v>0</v>
      </c>
      <c r="E3" s="24">
        <v>0</v>
      </c>
      <c r="F3" s="24">
        <v>0</v>
      </c>
      <c r="G3" s="24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 s="23">
        <v>2201.0971</v>
      </c>
    </row>
    <row r="4" spans="1:17" hidden="1">
      <c r="A4" s="22">
        <v>19</v>
      </c>
      <c r="B4" s="22">
        <v>24.7</v>
      </c>
      <c r="C4" s="24">
        <v>1</v>
      </c>
      <c r="D4" s="24">
        <v>0</v>
      </c>
      <c r="E4" s="24">
        <v>0</v>
      </c>
      <c r="F4" s="24">
        <v>0</v>
      </c>
      <c r="G4" s="2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 s="23">
        <v>1737.376</v>
      </c>
    </row>
    <row r="5" spans="1:17" hidden="1">
      <c r="A5" s="22">
        <v>19</v>
      </c>
      <c r="B5" s="22">
        <v>24.51</v>
      </c>
      <c r="C5" s="24">
        <v>1</v>
      </c>
      <c r="D5" s="24">
        <v>0</v>
      </c>
      <c r="E5" s="24">
        <v>0</v>
      </c>
      <c r="F5" s="24">
        <v>0</v>
      </c>
      <c r="G5" s="24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 s="23">
        <v>2709.1118999999999</v>
      </c>
    </row>
    <row r="6" spans="1:17" hidden="1">
      <c r="A6" s="22">
        <v>19</v>
      </c>
      <c r="B6" s="22">
        <v>22.515000000000001</v>
      </c>
      <c r="C6" s="24">
        <v>1</v>
      </c>
      <c r="D6" s="24">
        <v>0</v>
      </c>
      <c r="E6" s="24">
        <v>0</v>
      </c>
      <c r="F6" s="24">
        <v>0</v>
      </c>
      <c r="G6" s="24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 s="23">
        <v>2117.3388500000001</v>
      </c>
    </row>
    <row r="7" spans="1:17" hidden="1">
      <c r="A7" s="22">
        <v>19</v>
      </c>
      <c r="B7" s="22">
        <v>23.4</v>
      </c>
      <c r="C7" s="24">
        <v>1</v>
      </c>
      <c r="D7" s="24">
        <v>0</v>
      </c>
      <c r="E7" s="24">
        <v>0</v>
      </c>
      <c r="F7" s="24">
        <v>0</v>
      </c>
      <c r="G7" s="24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 s="23">
        <v>2913.569</v>
      </c>
    </row>
    <row r="8" spans="1:17" hidden="1">
      <c r="A8" s="22">
        <v>19</v>
      </c>
      <c r="B8" s="22">
        <v>24.605</v>
      </c>
      <c r="C8" s="24">
        <v>1</v>
      </c>
      <c r="D8" s="24">
        <v>0</v>
      </c>
      <c r="E8" s="24">
        <v>0</v>
      </c>
      <c r="F8" s="24">
        <v>0</v>
      </c>
      <c r="G8" s="24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 s="23">
        <v>2709.24395</v>
      </c>
    </row>
    <row r="9" spans="1:17" hidden="1">
      <c r="A9" s="22">
        <v>19</v>
      </c>
      <c r="B9" s="22">
        <v>18.600000000000001</v>
      </c>
      <c r="C9" s="24">
        <v>1</v>
      </c>
      <c r="D9" s="24">
        <v>0</v>
      </c>
      <c r="E9" s="24">
        <v>0</v>
      </c>
      <c r="F9" s="24">
        <v>0</v>
      </c>
      <c r="G9" s="24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 s="23">
        <v>1728.8969999999999</v>
      </c>
    </row>
    <row r="10" spans="1:17" hidden="1">
      <c r="A10" s="22">
        <v>19</v>
      </c>
      <c r="B10" s="22">
        <v>20.6</v>
      </c>
      <c r="C10" s="24">
        <v>1</v>
      </c>
      <c r="D10" s="24">
        <v>0</v>
      </c>
      <c r="E10" s="24">
        <v>0</v>
      </c>
      <c r="F10" s="24">
        <v>0</v>
      </c>
      <c r="G10" s="24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 s="23">
        <v>1731.6769999999999</v>
      </c>
    </row>
    <row r="11" spans="1:17" hidden="1">
      <c r="A11" s="22">
        <v>21</v>
      </c>
      <c r="B11" s="22">
        <v>21.89</v>
      </c>
      <c r="C11" s="24">
        <v>1</v>
      </c>
      <c r="D11" s="24">
        <v>0</v>
      </c>
      <c r="E11" s="24">
        <v>0</v>
      </c>
      <c r="F11" s="24">
        <v>0</v>
      </c>
      <c r="G11" s="24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 s="23">
        <v>3180.5101</v>
      </c>
    </row>
    <row r="12" spans="1:17" hidden="1">
      <c r="A12" s="22">
        <v>21</v>
      </c>
      <c r="B12" s="22">
        <v>22.135000000000002</v>
      </c>
      <c r="C12" s="24">
        <v>1</v>
      </c>
      <c r="D12" s="24">
        <v>0</v>
      </c>
      <c r="E12" s="24">
        <v>0</v>
      </c>
      <c r="F12" s="24">
        <v>0</v>
      </c>
      <c r="G12" s="24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 s="23">
        <v>2585.8506499999999</v>
      </c>
    </row>
    <row r="13" spans="1:17" hidden="1">
      <c r="A13" s="22">
        <v>22</v>
      </c>
      <c r="B13" s="22">
        <v>24.3</v>
      </c>
      <c r="C13" s="24">
        <v>1</v>
      </c>
      <c r="D13" s="24">
        <v>0</v>
      </c>
      <c r="E13" s="24">
        <v>0</v>
      </c>
      <c r="F13" s="24">
        <v>0</v>
      </c>
      <c r="G13" s="24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 s="23">
        <v>2150.4690000000001</v>
      </c>
    </row>
    <row r="14" spans="1:17" hidden="1">
      <c r="A14" s="22">
        <v>22</v>
      </c>
      <c r="B14" s="22">
        <v>23.18</v>
      </c>
      <c r="C14" s="24">
        <v>1</v>
      </c>
      <c r="D14" s="24">
        <v>0</v>
      </c>
      <c r="E14" s="24">
        <v>0</v>
      </c>
      <c r="F14" s="24">
        <v>0</v>
      </c>
      <c r="G14" s="2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 s="23">
        <v>2731.9122000000002</v>
      </c>
    </row>
    <row r="15" spans="1:17" hidden="1">
      <c r="A15" s="22">
        <v>22</v>
      </c>
      <c r="B15" s="22">
        <v>20.234999999999999</v>
      </c>
      <c r="C15" s="24">
        <v>1</v>
      </c>
      <c r="D15" s="24">
        <v>0</v>
      </c>
      <c r="E15" s="24">
        <v>0</v>
      </c>
      <c r="F15" s="24">
        <v>0</v>
      </c>
      <c r="G15" s="24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 s="23">
        <v>2527.8186500000002</v>
      </c>
    </row>
    <row r="16" spans="1:17" hidden="1">
      <c r="A16" s="22">
        <v>22</v>
      </c>
      <c r="B16" s="22">
        <v>21.28</v>
      </c>
      <c r="C16" s="24">
        <v>1</v>
      </c>
      <c r="D16" s="24">
        <v>0</v>
      </c>
      <c r="E16" s="24">
        <v>0</v>
      </c>
      <c r="F16" s="24">
        <v>0</v>
      </c>
      <c r="G16" s="24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 s="23">
        <v>4296.2712000000001</v>
      </c>
    </row>
    <row r="17" spans="1:17" hidden="1">
      <c r="A17" s="22">
        <v>23</v>
      </c>
      <c r="B17" s="22">
        <v>23.18</v>
      </c>
      <c r="C17" s="24">
        <v>1</v>
      </c>
      <c r="D17" s="24">
        <v>0</v>
      </c>
      <c r="E17" s="24">
        <v>0</v>
      </c>
      <c r="F17" s="24">
        <v>0</v>
      </c>
      <c r="G17" s="24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 s="23">
        <v>14426.073850000001</v>
      </c>
    </row>
    <row r="18" spans="1:17" hidden="1">
      <c r="A18" s="22">
        <v>23</v>
      </c>
      <c r="B18" s="22">
        <v>24.225000000000001</v>
      </c>
      <c r="C18" s="24">
        <v>1</v>
      </c>
      <c r="D18" s="24">
        <v>0</v>
      </c>
      <c r="E18" s="24">
        <v>0</v>
      </c>
      <c r="F18" s="24">
        <v>0</v>
      </c>
      <c r="G18" s="24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 s="23">
        <v>22395.74424</v>
      </c>
    </row>
    <row r="19" spans="1:17" hidden="1">
      <c r="A19" s="22">
        <v>24</v>
      </c>
      <c r="B19" s="22">
        <v>23.21</v>
      </c>
      <c r="C19" s="24">
        <v>1</v>
      </c>
      <c r="D19" s="24">
        <v>0</v>
      </c>
      <c r="E19" s="24">
        <v>0</v>
      </c>
      <c r="F19" s="24">
        <v>0</v>
      </c>
      <c r="G19" s="24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 s="23">
        <v>25081.76784</v>
      </c>
    </row>
    <row r="20" spans="1:17" hidden="1">
      <c r="A20" s="22">
        <v>24</v>
      </c>
      <c r="B20" s="22">
        <v>22.6</v>
      </c>
      <c r="C20" s="24">
        <v>1</v>
      </c>
      <c r="D20" s="24">
        <v>0</v>
      </c>
      <c r="E20" s="24">
        <v>0</v>
      </c>
      <c r="F20" s="24">
        <v>0</v>
      </c>
      <c r="G20" s="24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 s="23">
        <v>2457.502</v>
      </c>
    </row>
    <row r="21" spans="1:17" hidden="1">
      <c r="A21" s="22">
        <v>24</v>
      </c>
      <c r="B21" s="22">
        <v>24.225000000000001</v>
      </c>
      <c r="C21" s="24">
        <v>1</v>
      </c>
      <c r="D21" s="24">
        <v>0</v>
      </c>
      <c r="E21" s="24">
        <v>0</v>
      </c>
      <c r="F21" s="24">
        <v>0</v>
      </c>
      <c r="G21" s="24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 s="23">
        <v>2842.7607499999999</v>
      </c>
    </row>
    <row r="22" spans="1:17" hidden="1">
      <c r="A22" s="22">
        <v>25</v>
      </c>
      <c r="B22" s="22">
        <v>23.465</v>
      </c>
      <c r="C22" s="24">
        <v>1</v>
      </c>
      <c r="D22" s="24">
        <v>0</v>
      </c>
      <c r="E22" s="24">
        <v>0</v>
      </c>
      <c r="F22" s="24">
        <v>0</v>
      </c>
      <c r="G22" s="24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 s="23">
        <v>3206.4913499999998</v>
      </c>
    </row>
    <row r="23" spans="1:17" hidden="1">
      <c r="A23" s="22">
        <v>25</v>
      </c>
      <c r="B23" s="22">
        <v>24.3</v>
      </c>
      <c r="C23" s="24">
        <v>1</v>
      </c>
      <c r="D23" s="24">
        <v>0</v>
      </c>
      <c r="E23" s="24">
        <v>0</v>
      </c>
      <c r="F23" s="24">
        <v>0</v>
      </c>
      <c r="G23" s="24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 s="23">
        <v>4391.652</v>
      </c>
    </row>
    <row r="24" spans="1:17" hidden="1">
      <c r="A24" s="22">
        <v>25</v>
      </c>
      <c r="B24" s="22">
        <v>22.515000000000001</v>
      </c>
      <c r="C24" s="24">
        <v>1</v>
      </c>
      <c r="D24" s="24">
        <v>0</v>
      </c>
      <c r="E24" s="24">
        <v>0</v>
      </c>
      <c r="F24" s="24">
        <v>0</v>
      </c>
      <c r="G24" s="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0</v>
      </c>
      <c r="Q24" s="23">
        <v>3594.17085</v>
      </c>
    </row>
    <row r="25" spans="1:17" hidden="1">
      <c r="A25" s="22">
        <v>25</v>
      </c>
      <c r="B25" s="22">
        <v>20.8</v>
      </c>
      <c r="C25" s="24">
        <v>1</v>
      </c>
      <c r="D25" s="24">
        <v>0</v>
      </c>
      <c r="E25" s="24">
        <v>0</v>
      </c>
      <c r="F25" s="24">
        <v>0</v>
      </c>
      <c r="G25" s="24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 s="23">
        <v>3208.7869999999998</v>
      </c>
    </row>
    <row r="26" spans="1:17" hidden="1">
      <c r="A26" s="22">
        <v>26</v>
      </c>
      <c r="B26" s="22">
        <v>22.61</v>
      </c>
      <c r="C26" s="24">
        <v>1</v>
      </c>
      <c r="D26" s="24">
        <v>0</v>
      </c>
      <c r="E26" s="24">
        <v>0</v>
      </c>
      <c r="F26" s="24">
        <v>0</v>
      </c>
      <c r="G26" s="24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 s="23">
        <v>3176.8159000000001</v>
      </c>
    </row>
    <row r="27" spans="1:17" hidden="1">
      <c r="A27" s="22">
        <v>26</v>
      </c>
      <c r="B27" s="22">
        <v>19.8</v>
      </c>
      <c r="C27" s="24">
        <v>1</v>
      </c>
      <c r="D27" s="24">
        <v>0</v>
      </c>
      <c r="E27" s="24">
        <v>0</v>
      </c>
      <c r="F27" s="24">
        <v>0</v>
      </c>
      <c r="G27" s="24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 s="23">
        <v>3378.91</v>
      </c>
    </row>
    <row r="28" spans="1:17" hidden="1">
      <c r="A28" s="22">
        <v>26</v>
      </c>
      <c r="B28" s="22">
        <v>22.23</v>
      </c>
      <c r="C28" s="24">
        <v>1</v>
      </c>
      <c r="D28" s="24">
        <v>0</v>
      </c>
      <c r="E28" s="24">
        <v>0</v>
      </c>
      <c r="F28" s="24">
        <v>0</v>
      </c>
      <c r="G28" s="24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 s="23">
        <v>3176.2876999999999</v>
      </c>
    </row>
    <row r="29" spans="1:17" hidden="1">
      <c r="A29" s="22">
        <v>27</v>
      </c>
      <c r="B29" s="22">
        <v>23.21</v>
      </c>
      <c r="C29" s="24">
        <v>1</v>
      </c>
      <c r="D29" s="24">
        <v>0</v>
      </c>
      <c r="E29" s="24">
        <v>0</v>
      </c>
      <c r="F29" s="24">
        <v>0</v>
      </c>
      <c r="G29" s="24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 s="23">
        <v>3561.8888999999999</v>
      </c>
    </row>
    <row r="30" spans="1:17" hidden="1">
      <c r="A30" s="22">
        <v>27</v>
      </c>
      <c r="B30" s="22">
        <v>24.1</v>
      </c>
      <c r="C30" s="24">
        <v>1</v>
      </c>
      <c r="D30" s="24">
        <v>0</v>
      </c>
      <c r="E30" s="24">
        <v>0</v>
      </c>
      <c r="F30" s="24">
        <v>0</v>
      </c>
      <c r="G30" s="24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 s="23">
        <v>2974.1260000000002</v>
      </c>
    </row>
    <row r="31" spans="1:17" hidden="1">
      <c r="A31" s="22">
        <v>27</v>
      </c>
      <c r="B31" s="22">
        <v>21.47</v>
      </c>
      <c r="C31" s="24">
        <v>1</v>
      </c>
      <c r="D31" s="24">
        <v>0</v>
      </c>
      <c r="E31" s="24">
        <v>0</v>
      </c>
      <c r="F31" s="24">
        <v>0</v>
      </c>
      <c r="G31" s="24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 s="23">
        <v>3353.4703</v>
      </c>
    </row>
    <row r="32" spans="1:17" hidden="1">
      <c r="A32" s="22">
        <v>28</v>
      </c>
      <c r="B32" s="22">
        <v>24.32</v>
      </c>
      <c r="C32" s="24">
        <v>1</v>
      </c>
      <c r="D32" s="24">
        <v>0</v>
      </c>
      <c r="E32" s="24">
        <v>0</v>
      </c>
      <c r="F32" s="24">
        <v>0</v>
      </c>
      <c r="G32" s="24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  <c r="P32">
        <v>0</v>
      </c>
      <c r="Q32" s="23">
        <v>23288.928400000001</v>
      </c>
    </row>
    <row r="33" spans="1:17" hidden="1">
      <c r="A33" s="22">
        <v>28</v>
      </c>
      <c r="B33" s="22">
        <v>23.844999999999999</v>
      </c>
      <c r="C33" s="24">
        <v>1</v>
      </c>
      <c r="D33" s="24">
        <v>0</v>
      </c>
      <c r="E33" s="24">
        <v>0</v>
      </c>
      <c r="F33" s="24">
        <v>0</v>
      </c>
      <c r="G33" s="24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 s="23">
        <v>4719.7365499999996</v>
      </c>
    </row>
    <row r="34" spans="1:17" hidden="1">
      <c r="A34" s="22">
        <v>29</v>
      </c>
      <c r="B34" s="22">
        <v>20.234999999999999</v>
      </c>
      <c r="C34" s="24">
        <v>1</v>
      </c>
      <c r="D34" s="24">
        <v>0</v>
      </c>
      <c r="E34" s="24">
        <v>0</v>
      </c>
      <c r="F34" s="24">
        <v>0</v>
      </c>
      <c r="G34" s="2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 s="23">
        <v>4906.4096499999996</v>
      </c>
    </row>
    <row r="35" spans="1:17" hidden="1">
      <c r="A35" s="22">
        <v>29</v>
      </c>
      <c r="B35" s="22">
        <v>24.6</v>
      </c>
      <c r="C35" s="24">
        <v>1</v>
      </c>
      <c r="D35" s="24">
        <v>0</v>
      </c>
      <c r="E35" s="24">
        <v>0</v>
      </c>
      <c r="F35" s="24">
        <v>0</v>
      </c>
      <c r="G35" s="24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 s="23">
        <v>4529.4769999999999</v>
      </c>
    </row>
    <row r="36" spans="1:17" hidden="1">
      <c r="A36" s="22">
        <v>30</v>
      </c>
      <c r="B36" s="22">
        <v>22.895</v>
      </c>
      <c r="C36" s="24">
        <v>1</v>
      </c>
      <c r="D36" s="24">
        <v>0</v>
      </c>
      <c r="E36" s="24">
        <v>0</v>
      </c>
      <c r="F36" s="24">
        <v>0</v>
      </c>
      <c r="G36" s="24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 s="23">
        <v>4719.52405</v>
      </c>
    </row>
    <row r="37" spans="1:17" hidden="1">
      <c r="A37" s="22">
        <v>30</v>
      </c>
      <c r="B37" s="22">
        <v>19.95</v>
      </c>
      <c r="C37" s="24">
        <v>1</v>
      </c>
      <c r="D37" s="24">
        <v>0</v>
      </c>
      <c r="E37" s="24">
        <v>0</v>
      </c>
      <c r="F37" s="24">
        <v>0</v>
      </c>
      <c r="G37" s="24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 s="23">
        <v>5693.4305000000004</v>
      </c>
    </row>
    <row r="38" spans="1:17" hidden="1">
      <c r="A38" s="22">
        <v>30</v>
      </c>
      <c r="B38" s="22">
        <v>21.945</v>
      </c>
      <c r="C38" s="24">
        <v>1</v>
      </c>
      <c r="D38" s="24">
        <v>0</v>
      </c>
      <c r="E38" s="24">
        <v>0</v>
      </c>
      <c r="F38" s="24">
        <v>0</v>
      </c>
      <c r="G38" s="24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0</v>
      </c>
      <c r="Q38" s="23">
        <v>4718.2035500000002</v>
      </c>
    </row>
    <row r="39" spans="1:17" hidden="1">
      <c r="A39" s="22">
        <v>31</v>
      </c>
      <c r="B39" s="22">
        <v>23.6</v>
      </c>
      <c r="C39" s="24">
        <v>1</v>
      </c>
      <c r="D39" s="24">
        <v>0</v>
      </c>
      <c r="E39" s="24">
        <v>0</v>
      </c>
      <c r="F39" s="24">
        <v>0</v>
      </c>
      <c r="G39" s="24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 s="23">
        <v>4931.6469999999999</v>
      </c>
    </row>
    <row r="40" spans="1:17" hidden="1">
      <c r="A40" s="22">
        <v>31</v>
      </c>
      <c r="B40" s="22">
        <v>21.754999999999999</v>
      </c>
      <c r="C40" s="24">
        <v>1</v>
      </c>
      <c r="D40" s="24">
        <v>0</v>
      </c>
      <c r="E40" s="24">
        <v>0</v>
      </c>
      <c r="F40" s="24">
        <v>0</v>
      </c>
      <c r="G40" s="24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 s="23">
        <v>4134.0824499999999</v>
      </c>
    </row>
    <row r="41" spans="1:17" hidden="1">
      <c r="A41" s="22">
        <v>32</v>
      </c>
      <c r="B41" s="22">
        <v>23.65</v>
      </c>
      <c r="C41" s="24">
        <v>1</v>
      </c>
      <c r="D41" s="24">
        <v>0</v>
      </c>
      <c r="E41" s="24">
        <v>0</v>
      </c>
      <c r="F41" s="24">
        <v>0</v>
      </c>
      <c r="G41" s="24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 s="23">
        <v>17626.239509999999</v>
      </c>
    </row>
    <row r="42" spans="1:17" hidden="1">
      <c r="A42" s="22">
        <v>32</v>
      </c>
      <c r="B42" s="22">
        <v>20.52</v>
      </c>
      <c r="C42" s="24">
        <v>1</v>
      </c>
      <c r="D42" s="24">
        <v>0</v>
      </c>
      <c r="E42" s="24">
        <v>0</v>
      </c>
      <c r="F42" s="24">
        <v>0</v>
      </c>
      <c r="G42" s="24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 s="23">
        <v>4544.2348000000002</v>
      </c>
    </row>
    <row r="43" spans="1:17" hidden="1">
      <c r="A43" s="22">
        <v>33</v>
      </c>
      <c r="B43" s="22">
        <v>22.135000000000002</v>
      </c>
      <c r="C43" s="24">
        <v>1</v>
      </c>
      <c r="D43" s="24">
        <v>0</v>
      </c>
      <c r="E43" s="24">
        <v>0</v>
      </c>
      <c r="F43" s="24">
        <v>0</v>
      </c>
      <c r="G43" s="24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 s="23">
        <v>5354.0746499999996</v>
      </c>
    </row>
    <row r="44" spans="1:17" hidden="1">
      <c r="A44" s="22">
        <v>33</v>
      </c>
      <c r="B44" s="22">
        <v>24.31</v>
      </c>
      <c r="C44" s="24">
        <v>1</v>
      </c>
      <c r="D44" s="24">
        <v>0</v>
      </c>
      <c r="E44" s="24">
        <v>0</v>
      </c>
      <c r="F44" s="24">
        <v>0</v>
      </c>
      <c r="G44" s="2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 s="23">
        <v>4185.0978999999998</v>
      </c>
    </row>
    <row r="45" spans="1:17" hidden="1">
      <c r="A45" s="22">
        <v>33</v>
      </c>
      <c r="B45" s="22">
        <v>18.5</v>
      </c>
      <c r="C45" s="24">
        <v>1</v>
      </c>
      <c r="D45" s="24">
        <v>0</v>
      </c>
      <c r="E45" s="24">
        <v>0</v>
      </c>
      <c r="F45" s="24">
        <v>0</v>
      </c>
      <c r="G45" s="24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 s="23">
        <v>4766.0219999999999</v>
      </c>
    </row>
    <row r="46" spans="1:17" hidden="1">
      <c r="A46" s="22">
        <v>34</v>
      </c>
      <c r="B46" s="22">
        <v>19</v>
      </c>
      <c r="C46" s="24">
        <v>1</v>
      </c>
      <c r="D46" s="24">
        <v>0</v>
      </c>
      <c r="E46" s="24">
        <v>0</v>
      </c>
      <c r="F46" s="24">
        <v>0</v>
      </c>
      <c r="G46" s="24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 s="23">
        <v>6753.0379999999996</v>
      </c>
    </row>
    <row r="47" spans="1:17" hidden="1">
      <c r="A47" s="22">
        <v>34</v>
      </c>
      <c r="B47" s="22">
        <v>23.56</v>
      </c>
      <c r="C47" s="24">
        <v>1</v>
      </c>
      <c r="D47" s="24">
        <v>0</v>
      </c>
      <c r="E47" s="24">
        <v>0</v>
      </c>
      <c r="F47" s="24">
        <v>0</v>
      </c>
      <c r="G47" s="24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 s="23">
        <v>4992.3764000000001</v>
      </c>
    </row>
    <row r="48" spans="1:17" hidden="1">
      <c r="A48" s="22">
        <v>35</v>
      </c>
      <c r="B48" s="22">
        <v>23.465</v>
      </c>
      <c r="C48" s="24">
        <v>1</v>
      </c>
      <c r="D48" s="24">
        <v>0</v>
      </c>
      <c r="E48" s="24">
        <v>0</v>
      </c>
      <c r="F48" s="24">
        <v>0</v>
      </c>
      <c r="G48" s="24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 s="23">
        <v>6402.2913500000004</v>
      </c>
    </row>
    <row r="49" spans="1:17" hidden="1">
      <c r="A49" s="22">
        <v>36</v>
      </c>
      <c r="B49" s="22">
        <v>19.855</v>
      </c>
      <c r="C49" s="24">
        <v>1</v>
      </c>
      <c r="D49" s="24">
        <v>0</v>
      </c>
      <c r="E49" s="24">
        <v>0</v>
      </c>
      <c r="F49" s="24">
        <v>0</v>
      </c>
      <c r="G49" s="24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 s="23">
        <v>5458.0464499999998</v>
      </c>
    </row>
    <row r="50" spans="1:17" hidden="1">
      <c r="A50" s="22">
        <v>36</v>
      </c>
      <c r="B50" s="22">
        <v>22.135000000000002</v>
      </c>
      <c r="C50" s="24">
        <v>1</v>
      </c>
      <c r="D50" s="24">
        <v>0</v>
      </c>
      <c r="E50" s="24">
        <v>0</v>
      </c>
      <c r="F50" s="24">
        <v>0</v>
      </c>
      <c r="G50" s="24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 s="23">
        <v>7228.2156500000001</v>
      </c>
    </row>
    <row r="51" spans="1:17" hidden="1">
      <c r="A51" s="22">
        <v>37</v>
      </c>
      <c r="B51" s="22">
        <v>23.37</v>
      </c>
      <c r="C51" s="24">
        <v>1</v>
      </c>
      <c r="D51" s="24">
        <v>0</v>
      </c>
      <c r="E51" s="24">
        <v>0</v>
      </c>
      <c r="F51" s="24">
        <v>0</v>
      </c>
      <c r="G51" s="24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 s="23">
        <v>6686.4313000000002</v>
      </c>
    </row>
    <row r="52" spans="1:17" hidden="1">
      <c r="A52" s="22">
        <v>38</v>
      </c>
      <c r="B52" s="22">
        <v>19.475000000000001</v>
      </c>
      <c r="C52" s="24">
        <v>1</v>
      </c>
      <c r="D52" s="24">
        <v>0</v>
      </c>
      <c r="E52" s="24">
        <v>0</v>
      </c>
      <c r="F52" s="24">
        <v>0</v>
      </c>
      <c r="G52" s="24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 s="23">
        <v>6933.2422500000002</v>
      </c>
    </row>
    <row r="53" spans="1:17" hidden="1">
      <c r="A53" s="22">
        <v>38</v>
      </c>
      <c r="B53" s="22">
        <v>19.95</v>
      </c>
      <c r="C53" s="24">
        <v>1</v>
      </c>
      <c r="D53" s="24">
        <v>0</v>
      </c>
      <c r="E53" s="24">
        <v>0</v>
      </c>
      <c r="F53" s="24">
        <v>0</v>
      </c>
      <c r="G53" s="24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>
        <v>0</v>
      </c>
      <c r="Q53" s="23">
        <v>7133.9025000000001</v>
      </c>
    </row>
    <row r="54" spans="1:17" hidden="1">
      <c r="A54" s="22">
        <v>39</v>
      </c>
      <c r="B54" s="22">
        <v>22.8</v>
      </c>
      <c r="C54" s="24">
        <v>1</v>
      </c>
      <c r="D54" s="24">
        <v>0</v>
      </c>
      <c r="E54" s="24">
        <v>0</v>
      </c>
      <c r="F54" s="24">
        <v>0</v>
      </c>
      <c r="G54" s="2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1</v>
      </c>
      <c r="P54">
        <v>0</v>
      </c>
      <c r="Q54" s="23">
        <v>7985.8149999999996</v>
      </c>
    </row>
    <row r="55" spans="1:17" hidden="1">
      <c r="A55" s="22">
        <v>39</v>
      </c>
      <c r="B55" s="22">
        <v>24.225000000000001</v>
      </c>
      <c r="C55" s="24">
        <v>1</v>
      </c>
      <c r="D55" s="24">
        <v>0</v>
      </c>
      <c r="E55" s="24">
        <v>0</v>
      </c>
      <c r="F55" s="24">
        <v>0</v>
      </c>
      <c r="G55" s="24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 s="23">
        <v>8965.7957499999993</v>
      </c>
    </row>
    <row r="56" spans="1:17" hidden="1">
      <c r="A56" s="22">
        <v>39</v>
      </c>
      <c r="B56" s="22">
        <v>23.274999999999999</v>
      </c>
      <c r="C56" s="24">
        <v>1</v>
      </c>
      <c r="D56" s="24">
        <v>0</v>
      </c>
      <c r="E56" s="24">
        <v>0</v>
      </c>
      <c r="F56" s="24">
        <v>0</v>
      </c>
      <c r="G56" s="24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 s="23">
        <v>7986.4752500000004</v>
      </c>
    </row>
    <row r="57" spans="1:17" hidden="1">
      <c r="A57" s="22">
        <v>39</v>
      </c>
      <c r="B57" s="22">
        <v>23.87</v>
      </c>
      <c r="C57" s="24">
        <v>1</v>
      </c>
      <c r="D57" s="24">
        <v>0</v>
      </c>
      <c r="E57" s="24">
        <v>0</v>
      </c>
      <c r="F57" s="24">
        <v>0</v>
      </c>
      <c r="G57" s="24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 s="23">
        <v>8582.3022999999994</v>
      </c>
    </row>
    <row r="58" spans="1:17" hidden="1">
      <c r="A58" s="22">
        <v>40</v>
      </c>
      <c r="B58" s="22">
        <v>23.37</v>
      </c>
      <c r="C58" s="24">
        <v>1</v>
      </c>
      <c r="D58" s="24">
        <v>0</v>
      </c>
      <c r="E58" s="24">
        <v>0</v>
      </c>
      <c r="F58" s="24">
        <v>0</v>
      </c>
      <c r="G58" s="24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 s="23">
        <v>8252.2842999999993</v>
      </c>
    </row>
    <row r="59" spans="1:17" hidden="1">
      <c r="A59" s="22">
        <v>41</v>
      </c>
      <c r="B59" s="22">
        <v>21.754999999999999</v>
      </c>
      <c r="C59" s="24">
        <v>1</v>
      </c>
      <c r="D59" s="24">
        <v>0</v>
      </c>
      <c r="E59" s="24">
        <v>0</v>
      </c>
      <c r="F59" s="24">
        <v>0</v>
      </c>
      <c r="G59" s="24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 s="23">
        <v>13725.47184</v>
      </c>
    </row>
    <row r="60" spans="1:17" hidden="1">
      <c r="A60" s="22">
        <v>44</v>
      </c>
      <c r="B60" s="22">
        <v>23.98</v>
      </c>
      <c r="C60" s="24">
        <v>1</v>
      </c>
      <c r="D60" s="24">
        <v>0</v>
      </c>
      <c r="E60" s="24">
        <v>0</v>
      </c>
      <c r="F60" s="24">
        <v>0</v>
      </c>
      <c r="G60" s="24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 s="23">
        <v>8211.1002000000008</v>
      </c>
    </row>
    <row r="61" spans="1:17" hidden="1">
      <c r="A61" s="22">
        <v>46</v>
      </c>
      <c r="B61" s="22">
        <v>19.95</v>
      </c>
      <c r="C61" s="24">
        <v>1</v>
      </c>
      <c r="D61" s="24">
        <v>0</v>
      </c>
      <c r="E61" s="24">
        <v>0</v>
      </c>
      <c r="F61" s="24">
        <v>0</v>
      </c>
      <c r="G61" s="24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 s="23">
        <v>9193.8384999999998</v>
      </c>
    </row>
    <row r="62" spans="1:17" hidden="1">
      <c r="A62" s="22">
        <v>47</v>
      </c>
      <c r="B62" s="22">
        <v>23.6</v>
      </c>
      <c r="C62" s="24">
        <v>1</v>
      </c>
      <c r="D62" s="24">
        <v>0</v>
      </c>
      <c r="E62" s="24">
        <v>0</v>
      </c>
      <c r="F62" s="24">
        <v>0</v>
      </c>
      <c r="G62" s="24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 s="23">
        <v>8539.6710000000003</v>
      </c>
    </row>
    <row r="63" spans="1:17" hidden="1">
      <c r="A63" s="22">
        <v>47</v>
      </c>
      <c r="B63" s="22">
        <v>24.1</v>
      </c>
      <c r="C63" s="24">
        <v>1</v>
      </c>
      <c r="D63" s="24">
        <v>0</v>
      </c>
      <c r="E63" s="24">
        <v>0</v>
      </c>
      <c r="F63" s="24">
        <v>0</v>
      </c>
      <c r="G63" s="24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 s="23">
        <v>26236.579969999999</v>
      </c>
    </row>
    <row r="64" spans="1:17" hidden="1">
      <c r="A64" s="22">
        <v>47</v>
      </c>
      <c r="B64" s="22">
        <v>24.32</v>
      </c>
      <c r="C64" s="24">
        <v>1</v>
      </c>
      <c r="D64" s="24">
        <v>0</v>
      </c>
      <c r="E64" s="24">
        <v>0</v>
      </c>
      <c r="F64" s="24">
        <v>0</v>
      </c>
      <c r="G64" s="2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 s="23">
        <v>8534.6718000000001</v>
      </c>
    </row>
    <row r="65" spans="1:17" hidden="1">
      <c r="A65" s="22">
        <v>48</v>
      </c>
      <c r="B65" s="22">
        <v>22.8</v>
      </c>
      <c r="C65" s="24">
        <v>1</v>
      </c>
      <c r="D65" s="24">
        <v>0</v>
      </c>
      <c r="E65" s="24">
        <v>0</v>
      </c>
      <c r="F65" s="24">
        <v>0</v>
      </c>
      <c r="G65" s="24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 s="23">
        <v>8269.0439999999999</v>
      </c>
    </row>
    <row r="66" spans="1:17" hidden="1">
      <c r="A66" s="22">
        <v>49</v>
      </c>
      <c r="B66" s="22">
        <v>21.3</v>
      </c>
      <c r="C66" s="24">
        <v>1</v>
      </c>
      <c r="D66" s="24">
        <v>0</v>
      </c>
      <c r="E66" s="24">
        <v>0</v>
      </c>
      <c r="F66" s="24">
        <v>0</v>
      </c>
      <c r="G66" s="24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 s="23">
        <v>9182.17</v>
      </c>
    </row>
    <row r="67" spans="1:17" hidden="1">
      <c r="A67" s="22">
        <v>49</v>
      </c>
      <c r="B67" s="22">
        <v>23.18</v>
      </c>
      <c r="C67" s="24">
        <v>1</v>
      </c>
      <c r="D67" s="24">
        <v>0</v>
      </c>
      <c r="E67" s="24">
        <v>0</v>
      </c>
      <c r="F67" s="24">
        <v>0</v>
      </c>
      <c r="G67" s="24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  <c r="Q67" s="23">
        <v>10156.7832</v>
      </c>
    </row>
    <row r="68" spans="1:17" hidden="1">
      <c r="A68" s="22">
        <v>49</v>
      </c>
      <c r="B68" s="22">
        <v>22.61</v>
      </c>
      <c r="C68" s="24">
        <v>1</v>
      </c>
      <c r="D68" s="24">
        <v>0</v>
      </c>
      <c r="E68" s="24">
        <v>0</v>
      </c>
      <c r="F68" s="24">
        <v>0</v>
      </c>
      <c r="G68" s="24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  <c r="Q68" s="23">
        <v>9566.9909000000007</v>
      </c>
    </row>
    <row r="69" spans="1:17" hidden="1">
      <c r="A69" s="22">
        <v>50</v>
      </c>
      <c r="B69" s="22">
        <v>23.54</v>
      </c>
      <c r="C69" s="24">
        <v>1</v>
      </c>
      <c r="D69" s="24">
        <v>0</v>
      </c>
      <c r="E69" s="24">
        <v>0</v>
      </c>
      <c r="F69" s="24">
        <v>0</v>
      </c>
      <c r="G69" s="24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 s="23">
        <v>10107.220600000001</v>
      </c>
    </row>
    <row r="70" spans="1:17" hidden="1">
      <c r="A70" s="22">
        <v>51</v>
      </c>
      <c r="B70" s="22">
        <v>21.56</v>
      </c>
      <c r="C70" s="24">
        <v>1</v>
      </c>
      <c r="D70" s="24">
        <v>0</v>
      </c>
      <c r="E70" s="24">
        <v>0</v>
      </c>
      <c r="F70" s="24">
        <v>0</v>
      </c>
      <c r="G70" s="24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 s="23">
        <v>9855.1314000000002</v>
      </c>
    </row>
    <row r="71" spans="1:17" hidden="1">
      <c r="A71" s="22">
        <v>51</v>
      </c>
      <c r="B71" s="22">
        <v>20.6</v>
      </c>
      <c r="C71" s="24">
        <v>1</v>
      </c>
      <c r="D71" s="24">
        <v>0</v>
      </c>
      <c r="E71" s="24">
        <v>0</v>
      </c>
      <c r="F71" s="24">
        <v>0</v>
      </c>
      <c r="G71" s="24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 s="23">
        <v>9264.7970000000005</v>
      </c>
    </row>
    <row r="72" spans="1:17" hidden="1">
      <c r="A72" s="22">
        <v>52</v>
      </c>
      <c r="B72" s="22">
        <v>24.86</v>
      </c>
      <c r="C72" s="24">
        <v>1</v>
      </c>
      <c r="D72" s="24">
        <v>0</v>
      </c>
      <c r="E72" s="24">
        <v>0</v>
      </c>
      <c r="F72" s="24">
        <v>0</v>
      </c>
      <c r="G72" s="24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 s="23">
        <v>27117.993780000001</v>
      </c>
    </row>
    <row r="73" spans="1:17" hidden="1">
      <c r="A73" s="22">
        <v>52</v>
      </c>
      <c r="B73" s="22">
        <v>23.18</v>
      </c>
      <c r="C73" s="24">
        <v>1</v>
      </c>
      <c r="D73" s="24">
        <v>0</v>
      </c>
      <c r="E73" s="24">
        <v>0</v>
      </c>
      <c r="F73" s="24">
        <v>0</v>
      </c>
      <c r="G73" s="24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1</v>
      </c>
      <c r="P73">
        <v>0</v>
      </c>
      <c r="Q73" s="23">
        <v>10197.772199999999</v>
      </c>
    </row>
    <row r="74" spans="1:17" hidden="1">
      <c r="A74" s="22">
        <v>53</v>
      </c>
      <c r="B74" s="22">
        <v>24.795000000000002</v>
      </c>
      <c r="C74" s="24">
        <v>1</v>
      </c>
      <c r="D74" s="24">
        <v>0</v>
      </c>
      <c r="E74" s="24">
        <v>0</v>
      </c>
      <c r="F74" s="24">
        <v>0</v>
      </c>
      <c r="G74" s="2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 s="23">
        <v>10942.13205</v>
      </c>
    </row>
    <row r="75" spans="1:17" hidden="1">
      <c r="A75" s="22">
        <v>53</v>
      </c>
      <c r="B75" s="22">
        <v>23.75</v>
      </c>
      <c r="C75" s="24">
        <v>1</v>
      </c>
      <c r="D75" s="24">
        <v>0</v>
      </c>
      <c r="E75" s="24">
        <v>0</v>
      </c>
      <c r="F75" s="24">
        <v>0</v>
      </c>
      <c r="G75" s="24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 s="23">
        <v>11729.6795</v>
      </c>
    </row>
    <row r="76" spans="1:17" hidden="1">
      <c r="A76" s="22">
        <v>54</v>
      </c>
      <c r="B76" s="22">
        <v>21.47</v>
      </c>
      <c r="C76" s="24">
        <v>1</v>
      </c>
      <c r="D76" s="24">
        <v>0</v>
      </c>
      <c r="E76" s="24">
        <v>0</v>
      </c>
      <c r="F76" s="24">
        <v>0</v>
      </c>
      <c r="G76" s="24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  <c r="Q76" s="23">
        <v>12475.3513</v>
      </c>
    </row>
    <row r="77" spans="1:17" hidden="1">
      <c r="A77" s="22">
        <v>54</v>
      </c>
      <c r="B77" s="22">
        <v>23</v>
      </c>
      <c r="C77" s="24">
        <v>1</v>
      </c>
      <c r="D77" s="24">
        <v>0</v>
      </c>
      <c r="E77" s="24">
        <v>0</v>
      </c>
      <c r="F77" s="24">
        <v>0</v>
      </c>
      <c r="G77" s="24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 s="23">
        <v>12094.477999999999</v>
      </c>
    </row>
    <row r="78" spans="1:17" hidden="1">
      <c r="A78" s="22">
        <v>54</v>
      </c>
      <c r="B78" s="22">
        <v>24.605</v>
      </c>
      <c r="C78" s="24">
        <v>1</v>
      </c>
      <c r="D78" s="24">
        <v>0</v>
      </c>
      <c r="E78" s="24">
        <v>0</v>
      </c>
      <c r="F78" s="24">
        <v>0</v>
      </c>
      <c r="G78" s="24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 s="23">
        <v>12479.70895</v>
      </c>
    </row>
    <row r="79" spans="1:17" hidden="1">
      <c r="A79" s="22">
        <v>57</v>
      </c>
      <c r="B79" s="22">
        <v>23.18</v>
      </c>
      <c r="C79" s="24">
        <v>1</v>
      </c>
      <c r="D79" s="24">
        <v>0</v>
      </c>
      <c r="E79" s="24">
        <v>0</v>
      </c>
      <c r="F79" s="24">
        <v>0</v>
      </c>
      <c r="G79" s="24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 s="23">
        <v>11830.6072</v>
      </c>
    </row>
    <row r="80" spans="1:17" hidden="1">
      <c r="A80" s="22">
        <v>57</v>
      </c>
      <c r="B80" s="22">
        <v>22.23</v>
      </c>
      <c r="C80" s="24">
        <v>1</v>
      </c>
      <c r="D80" s="24">
        <v>0</v>
      </c>
      <c r="E80" s="24">
        <v>0</v>
      </c>
      <c r="F80" s="24">
        <v>0</v>
      </c>
      <c r="G80" s="24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 s="23">
        <v>12029.286700000001</v>
      </c>
    </row>
    <row r="81" spans="1:17" hidden="1">
      <c r="A81" s="22">
        <v>57</v>
      </c>
      <c r="B81" s="22">
        <v>23.98</v>
      </c>
      <c r="C81" s="24">
        <v>1</v>
      </c>
      <c r="D81" s="24">
        <v>0</v>
      </c>
      <c r="E81" s="24">
        <v>0</v>
      </c>
      <c r="F81" s="24">
        <v>0</v>
      </c>
      <c r="G81" s="24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 s="23">
        <v>22192.437109999999</v>
      </c>
    </row>
    <row r="82" spans="1:17" hidden="1">
      <c r="A82" s="22">
        <v>57</v>
      </c>
      <c r="B82" s="22">
        <v>20.100000000000001</v>
      </c>
      <c r="C82" s="24">
        <v>1</v>
      </c>
      <c r="D82" s="24">
        <v>0</v>
      </c>
      <c r="E82" s="24">
        <v>0</v>
      </c>
      <c r="F82" s="24">
        <v>0</v>
      </c>
      <c r="G82" s="24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 s="23">
        <v>12032.325999999999</v>
      </c>
    </row>
    <row r="83" spans="1:17" hidden="1">
      <c r="A83" s="22">
        <v>58</v>
      </c>
      <c r="B83" s="22">
        <v>22.77</v>
      </c>
      <c r="C83" s="24">
        <v>1</v>
      </c>
      <c r="D83" s="24">
        <v>0</v>
      </c>
      <c r="E83" s="24">
        <v>0</v>
      </c>
      <c r="F83" s="24">
        <v>0</v>
      </c>
      <c r="G83" s="24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 s="23">
        <v>11833.782300000001</v>
      </c>
    </row>
    <row r="84" spans="1:17" hidden="1">
      <c r="A84" s="22">
        <v>60</v>
      </c>
      <c r="B84" s="22">
        <v>24.53</v>
      </c>
      <c r="C84" s="24">
        <v>1</v>
      </c>
      <c r="D84" s="24">
        <v>0</v>
      </c>
      <c r="E84" s="24">
        <v>0</v>
      </c>
      <c r="F84" s="24">
        <v>0</v>
      </c>
      <c r="G84" s="2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 s="23">
        <v>12629.896699999999</v>
      </c>
    </row>
    <row r="85" spans="1:17" hidden="1">
      <c r="A85" s="22">
        <v>60</v>
      </c>
      <c r="B85" s="22">
        <v>24.035</v>
      </c>
      <c r="C85" s="24">
        <v>1</v>
      </c>
      <c r="D85" s="24">
        <v>0</v>
      </c>
      <c r="E85" s="24">
        <v>0</v>
      </c>
      <c r="F85" s="24">
        <v>0</v>
      </c>
      <c r="G85" s="24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 s="23">
        <v>13012.20865</v>
      </c>
    </row>
    <row r="86" spans="1:17" hidden="1">
      <c r="A86" s="22">
        <v>61</v>
      </c>
      <c r="B86" s="22">
        <v>22.04</v>
      </c>
      <c r="C86" s="24">
        <v>1</v>
      </c>
      <c r="D86" s="24">
        <v>0</v>
      </c>
      <c r="E86" s="24">
        <v>0</v>
      </c>
      <c r="F86" s="24">
        <v>0</v>
      </c>
      <c r="G86" s="24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1</v>
      </c>
      <c r="Q86" s="23">
        <v>13616.3586</v>
      </c>
    </row>
    <row r="87" spans="1:17" hidden="1">
      <c r="A87" s="22">
        <v>61</v>
      </c>
      <c r="B87" s="22">
        <v>21.09</v>
      </c>
      <c r="C87" s="24">
        <v>1</v>
      </c>
      <c r="D87" s="24">
        <v>0</v>
      </c>
      <c r="E87" s="24">
        <v>0</v>
      </c>
      <c r="F87" s="24">
        <v>0</v>
      </c>
      <c r="G87" s="24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1</v>
      </c>
      <c r="Q87" s="23">
        <v>13415.0381</v>
      </c>
    </row>
    <row r="88" spans="1:17" hidden="1">
      <c r="A88" s="22">
        <v>63</v>
      </c>
      <c r="B88" s="22">
        <v>23.085000000000001</v>
      </c>
      <c r="C88" s="24">
        <v>1</v>
      </c>
      <c r="D88" s="24">
        <v>0</v>
      </c>
      <c r="E88" s="24">
        <v>0</v>
      </c>
      <c r="F88" s="24">
        <v>0</v>
      </c>
      <c r="G88" s="24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1</v>
      </c>
      <c r="Q88" s="23">
        <v>14451.835150000001</v>
      </c>
    </row>
    <row r="89" spans="1:17" hidden="1">
      <c r="A89" s="22">
        <v>63</v>
      </c>
      <c r="B89" s="22">
        <v>21.66</v>
      </c>
      <c r="C89" s="24">
        <v>1</v>
      </c>
      <c r="D89" s="24">
        <v>0</v>
      </c>
      <c r="E89" s="24">
        <v>0</v>
      </c>
      <c r="F89" s="24">
        <v>0</v>
      </c>
      <c r="G89" s="24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 s="23">
        <v>14449.8544</v>
      </c>
    </row>
    <row r="90" spans="1:17">
      <c r="A90" s="22">
        <v>53</v>
      </c>
      <c r="B90" s="22">
        <v>22.88</v>
      </c>
      <c r="C90" s="24">
        <v>1</v>
      </c>
      <c r="D90" s="24">
        <v>0</v>
      </c>
      <c r="E90" s="24">
        <v>0</v>
      </c>
      <c r="F90" s="24">
        <v>0</v>
      </c>
      <c r="G90" s="24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 s="23">
        <v>23244.790199999999</v>
      </c>
    </row>
    <row r="91" spans="1:17">
      <c r="A91" s="22">
        <v>20</v>
      </c>
      <c r="B91" s="22">
        <v>22.42</v>
      </c>
      <c r="C91" s="24">
        <v>1</v>
      </c>
      <c r="D91" s="24">
        <v>0</v>
      </c>
      <c r="E91" s="24">
        <v>0</v>
      </c>
      <c r="F91" s="24">
        <v>0</v>
      </c>
      <c r="G91" s="24">
        <v>0</v>
      </c>
      <c r="H91">
        <v>1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 s="23">
        <v>14711.7438</v>
      </c>
    </row>
    <row r="92" spans="1:17">
      <c r="A92" s="22">
        <v>27</v>
      </c>
      <c r="B92" s="22">
        <v>24.75</v>
      </c>
      <c r="C92" s="24">
        <v>1</v>
      </c>
      <c r="D92" s="24">
        <v>0</v>
      </c>
      <c r="E92" s="24">
        <v>0</v>
      </c>
      <c r="F92" s="24">
        <v>0</v>
      </c>
      <c r="G92" s="24">
        <v>0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 s="23">
        <v>16577.779500000001</v>
      </c>
    </row>
    <row r="93" spans="1:17">
      <c r="A93" s="22">
        <v>42</v>
      </c>
      <c r="B93" s="22">
        <v>23.37</v>
      </c>
      <c r="C93" s="24">
        <v>1</v>
      </c>
      <c r="D93" s="24">
        <v>0</v>
      </c>
      <c r="E93" s="24">
        <v>0</v>
      </c>
      <c r="F93" s="24">
        <v>0</v>
      </c>
      <c r="G93" s="24">
        <v>0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1</v>
      </c>
      <c r="P93">
        <v>0</v>
      </c>
      <c r="Q93" s="23">
        <v>19964.746299999999</v>
      </c>
    </row>
    <row r="94" spans="1:17">
      <c r="A94" s="22">
        <v>40</v>
      </c>
      <c r="B94" s="22">
        <v>22.22</v>
      </c>
      <c r="C94" s="24">
        <v>1</v>
      </c>
      <c r="D94" s="24">
        <v>0</v>
      </c>
      <c r="E94" s="24">
        <v>0</v>
      </c>
      <c r="F94" s="24">
        <v>0</v>
      </c>
      <c r="G94" s="2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 s="23">
        <v>19444.265800000001</v>
      </c>
    </row>
    <row r="95" spans="1:17">
      <c r="A95" s="22">
        <v>53</v>
      </c>
      <c r="B95" s="22">
        <v>22.61</v>
      </c>
      <c r="C95" s="24">
        <v>1</v>
      </c>
      <c r="D95" s="24">
        <v>0</v>
      </c>
      <c r="E95" s="24">
        <v>0</v>
      </c>
      <c r="F95" s="24">
        <v>0</v>
      </c>
      <c r="G95" s="24">
        <v>0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 s="23">
        <v>24873.384900000001</v>
      </c>
    </row>
    <row r="96" spans="1:17">
      <c r="A96" s="22">
        <v>19</v>
      </c>
      <c r="B96" s="22">
        <v>21.7</v>
      </c>
      <c r="C96" s="24">
        <v>1</v>
      </c>
      <c r="D96" s="24">
        <v>0</v>
      </c>
      <c r="E96" s="24">
        <v>0</v>
      </c>
      <c r="F96" s="24">
        <v>0</v>
      </c>
      <c r="G96" s="24">
        <v>0</v>
      </c>
      <c r="H96">
        <v>1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 s="23">
        <v>13844.505999999999</v>
      </c>
    </row>
    <row r="97" spans="1:17">
      <c r="A97" s="22">
        <v>39</v>
      </c>
      <c r="B97" s="22">
        <v>24.89</v>
      </c>
      <c r="C97" s="24">
        <v>1</v>
      </c>
      <c r="D97" s="24">
        <v>0</v>
      </c>
      <c r="E97" s="24">
        <v>0</v>
      </c>
      <c r="F97" s="24">
        <v>0</v>
      </c>
      <c r="G97" s="24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1</v>
      </c>
      <c r="P97">
        <v>0</v>
      </c>
      <c r="Q97" s="23">
        <v>21659.930100000001</v>
      </c>
    </row>
    <row r="98" spans="1:17">
      <c r="A98" s="22">
        <v>44</v>
      </c>
      <c r="B98" s="22">
        <v>20.234999999999999</v>
      </c>
      <c r="C98" s="24">
        <v>1</v>
      </c>
      <c r="D98" s="24">
        <v>0</v>
      </c>
      <c r="E98" s="24">
        <v>0</v>
      </c>
      <c r="F98" s="24">
        <v>0</v>
      </c>
      <c r="G98" s="24">
        <v>0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1</v>
      </c>
      <c r="P98">
        <v>0</v>
      </c>
      <c r="Q98" s="23">
        <v>19594.809649999999</v>
      </c>
    </row>
    <row r="99" spans="1:17">
      <c r="A99" s="22">
        <v>36</v>
      </c>
      <c r="B99" s="22">
        <v>22.6</v>
      </c>
      <c r="C99" s="24">
        <v>1</v>
      </c>
      <c r="D99" s="24">
        <v>0</v>
      </c>
      <c r="E99" s="24">
        <v>0</v>
      </c>
      <c r="F99" s="24">
        <v>0</v>
      </c>
      <c r="G99" s="24">
        <v>0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 s="23">
        <v>18608.261999999999</v>
      </c>
    </row>
    <row r="100" spans="1:17">
      <c r="A100" s="22">
        <v>21</v>
      </c>
      <c r="B100" s="22">
        <v>21.85</v>
      </c>
      <c r="C100" s="24">
        <v>1</v>
      </c>
      <c r="D100" s="24">
        <v>0</v>
      </c>
      <c r="E100" s="24">
        <v>0</v>
      </c>
      <c r="F100" s="24">
        <v>0</v>
      </c>
      <c r="G100" s="24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 s="23">
        <v>15359.104499999999</v>
      </c>
    </row>
    <row r="101" spans="1:17">
      <c r="A101" s="22">
        <v>59</v>
      </c>
      <c r="B101" s="22">
        <v>23.655000000000001</v>
      </c>
      <c r="C101" s="24">
        <v>1</v>
      </c>
      <c r="D101" s="24">
        <v>0</v>
      </c>
      <c r="E101" s="24">
        <v>0</v>
      </c>
      <c r="F101" s="24">
        <v>0</v>
      </c>
      <c r="G101" s="24">
        <v>0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  <c r="Q101" s="23">
        <v>25678.778450000002</v>
      </c>
    </row>
    <row r="102" spans="1:17">
      <c r="A102" s="22">
        <v>64</v>
      </c>
      <c r="B102" s="22">
        <v>22.99</v>
      </c>
      <c r="C102" s="24">
        <v>1</v>
      </c>
      <c r="D102" s="24">
        <v>0</v>
      </c>
      <c r="E102" s="24">
        <v>0</v>
      </c>
      <c r="F102" s="24">
        <v>0</v>
      </c>
      <c r="G102" s="24">
        <v>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 s="23">
        <v>27037.914100000002</v>
      </c>
    </row>
    <row r="103" spans="1:17">
      <c r="A103" s="22">
        <v>29</v>
      </c>
      <c r="B103" s="22">
        <v>21.754999999999999</v>
      </c>
      <c r="C103" s="24">
        <v>1</v>
      </c>
      <c r="D103" s="24">
        <v>0</v>
      </c>
      <c r="E103" s="24">
        <v>0</v>
      </c>
      <c r="F103" s="24">
        <v>0</v>
      </c>
      <c r="G103" s="24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 s="23">
        <v>16657.71745</v>
      </c>
    </row>
    <row r="104" spans="1:17">
      <c r="A104" s="22">
        <v>49</v>
      </c>
      <c r="B104" s="22">
        <v>23.844999999999999</v>
      </c>
      <c r="C104" s="24">
        <v>1</v>
      </c>
      <c r="D104" s="24">
        <v>0</v>
      </c>
      <c r="E104" s="24">
        <v>0</v>
      </c>
      <c r="F104" s="24">
        <v>0</v>
      </c>
      <c r="G104" s="2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0</v>
      </c>
      <c r="Q104" s="23">
        <v>24106.912550000001</v>
      </c>
    </row>
    <row r="105" spans="1:17">
      <c r="A105" s="22">
        <v>43</v>
      </c>
      <c r="B105" s="22">
        <v>20.045000000000002</v>
      </c>
      <c r="C105" s="24">
        <v>1</v>
      </c>
      <c r="D105" s="24">
        <v>0</v>
      </c>
      <c r="E105" s="24">
        <v>0</v>
      </c>
      <c r="F105" s="24">
        <v>0</v>
      </c>
      <c r="G105" s="24">
        <v>0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 s="23">
        <v>19798.054550000001</v>
      </c>
    </row>
    <row r="106" spans="1:17">
      <c r="A106" s="22">
        <v>32</v>
      </c>
      <c r="B106" s="22">
        <v>24.6</v>
      </c>
      <c r="C106" s="24">
        <v>1</v>
      </c>
      <c r="D106" s="24">
        <v>0</v>
      </c>
      <c r="E106" s="24">
        <v>0</v>
      </c>
      <c r="F106" s="24">
        <v>0</v>
      </c>
      <c r="G106" s="24">
        <v>0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 s="23">
        <v>17496.306</v>
      </c>
    </row>
    <row r="107" spans="1:17">
      <c r="A107" s="22">
        <v>24</v>
      </c>
      <c r="B107" s="22">
        <v>20.52</v>
      </c>
      <c r="C107" s="24">
        <v>1</v>
      </c>
      <c r="D107" s="24">
        <v>0</v>
      </c>
      <c r="E107" s="24">
        <v>0</v>
      </c>
      <c r="F107" s="24">
        <v>0</v>
      </c>
      <c r="G107" s="24">
        <v>0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 s="23">
        <v>14571.890799999999</v>
      </c>
    </row>
    <row r="108" spans="1:17">
      <c r="A108" s="22">
        <v>27</v>
      </c>
      <c r="B108" s="22">
        <v>20.045000000000002</v>
      </c>
      <c r="C108" s="24">
        <v>1</v>
      </c>
      <c r="D108" s="24">
        <v>0</v>
      </c>
      <c r="E108" s="24">
        <v>0</v>
      </c>
      <c r="F108" s="24">
        <v>0</v>
      </c>
      <c r="G108" s="24">
        <v>0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 s="23">
        <v>16420.494549999999</v>
      </c>
    </row>
    <row r="109" spans="1:17">
      <c r="A109" s="22">
        <v>46</v>
      </c>
      <c r="B109" s="22">
        <v>23.655000000000001</v>
      </c>
      <c r="C109" s="24">
        <v>1</v>
      </c>
      <c r="D109" s="24">
        <v>0</v>
      </c>
      <c r="E109" s="24">
        <v>0</v>
      </c>
      <c r="F109" s="24">
        <v>0</v>
      </c>
      <c r="G109" s="24">
        <v>0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  <c r="Q109" s="23">
        <v>21677.283449999999</v>
      </c>
    </row>
    <row r="110" spans="1:17">
      <c r="A110" s="22">
        <v>43</v>
      </c>
      <c r="B110" s="22">
        <v>24.7</v>
      </c>
      <c r="C110" s="24">
        <v>1</v>
      </c>
      <c r="D110" s="24">
        <v>0</v>
      </c>
      <c r="E110" s="24">
        <v>0</v>
      </c>
      <c r="F110" s="24">
        <v>0</v>
      </c>
      <c r="G110" s="24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  <c r="Q110" s="23">
        <v>21880.82</v>
      </c>
    </row>
    <row r="111" spans="1:17">
      <c r="A111" s="22">
        <v>33</v>
      </c>
      <c r="B111" s="22">
        <v>19.094999999999999</v>
      </c>
      <c r="C111" s="24">
        <v>1</v>
      </c>
      <c r="D111" s="24">
        <v>0</v>
      </c>
      <c r="E111" s="24">
        <v>0</v>
      </c>
      <c r="F111" s="24">
        <v>0</v>
      </c>
      <c r="G111" s="24">
        <v>0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0</v>
      </c>
      <c r="Q111" s="23">
        <v>16776.304049999999</v>
      </c>
    </row>
    <row r="112" spans="1:17">
      <c r="A112" s="22">
        <v>52</v>
      </c>
      <c r="B112" s="22">
        <v>24.13</v>
      </c>
      <c r="C112" s="24">
        <v>1</v>
      </c>
      <c r="D112" s="24">
        <v>0</v>
      </c>
      <c r="E112" s="24">
        <v>0</v>
      </c>
      <c r="F112" s="24">
        <v>0</v>
      </c>
      <c r="G112" s="24">
        <v>0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  <c r="Q112" s="23">
        <v>23887.662700000001</v>
      </c>
    </row>
    <row r="113" spans="1:17">
      <c r="A113" s="22">
        <v>20</v>
      </c>
      <c r="B113" s="22">
        <v>24.42</v>
      </c>
      <c r="C113" s="24">
        <v>1</v>
      </c>
      <c r="D113" s="24">
        <v>0</v>
      </c>
      <c r="E113" s="24">
        <v>0</v>
      </c>
      <c r="F113" s="24">
        <v>0</v>
      </c>
      <c r="G113" s="24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 s="23">
        <v>26125.674770000001</v>
      </c>
    </row>
    <row r="114" spans="1:17">
      <c r="A114" s="22">
        <v>20</v>
      </c>
      <c r="B114" s="22">
        <v>21.8</v>
      </c>
      <c r="C114" s="24">
        <v>1</v>
      </c>
      <c r="D114" s="24">
        <v>0</v>
      </c>
      <c r="E114" s="24">
        <v>0</v>
      </c>
      <c r="F114" s="24">
        <v>0</v>
      </c>
      <c r="G114" s="24">
        <v>0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 s="23">
        <v>20167.336029999999</v>
      </c>
    </row>
    <row r="115" spans="1:17">
      <c r="A115" s="22">
        <v>18</v>
      </c>
      <c r="B115" s="22">
        <v>21.66</v>
      </c>
      <c r="C115" s="24">
        <v>1</v>
      </c>
      <c r="D115" s="24">
        <v>0</v>
      </c>
      <c r="E115" s="24">
        <v>0</v>
      </c>
      <c r="F115" s="24">
        <v>0</v>
      </c>
      <c r="G115" s="24">
        <v>0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 s="23">
        <v>14283.4594</v>
      </c>
    </row>
    <row r="116" spans="1:17">
      <c r="A116" s="22">
        <v>29</v>
      </c>
      <c r="B116" s="22">
        <v>21.85</v>
      </c>
      <c r="C116" s="24">
        <v>1</v>
      </c>
      <c r="D116" s="24">
        <v>0</v>
      </c>
      <c r="E116" s="24">
        <v>0</v>
      </c>
      <c r="F116" s="24">
        <v>0</v>
      </c>
      <c r="G116" s="24">
        <v>0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0</v>
      </c>
      <c r="Q116" s="23">
        <v>16115.3045</v>
      </c>
    </row>
    <row r="117" spans="1:17">
      <c r="A117" s="22">
        <v>30</v>
      </c>
      <c r="B117" s="22">
        <v>23.655000000000001</v>
      </c>
      <c r="C117" s="24">
        <v>1</v>
      </c>
      <c r="D117" s="24">
        <v>0</v>
      </c>
      <c r="E117" s="24">
        <v>0</v>
      </c>
      <c r="F117" s="24">
        <v>0</v>
      </c>
      <c r="G117" s="24">
        <v>0</v>
      </c>
      <c r="H117">
        <v>1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 s="23">
        <v>18765.87545</v>
      </c>
    </row>
    <row r="118" spans="1:17" hidden="1">
      <c r="A118" s="22">
        <v>18</v>
      </c>
      <c r="B118" s="22">
        <v>23.75</v>
      </c>
      <c r="C118" s="24">
        <v>1</v>
      </c>
      <c r="D118" s="24">
        <v>0</v>
      </c>
      <c r="E118" s="24">
        <v>0</v>
      </c>
      <c r="F118" s="24">
        <v>0</v>
      </c>
      <c r="G118" s="24">
        <v>1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 s="23">
        <v>1705.6244999999999</v>
      </c>
    </row>
    <row r="119" spans="1:17" hidden="1">
      <c r="A119" s="22">
        <v>18</v>
      </c>
      <c r="B119" s="22">
        <v>22.99</v>
      </c>
      <c r="C119" s="24">
        <v>1</v>
      </c>
      <c r="D119" s="24">
        <v>0</v>
      </c>
      <c r="E119" s="24">
        <v>0</v>
      </c>
      <c r="F119" s="24">
        <v>0</v>
      </c>
      <c r="G119" s="24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0</v>
      </c>
      <c r="Q119" s="23">
        <v>1704.5681</v>
      </c>
    </row>
    <row r="120" spans="1:17" hidden="1">
      <c r="A120" s="22">
        <v>18</v>
      </c>
      <c r="B120" s="22">
        <v>23.21</v>
      </c>
      <c r="C120" s="24">
        <v>1</v>
      </c>
      <c r="D120" s="24">
        <v>0</v>
      </c>
      <c r="E120" s="24">
        <v>0</v>
      </c>
      <c r="F120" s="24">
        <v>0</v>
      </c>
      <c r="G120" s="24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 s="23">
        <v>1121.8739</v>
      </c>
    </row>
    <row r="121" spans="1:17" hidden="1">
      <c r="A121" s="22">
        <v>18</v>
      </c>
      <c r="B121" s="22">
        <v>23.32</v>
      </c>
      <c r="C121" s="24">
        <v>1</v>
      </c>
      <c r="D121" s="24">
        <v>0</v>
      </c>
      <c r="E121" s="24">
        <v>0</v>
      </c>
      <c r="F121" s="24">
        <v>0</v>
      </c>
      <c r="G121" s="24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 s="23">
        <v>1711.0268000000001</v>
      </c>
    </row>
    <row r="122" spans="1:17" hidden="1">
      <c r="A122" s="22">
        <v>18</v>
      </c>
      <c r="B122" s="22">
        <v>23.085000000000001</v>
      </c>
      <c r="C122" s="24">
        <v>1</v>
      </c>
      <c r="D122" s="24">
        <v>0</v>
      </c>
      <c r="E122" s="24">
        <v>0</v>
      </c>
      <c r="F122" s="24">
        <v>0</v>
      </c>
      <c r="G122" s="24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0</v>
      </c>
      <c r="Q122" s="23">
        <v>1704.7001499999999</v>
      </c>
    </row>
    <row r="123" spans="1:17" hidden="1">
      <c r="A123" s="22">
        <v>18</v>
      </c>
      <c r="B123" s="22">
        <v>21.78</v>
      </c>
      <c r="C123" s="24">
        <v>1</v>
      </c>
      <c r="D123" s="24">
        <v>0</v>
      </c>
      <c r="E123" s="24">
        <v>0</v>
      </c>
      <c r="F123" s="24">
        <v>0</v>
      </c>
      <c r="G123" s="24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 s="23">
        <v>11884.048580000001</v>
      </c>
    </row>
    <row r="124" spans="1:17" hidden="1">
      <c r="A124" s="22">
        <v>18</v>
      </c>
      <c r="B124" s="22">
        <v>21.47</v>
      </c>
      <c r="C124" s="24">
        <v>1</v>
      </c>
      <c r="D124" s="24">
        <v>0</v>
      </c>
      <c r="E124" s="24">
        <v>0</v>
      </c>
      <c r="F124" s="24">
        <v>0</v>
      </c>
      <c r="G124" s="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 s="23">
        <v>1702.4553000000001</v>
      </c>
    </row>
    <row r="125" spans="1:17" hidden="1">
      <c r="A125" s="22">
        <v>19</v>
      </c>
      <c r="B125" s="22">
        <v>24.6</v>
      </c>
      <c r="C125" s="24">
        <v>1</v>
      </c>
      <c r="D125" s="24">
        <v>0</v>
      </c>
      <c r="E125" s="24">
        <v>0</v>
      </c>
      <c r="F125" s="24">
        <v>0</v>
      </c>
      <c r="G125" s="24">
        <v>1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 s="23">
        <v>1837.2370000000001</v>
      </c>
    </row>
    <row r="126" spans="1:17" hidden="1">
      <c r="A126" s="22">
        <v>19</v>
      </c>
      <c r="B126" s="22">
        <v>20.425000000000001</v>
      </c>
      <c r="C126" s="24">
        <v>1</v>
      </c>
      <c r="D126" s="24">
        <v>0</v>
      </c>
      <c r="E126" s="24">
        <v>0</v>
      </c>
      <c r="F126" s="24">
        <v>0</v>
      </c>
      <c r="G126" s="24">
        <v>1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 s="23">
        <v>1625.4337499999999</v>
      </c>
    </row>
    <row r="127" spans="1:17" hidden="1">
      <c r="A127" s="22">
        <v>19</v>
      </c>
      <c r="B127" s="22">
        <v>20.9</v>
      </c>
      <c r="C127" s="24">
        <v>1</v>
      </c>
      <c r="D127" s="24">
        <v>0</v>
      </c>
      <c r="E127" s="24">
        <v>0</v>
      </c>
      <c r="F127" s="24">
        <v>0</v>
      </c>
      <c r="G127" s="24">
        <v>1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 s="23">
        <v>1832.0940000000001</v>
      </c>
    </row>
    <row r="128" spans="1:17" hidden="1">
      <c r="A128" s="22">
        <v>19</v>
      </c>
      <c r="B128" s="22">
        <v>20.614999999999998</v>
      </c>
      <c r="C128" s="24">
        <v>1</v>
      </c>
      <c r="D128" s="24">
        <v>0</v>
      </c>
      <c r="E128" s="24">
        <v>0</v>
      </c>
      <c r="F128" s="24">
        <v>0</v>
      </c>
      <c r="G128" s="24">
        <v>1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 s="23">
        <v>2803.69785</v>
      </c>
    </row>
    <row r="129" spans="1:17" hidden="1">
      <c r="A129" s="22">
        <v>19</v>
      </c>
      <c r="B129" s="22">
        <v>20.7</v>
      </c>
      <c r="C129" s="24">
        <v>1</v>
      </c>
      <c r="D129" s="24">
        <v>0</v>
      </c>
      <c r="E129" s="24">
        <v>0</v>
      </c>
      <c r="F129" s="24">
        <v>0</v>
      </c>
      <c r="G129" s="24">
        <v>1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 s="23">
        <v>1242.816</v>
      </c>
    </row>
    <row r="130" spans="1:17" hidden="1">
      <c r="A130" s="22">
        <v>19</v>
      </c>
      <c r="B130" s="22">
        <v>20.3</v>
      </c>
      <c r="C130" s="24">
        <v>1</v>
      </c>
      <c r="D130" s="24">
        <v>0</v>
      </c>
      <c r="E130" s="24">
        <v>0</v>
      </c>
      <c r="F130" s="24">
        <v>0</v>
      </c>
      <c r="G130" s="24">
        <v>1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 s="23">
        <v>1242.26</v>
      </c>
    </row>
    <row r="131" spans="1:17" hidden="1">
      <c r="A131" s="22">
        <v>19</v>
      </c>
      <c r="B131" s="22">
        <v>21.754999999999999</v>
      </c>
      <c r="C131" s="24">
        <v>1</v>
      </c>
      <c r="D131" s="24">
        <v>0</v>
      </c>
      <c r="E131" s="24">
        <v>0</v>
      </c>
      <c r="F131" s="24">
        <v>0</v>
      </c>
      <c r="G131" s="24">
        <v>1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0</v>
      </c>
      <c r="Q131" s="23">
        <v>1627.2824499999999</v>
      </c>
    </row>
    <row r="132" spans="1:17" hidden="1">
      <c r="A132" s="22">
        <v>19</v>
      </c>
      <c r="B132" s="22">
        <v>22.61</v>
      </c>
      <c r="C132" s="24">
        <v>1</v>
      </c>
      <c r="D132" s="24">
        <v>0</v>
      </c>
      <c r="E132" s="24">
        <v>0</v>
      </c>
      <c r="F132" s="24">
        <v>0</v>
      </c>
      <c r="G132" s="24">
        <v>1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 s="23">
        <v>1628.4709</v>
      </c>
    </row>
    <row r="133" spans="1:17" hidden="1">
      <c r="A133" s="22">
        <v>19</v>
      </c>
      <c r="B133" s="22">
        <v>19.8</v>
      </c>
      <c r="C133" s="24">
        <v>1</v>
      </c>
      <c r="D133" s="24">
        <v>0</v>
      </c>
      <c r="E133" s="24">
        <v>0</v>
      </c>
      <c r="F133" s="24">
        <v>0</v>
      </c>
      <c r="G133" s="24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 s="23">
        <v>1241.5650000000001</v>
      </c>
    </row>
    <row r="134" spans="1:17" hidden="1">
      <c r="A134" s="22">
        <v>20</v>
      </c>
      <c r="B134" s="22">
        <v>22</v>
      </c>
      <c r="C134" s="24">
        <v>1</v>
      </c>
      <c r="D134" s="24">
        <v>0</v>
      </c>
      <c r="E134" s="24">
        <v>0</v>
      </c>
      <c r="F134" s="24">
        <v>0</v>
      </c>
      <c r="G134" s="24">
        <v>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 s="23">
        <v>1964.78</v>
      </c>
    </row>
    <row r="135" spans="1:17" hidden="1">
      <c r="A135" s="22">
        <v>21</v>
      </c>
      <c r="B135" s="22">
        <v>23.75</v>
      </c>
      <c r="C135" s="24">
        <v>1</v>
      </c>
      <c r="D135" s="24">
        <v>0</v>
      </c>
      <c r="E135" s="24">
        <v>0</v>
      </c>
      <c r="F135" s="24">
        <v>0</v>
      </c>
      <c r="G135" s="24">
        <v>1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 s="23">
        <v>3077.0954999999999</v>
      </c>
    </row>
    <row r="136" spans="1:17" hidden="1">
      <c r="A136" s="22">
        <v>21</v>
      </c>
      <c r="B136" s="22">
        <v>20.234999999999999</v>
      </c>
      <c r="C136" s="24">
        <v>1</v>
      </c>
      <c r="D136" s="24">
        <v>0</v>
      </c>
      <c r="E136" s="24">
        <v>0</v>
      </c>
      <c r="F136" s="24">
        <v>0</v>
      </c>
      <c r="G136" s="24">
        <v>1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 s="23">
        <v>3861.2096499999998</v>
      </c>
    </row>
    <row r="137" spans="1:17" hidden="1">
      <c r="A137" s="22">
        <v>21</v>
      </c>
      <c r="B137" s="22">
        <v>22.3</v>
      </c>
      <c r="C137" s="24">
        <v>1</v>
      </c>
      <c r="D137" s="24">
        <v>0</v>
      </c>
      <c r="E137" s="24">
        <v>0</v>
      </c>
      <c r="F137" s="24">
        <v>0</v>
      </c>
      <c r="G137" s="24">
        <v>1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 s="23">
        <v>2103.08</v>
      </c>
    </row>
    <row r="138" spans="1:17" hidden="1">
      <c r="A138" s="22">
        <v>21</v>
      </c>
      <c r="B138" s="22">
        <v>23.21</v>
      </c>
      <c r="C138" s="24">
        <v>1</v>
      </c>
      <c r="D138" s="24">
        <v>0</v>
      </c>
      <c r="E138" s="24">
        <v>0</v>
      </c>
      <c r="F138" s="24">
        <v>0</v>
      </c>
      <c r="G138" s="24">
        <v>1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 s="23">
        <v>1515.3449000000001</v>
      </c>
    </row>
    <row r="139" spans="1:17" hidden="1">
      <c r="A139" s="22">
        <v>22</v>
      </c>
      <c r="B139" s="22">
        <v>19.95</v>
      </c>
      <c r="C139" s="24">
        <v>1</v>
      </c>
      <c r="D139" s="24">
        <v>0</v>
      </c>
      <c r="E139" s="24">
        <v>0</v>
      </c>
      <c r="F139" s="24">
        <v>0</v>
      </c>
      <c r="G139" s="24">
        <v>1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 s="23">
        <v>4005.4225000000001</v>
      </c>
    </row>
    <row r="140" spans="1:17" hidden="1">
      <c r="A140" s="22">
        <v>23</v>
      </c>
      <c r="B140" s="22">
        <v>23.844999999999999</v>
      </c>
      <c r="C140" s="24">
        <v>1</v>
      </c>
      <c r="D140" s="24">
        <v>0</v>
      </c>
      <c r="E140" s="24">
        <v>0</v>
      </c>
      <c r="F140" s="24">
        <v>0</v>
      </c>
      <c r="G140" s="24">
        <v>1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 s="23">
        <v>2395.17155</v>
      </c>
    </row>
    <row r="141" spans="1:17" hidden="1">
      <c r="A141" s="22">
        <v>23</v>
      </c>
      <c r="B141" s="22">
        <v>18.715</v>
      </c>
      <c r="C141" s="24">
        <v>1</v>
      </c>
      <c r="D141" s="24">
        <v>0</v>
      </c>
      <c r="E141" s="24">
        <v>0</v>
      </c>
      <c r="F141" s="24">
        <v>0</v>
      </c>
      <c r="G141" s="24">
        <v>1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 s="23">
        <v>21595.382290000001</v>
      </c>
    </row>
    <row r="142" spans="1:17" hidden="1">
      <c r="A142" s="22">
        <v>23</v>
      </c>
      <c r="B142" s="22">
        <v>24.51</v>
      </c>
      <c r="C142" s="24">
        <v>1</v>
      </c>
      <c r="D142" s="24">
        <v>0</v>
      </c>
      <c r="E142" s="24">
        <v>0</v>
      </c>
      <c r="F142" s="24">
        <v>0</v>
      </c>
      <c r="G142" s="24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 s="23">
        <v>2396.0958999999998</v>
      </c>
    </row>
    <row r="143" spans="1:17" hidden="1">
      <c r="A143" s="22">
        <v>24</v>
      </c>
      <c r="B143" s="22">
        <v>23.4</v>
      </c>
      <c r="C143" s="24">
        <v>1</v>
      </c>
      <c r="D143" s="24">
        <v>0</v>
      </c>
      <c r="E143" s="24">
        <v>0</v>
      </c>
      <c r="F143" s="24">
        <v>0</v>
      </c>
      <c r="G143" s="24">
        <v>1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 s="23">
        <v>1969.614</v>
      </c>
    </row>
    <row r="144" spans="1:17" hidden="1">
      <c r="A144" s="22">
        <v>24</v>
      </c>
      <c r="B144" s="22">
        <v>23.655000000000001</v>
      </c>
      <c r="C144" s="24">
        <v>1</v>
      </c>
      <c r="D144" s="24">
        <v>0</v>
      </c>
      <c r="E144" s="24">
        <v>0</v>
      </c>
      <c r="F144" s="24">
        <v>0</v>
      </c>
      <c r="G144" s="2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 s="23">
        <v>2352.9684499999998</v>
      </c>
    </row>
    <row r="145" spans="1:17" hidden="1">
      <c r="A145" s="22">
        <v>25</v>
      </c>
      <c r="B145" s="22">
        <v>23.9</v>
      </c>
      <c r="C145" s="24">
        <v>1</v>
      </c>
      <c r="D145" s="24">
        <v>0</v>
      </c>
      <c r="E145" s="24">
        <v>0</v>
      </c>
      <c r="F145" s="24">
        <v>0</v>
      </c>
      <c r="G145" s="24">
        <v>1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 s="23">
        <v>5080.0959999999995</v>
      </c>
    </row>
    <row r="146" spans="1:17" hidden="1">
      <c r="A146" s="22">
        <v>26</v>
      </c>
      <c r="B146" s="22">
        <v>20.8</v>
      </c>
      <c r="C146" s="24">
        <v>1</v>
      </c>
      <c r="D146" s="24">
        <v>0</v>
      </c>
      <c r="E146" s="24">
        <v>0</v>
      </c>
      <c r="F146" s="24">
        <v>0</v>
      </c>
      <c r="G146" s="24">
        <v>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 s="23">
        <v>2302.3000000000002</v>
      </c>
    </row>
    <row r="147" spans="1:17" hidden="1">
      <c r="A147" s="22">
        <v>26</v>
      </c>
      <c r="B147" s="22">
        <v>23.7</v>
      </c>
      <c r="C147" s="24">
        <v>1</v>
      </c>
      <c r="D147" s="24">
        <v>0</v>
      </c>
      <c r="E147" s="24">
        <v>0</v>
      </c>
      <c r="F147" s="24">
        <v>0</v>
      </c>
      <c r="G147" s="24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 s="23">
        <v>3484.3310000000001</v>
      </c>
    </row>
    <row r="148" spans="1:17" hidden="1">
      <c r="A148" s="22">
        <v>27</v>
      </c>
      <c r="B148" s="22">
        <v>18.905000000000001</v>
      </c>
      <c r="C148" s="24">
        <v>1</v>
      </c>
      <c r="D148" s="24">
        <v>0</v>
      </c>
      <c r="E148" s="24">
        <v>0</v>
      </c>
      <c r="F148" s="24">
        <v>0</v>
      </c>
      <c r="G148" s="24">
        <v>1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0</v>
      </c>
      <c r="Q148" s="23">
        <v>4827.9049500000001</v>
      </c>
    </row>
    <row r="149" spans="1:17" hidden="1">
      <c r="A149" s="22">
        <v>27</v>
      </c>
      <c r="B149" s="22">
        <v>23.1</v>
      </c>
      <c r="C149" s="24">
        <v>1</v>
      </c>
      <c r="D149" s="24">
        <v>0</v>
      </c>
      <c r="E149" s="24">
        <v>0</v>
      </c>
      <c r="F149" s="24">
        <v>0</v>
      </c>
      <c r="G149" s="24">
        <v>1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 s="23">
        <v>2483.7359999999999</v>
      </c>
    </row>
    <row r="150" spans="1:17" hidden="1">
      <c r="A150" s="22">
        <v>28</v>
      </c>
      <c r="B150" s="22">
        <v>23.8</v>
      </c>
      <c r="C150" s="24">
        <v>1</v>
      </c>
      <c r="D150" s="24">
        <v>0</v>
      </c>
      <c r="E150" s="24">
        <v>0</v>
      </c>
      <c r="F150" s="24">
        <v>0</v>
      </c>
      <c r="G150" s="24">
        <v>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 s="23">
        <v>3847.674</v>
      </c>
    </row>
    <row r="151" spans="1:17" hidden="1">
      <c r="A151" s="22">
        <v>28</v>
      </c>
      <c r="B151" s="22">
        <v>22.515000000000001</v>
      </c>
      <c r="C151" s="24">
        <v>1</v>
      </c>
      <c r="D151" s="24">
        <v>0</v>
      </c>
      <c r="E151" s="24">
        <v>0</v>
      </c>
      <c r="F151" s="24">
        <v>0</v>
      </c>
      <c r="G151" s="24">
        <v>1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0</v>
      </c>
      <c r="Q151" s="23">
        <v>4428.8878500000001</v>
      </c>
    </row>
    <row r="152" spans="1:17" hidden="1">
      <c r="A152" s="22">
        <v>28</v>
      </c>
      <c r="B152" s="22">
        <v>24.3</v>
      </c>
      <c r="C152" s="24">
        <v>1</v>
      </c>
      <c r="D152" s="24">
        <v>0</v>
      </c>
      <c r="E152" s="24">
        <v>0</v>
      </c>
      <c r="F152" s="24">
        <v>0</v>
      </c>
      <c r="G152" s="24">
        <v>1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 s="23">
        <v>5615.3689999999997</v>
      </c>
    </row>
    <row r="153" spans="1:17" hidden="1">
      <c r="A153" s="22">
        <v>29</v>
      </c>
      <c r="B153" s="22">
        <v>22.515000000000001</v>
      </c>
      <c r="C153" s="24">
        <v>1</v>
      </c>
      <c r="D153" s="24">
        <v>0</v>
      </c>
      <c r="E153" s="24">
        <v>0</v>
      </c>
      <c r="F153" s="24">
        <v>0</v>
      </c>
      <c r="G153" s="24">
        <v>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0</v>
      </c>
      <c r="Q153" s="23">
        <v>5209.5788499999999</v>
      </c>
    </row>
    <row r="154" spans="1:17" hidden="1">
      <c r="A154" s="22">
        <v>30</v>
      </c>
      <c r="B154" s="22">
        <v>24.13</v>
      </c>
      <c r="C154" s="24">
        <v>1</v>
      </c>
      <c r="D154" s="24">
        <v>0</v>
      </c>
      <c r="E154" s="24">
        <v>0</v>
      </c>
      <c r="F154" s="24">
        <v>0</v>
      </c>
      <c r="G154" s="24">
        <v>1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 s="23">
        <v>4032.2406999999998</v>
      </c>
    </row>
    <row r="155" spans="1:17" hidden="1">
      <c r="A155" s="22">
        <v>31</v>
      </c>
      <c r="B155" s="22">
        <v>20.399999999999999</v>
      </c>
      <c r="C155" s="24">
        <v>1</v>
      </c>
      <c r="D155" s="24">
        <v>0</v>
      </c>
      <c r="E155" s="24">
        <v>0</v>
      </c>
      <c r="F155" s="24">
        <v>0</v>
      </c>
      <c r="G155" s="24">
        <v>1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 s="23">
        <v>3260.1990000000001</v>
      </c>
    </row>
    <row r="156" spans="1:17" hidden="1">
      <c r="A156" s="22">
        <v>33</v>
      </c>
      <c r="B156" s="22">
        <v>22.704999999999998</v>
      </c>
      <c r="C156" s="24">
        <v>1</v>
      </c>
      <c r="D156" s="24">
        <v>0</v>
      </c>
      <c r="E156" s="24">
        <v>0</v>
      </c>
      <c r="F156" s="24">
        <v>0</v>
      </c>
      <c r="G156" s="24">
        <v>1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 s="23">
        <v>21984.47061</v>
      </c>
    </row>
    <row r="157" spans="1:17" hidden="1">
      <c r="A157" s="22">
        <v>33</v>
      </c>
      <c r="B157" s="22">
        <v>24.605</v>
      </c>
      <c r="C157" s="24">
        <v>1</v>
      </c>
      <c r="D157" s="24">
        <v>0</v>
      </c>
      <c r="E157" s="24">
        <v>0</v>
      </c>
      <c r="F157" s="24">
        <v>0</v>
      </c>
      <c r="G157" s="24">
        <v>1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 s="23">
        <v>5257.5079500000002</v>
      </c>
    </row>
    <row r="158" spans="1:17" hidden="1">
      <c r="A158" s="22">
        <v>34</v>
      </c>
      <c r="B158" s="22">
        <v>22.42</v>
      </c>
      <c r="C158" s="24">
        <v>1</v>
      </c>
      <c r="D158" s="24">
        <v>0</v>
      </c>
      <c r="E158" s="24">
        <v>0</v>
      </c>
      <c r="F158" s="24">
        <v>0</v>
      </c>
      <c r="G158" s="24">
        <v>1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 s="23">
        <v>27375.904780000001</v>
      </c>
    </row>
    <row r="159" spans="1:17" hidden="1">
      <c r="A159" s="22">
        <v>34</v>
      </c>
      <c r="B159" s="22">
        <v>21.375</v>
      </c>
      <c r="C159" s="24">
        <v>1</v>
      </c>
      <c r="D159" s="24">
        <v>0</v>
      </c>
      <c r="E159" s="24">
        <v>0</v>
      </c>
      <c r="F159" s="24">
        <v>0</v>
      </c>
      <c r="G159" s="24">
        <v>1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0</v>
      </c>
      <c r="Q159" s="23">
        <v>4500.33925</v>
      </c>
    </row>
    <row r="160" spans="1:17" hidden="1">
      <c r="A160" s="22">
        <v>35</v>
      </c>
      <c r="B160" s="22">
        <v>24.13</v>
      </c>
      <c r="C160" s="24">
        <v>1</v>
      </c>
      <c r="D160" s="24">
        <v>0</v>
      </c>
      <c r="E160" s="24">
        <v>0</v>
      </c>
      <c r="F160" s="24">
        <v>0</v>
      </c>
      <c r="G160" s="24">
        <v>1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0</v>
      </c>
      <c r="Q160" s="23">
        <v>5125.2156999999997</v>
      </c>
    </row>
    <row r="161" spans="1:17" hidden="1">
      <c r="A161" s="22">
        <v>37</v>
      </c>
      <c r="B161" s="22">
        <v>24.32</v>
      </c>
      <c r="C161" s="24">
        <v>1</v>
      </c>
      <c r="D161" s="24">
        <v>0</v>
      </c>
      <c r="E161" s="24">
        <v>0</v>
      </c>
      <c r="F161" s="24">
        <v>0</v>
      </c>
      <c r="G161" s="24">
        <v>1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 s="23">
        <v>6198.7518</v>
      </c>
    </row>
    <row r="162" spans="1:17" hidden="1">
      <c r="A162" s="22">
        <v>37</v>
      </c>
      <c r="B162" s="22">
        <v>22.704999999999998</v>
      </c>
      <c r="C162" s="24">
        <v>1</v>
      </c>
      <c r="D162" s="24">
        <v>0</v>
      </c>
      <c r="E162" s="24">
        <v>0</v>
      </c>
      <c r="F162" s="24">
        <v>0</v>
      </c>
      <c r="G162" s="24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0</v>
      </c>
      <c r="Q162" s="23">
        <v>6985.50695</v>
      </c>
    </row>
    <row r="163" spans="1:17" hidden="1">
      <c r="A163" s="22">
        <v>38</v>
      </c>
      <c r="B163" s="22">
        <v>21.12</v>
      </c>
      <c r="C163" s="24">
        <v>1</v>
      </c>
      <c r="D163" s="24">
        <v>0</v>
      </c>
      <c r="E163" s="24">
        <v>0</v>
      </c>
      <c r="F163" s="24">
        <v>0</v>
      </c>
      <c r="G163" s="24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 s="23">
        <v>6652.5288</v>
      </c>
    </row>
    <row r="164" spans="1:17" hidden="1">
      <c r="A164" s="22">
        <v>38</v>
      </c>
      <c r="B164" s="22">
        <v>19.95</v>
      </c>
      <c r="C164" s="24">
        <v>1</v>
      </c>
      <c r="D164" s="24">
        <v>0</v>
      </c>
      <c r="E164" s="24">
        <v>0</v>
      </c>
      <c r="F164" s="24">
        <v>0</v>
      </c>
      <c r="G164" s="24">
        <v>1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</v>
      </c>
      <c r="P164">
        <v>0</v>
      </c>
      <c r="Q164" s="23">
        <v>5855.9025000000001</v>
      </c>
    </row>
    <row r="165" spans="1:17" hidden="1">
      <c r="A165" s="22">
        <v>39</v>
      </c>
      <c r="B165" s="22">
        <v>24.51</v>
      </c>
      <c r="C165" s="24">
        <v>1</v>
      </c>
      <c r="D165" s="24">
        <v>0</v>
      </c>
      <c r="E165" s="24">
        <v>0</v>
      </c>
      <c r="F165" s="24">
        <v>0</v>
      </c>
      <c r="G165" s="24">
        <v>1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1</v>
      </c>
      <c r="P165">
        <v>0</v>
      </c>
      <c r="Q165" s="23">
        <v>6710.1918999999998</v>
      </c>
    </row>
    <row r="166" spans="1:17" hidden="1">
      <c r="A166" s="22">
        <v>39</v>
      </c>
      <c r="B166" s="22">
        <v>21.85</v>
      </c>
      <c r="C166" s="24">
        <v>1</v>
      </c>
      <c r="D166" s="24">
        <v>0</v>
      </c>
      <c r="E166" s="24">
        <v>0</v>
      </c>
      <c r="F166" s="24">
        <v>0</v>
      </c>
      <c r="G166" s="24">
        <v>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0</v>
      </c>
      <c r="Q166" s="23">
        <v>6117.4944999999998</v>
      </c>
    </row>
    <row r="167" spans="1:17" hidden="1">
      <c r="A167" s="22">
        <v>40</v>
      </c>
      <c r="B167" s="22">
        <v>22.704999999999998</v>
      </c>
      <c r="C167" s="24">
        <v>1</v>
      </c>
      <c r="D167" s="24">
        <v>0</v>
      </c>
      <c r="E167" s="24">
        <v>0</v>
      </c>
      <c r="F167" s="24">
        <v>0</v>
      </c>
      <c r="G167" s="24">
        <v>1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1</v>
      </c>
      <c r="P167">
        <v>0</v>
      </c>
      <c r="Q167" s="23">
        <v>7173.35995</v>
      </c>
    </row>
    <row r="168" spans="1:17" hidden="1">
      <c r="A168" s="22">
        <v>41</v>
      </c>
      <c r="B168" s="22">
        <v>21.78</v>
      </c>
      <c r="C168" s="24">
        <v>1</v>
      </c>
      <c r="D168" s="24">
        <v>0</v>
      </c>
      <c r="E168" s="24">
        <v>0</v>
      </c>
      <c r="F168" s="24">
        <v>0</v>
      </c>
      <c r="G168" s="24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 s="23">
        <v>6272.4772000000003</v>
      </c>
    </row>
    <row r="169" spans="1:17" hidden="1">
      <c r="A169" s="22">
        <v>41</v>
      </c>
      <c r="B169" s="22">
        <v>23.94</v>
      </c>
      <c r="C169" s="24">
        <v>1</v>
      </c>
      <c r="D169" s="24">
        <v>0</v>
      </c>
      <c r="E169" s="24">
        <v>0</v>
      </c>
      <c r="F169" s="24">
        <v>0</v>
      </c>
      <c r="G169" s="24">
        <v>1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0</v>
      </c>
      <c r="Q169" s="23">
        <v>6858.4795999999997</v>
      </c>
    </row>
    <row r="170" spans="1:17" hidden="1">
      <c r="A170" s="22">
        <v>42</v>
      </c>
      <c r="B170" s="22">
        <v>24.86</v>
      </c>
      <c r="C170" s="24">
        <v>1</v>
      </c>
      <c r="D170" s="24">
        <v>0</v>
      </c>
      <c r="E170" s="24">
        <v>0</v>
      </c>
      <c r="F170" s="24">
        <v>0</v>
      </c>
      <c r="G170" s="24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 s="23">
        <v>5966.8873999999996</v>
      </c>
    </row>
    <row r="171" spans="1:17" hidden="1">
      <c r="A171" s="22">
        <v>43</v>
      </c>
      <c r="B171" s="22">
        <v>23.2</v>
      </c>
      <c r="C171" s="24">
        <v>1</v>
      </c>
      <c r="D171" s="24">
        <v>0</v>
      </c>
      <c r="E171" s="24">
        <v>0</v>
      </c>
      <c r="F171" s="24">
        <v>0</v>
      </c>
      <c r="G171" s="24">
        <v>1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 s="23">
        <v>6250.4350000000004</v>
      </c>
    </row>
    <row r="172" spans="1:17" hidden="1">
      <c r="A172" s="22">
        <v>44</v>
      </c>
      <c r="B172" s="22">
        <v>22.135000000000002</v>
      </c>
      <c r="C172" s="24">
        <v>1</v>
      </c>
      <c r="D172" s="24">
        <v>0</v>
      </c>
      <c r="E172" s="24">
        <v>0</v>
      </c>
      <c r="F172" s="24">
        <v>0</v>
      </c>
      <c r="G172" s="24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0</v>
      </c>
      <c r="Q172" s="23">
        <v>8302.5356499999998</v>
      </c>
    </row>
    <row r="173" spans="1:17" hidden="1">
      <c r="A173" s="22">
        <v>44</v>
      </c>
      <c r="B173" s="22">
        <v>21.85</v>
      </c>
      <c r="C173" s="24">
        <v>1</v>
      </c>
      <c r="D173" s="24">
        <v>0</v>
      </c>
      <c r="E173" s="24">
        <v>0</v>
      </c>
      <c r="F173" s="24">
        <v>0</v>
      </c>
      <c r="G173" s="24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0</v>
      </c>
      <c r="Q173" s="23">
        <v>8891.1394999999993</v>
      </c>
    </row>
    <row r="174" spans="1:17" hidden="1">
      <c r="A174" s="22">
        <v>45</v>
      </c>
      <c r="B174" s="22">
        <v>24.31</v>
      </c>
      <c r="C174" s="24">
        <v>1</v>
      </c>
      <c r="D174" s="24">
        <v>0</v>
      </c>
      <c r="E174" s="24">
        <v>0</v>
      </c>
      <c r="F174" s="24">
        <v>0</v>
      </c>
      <c r="G174" s="24">
        <v>1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 s="23">
        <v>9788.8659000000007</v>
      </c>
    </row>
    <row r="175" spans="1:17" hidden="1">
      <c r="A175" s="22">
        <v>45</v>
      </c>
      <c r="B175" s="22">
        <v>21.375</v>
      </c>
      <c r="C175" s="24">
        <v>1</v>
      </c>
      <c r="D175" s="24">
        <v>0</v>
      </c>
      <c r="E175" s="24">
        <v>0</v>
      </c>
      <c r="F175" s="24">
        <v>0</v>
      </c>
      <c r="G175" s="24">
        <v>1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1</v>
      </c>
      <c r="P175">
        <v>0</v>
      </c>
      <c r="Q175" s="23">
        <v>7222.7862500000001</v>
      </c>
    </row>
    <row r="176" spans="1:17" hidden="1">
      <c r="A176" s="22">
        <v>45</v>
      </c>
      <c r="B176" s="22">
        <v>24.035</v>
      </c>
      <c r="C176" s="24">
        <v>1</v>
      </c>
      <c r="D176" s="24">
        <v>0</v>
      </c>
      <c r="E176" s="24">
        <v>0</v>
      </c>
      <c r="F176" s="24">
        <v>0</v>
      </c>
      <c r="G176" s="24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1</v>
      </c>
      <c r="P176">
        <v>0</v>
      </c>
      <c r="Q176" s="23">
        <v>8604.4836500000001</v>
      </c>
    </row>
    <row r="177" spans="1:17" hidden="1">
      <c r="A177" s="22">
        <v>45</v>
      </c>
      <c r="B177" s="22">
        <v>20.350000000000001</v>
      </c>
      <c r="C177" s="24">
        <v>1</v>
      </c>
      <c r="D177" s="24">
        <v>0</v>
      </c>
      <c r="E177" s="24">
        <v>0</v>
      </c>
      <c r="F177" s="24">
        <v>0</v>
      </c>
      <c r="G177" s="24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 s="23">
        <v>8605.3615000000009</v>
      </c>
    </row>
    <row r="178" spans="1:17" hidden="1">
      <c r="A178" s="22">
        <v>45</v>
      </c>
      <c r="B178" s="22">
        <v>23.56</v>
      </c>
      <c r="C178" s="24">
        <v>1</v>
      </c>
      <c r="D178" s="24">
        <v>0</v>
      </c>
      <c r="E178" s="24">
        <v>0</v>
      </c>
      <c r="F178" s="24">
        <v>0</v>
      </c>
      <c r="G178" s="24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 s="23">
        <v>8603.8233999999993</v>
      </c>
    </row>
    <row r="179" spans="1:17" hidden="1">
      <c r="A179" s="22">
        <v>46</v>
      </c>
      <c r="B179" s="22">
        <v>22.3</v>
      </c>
      <c r="C179" s="24">
        <v>1</v>
      </c>
      <c r="D179" s="24">
        <v>0</v>
      </c>
      <c r="E179" s="24">
        <v>0</v>
      </c>
      <c r="F179" s="24">
        <v>0</v>
      </c>
      <c r="G179" s="24">
        <v>1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 s="23">
        <v>7147.1049999999996</v>
      </c>
    </row>
    <row r="180" spans="1:17" hidden="1">
      <c r="A180" s="22">
        <v>46</v>
      </c>
      <c r="B180" s="22">
        <v>19.855</v>
      </c>
      <c r="C180" s="24">
        <v>1</v>
      </c>
      <c r="D180" s="24">
        <v>0</v>
      </c>
      <c r="E180" s="24">
        <v>0</v>
      </c>
      <c r="F180" s="24">
        <v>0</v>
      </c>
      <c r="G180" s="24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 s="23">
        <v>7526.7064499999997</v>
      </c>
    </row>
    <row r="181" spans="1:17" hidden="1">
      <c r="A181" s="22">
        <v>46</v>
      </c>
      <c r="B181" s="22">
        <v>24.795000000000002</v>
      </c>
      <c r="C181" s="24">
        <v>1</v>
      </c>
      <c r="D181" s="24">
        <v>0</v>
      </c>
      <c r="E181" s="24">
        <v>0</v>
      </c>
      <c r="F181" s="24">
        <v>0</v>
      </c>
      <c r="G181" s="24">
        <v>1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0</v>
      </c>
      <c r="Q181" s="23">
        <v>9500.5730500000009</v>
      </c>
    </row>
    <row r="182" spans="1:17" hidden="1">
      <c r="A182" s="22">
        <v>47</v>
      </c>
      <c r="B182" s="22">
        <v>19.57</v>
      </c>
      <c r="C182" s="24">
        <v>1</v>
      </c>
      <c r="D182" s="24">
        <v>0</v>
      </c>
      <c r="E182" s="24">
        <v>0</v>
      </c>
      <c r="F182" s="24">
        <v>0</v>
      </c>
      <c r="G182" s="24">
        <v>1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 s="23">
        <v>8428.0692999999992</v>
      </c>
    </row>
    <row r="183" spans="1:17" hidden="1">
      <c r="A183" s="22">
        <v>47</v>
      </c>
      <c r="B183" s="22">
        <v>19.190000000000001</v>
      </c>
      <c r="C183" s="24">
        <v>1</v>
      </c>
      <c r="D183" s="24">
        <v>0</v>
      </c>
      <c r="E183" s="24">
        <v>0</v>
      </c>
      <c r="F183" s="24">
        <v>0</v>
      </c>
      <c r="G183" s="24">
        <v>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0</v>
      </c>
      <c r="Q183" s="23">
        <v>8627.5411000000004</v>
      </c>
    </row>
    <row r="184" spans="1:17" hidden="1">
      <c r="A184" s="22">
        <v>49</v>
      </c>
      <c r="B184" s="22">
        <v>22.515000000000001</v>
      </c>
      <c r="C184" s="24">
        <v>1</v>
      </c>
      <c r="D184" s="24">
        <v>0</v>
      </c>
      <c r="E184" s="24">
        <v>0</v>
      </c>
      <c r="F184" s="24">
        <v>0</v>
      </c>
      <c r="G184" s="24">
        <v>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0</v>
      </c>
      <c r="Q184" s="23">
        <v>8688.8588500000005</v>
      </c>
    </row>
    <row r="185" spans="1:17" hidden="1">
      <c r="A185" s="22">
        <v>51</v>
      </c>
      <c r="B185" s="22">
        <v>24.414999999999999</v>
      </c>
      <c r="C185" s="24">
        <v>1</v>
      </c>
      <c r="D185" s="24">
        <v>0</v>
      </c>
      <c r="E185" s="24">
        <v>0</v>
      </c>
      <c r="F185" s="24">
        <v>0</v>
      </c>
      <c r="G185" s="24">
        <v>1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0</v>
      </c>
      <c r="Q185" s="23">
        <v>11520.099850000001</v>
      </c>
    </row>
    <row r="186" spans="1:17" hidden="1">
      <c r="A186" s="22">
        <v>51</v>
      </c>
      <c r="B186" s="22">
        <v>22.42</v>
      </c>
      <c r="C186" s="24">
        <v>1</v>
      </c>
      <c r="D186" s="24">
        <v>0</v>
      </c>
      <c r="E186" s="24">
        <v>0</v>
      </c>
      <c r="F186" s="24">
        <v>0</v>
      </c>
      <c r="G186" s="24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0</v>
      </c>
      <c r="Q186" s="23">
        <v>9361.3268000000007</v>
      </c>
    </row>
    <row r="187" spans="1:17" hidden="1">
      <c r="A187" s="22">
        <v>53</v>
      </c>
      <c r="B187" s="22">
        <v>24.32</v>
      </c>
      <c r="C187" s="24">
        <v>1</v>
      </c>
      <c r="D187" s="24">
        <v>0</v>
      </c>
      <c r="E187" s="24">
        <v>0</v>
      </c>
      <c r="F187" s="24">
        <v>0</v>
      </c>
      <c r="G187" s="24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0</v>
      </c>
      <c r="Q187" s="23">
        <v>9863.4717999999993</v>
      </c>
    </row>
    <row r="188" spans="1:17" hidden="1">
      <c r="A188" s="22">
        <v>53</v>
      </c>
      <c r="B188" s="22">
        <v>21.4</v>
      </c>
      <c r="C188" s="24">
        <v>1</v>
      </c>
      <c r="D188" s="24">
        <v>0</v>
      </c>
      <c r="E188" s="24">
        <v>0</v>
      </c>
      <c r="F188" s="24">
        <v>0</v>
      </c>
      <c r="G188" s="24">
        <v>1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 s="23">
        <v>10065.413</v>
      </c>
    </row>
    <row r="189" spans="1:17" hidden="1">
      <c r="A189" s="22">
        <v>54</v>
      </c>
      <c r="B189" s="22">
        <v>21.01</v>
      </c>
      <c r="C189" s="24">
        <v>1</v>
      </c>
      <c r="D189" s="24">
        <v>0</v>
      </c>
      <c r="E189" s="24">
        <v>0</v>
      </c>
      <c r="F189" s="24">
        <v>0</v>
      </c>
      <c r="G189" s="24">
        <v>1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 s="23">
        <v>11013.7119</v>
      </c>
    </row>
    <row r="190" spans="1:17" hidden="1">
      <c r="A190" s="22">
        <v>54</v>
      </c>
      <c r="B190" s="22">
        <v>24.035</v>
      </c>
      <c r="C190" s="24">
        <v>1</v>
      </c>
      <c r="D190" s="24">
        <v>0</v>
      </c>
      <c r="E190" s="24">
        <v>0</v>
      </c>
      <c r="F190" s="24">
        <v>0</v>
      </c>
      <c r="G190" s="24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0</v>
      </c>
      <c r="Q190" s="23">
        <v>10422.916649999999</v>
      </c>
    </row>
    <row r="191" spans="1:17" hidden="1">
      <c r="A191" s="22">
        <v>55</v>
      </c>
      <c r="B191" s="22">
        <v>21.5</v>
      </c>
      <c r="C191" s="24">
        <v>1</v>
      </c>
      <c r="D191" s="24">
        <v>0</v>
      </c>
      <c r="E191" s="24">
        <v>0</v>
      </c>
      <c r="F191" s="24">
        <v>0</v>
      </c>
      <c r="G191" s="24">
        <v>1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 s="23">
        <v>10791.96</v>
      </c>
    </row>
    <row r="192" spans="1:17" hidden="1">
      <c r="A192" s="22">
        <v>56</v>
      </c>
      <c r="B192" s="22">
        <v>22.1</v>
      </c>
      <c r="C192" s="24">
        <v>1</v>
      </c>
      <c r="D192" s="24">
        <v>0</v>
      </c>
      <c r="E192" s="24">
        <v>0</v>
      </c>
      <c r="F192" s="24">
        <v>0</v>
      </c>
      <c r="G192" s="24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 s="23">
        <v>10577.087</v>
      </c>
    </row>
    <row r="193" spans="1:17" hidden="1">
      <c r="A193" s="22">
        <v>57</v>
      </c>
      <c r="B193" s="22">
        <v>23.7</v>
      </c>
      <c r="C193" s="24">
        <v>1</v>
      </c>
      <c r="D193" s="24">
        <v>0</v>
      </c>
      <c r="E193" s="24">
        <v>0</v>
      </c>
      <c r="F193" s="24">
        <v>0</v>
      </c>
      <c r="G193" s="24">
        <v>1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 s="23">
        <v>10959.33</v>
      </c>
    </row>
    <row r="194" spans="1:17" hidden="1">
      <c r="A194" s="22">
        <v>58</v>
      </c>
      <c r="B194" s="22">
        <v>23.3</v>
      </c>
      <c r="C194" s="24">
        <v>1</v>
      </c>
      <c r="D194" s="24">
        <v>0</v>
      </c>
      <c r="E194" s="24">
        <v>0</v>
      </c>
      <c r="F194" s="24">
        <v>0</v>
      </c>
      <c r="G194" s="24">
        <v>1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 s="23">
        <v>11345.519</v>
      </c>
    </row>
    <row r="195" spans="1:17" hidden="1">
      <c r="A195" s="22">
        <v>59</v>
      </c>
      <c r="B195" s="22">
        <v>24.7</v>
      </c>
      <c r="C195" s="24">
        <v>1</v>
      </c>
      <c r="D195" s="24">
        <v>0</v>
      </c>
      <c r="E195" s="24">
        <v>0</v>
      </c>
      <c r="F195" s="24">
        <v>0</v>
      </c>
      <c r="G195" s="24">
        <v>1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0</v>
      </c>
      <c r="Q195" s="23">
        <v>12323.936</v>
      </c>
    </row>
    <row r="196" spans="1:17" hidden="1">
      <c r="A196" s="22">
        <v>60</v>
      </c>
      <c r="B196" s="22">
        <v>24.32</v>
      </c>
      <c r="C196" s="24">
        <v>1</v>
      </c>
      <c r="D196" s="24">
        <v>0</v>
      </c>
      <c r="E196" s="24">
        <v>0</v>
      </c>
      <c r="F196" s="24">
        <v>0</v>
      </c>
      <c r="G196" s="24">
        <v>1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</v>
      </c>
      <c r="Q196" s="23">
        <v>13112.604799999999</v>
      </c>
    </row>
    <row r="197" spans="1:17" hidden="1">
      <c r="A197" s="22">
        <v>60</v>
      </c>
      <c r="B197" s="22">
        <v>24.32</v>
      </c>
      <c r="C197" s="24">
        <v>1</v>
      </c>
      <c r="D197" s="24">
        <v>0</v>
      </c>
      <c r="E197" s="24">
        <v>0</v>
      </c>
      <c r="F197" s="24">
        <v>0</v>
      </c>
      <c r="G197" s="24">
        <v>1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</v>
      </c>
      <c r="Q197" s="23">
        <v>12523.604799999999</v>
      </c>
    </row>
    <row r="198" spans="1:17" hidden="1">
      <c r="A198" s="22">
        <v>61</v>
      </c>
      <c r="B198" s="22">
        <v>23.655000000000001</v>
      </c>
      <c r="C198" s="24">
        <v>1</v>
      </c>
      <c r="D198" s="24">
        <v>0</v>
      </c>
      <c r="E198" s="24">
        <v>0</v>
      </c>
      <c r="F198" s="24">
        <v>0</v>
      </c>
      <c r="G198" s="24">
        <v>1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1</v>
      </c>
      <c r="Q198" s="23">
        <v>13129.603450000001</v>
      </c>
    </row>
    <row r="199" spans="1:17" hidden="1">
      <c r="A199" s="22">
        <v>62</v>
      </c>
      <c r="B199" s="22">
        <v>21.4</v>
      </c>
      <c r="C199" s="24">
        <v>1</v>
      </c>
      <c r="D199" s="24">
        <v>0</v>
      </c>
      <c r="E199" s="24">
        <v>0</v>
      </c>
      <c r="F199" s="24">
        <v>0</v>
      </c>
      <c r="G199" s="24">
        <v>1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 s="23">
        <v>12957.118</v>
      </c>
    </row>
    <row r="200" spans="1:17" hidden="1">
      <c r="A200" s="22">
        <v>63</v>
      </c>
      <c r="B200" s="22">
        <v>21.66</v>
      </c>
      <c r="C200" s="24">
        <v>1</v>
      </c>
      <c r="D200" s="24">
        <v>0</v>
      </c>
      <c r="E200" s="24">
        <v>0</v>
      </c>
      <c r="F200" s="24">
        <v>0</v>
      </c>
      <c r="G200" s="24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  <c r="Q200" s="23">
        <v>14349.8544</v>
      </c>
    </row>
    <row r="201" spans="1:17" hidden="1">
      <c r="A201" s="22">
        <v>64</v>
      </c>
      <c r="B201" s="22">
        <v>24.7</v>
      </c>
      <c r="C201" s="24">
        <v>1</v>
      </c>
      <c r="D201" s="24">
        <v>0</v>
      </c>
      <c r="E201" s="24">
        <v>0</v>
      </c>
      <c r="F201" s="24">
        <v>0</v>
      </c>
      <c r="G201" s="24">
        <v>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 s="23">
        <v>30166.618170000002</v>
      </c>
    </row>
    <row r="202" spans="1:17">
      <c r="A202" s="22">
        <v>28</v>
      </c>
      <c r="B202" s="22">
        <v>23.98</v>
      </c>
      <c r="C202" s="24">
        <v>1</v>
      </c>
      <c r="D202" s="24">
        <v>0</v>
      </c>
      <c r="E202" s="24">
        <v>0</v>
      </c>
      <c r="F202" s="24">
        <v>0</v>
      </c>
      <c r="G202" s="24">
        <v>1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 s="23">
        <v>17663.144199999999</v>
      </c>
    </row>
    <row r="203" spans="1:17">
      <c r="A203" s="22">
        <v>45</v>
      </c>
      <c r="B203" s="22">
        <v>22.895</v>
      </c>
      <c r="C203" s="24">
        <v>1</v>
      </c>
      <c r="D203" s="24">
        <v>0</v>
      </c>
      <c r="E203" s="24">
        <v>0</v>
      </c>
      <c r="F203" s="24">
        <v>0</v>
      </c>
      <c r="G203" s="24">
        <v>1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0</v>
      </c>
      <c r="Q203" s="23">
        <v>21098.554049999999</v>
      </c>
    </row>
    <row r="204" spans="1:17">
      <c r="A204" s="22">
        <v>56</v>
      </c>
      <c r="B204" s="22">
        <v>19.95</v>
      </c>
      <c r="C204" s="24">
        <v>1</v>
      </c>
      <c r="D204" s="24">
        <v>0</v>
      </c>
      <c r="E204" s="24">
        <v>0</v>
      </c>
      <c r="F204" s="24">
        <v>0</v>
      </c>
      <c r="G204" s="24">
        <v>1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1</v>
      </c>
      <c r="P204">
        <v>0</v>
      </c>
      <c r="Q204" s="23">
        <v>22412.648499999999</v>
      </c>
    </row>
    <row r="205" spans="1:17">
      <c r="A205" s="22">
        <v>38</v>
      </c>
      <c r="B205" s="22">
        <v>19.3</v>
      </c>
      <c r="C205" s="24">
        <v>1</v>
      </c>
      <c r="D205" s="24">
        <v>0</v>
      </c>
      <c r="E205" s="24">
        <v>0</v>
      </c>
      <c r="F205" s="24">
        <v>0</v>
      </c>
      <c r="G205" s="24">
        <v>1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 s="23">
        <v>15820.699000000001</v>
      </c>
    </row>
    <row r="206" spans="1:17">
      <c r="A206" s="22">
        <v>48</v>
      </c>
      <c r="B206" s="22">
        <v>24.42</v>
      </c>
      <c r="C206" s="24">
        <v>1</v>
      </c>
      <c r="D206" s="24">
        <v>0</v>
      </c>
      <c r="E206" s="24">
        <v>0</v>
      </c>
      <c r="F206" s="24">
        <v>0</v>
      </c>
      <c r="G206" s="24">
        <v>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 s="23">
        <v>21223.675800000001</v>
      </c>
    </row>
    <row r="207" spans="1:17">
      <c r="A207" s="22">
        <v>42</v>
      </c>
      <c r="B207" s="22">
        <v>24.64</v>
      </c>
      <c r="C207" s="24">
        <v>1</v>
      </c>
      <c r="D207" s="24">
        <v>0</v>
      </c>
      <c r="E207" s="24">
        <v>0</v>
      </c>
      <c r="F207" s="24">
        <v>0</v>
      </c>
      <c r="G207" s="24">
        <v>1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 s="23">
        <v>19515.5416</v>
      </c>
    </row>
    <row r="208" spans="1:17">
      <c r="A208" s="22">
        <v>52</v>
      </c>
      <c r="B208" s="22">
        <v>24.32</v>
      </c>
      <c r="C208" s="24">
        <v>1</v>
      </c>
      <c r="D208" s="24">
        <v>0</v>
      </c>
      <c r="E208" s="24">
        <v>0</v>
      </c>
      <c r="F208" s="24">
        <v>0</v>
      </c>
      <c r="G208" s="24">
        <v>1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0</v>
      </c>
      <c r="Q208" s="23">
        <v>24869.836800000001</v>
      </c>
    </row>
    <row r="209" spans="1:17">
      <c r="A209" s="22">
        <v>40</v>
      </c>
      <c r="B209" s="22">
        <v>19.8</v>
      </c>
      <c r="C209" s="24">
        <v>1</v>
      </c>
      <c r="D209" s="24">
        <v>0</v>
      </c>
      <c r="E209" s="24">
        <v>0</v>
      </c>
      <c r="F209" s="24">
        <v>0</v>
      </c>
      <c r="G209" s="24">
        <v>1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 s="23">
        <v>17179.522000000001</v>
      </c>
    </row>
    <row r="210" spans="1:17">
      <c r="A210" s="22">
        <v>51</v>
      </c>
      <c r="B210" s="22">
        <v>23.21</v>
      </c>
      <c r="C210" s="24">
        <v>1</v>
      </c>
      <c r="D210" s="24">
        <v>0</v>
      </c>
      <c r="E210" s="24">
        <v>0</v>
      </c>
      <c r="F210" s="24">
        <v>0</v>
      </c>
      <c r="G210" s="24">
        <v>1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 s="23">
        <v>22218.1149</v>
      </c>
    </row>
    <row r="211" spans="1:17">
      <c r="A211" s="22">
        <v>35</v>
      </c>
      <c r="B211" s="22">
        <v>24.42</v>
      </c>
      <c r="C211" s="24">
        <v>1</v>
      </c>
      <c r="D211" s="24">
        <v>0</v>
      </c>
      <c r="E211" s="24">
        <v>0</v>
      </c>
      <c r="F211" s="24">
        <v>0</v>
      </c>
      <c r="G211" s="24">
        <v>1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 s="23">
        <v>19361.998800000001</v>
      </c>
    </row>
    <row r="212" spans="1:17">
      <c r="A212" s="22">
        <v>30</v>
      </c>
      <c r="B212" s="22">
        <v>24.4</v>
      </c>
      <c r="C212" s="24">
        <v>1</v>
      </c>
      <c r="D212" s="24">
        <v>0</v>
      </c>
      <c r="E212" s="24">
        <v>0</v>
      </c>
      <c r="F212" s="24">
        <v>0</v>
      </c>
      <c r="G212" s="24">
        <v>1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 s="23">
        <v>18259.216</v>
      </c>
    </row>
    <row r="213" spans="1:17">
      <c r="A213" s="22">
        <v>53</v>
      </c>
      <c r="B213" s="22">
        <v>20.9</v>
      </c>
      <c r="C213" s="24">
        <v>1</v>
      </c>
      <c r="D213" s="24">
        <v>0</v>
      </c>
      <c r="E213" s="24">
        <v>0</v>
      </c>
      <c r="F213" s="24">
        <v>0</v>
      </c>
      <c r="G213" s="24">
        <v>1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 s="23">
        <v>21195.817999999999</v>
      </c>
    </row>
    <row r="214" spans="1:17">
      <c r="A214" s="22">
        <v>33</v>
      </c>
      <c r="B214" s="22">
        <v>24.795000000000002</v>
      </c>
      <c r="C214" s="24">
        <v>1</v>
      </c>
      <c r="D214" s="24">
        <v>0</v>
      </c>
      <c r="E214" s="24">
        <v>0</v>
      </c>
      <c r="F214" s="24">
        <v>0</v>
      </c>
      <c r="G214" s="24">
        <v>1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0</v>
      </c>
      <c r="P214">
        <v>0</v>
      </c>
      <c r="Q214" s="23">
        <v>17904.527050000001</v>
      </c>
    </row>
    <row r="215" spans="1:17">
      <c r="A215" s="22">
        <v>25</v>
      </c>
      <c r="B215" s="22">
        <v>24.13</v>
      </c>
      <c r="C215" s="24">
        <v>1</v>
      </c>
      <c r="D215" s="24">
        <v>0</v>
      </c>
      <c r="E215" s="24">
        <v>0</v>
      </c>
      <c r="F215" s="24">
        <v>0</v>
      </c>
      <c r="G215" s="24">
        <v>1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0</v>
      </c>
      <c r="P215">
        <v>0</v>
      </c>
      <c r="Q215" s="23">
        <v>15817.985699999999</v>
      </c>
    </row>
    <row r="216" spans="1:17">
      <c r="A216" s="22">
        <v>45</v>
      </c>
      <c r="B216" s="22">
        <v>22.895</v>
      </c>
      <c r="C216" s="24">
        <v>1</v>
      </c>
      <c r="D216" s="24">
        <v>0</v>
      </c>
      <c r="E216" s="24">
        <v>0</v>
      </c>
      <c r="F216" s="24">
        <v>0</v>
      </c>
      <c r="G216" s="24">
        <v>1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1</v>
      </c>
      <c r="P216">
        <v>0</v>
      </c>
      <c r="Q216" s="23">
        <v>35069.374519999998</v>
      </c>
    </row>
    <row r="217" spans="1:17">
      <c r="A217" s="22">
        <v>51</v>
      </c>
      <c r="B217" s="22">
        <v>24.795000000000002</v>
      </c>
      <c r="C217" s="24">
        <v>1</v>
      </c>
      <c r="D217" s="24">
        <v>0</v>
      </c>
      <c r="E217" s="24">
        <v>0</v>
      </c>
      <c r="F217" s="24">
        <v>0</v>
      </c>
      <c r="G217" s="24">
        <v>1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1</v>
      </c>
      <c r="P217">
        <v>0</v>
      </c>
      <c r="Q217" s="23">
        <v>23967.38305</v>
      </c>
    </row>
    <row r="218" spans="1:17">
      <c r="A218" s="22">
        <v>29</v>
      </c>
      <c r="B218" s="22">
        <v>22.895</v>
      </c>
      <c r="C218" s="24">
        <v>1</v>
      </c>
      <c r="D218" s="24">
        <v>0</v>
      </c>
      <c r="E218" s="24">
        <v>0</v>
      </c>
      <c r="F218" s="24">
        <v>0</v>
      </c>
      <c r="G218" s="24">
        <v>1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0</v>
      </c>
      <c r="P218">
        <v>0</v>
      </c>
      <c r="Q218" s="23">
        <v>16138.762049999999</v>
      </c>
    </row>
    <row r="219" spans="1:17">
      <c r="A219" s="22">
        <v>30</v>
      </c>
      <c r="B219" s="22">
        <v>22.99</v>
      </c>
      <c r="C219" s="24">
        <v>1</v>
      </c>
      <c r="D219" s="24">
        <v>0</v>
      </c>
      <c r="E219" s="24">
        <v>0</v>
      </c>
      <c r="F219" s="24">
        <v>0</v>
      </c>
      <c r="G219" s="24">
        <v>1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0</v>
      </c>
      <c r="Q219" s="23">
        <v>17361.766100000001</v>
      </c>
    </row>
    <row r="220" spans="1:17">
      <c r="A220" s="22">
        <v>43</v>
      </c>
      <c r="B220" s="22">
        <v>20.13</v>
      </c>
      <c r="C220" s="24">
        <v>1</v>
      </c>
      <c r="D220" s="24">
        <v>0</v>
      </c>
      <c r="E220" s="24">
        <v>0</v>
      </c>
      <c r="F220" s="24">
        <v>0</v>
      </c>
      <c r="G220" s="24">
        <v>1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 s="23">
        <v>18767.737700000001</v>
      </c>
    </row>
    <row r="221" spans="1:17">
      <c r="A221" s="22">
        <v>18</v>
      </c>
      <c r="B221" s="22">
        <v>21.565000000000001</v>
      </c>
      <c r="C221" s="24">
        <v>1</v>
      </c>
      <c r="D221" s="24">
        <v>0</v>
      </c>
      <c r="E221" s="24">
        <v>0</v>
      </c>
      <c r="F221" s="24">
        <v>0</v>
      </c>
      <c r="G221" s="24">
        <v>1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0</v>
      </c>
      <c r="O221">
        <v>0</v>
      </c>
      <c r="P221">
        <v>0</v>
      </c>
      <c r="Q221" s="23">
        <v>13747.87235</v>
      </c>
    </row>
    <row r="222" spans="1:17">
      <c r="A222" s="22">
        <v>64</v>
      </c>
      <c r="B222" s="22">
        <v>23.76</v>
      </c>
      <c r="C222" s="24">
        <v>1</v>
      </c>
      <c r="D222" s="24">
        <v>0</v>
      </c>
      <c r="E222" s="24">
        <v>0</v>
      </c>
      <c r="F222" s="24">
        <v>0</v>
      </c>
      <c r="G222" s="24">
        <v>1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 s="23">
        <v>26926.5144</v>
      </c>
    </row>
    <row r="223" spans="1:17">
      <c r="A223" s="22">
        <v>42</v>
      </c>
      <c r="B223" s="22">
        <v>24.605</v>
      </c>
      <c r="C223" s="24">
        <v>1</v>
      </c>
      <c r="D223" s="24">
        <v>0</v>
      </c>
      <c r="E223" s="24">
        <v>0</v>
      </c>
      <c r="F223" s="24">
        <v>0</v>
      </c>
      <c r="G223" s="24">
        <v>1</v>
      </c>
      <c r="H223">
        <v>1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 s="23">
        <v>21259.377949999998</v>
      </c>
    </row>
    <row r="224" spans="1:17" hidden="1">
      <c r="A224" s="22">
        <v>18</v>
      </c>
      <c r="B224" s="22">
        <v>38.664999999999999</v>
      </c>
      <c r="C224" s="24">
        <v>0</v>
      </c>
      <c r="D224" s="24">
        <v>1</v>
      </c>
      <c r="E224" s="24">
        <v>0</v>
      </c>
      <c r="F224" s="24">
        <v>0</v>
      </c>
      <c r="G224" s="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 s="23">
        <v>3393.35635</v>
      </c>
    </row>
    <row r="225" spans="1:17" hidden="1">
      <c r="A225" s="22">
        <v>18</v>
      </c>
      <c r="B225" s="22">
        <v>35.625</v>
      </c>
      <c r="C225" s="24">
        <v>0</v>
      </c>
      <c r="D225" s="24">
        <v>1</v>
      </c>
      <c r="E225" s="24">
        <v>0</v>
      </c>
      <c r="F225" s="24">
        <v>0</v>
      </c>
      <c r="G225" s="24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0</v>
      </c>
      <c r="Q225" s="23">
        <v>2211.1307499999998</v>
      </c>
    </row>
    <row r="226" spans="1:17" hidden="1">
      <c r="A226" s="22">
        <v>18</v>
      </c>
      <c r="B226" s="22">
        <v>30.114999999999998</v>
      </c>
      <c r="C226" s="24">
        <v>0</v>
      </c>
      <c r="D226" s="24">
        <v>1</v>
      </c>
      <c r="E226" s="24">
        <v>0</v>
      </c>
      <c r="F226" s="24">
        <v>0</v>
      </c>
      <c r="G226" s="24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0</v>
      </c>
      <c r="Q226" s="23">
        <v>21344.846699999998</v>
      </c>
    </row>
    <row r="227" spans="1:17" hidden="1">
      <c r="A227" s="22">
        <v>18</v>
      </c>
      <c r="B227" s="22">
        <v>38.28</v>
      </c>
      <c r="C227" s="24">
        <v>0</v>
      </c>
      <c r="D227" s="24">
        <v>1</v>
      </c>
      <c r="E227" s="24">
        <v>0</v>
      </c>
      <c r="F227" s="24">
        <v>0</v>
      </c>
      <c r="G227" s="24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 s="23">
        <v>1631.8212000000001</v>
      </c>
    </row>
    <row r="228" spans="1:17" hidden="1">
      <c r="A228" s="22">
        <v>18</v>
      </c>
      <c r="B228" s="22">
        <v>38.28</v>
      </c>
      <c r="C228" s="24">
        <v>0</v>
      </c>
      <c r="D228" s="24">
        <v>1</v>
      </c>
      <c r="E228" s="24">
        <v>0</v>
      </c>
      <c r="F228" s="24">
        <v>0</v>
      </c>
      <c r="G228" s="24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 s="23">
        <v>14133.03775</v>
      </c>
    </row>
    <row r="229" spans="1:17" hidden="1">
      <c r="A229" s="22">
        <v>18</v>
      </c>
      <c r="B229" s="22">
        <v>38.17</v>
      </c>
      <c r="C229" s="24">
        <v>0</v>
      </c>
      <c r="D229" s="24">
        <v>1</v>
      </c>
      <c r="E229" s="24">
        <v>0</v>
      </c>
      <c r="F229" s="24">
        <v>0</v>
      </c>
      <c r="G229" s="24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 s="23">
        <v>1631.6683</v>
      </c>
    </row>
    <row r="230" spans="1:17" hidden="1">
      <c r="A230" s="22">
        <v>18</v>
      </c>
      <c r="B230" s="22">
        <v>30.114999999999998</v>
      </c>
      <c r="C230" s="24">
        <v>0</v>
      </c>
      <c r="D230" s="24">
        <v>1</v>
      </c>
      <c r="E230" s="24">
        <v>0</v>
      </c>
      <c r="F230" s="24">
        <v>0</v>
      </c>
      <c r="G230" s="24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 s="23">
        <v>2203.4718499999999</v>
      </c>
    </row>
    <row r="231" spans="1:17" hidden="1">
      <c r="A231" s="22">
        <v>18</v>
      </c>
      <c r="B231" s="22">
        <v>31.35</v>
      </c>
      <c r="C231" s="24">
        <v>0</v>
      </c>
      <c r="D231" s="24">
        <v>1</v>
      </c>
      <c r="E231" s="24">
        <v>0</v>
      </c>
      <c r="F231" s="24">
        <v>0</v>
      </c>
      <c r="G231" s="24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 s="23">
        <v>1622.1885</v>
      </c>
    </row>
    <row r="232" spans="1:17" hidden="1">
      <c r="A232" s="22">
        <v>18</v>
      </c>
      <c r="B232" s="22">
        <v>33.880000000000003</v>
      </c>
      <c r="C232" s="24">
        <v>0</v>
      </c>
      <c r="D232" s="24">
        <v>1</v>
      </c>
      <c r="E232" s="24">
        <v>0</v>
      </c>
      <c r="F232" s="24">
        <v>0</v>
      </c>
      <c r="G232" s="24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 s="23">
        <v>11482.63485</v>
      </c>
    </row>
    <row r="233" spans="1:17" hidden="1">
      <c r="A233" s="22">
        <v>18</v>
      </c>
      <c r="B233" s="22">
        <v>32.119999999999997</v>
      </c>
      <c r="C233" s="24">
        <v>0</v>
      </c>
      <c r="D233" s="24">
        <v>1</v>
      </c>
      <c r="E233" s="24">
        <v>0</v>
      </c>
      <c r="F233" s="24">
        <v>0</v>
      </c>
      <c r="G233" s="24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 s="23">
        <v>2801.2588000000001</v>
      </c>
    </row>
    <row r="234" spans="1:17" hidden="1">
      <c r="A234" s="22">
        <v>18</v>
      </c>
      <c r="B234" s="22">
        <v>37.29</v>
      </c>
      <c r="C234" s="24">
        <v>0</v>
      </c>
      <c r="D234" s="24">
        <v>1</v>
      </c>
      <c r="E234" s="24">
        <v>0</v>
      </c>
      <c r="F234" s="24">
        <v>0</v>
      </c>
      <c r="G234" s="2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 s="23">
        <v>2219.4450999999999</v>
      </c>
    </row>
    <row r="235" spans="1:17" hidden="1">
      <c r="A235" s="22">
        <v>18</v>
      </c>
      <c r="B235" s="22">
        <v>39.159999999999997</v>
      </c>
      <c r="C235" s="24">
        <v>0</v>
      </c>
      <c r="D235" s="24">
        <v>1</v>
      </c>
      <c r="E235" s="24">
        <v>0</v>
      </c>
      <c r="F235" s="24">
        <v>0</v>
      </c>
      <c r="G235" s="24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 s="23">
        <v>1633.0444</v>
      </c>
    </row>
    <row r="236" spans="1:17" hidden="1">
      <c r="A236" s="22">
        <v>18</v>
      </c>
      <c r="B236" s="22">
        <v>33.155000000000001</v>
      </c>
      <c r="C236" s="24">
        <v>0</v>
      </c>
      <c r="D236" s="24">
        <v>1</v>
      </c>
      <c r="E236" s="24">
        <v>0</v>
      </c>
      <c r="F236" s="24">
        <v>0</v>
      </c>
      <c r="G236" s="24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 s="23">
        <v>2207.6974500000001</v>
      </c>
    </row>
    <row r="237" spans="1:17" hidden="1">
      <c r="A237" s="22">
        <v>18</v>
      </c>
      <c r="B237" s="22">
        <v>40.28</v>
      </c>
      <c r="C237" s="24">
        <v>0</v>
      </c>
      <c r="D237" s="24">
        <v>1</v>
      </c>
      <c r="E237" s="24">
        <v>0</v>
      </c>
      <c r="F237" s="24">
        <v>0</v>
      </c>
      <c r="G237" s="24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0</v>
      </c>
      <c r="Q237" s="23">
        <v>2217.6012000000001</v>
      </c>
    </row>
    <row r="238" spans="1:17" hidden="1">
      <c r="A238" s="22">
        <v>18</v>
      </c>
      <c r="B238" s="22">
        <v>31.13</v>
      </c>
      <c r="C238" s="24">
        <v>0</v>
      </c>
      <c r="D238" s="24">
        <v>1</v>
      </c>
      <c r="E238" s="24">
        <v>0</v>
      </c>
      <c r="F238" s="24">
        <v>0</v>
      </c>
      <c r="G238" s="24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 s="23">
        <v>1621.8827000000001</v>
      </c>
    </row>
    <row r="239" spans="1:17" hidden="1">
      <c r="A239" s="22">
        <v>18</v>
      </c>
      <c r="B239" s="22">
        <v>40.26</v>
      </c>
      <c r="C239" s="24">
        <v>0</v>
      </c>
      <c r="D239" s="24">
        <v>1</v>
      </c>
      <c r="E239" s="24">
        <v>0</v>
      </c>
      <c r="F239" s="24">
        <v>0</v>
      </c>
      <c r="G239" s="24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 s="23">
        <v>1634.5734</v>
      </c>
    </row>
    <row r="240" spans="1:17" hidden="1">
      <c r="A240" s="22">
        <v>18</v>
      </c>
      <c r="B240" s="22">
        <v>40.185000000000002</v>
      </c>
      <c r="C240" s="24">
        <v>0</v>
      </c>
      <c r="D240" s="24">
        <v>1</v>
      </c>
      <c r="E240" s="24">
        <v>0</v>
      </c>
      <c r="F240" s="24">
        <v>0</v>
      </c>
      <c r="G240" s="24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0</v>
      </c>
      <c r="O240">
        <v>0</v>
      </c>
      <c r="P240">
        <v>0</v>
      </c>
      <c r="Q240" s="23">
        <v>2217.4691499999999</v>
      </c>
    </row>
    <row r="241" spans="1:17" hidden="1">
      <c r="A241" s="22">
        <v>18</v>
      </c>
      <c r="B241" s="22">
        <v>31.35</v>
      </c>
      <c r="C241" s="24">
        <v>0</v>
      </c>
      <c r="D241" s="24">
        <v>1</v>
      </c>
      <c r="E241" s="24">
        <v>0</v>
      </c>
      <c r="F241" s="24">
        <v>0</v>
      </c>
      <c r="G241" s="24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0</v>
      </c>
      <c r="P241">
        <v>0</v>
      </c>
      <c r="Q241" s="23">
        <v>4561.1885000000002</v>
      </c>
    </row>
    <row r="242" spans="1:17" hidden="1">
      <c r="A242" s="22">
        <v>18</v>
      </c>
      <c r="B242" s="22">
        <v>30.305</v>
      </c>
      <c r="C242" s="24">
        <v>0</v>
      </c>
      <c r="D242" s="24">
        <v>1</v>
      </c>
      <c r="E242" s="24">
        <v>0</v>
      </c>
      <c r="F242" s="24">
        <v>0</v>
      </c>
      <c r="G242" s="24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0</v>
      </c>
      <c r="O242">
        <v>0</v>
      </c>
      <c r="P242">
        <v>0</v>
      </c>
      <c r="Q242" s="23">
        <v>2203.7359499999998</v>
      </c>
    </row>
    <row r="243" spans="1:17" hidden="1">
      <c r="A243" s="22">
        <v>18</v>
      </c>
      <c r="B243" s="22">
        <v>39.82</v>
      </c>
      <c r="C243" s="24">
        <v>0</v>
      </c>
      <c r="D243" s="24">
        <v>1</v>
      </c>
      <c r="E243" s="24">
        <v>0</v>
      </c>
      <c r="F243" s="24">
        <v>0</v>
      </c>
      <c r="G243" s="24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 s="23">
        <v>1633.9618</v>
      </c>
    </row>
    <row r="244" spans="1:17" hidden="1">
      <c r="A244" s="22">
        <v>18</v>
      </c>
      <c r="B244" s="22">
        <v>31.92</v>
      </c>
      <c r="C244" s="24">
        <v>0</v>
      </c>
      <c r="D244" s="24">
        <v>1</v>
      </c>
      <c r="E244" s="24">
        <v>0</v>
      </c>
      <c r="F244" s="24">
        <v>0</v>
      </c>
      <c r="G244" s="2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 s="23">
        <v>2205.9807999999998</v>
      </c>
    </row>
    <row r="245" spans="1:17" hidden="1">
      <c r="A245" s="22">
        <v>18</v>
      </c>
      <c r="B245" s="22">
        <v>36.85</v>
      </c>
      <c r="C245" s="24">
        <v>0</v>
      </c>
      <c r="D245" s="24">
        <v>1</v>
      </c>
      <c r="E245" s="24">
        <v>0</v>
      </c>
      <c r="F245" s="24">
        <v>0</v>
      </c>
      <c r="G245" s="24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 s="23">
        <v>1629.8335</v>
      </c>
    </row>
    <row r="246" spans="1:17" hidden="1">
      <c r="A246" s="22">
        <v>19</v>
      </c>
      <c r="B246" s="22">
        <v>31.824999999999999</v>
      </c>
      <c r="C246" s="24">
        <v>0</v>
      </c>
      <c r="D246" s="24">
        <v>1</v>
      </c>
      <c r="E246" s="24">
        <v>0</v>
      </c>
      <c r="F246" s="24">
        <v>0</v>
      </c>
      <c r="G246" s="24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 s="23">
        <v>2719.2797500000001</v>
      </c>
    </row>
    <row r="247" spans="1:17" hidden="1">
      <c r="A247" s="22">
        <v>19</v>
      </c>
      <c r="B247" s="22">
        <v>32.11</v>
      </c>
      <c r="C247" s="24">
        <v>0</v>
      </c>
      <c r="D247" s="24">
        <v>1</v>
      </c>
      <c r="E247" s="24">
        <v>0</v>
      </c>
      <c r="F247" s="24">
        <v>0</v>
      </c>
      <c r="G247" s="24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0</v>
      </c>
      <c r="P247">
        <v>0</v>
      </c>
      <c r="Q247" s="23">
        <v>2130.6759000000002</v>
      </c>
    </row>
    <row r="248" spans="1:17" hidden="1">
      <c r="A248" s="22">
        <v>19</v>
      </c>
      <c r="B248" s="22">
        <v>37.43</v>
      </c>
      <c r="C248" s="24">
        <v>0</v>
      </c>
      <c r="D248" s="24">
        <v>1</v>
      </c>
      <c r="E248" s="24">
        <v>0</v>
      </c>
      <c r="F248" s="24">
        <v>0</v>
      </c>
      <c r="G248" s="24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0</v>
      </c>
      <c r="P248">
        <v>0</v>
      </c>
      <c r="Q248" s="23">
        <v>2138.0707000000002</v>
      </c>
    </row>
    <row r="249" spans="1:17" hidden="1">
      <c r="A249" s="22">
        <v>19</v>
      </c>
      <c r="B249" s="22">
        <v>35.15</v>
      </c>
      <c r="C249" s="24">
        <v>0</v>
      </c>
      <c r="D249" s="24">
        <v>1</v>
      </c>
      <c r="E249" s="24">
        <v>0</v>
      </c>
      <c r="F249" s="24">
        <v>0</v>
      </c>
      <c r="G249" s="24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0</v>
      </c>
      <c r="Q249" s="23">
        <v>2134.9014999999999</v>
      </c>
    </row>
    <row r="250" spans="1:17" hidden="1">
      <c r="A250" s="22">
        <v>19</v>
      </c>
      <c r="B250" s="22">
        <v>32.9</v>
      </c>
      <c r="C250" s="24">
        <v>0</v>
      </c>
      <c r="D250" s="24">
        <v>1</v>
      </c>
      <c r="E250" s="24">
        <v>0</v>
      </c>
      <c r="F250" s="24">
        <v>0</v>
      </c>
      <c r="G250" s="24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 s="23">
        <v>1748.7739999999999</v>
      </c>
    </row>
    <row r="251" spans="1:17" hidden="1">
      <c r="A251" s="22">
        <v>19</v>
      </c>
      <c r="B251" s="22">
        <v>30.59</v>
      </c>
      <c r="C251" s="24">
        <v>0</v>
      </c>
      <c r="D251" s="24">
        <v>1</v>
      </c>
      <c r="E251" s="24">
        <v>0</v>
      </c>
      <c r="F251" s="24">
        <v>0</v>
      </c>
      <c r="G251" s="24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0</v>
      </c>
      <c r="Q251" s="23">
        <v>24059.680189999999</v>
      </c>
    </row>
    <row r="252" spans="1:17" hidden="1">
      <c r="A252" s="22">
        <v>19</v>
      </c>
      <c r="B252" s="22">
        <v>30.495000000000001</v>
      </c>
      <c r="C252" s="24">
        <v>0</v>
      </c>
      <c r="D252" s="24">
        <v>1</v>
      </c>
      <c r="E252" s="24">
        <v>0</v>
      </c>
      <c r="F252" s="24">
        <v>0</v>
      </c>
      <c r="G252" s="24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0</v>
      </c>
      <c r="Q252" s="23">
        <v>2128.4310500000001</v>
      </c>
    </row>
    <row r="253" spans="1:17" hidden="1">
      <c r="A253" s="22">
        <v>19</v>
      </c>
      <c r="B253" s="22">
        <v>36.575000000000003</v>
      </c>
      <c r="C253" s="24">
        <v>0</v>
      </c>
      <c r="D253" s="24">
        <v>1</v>
      </c>
      <c r="E253" s="24">
        <v>0</v>
      </c>
      <c r="F253" s="24">
        <v>0</v>
      </c>
      <c r="G253" s="24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 s="23">
        <v>2136.8822500000001</v>
      </c>
    </row>
    <row r="254" spans="1:17" hidden="1">
      <c r="A254" s="22">
        <v>19</v>
      </c>
      <c r="B254" s="22">
        <v>39.615000000000002</v>
      </c>
      <c r="C254" s="24">
        <v>0</v>
      </c>
      <c r="D254" s="24">
        <v>1</v>
      </c>
      <c r="E254" s="24">
        <v>0</v>
      </c>
      <c r="F254" s="24">
        <v>0</v>
      </c>
      <c r="G254" s="2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 s="23">
        <v>2730.1078499999999</v>
      </c>
    </row>
    <row r="255" spans="1:17" hidden="1">
      <c r="A255" s="22">
        <v>19</v>
      </c>
      <c r="B255" s="22">
        <v>40.5</v>
      </c>
      <c r="C255" s="24">
        <v>0</v>
      </c>
      <c r="D255" s="24">
        <v>1</v>
      </c>
      <c r="E255" s="24">
        <v>0</v>
      </c>
      <c r="F255" s="24">
        <v>0</v>
      </c>
      <c r="G255" s="24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 s="23">
        <v>1759.338</v>
      </c>
    </row>
    <row r="256" spans="1:17" hidden="1">
      <c r="A256" s="22">
        <v>20</v>
      </c>
      <c r="B256" s="22">
        <v>37</v>
      </c>
      <c r="C256" s="24">
        <v>0</v>
      </c>
      <c r="D256" s="24">
        <v>1</v>
      </c>
      <c r="E256" s="24">
        <v>0</v>
      </c>
      <c r="F256" s="24">
        <v>0</v>
      </c>
      <c r="G256" s="24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 s="23">
        <v>4830.63</v>
      </c>
    </row>
    <row r="257" spans="1:17" hidden="1">
      <c r="A257" s="22">
        <v>20</v>
      </c>
      <c r="B257" s="22">
        <v>31.79</v>
      </c>
      <c r="C257" s="24">
        <v>0</v>
      </c>
      <c r="D257" s="24">
        <v>1</v>
      </c>
      <c r="E257" s="24">
        <v>0</v>
      </c>
      <c r="F257" s="24">
        <v>0</v>
      </c>
      <c r="G257" s="24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 s="23">
        <v>3056.3881000000001</v>
      </c>
    </row>
    <row r="258" spans="1:17" hidden="1">
      <c r="A258" s="22">
        <v>20</v>
      </c>
      <c r="B258" s="22">
        <v>33</v>
      </c>
      <c r="C258" s="24">
        <v>0</v>
      </c>
      <c r="D258" s="24">
        <v>1</v>
      </c>
      <c r="E258" s="24">
        <v>0</v>
      </c>
      <c r="F258" s="24">
        <v>0</v>
      </c>
      <c r="G258" s="24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 s="23">
        <v>1880.07</v>
      </c>
    </row>
    <row r="259" spans="1:17" hidden="1">
      <c r="A259" s="22">
        <v>20</v>
      </c>
      <c r="B259" s="22">
        <v>31.46</v>
      </c>
      <c r="C259" s="24">
        <v>0</v>
      </c>
      <c r="D259" s="24">
        <v>1</v>
      </c>
      <c r="E259" s="24">
        <v>0</v>
      </c>
      <c r="F259" s="24">
        <v>0</v>
      </c>
      <c r="G259" s="24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 s="23">
        <v>1877.9294</v>
      </c>
    </row>
    <row r="260" spans="1:17" hidden="1">
      <c r="A260" s="22">
        <v>20</v>
      </c>
      <c r="B260" s="22">
        <v>31.92</v>
      </c>
      <c r="C260" s="24">
        <v>0</v>
      </c>
      <c r="D260" s="24">
        <v>1</v>
      </c>
      <c r="E260" s="24">
        <v>0</v>
      </c>
      <c r="F260" s="24">
        <v>0</v>
      </c>
      <c r="G260" s="24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0</v>
      </c>
      <c r="Q260" s="23">
        <v>2261.5688</v>
      </c>
    </row>
    <row r="261" spans="1:17" hidden="1">
      <c r="A261" s="22">
        <v>20</v>
      </c>
      <c r="B261" s="22">
        <v>30.59</v>
      </c>
      <c r="C261" s="24">
        <v>0</v>
      </c>
      <c r="D261" s="24">
        <v>1</v>
      </c>
      <c r="E261" s="24">
        <v>0</v>
      </c>
      <c r="F261" s="24">
        <v>0</v>
      </c>
      <c r="G261" s="24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 s="23">
        <v>2459.7201</v>
      </c>
    </row>
    <row r="262" spans="1:17" hidden="1">
      <c r="A262" s="22">
        <v>20</v>
      </c>
      <c r="B262" s="22">
        <v>33.299999999999997</v>
      </c>
      <c r="C262" s="24">
        <v>0</v>
      </c>
      <c r="D262" s="24">
        <v>1</v>
      </c>
      <c r="E262" s="24">
        <v>0</v>
      </c>
      <c r="F262" s="24">
        <v>0</v>
      </c>
      <c r="G262" s="24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 s="23">
        <v>1880.4870000000001</v>
      </c>
    </row>
    <row r="263" spans="1:17" hidden="1">
      <c r="A263" s="22">
        <v>21</v>
      </c>
      <c r="B263" s="22">
        <v>33.630000000000003</v>
      </c>
      <c r="C263" s="24">
        <v>0</v>
      </c>
      <c r="D263" s="24">
        <v>1</v>
      </c>
      <c r="E263" s="24">
        <v>0</v>
      </c>
      <c r="F263" s="24">
        <v>0</v>
      </c>
      <c r="G263" s="24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0</v>
      </c>
      <c r="Q263" s="23">
        <v>3579.8287</v>
      </c>
    </row>
    <row r="264" spans="1:17" hidden="1">
      <c r="A264" s="22">
        <v>21</v>
      </c>
      <c r="B264" s="22">
        <v>39.49</v>
      </c>
      <c r="C264" s="24">
        <v>0</v>
      </c>
      <c r="D264" s="24">
        <v>1</v>
      </c>
      <c r="E264" s="24">
        <v>0</v>
      </c>
      <c r="F264" s="24">
        <v>0</v>
      </c>
      <c r="G264" s="2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 s="23">
        <v>2026.9740999999999</v>
      </c>
    </row>
    <row r="265" spans="1:17" hidden="1">
      <c r="A265" s="22">
        <v>21</v>
      </c>
      <c r="B265" s="22">
        <v>35.72</v>
      </c>
      <c r="C265" s="24">
        <v>0</v>
      </c>
      <c r="D265" s="24">
        <v>1</v>
      </c>
      <c r="E265" s="24">
        <v>0</v>
      </c>
      <c r="F265" s="24">
        <v>0</v>
      </c>
      <c r="G265" s="24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0</v>
      </c>
      <c r="Q265" s="23">
        <v>2404.7338</v>
      </c>
    </row>
    <row r="266" spans="1:17" hidden="1">
      <c r="A266" s="22">
        <v>21</v>
      </c>
      <c r="B266" s="22">
        <v>34.869999999999997</v>
      </c>
      <c r="C266" s="24">
        <v>0</v>
      </c>
      <c r="D266" s="24">
        <v>1</v>
      </c>
      <c r="E266" s="24">
        <v>0</v>
      </c>
      <c r="F266" s="24">
        <v>0</v>
      </c>
      <c r="G266" s="24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 s="23">
        <v>2020.5523000000001</v>
      </c>
    </row>
    <row r="267" spans="1:17" hidden="1">
      <c r="A267" s="22">
        <v>21</v>
      </c>
      <c r="B267" s="22">
        <v>32.68</v>
      </c>
      <c r="C267" s="24">
        <v>0</v>
      </c>
      <c r="D267" s="24">
        <v>1</v>
      </c>
      <c r="E267" s="24">
        <v>0</v>
      </c>
      <c r="F267" s="24">
        <v>0</v>
      </c>
      <c r="G267" s="24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 s="23">
        <v>26018.950519999999</v>
      </c>
    </row>
    <row r="268" spans="1:17" hidden="1">
      <c r="A268" s="22">
        <v>21</v>
      </c>
      <c r="B268" s="22">
        <v>34.6</v>
      </c>
      <c r="C268" s="24">
        <v>0</v>
      </c>
      <c r="D268" s="24">
        <v>1</v>
      </c>
      <c r="E268" s="24">
        <v>0</v>
      </c>
      <c r="F268" s="24">
        <v>0</v>
      </c>
      <c r="G268" s="24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 s="23">
        <v>2020.1769999999999</v>
      </c>
    </row>
    <row r="269" spans="1:17" hidden="1">
      <c r="A269" s="22">
        <v>22</v>
      </c>
      <c r="B269" s="22">
        <v>39.805</v>
      </c>
      <c r="C269" s="24">
        <v>0</v>
      </c>
      <c r="D269" s="24">
        <v>1</v>
      </c>
      <c r="E269" s="24">
        <v>0</v>
      </c>
      <c r="F269" s="24">
        <v>0</v>
      </c>
      <c r="G269" s="24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0</v>
      </c>
      <c r="Q269" s="23">
        <v>2755.0209500000001</v>
      </c>
    </row>
    <row r="270" spans="1:17" hidden="1">
      <c r="A270" s="22">
        <v>22</v>
      </c>
      <c r="B270" s="22">
        <v>36</v>
      </c>
      <c r="C270" s="24">
        <v>0</v>
      </c>
      <c r="D270" s="24">
        <v>1</v>
      </c>
      <c r="E270" s="24">
        <v>0</v>
      </c>
      <c r="F270" s="24">
        <v>0</v>
      </c>
      <c r="G270" s="24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 s="23">
        <v>2166.732</v>
      </c>
    </row>
    <row r="271" spans="1:17" hidden="1">
      <c r="A271" s="22">
        <v>22</v>
      </c>
      <c r="B271" s="22">
        <v>34.58</v>
      </c>
      <c r="C271" s="24">
        <v>0</v>
      </c>
      <c r="D271" s="24">
        <v>1</v>
      </c>
      <c r="E271" s="24">
        <v>0</v>
      </c>
      <c r="F271" s="24">
        <v>0</v>
      </c>
      <c r="G271" s="24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</v>
      </c>
      <c r="Q271" s="23">
        <v>3925.7582000000002</v>
      </c>
    </row>
    <row r="272" spans="1:17" hidden="1">
      <c r="A272" s="22">
        <v>22</v>
      </c>
      <c r="B272" s="22">
        <v>30.4</v>
      </c>
      <c r="C272" s="24">
        <v>0</v>
      </c>
      <c r="D272" s="24">
        <v>1</v>
      </c>
      <c r="E272" s="24">
        <v>0</v>
      </c>
      <c r="F272" s="24">
        <v>0</v>
      </c>
      <c r="G272" s="24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0</v>
      </c>
      <c r="O272">
        <v>0</v>
      </c>
      <c r="P272">
        <v>0</v>
      </c>
      <c r="Q272" s="23">
        <v>2741.9479999999999</v>
      </c>
    </row>
    <row r="273" spans="1:17" hidden="1">
      <c r="A273" s="22">
        <v>23</v>
      </c>
      <c r="B273" s="22">
        <v>34.96</v>
      </c>
      <c r="C273" s="24">
        <v>0</v>
      </c>
      <c r="D273" s="24">
        <v>1</v>
      </c>
      <c r="E273" s="24">
        <v>0</v>
      </c>
      <c r="F273" s="24">
        <v>0</v>
      </c>
      <c r="G273" s="24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1</v>
      </c>
      <c r="N273">
        <v>0</v>
      </c>
      <c r="O273">
        <v>0</v>
      </c>
      <c r="P273">
        <v>0</v>
      </c>
      <c r="Q273" s="23">
        <v>4466.6214</v>
      </c>
    </row>
    <row r="274" spans="1:17" hidden="1">
      <c r="A274" s="22">
        <v>23</v>
      </c>
      <c r="B274" s="22">
        <v>39.270000000000003</v>
      </c>
      <c r="C274" s="24">
        <v>0</v>
      </c>
      <c r="D274" s="24">
        <v>1</v>
      </c>
      <c r="E274" s="24">
        <v>0</v>
      </c>
      <c r="F274" s="24">
        <v>0</v>
      </c>
      <c r="G274" s="2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 s="23">
        <v>3500.6122999999998</v>
      </c>
    </row>
    <row r="275" spans="1:17" hidden="1">
      <c r="A275" s="22">
        <v>23</v>
      </c>
      <c r="B275" s="22">
        <v>34.865000000000002</v>
      </c>
      <c r="C275" s="24">
        <v>0</v>
      </c>
      <c r="D275" s="24">
        <v>1</v>
      </c>
      <c r="E275" s="24">
        <v>0</v>
      </c>
      <c r="F275" s="24">
        <v>0</v>
      </c>
      <c r="G275" s="24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0</v>
      </c>
      <c r="Q275" s="23">
        <v>2899.4893499999998</v>
      </c>
    </row>
    <row r="276" spans="1:17" hidden="1">
      <c r="A276" s="22">
        <v>23</v>
      </c>
      <c r="B276" s="22">
        <v>33.4</v>
      </c>
      <c r="C276" s="24">
        <v>0</v>
      </c>
      <c r="D276" s="24">
        <v>1</v>
      </c>
      <c r="E276" s="24">
        <v>0</v>
      </c>
      <c r="F276" s="24">
        <v>0</v>
      </c>
      <c r="G276" s="24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 s="23">
        <v>10795.937330000001</v>
      </c>
    </row>
    <row r="277" spans="1:17" hidden="1">
      <c r="A277" s="22">
        <v>24</v>
      </c>
      <c r="B277" s="22">
        <v>33.344999999999999</v>
      </c>
      <c r="C277" s="24">
        <v>0</v>
      </c>
      <c r="D277" s="24">
        <v>1</v>
      </c>
      <c r="E277" s="24">
        <v>0</v>
      </c>
      <c r="F277" s="24">
        <v>0</v>
      </c>
      <c r="G277" s="24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0</v>
      </c>
      <c r="Q277" s="23">
        <v>2855.4375500000001</v>
      </c>
    </row>
    <row r="278" spans="1:17" hidden="1">
      <c r="A278" s="22">
        <v>24</v>
      </c>
      <c r="B278" s="22">
        <v>30.21</v>
      </c>
      <c r="C278" s="24">
        <v>0</v>
      </c>
      <c r="D278" s="24">
        <v>1</v>
      </c>
      <c r="E278" s="24">
        <v>0</v>
      </c>
      <c r="F278" s="24">
        <v>0</v>
      </c>
      <c r="G278" s="24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0</v>
      </c>
      <c r="P278">
        <v>0</v>
      </c>
      <c r="Q278" s="23">
        <v>4618.0798999999997</v>
      </c>
    </row>
    <row r="279" spans="1:17" hidden="1">
      <c r="A279" s="22">
        <v>24</v>
      </c>
      <c r="B279" s="22">
        <v>30.1</v>
      </c>
      <c r="C279" s="24">
        <v>0</v>
      </c>
      <c r="D279" s="24">
        <v>1</v>
      </c>
      <c r="E279" s="24">
        <v>0</v>
      </c>
      <c r="F279" s="24">
        <v>0</v>
      </c>
      <c r="G279" s="24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 s="23">
        <v>4234.9269999999997</v>
      </c>
    </row>
    <row r="280" spans="1:17" hidden="1">
      <c r="A280" s="22">
        <v>24</v>
      </c>
      <c r="B280" s="22">
        <v>33.99</v>
      </c>
      <c r="C280" s="24">
        <v>0</v>
      </c>
      <c r="D280" s="24">
        <v>1</v>
      </c>
      <c r="E280" s="24">
        <v>0</v>
      </c>
      <c r="F280" s="24">
        <v>0</v>
      </c>
      <c r="G280" s="24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 s="23">
        <v>2473.3341</v>
      </c>
    </row>
    <row r="281" spans="1:17" hidden="1">
      <c r="A281" s="22">
        <v>24</v>
      </c>
      <c r="B281" s="22">
        <v>39.49</v>
      </c>
      <c r="C281" s="24">
        <v>0</v>
      </c>
      <c r="D281" s="24">
        <v>1</v>
      </c>
      <c r="E281" s="24">
        <v>0</v>
      </c>
      <c r="F281" s="24">
        <v>0</v>
      </c>
      <c r="G281" s="24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 s="23">
        <v>2480.9791</v>
      </c>
    </row>
    <row r="282" spans="1:17" hidden="1">
      <c r="A282" s="22">
        <v>24</v>
      </c>
      <c r="B282" s="22">
        <v>29.925000000000001</v>
      </c>
      <c r="C282" s="24">
        <v>0</v>
      </c>
      <c r="D282" s="24">
        <v>1</v>
      </c>
      <c r="E282" s="24">
        <v>0</v>
      </c>
      <c r="F282" s="24">
        <v>0</v>
      </c>
      <c r="G282" s="24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0</v>
      </c>
      <c r="Q282" s="23">
        <v>2850.6837500000001</v>
      </c>
    </row>
    <row r="283" spans="1:17" hidden="1">
      <c r="A283" s="22">
        <v>25</v>
      </c>
      <c r="B283" s="22">
        <v>41.325000000000003</v>
      </c>
      <c r="C283" s="24">
        <v>0</v>
      </c>
      <c r="D283" s="24">
        <v>1</v>
      </c>
      <c r="E283" s="24">
        <v>0</v>
      </c>
      <c r="F283" s="24">
        <v>0</v>
      </c>
      <c r="G283" s="24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0</v>
      </c>
      <c r="O283">
        <v>0</v>
      </c>
      <c r="P283">
        <v>0</v>
      </c>
      <c r="Q283" s="23">
        <v>17878.900679999999</v>
      </c>
    </row>
    <row r="284" spans="1:17" hidden="1">
      <c r="A284" s="22">
        <v>25</v>
      </c>
      <c r="B284" s="22">
        <v>32.229999999999997</v>
      </c>
      <c r="C284" s="24">
        <v>0</v>
      </c>
      <c r="D284" s="24">
        <v>1</v>
      </c>
      <c r="E284" s="24">
        <v>0</v>
      </c>
      <c r="F284" s="24">
        <v>0</v>
      </c>
      <c r="G284" s="2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 s="23">
        <v>18218.161390000001</v>
      </c>
    </row>
    <row r="285" spans="1:17" hidden="1">
      <c r="A285" s="22">
        <v>25</v>
      </c>
      <c r="B285" s="22">
        <v>33.99</v>
      </c>
      <c r="C285" s="24">
        <v>0</v>
      </c>
      <c r="D285" s="24">
        <v>1</v>
      </c>
      <c r="E285" s="24">
        <v>0</v>
      </c>
      <c r="F285" s="24">
        <v>0</v>
      </c>
      <c r="G285" s="24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 s="23">
        <v>3227.1210999999998</v>
      </c>
    </row>
    <row r="286" spans="1:17" hidden="1">
      <c r="A286" s="22">
        <v>25</v>
      </c>
      <c r="B286" s="22">
        <v>30.3</v>
      </c>
      <c r="C286" s="24">
        <v>0</v>
      </c>
      <c r="D286" s="24">
        <v>1</v>
      </c>
      <c r="E286" s="24">
        <v>0</v>
      </c>
      <c r="F286" s="24">
        <v>0</v>
      </c>
      <c r="G286" s="24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 s="23">
        <v>2632.9920000000002</v>
      </c>
    </row>
    <row r="287" spans="1:17" hidden="1">
      <c r="A287" s="22">
        <v>25</v>
      </c>
      <c r="B287" s="22">
        <v>42.13</v>
      </c>
      <c r="C287" s="24">
        <v>0</v>
      </c>
      <c r="D287" s="24">
        <v>1</v>
      </c>
      <c r="E287" s="24">
        <v>0</v>
      </c>
      <c r="F287" s="24">
        <v>0</v>
      </c>
      <c r="G287" s="24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 s="23">
        <v>3238.4357</v>
      </c>
    </row>
    <row r="288" spans="1:17" hidden="1">
      <c r="A288" s="22">
        <v>25</v>
      </c>
      <c r="B288" s="22">
        <v>34.484999999999999</v>
      </c>
      <c r="C288" s="24">
        <v>0</v>
      </c>
      <c r="D288" s="24">
        <v>1</v>
      </c>
      <c r="E288" s="24">
        <v>0</v>
      </c>
      <c r="F288" s="24">
        <v>0</v>
      </c>
      <c r="G288" s="24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0</v>
      </c>
      <c r="Q288" s="23">
        <v>3021.80915</v>
      </c>
    </row>
    <row r="289" spans="1:17" hidden="1">
      <c r="A289" s="22">
        <v>26</v>
      </c>
      <c r="B289" s="22">
        <v>29.92</v>
      </c>
      <c r="C289" s="24">
        <v>0</v>
      </c>
      <c r="D289" s="24">
        <v>1</v>
      </c>
      <c r="E289" s="24">
        <v>0</v>
      </c>
      <c r="F289" s="24">
        <v>0</v>
      </c>
      <c r="G289" s="24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 s="23">
        <v>3981.9767999999999</v>
      </c>
    </row>
    <row r="290" spans="1:17" hidden="1">
      <c r="A290" s="22">
        <v>26</v>
      </c>
      <c r="B290" s="22">
        <v>29.92</v>
      </c>
      <c r="C290" s="24">
        <v>0</v>
      </c>
      <c r="D290" s="24">
        <v>1</v>
      </c>
      <c r="E290" s="24">
        <v>0</v>
      </c>
      <c r="F290" s="24">
        <v>0</v>
      </c>
      <c r="G290" s="24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 s="23">
        <v>3392.9767999999999</v>
      </c>
    </row>
    <row r="291" spans="1:17" hidden="1">
      <c r="A291" s="22">
        <v>26</v>
      </c>
      <c r="B291" s="22">
        <v>42.4</v>
      </c>
      <c r="C291" s="24">
        <v>0</v>
      </c>
      <c r="D291" s="24">
        <v>1</v>
      </c>
      <c r="E291" s="24">
        <v>0</v>
      </c>
      <c r="F291" s="24">
        <v>0</v>
      </c>
      <c r="G291" s="24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 s="23">
        <v>3410.3240000000001</v>
      </c>
    </row>
    <row r="292" spans="1:17" hidden="1">
      <c r="A292" s="22">
        <v>26</v>
      </c>
      <c r="B292" s="22">
        <v>40.185000000000002</v>
      </c>
      <c r="C292" s="24">
        <v>0</v>
      </c>
      <c r="D292" s="24">
        <v>1</v>
      </c>
      <c r="E292" s="24">
        <v>0</v>
      </c>
      <c r="F292" s="24">
        <v>0</v>
      </c>
      <c r="G292" s="24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0</v>
      </c>
      <c r="Q292" s="23">
        <v>3201.2451500000002</v>
      </c>
    </row>
    <row r="293" spans="1:17" hidden="1">
      <c r="A293" s="22">
        <v>26</v>
      </c>
      <c r="B293" s="22">
        <v>34.200000000000003</v>
      </c>
      <c r="C293" s="24">
        <v>0</v>
      </c>
      <c r="D293" s="24">
        <v>1</v>
      </c>
      <c r="E293" s="24">
        <v>0</v>
      </c>
      <c r="F293" s="24">
        <v>0</v>
      </c>
      <c r="G293" s="24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 s="23">
        <v>3987.9259999999999</v>
      </c>
    </row>
    <row r="294" spans="1:17" hidden="1">
      <c r="A294" s="22">
        <v>27</v>
      </c>
      <c r="B294" s="22">
        <v>30.4</v>
      </c>
      <c r="C294" s="24">
        <v>0</v>
      </c>
      <c r="D294" s="24">
        <v>1</v>
      </c>
      <c r="E294" s="24">
        <v>0</v>
      </c>
      <c r="F294" s="24">
        <v>0</v>
      </c>
      <c r="G294" s="2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 s="23">
        <v>18804.752400000001</v>
      </c>
    </row>
    <row r="295" spans="1:17" hidden="1">
      <c r="A295" s="22">
        <v>27</v>
      </c>
      <c r="B295" s="22">
        <v>34.799999999999997</v>
      </c>
      <c r="C295" s="24">
        <v>0</v>
      </c>
      <c r="D295" s="24">
        <v>1</v>
      </c>
      <c r="E295" s="24">
        <v>0</v>
      </c>
      <c r="F295" s="24">
        <v>0</v>
      </c>
      <c r="G295" s="24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 s="23">
        <v>3577.9989999999998</v>
      </c>
    </row>
    <row r="296" spans="1:17" hidden="1">
      <c r="A296" s="22">
        <v>27</v>
      </c>
      <c r="B296" s="22">
        <v>30.59</v>
      </c>
      <c r="C296" s="24">
        <v>0</v>
      </c>
      <c r="D296" s="24">
        <v>1</v>
      </c>
      <c r="E296" s="24">
        <v>0</v>
      </c>
      <c r="F296" s="24">
        <v>0</v>
      </c>
      <c r="G296" s="24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>
        <v>0</v>
      </c>
      <c r="P296">
        <v>0</v>
      </c>
      <c r="Q296" s="23">
        <v>16796.411940000002</v>
      </c>
    </row>
    <row r="297" spans="1:17" hidden="1">
      <c r="A297" s="22">
        <v>27</v>
      </c>
      <c r="B297" s="22">
        <v>32.395000000000003</v>
      </c>
      <c r="C297" s="24">
        <v>0</v>
      </c>
      <c r="D297" s="24">
        <v>1</v>
      </c>
      <c r="E297" s="24">
        <v>0</v>
      </c>
      <c r="F297" s="24">
        <v>0</v>
      </c>
      <c r="G297" s="24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0</v>
      </c>
      <c r="Q297" s="23">
        <v>18903.491409999999</v>
      </c>
    </row>
    <row r="298" spans="1:17" hidden="1">
      <c r="A298" s="22">
        <v>27</v>
      </c>
      <c r="B298" s="22">
        <v>31.254999999999999</v>
      </c>
      <c r="C298" s="24">
        <v>0</v>
      </c>
      <c r="D298" s="24">
        <v>1</v>
      </c>
      <c r="E298" s="24">
        <v>0</v>
      </c>
      <c r="F298" s="24">
        <v>0</v>
      </c>
      <c r="G298" s="24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0</v>
      </c>
      <c r="Q298" s="23">
        <v>3956.0714499999999</v>
      </c>
    </row>
    <row r="299" spans="1:17" hidden="1">
      <c r="A299" s="22">
        <v>28</v>
      </c>
      <c r="B299" s="22">
        <v>34.770000000000003</v>
      </c>
      <c r="C299" s="24">
        <v>0</v>
      </c>
      <c r="D299" s="24">
        <v>1</v>
      </c>
      <c r="E299" s="24">
        <v>0</v>
      </c>
      <c r="F299" s="24">
        <v>0</v>
      </c>
      <c r="G299" s="24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  <c r="Q299" s="23">
        <v>3556.9223000000002</v>
      </c>
    </row>
    <row r="300" spans="1:17" hidden="1">
      <c r="A300" s="22">
        <v>28</v>
      </c>
      <c r="B300" s="22">
        <v>37.619999999999997</v>
      </c>
      <c r="C300" s="24">
        <v>0</v>
      </c>
      <c r="D300" s="24">
        <v>1</v>
      </c>
      <c r="E300" s="24">
        <v>0</v>
      </c>
      <c r="F300" s="24">
        <v>0</v>
      </c>
      <c r="G300" s="24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 s="23">
        <v>3766.8838000000001</v>
      </c>
    </row>
    <row r="301" spans="1:17" hidden="1">
      <c r="A301" s="22">
        <v>28</v>
      </c>
      <c r="B301" s="22">
        <v>33.4</v>
      </c>
      <c r="C301" s="24">
        <v>0</v>
      </c>
      <c r="D301" s="24">
        <v>1</v>
      </c>
      <c r="E301" s="24">
        <v>0</v>
      </c>
      <c r="F301" s="24">
        <v>0</v>
      </c>
      <c r="G301" s="24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 s="23">
        <v>3172.018</v>
      </c>
    </row>
    <row r="302" spans="1:17" hidden="1">
      <c r="A302" s="22">
        <v>28</v>
      </c>
      <c r="B302" s="22">
        <v>33</v>
      </c>
      <c r="C302" s="24">
        <v>0</v>
      </c>
      <c r="D302" s="24">
        <v>1</v>
      </c>
      <c r="E302" s="24">
        <v>0</v>
      </c>
      <c r="F302" s="24">
        <v>0</v>
      </c>
      <c r="G302" s="24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 s="23">
        <v>4349.4620000000004</v>
      </c>
    </row>
    <row r="303" spans="1:17" hidden="1">
      <c r="A303" s="22">
        <v>28</v>
      </c>
      <c r="B303" s="22">
        <v>33.11</v>
      </c>
      <c r="C303" s="24">
        <v>0</v>
      </c>
      <c r="D303" s="24">
        <v>1</v>
      </c>
      <c r="E303" s="24">
        <v>0</v>
      </c>
      <c r="F303" s="24">
        <v>0</v>
      </c>
      <c r="G303" s="24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 s="23">
        <v>3171.6149</v>
      </c>
    </row>
    <row r="304" spans="1:17" hidden="1">
      <c r="A304" s="22">
        <v>29</v>
      </c>
      <c r="B304" s="22">
        <v>38.83</v>
      </c>
      <c r="C304" s="24">
        <v>0</v>
      </c>
      <c r="D304" s="24">
        <v>1</v>
      </c>
      <c r="E304" s="24">
        <v>0</v>
      </c>
      <c r="F304" s="24">
        <v>0</v>
      </c>
      <c r="G304" s="2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 s="23">
        <v>5138.2566999999999</v>
      </c>
    </row>
    <row r="305" spans="1:17" hidden="1">
      <c r="A305" s="22">
        <v>29</v>
      </c>
      <c r="B305" s="22">
        <v>32.11</v>
      </c>
      <c r="C305" s="24">
        <v>0</v>
      </c>
      <c r="D305" s="24">
        <v>1</v>
      </c>
      <c r="E305" s="24">
        <v>0</v>
      </c>
      <c r="F305" s="24">
        <v>0</v>
      </c>
      <c r="G305" s="24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 s="23">
        <v>4922.9159</v>
      </c>
    </row>
    <row r="306" spans="1:17" hidden="1">
      <c r="A306" s="22">
        <v>29</v>
      </c>
      <c r="B306" s="22">
        <v>35.53</v>
      </c>
      <c r="C306" s="24">
        <v>0</v>
      </c>
      <c r="D306" s="24">
        <v>1</v>
      </c>
      <c r="E306" s="24">
        <v>0</v>
      </c>
      <c r="F306" s="24">
        <v>0</v>
      </c>
      <c r="G306" s="24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 s="23">
        <v>3366.6696999999999</v>
      </c>
    </row>
    <row r="307" spans="1:17" hidden="1">
      <c r="A307" s="22">
        <v>29</v>
      </c>
      <c r="B307" s="22">
        <v>31.16</v>
      </c>
      <c r="C307" s="24">
        <v>0</v>
      </c>
      <c r="D307" s="24">
        <v>1</v>
      </c>
      <c r="E307" s="24">
        <v>0</v>
      </c>
      <c r="F307" s="24">
        <v>0</v>
      </c>
      <c r="G307" s="24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0</v>
      </c>
      <c r="Q307" s="23">
        <v>3943.5954000000002</v>
      </c>
    </row>
    <row r="308" spans="1:17" hidden="1">
      <c r="A308" s="22">
        <v>30</v>
      </c>
      <c r="B308" s="22">
        <v>32.4</v>
      </c>
      <c r="C308" s="24">
        <v>0</v>
      </c>
      <c r="D308" s="24">
        <v>1</v>
      </c>
      <c r="E308" s="24">
        <v>0</v>
      </c>
      <c r="F308" s="24">
        <v>0</v>
      </c>
      <c r="G308" s="24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 s="23">
        <v>4149.7359999999999</v>
      </c>
    </row>
    <row r="309" spans="1:17" hidden="1">
      <c r="A309" s="22">
        <v>30</v>
      </c>
      <c r="B309" s="22">
        <v>30.9</v>
      </c>
      <c r="C309" s="24">
        <v>0</v>
      </c>
      <c r="D309" s="24">
        <v>1</v>
      </c>
      <c r="E309" s="24">
        <v>0</v>
      </c>
      <c r="F309" s="24">
        <v>0</v>
      </c>
      <c r="G309" s="24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 s="23">
        <v>5325.6509999999998</v>
      </c>
    </row>
    <row r="310" spans="1:17" hidden="1">
      <c r="A310" s="22">
        <v>30</v>
      </c>
      <c r="B310" s="22">
        <v>33.33</v>
      </c>
      <c r="C310" s="24">
        <v>0</v>
      </c>
      <c r="D310" s="24">
        <v>1</v>
      </c>
      <c r="E310" s="24">
        <v>0</v>
      </c>
      <c r="F310" s="24">
        <v>0</v>
      </c>
      <c r="G310" s="24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 s="23">
        <v>4151.0286999999998</v>
      </c>
    </row>
    <row r="311" spans="1:17" hidden="1">
      <c r="A311" s="22">
        <v>30</v>
      </c>
      <c r="B311" s="22">
        <v>43.12</v>
      </c>
      <c r="C311" s="24">
        <v>0</v>
      </c>
      <c r="D311" s="24">
        <v>1</v>
      </c>
      <c r="E311" s="24">
        <v>0</v>
      </c>
      <c r="F311" s="24">
        <v>0</v>
      </c>
      <c r="G311" s="24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 s="23">
        <v>4753.6368000000002</v>
      </c>
    </row>
    <row r="312" spans="1:17" hidden="1">
      <c r="A312" s="22">
        <v>31</v>
      </c>
      <c r="B312" s="22">
        <v>36.630000000000003</v>
      </c>
      <c r="C312" s="24">
        <v>0</v>
      </c>
      <c r="D312" s="24">
        <v>1</v>
      </c>
      <c r="E312" s="24">
        <v>0</v>
      </c>
      <c r="F312" s="24">
        <v>0</v>
      </c>
      <c r="G312" s="24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 s="23">
        <v>4949.7587000000003</v>
      </c>
    </row>
    <row r="313" spans="1:17" hidden="1">
      <c r="A313" s="22">
        <v>31</v>
      </c>
      <c r="B313" s="22">
        <v>32.68</v>
      </c>
      <c r="C313" s="24">
        <v>0</v>
      </c>
      <c r="D313" s="24">
        <v>1</v>
      </c>
      <c r="E313" s="24">
        <v>0</v>
      </c>
      <c r="F313" s="24">
        <v>0</v>
      </c>
      <c r="G313" s="24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0</v>
      </c>
      <c r="Q313" s="23">
        <v>4738.2682000000004</v>
      </c>
    </row>
    <row r="314" spans="1:17" hidden="1">
      <c r="A314" s="22">
        <v>31</v>
      </c>
      <c r="B314" s="22">
        <v>31.065000000000001</v>
      </c>
      <c r="C314" s="24">
        <v>0</v>
      </c>
      <c r="D314" s="24">
        <v>1</v>
      </c>
      <c r="E314" s="24">
        <v>0</v>
      </c>
      <c r="F314" s="24">
        <v>0</v>
      </c>
      <c r="G314" s="2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0</v>
      </c>
      <c r="Q314" s="23">
        <v>4347.0233500000004</v>
      </c>
    </row>
    <row r="315" spans="1:17" hidden="1">
      <c r="A315" s="22">
        <v>31</v>
      </c>
      <c r="B315" s="22">
        <v>30.495000000000001</v>
      </c>
      <c r="C315" s="24">
        <v>0</v>
      </c>
      <c r="D315" s="24">
        <v>1</v>
      </c>
      <c r="E315" s="24">
        <v>0</v>
      </c>
      <c r="F315" s="24">
        <v>0</v>
      </c>
      <c r="G315" s="24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0</v>
      </c>
      <c r="Q315" s="23">
        <v>6113.2310500000003</v>
      </c>
    </row>
    <row r="316" spans="1:17" hidden="1">
      <c r="A316" s="22">
        <v>31</v>
      </c>
      <c r="B316" s="22">
        <v>32.774999999999999</v>
      </c>
      <c r="C316" s="24">
        <v>0</v>
      </c>
      <c r="D316" s="24">
        <v>1</v>
      </c>
      <c r="E316" s="24">
        <v>0</v>
      </c>
      <c r="F316" s="24">
        <v>0</v>
      </c>
      <c r="G316" s="24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 s="23">
        <v>5327.4002499999997</v>
      </c>
    </row>
    <row r="317" spans="1:17" hidden="1">
      <c r="A317" s="22">
        <v>32</v>
      </c>
      <c r="B317" s="22">
        <v>37.145000000000003</v>
      </c>
      <c r="C317" s="24">
        <v>0</v>
      </c>
      <c r="D317" s="24">
        <v>1</v>
      </c>
      <c r="E317" s="24">
        <v>0</v>
      </c>
      <c r="F317" s="24">
        <v>0</v>
      </c>
      <c r="G317" s="24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0</v>
      </c>
      <c r="P317">
        <v>0</v>
      </c>
      <c r="Q317" s="23">
        <v>6334.3435499999996</v>
      </c>
    </row>
    <row r="318" spans="1:17" hidden="1">
      <c r="A318" s="22">
        <v>32</v>
      </c>
      <c r="B318" s="22">
        <v>33.155000000000001</v>
      </c>
      <c r="C318" s="24">
        <v>0</v>
      </c>
      <c r="D318" s="24">
        <v>1</v>
      </c>
      <c r="E318" s="24">
        <v>0</v>
      </c>
      <c r="F318" s="24">
        <v>0</v>
      </c>
      <c r="G318" s="24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 s="23">
        <v>6128.79745</v>
      </c>
    </row>
    <row r="319" spans="1:17" hidden="1">
      <c r="A319" s="22">
        <v>32</v>
      </c>
      <c r="B319" s="22">
        <v>44.22</v>
      </c>
      <c r="C319" s="24">
        <v>0</v>
      </c>
      <c r="D319" s="24">
        <v>1</v>
      </c>
      <c r="E319" s="24">
        <v>0</v>
      </c>
      <c r="F319" s="24">
        <v>0</v>
      </c>
      <c r="G319" s="24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 s="23">
        <v>3994.1777999999999</v>
      </c>
    </row>
    <row r="320" spans="1:17" hidden="1">
      <c r="A320" s="22">
        <v>32</v>
      </c>
      <c r="B320" s="22">
        <v>31.54</v>
      </c>
      <c r="C320" s="24">
        <v>0</v>
      </c>
      <c r="D320" s="24">
        <v>1</v>
      </c>
      <c r="E320" s="24">
        <v>0</v>
      </c>
      <c r="F320" s="24">
        <v>0</v>
      </c>
      <c r="G320" s="24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0</v>
      </c>
      <c r="P320">
        <v>0</v>
      </c>
      <c r="Q320" s="23">
        <v>5148.5526</v>
      </c>
    </row>
    <row r="321" spans="1:17" hidden="1">
      <c r="A321" s="22">
        <v>32</v>
      </c>
      <c r="B321" s="22">
        <v>41.1</v>
      </c>
      <c r="C321" s="24">
        <v>0</v>
      </c>
      <c r="D321" s="24">
        <v>1</v>
      </c>
      <c r="E321" s="24">
        <v>0</v>
      </c>
      <c r="F321" s="24">
        <v>0</v>
      </c>
      <c r="G321" s="24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 s="23">
        <v>3989.8409999999999</v>
      </c>
    </row>
    <row r="322" spans="1:17" hidden="1">
      <c r="A322" s="22">
        <v>33</v>
      </c>
      <c r="B322" s="22">
        <v>38.9</v>
      </c>
      <c r="C322" s="24">
        <v>0</v>
      </c>
      <c r="D322" s="24">
        <v>1</v>
      </c>
      <c r="E322" s="24">
        <v>0</v>
      </c>
      <c r="F322" s="24">
        <v>0</v>
      </c>
      <c r="G322" s="24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 s="23">
        <v>5972.3779999999997</v>
      </c>
    </row>
    <row r="323" spans="1:17" hidden="1">
      <c r="A323" s="22">
        <v>33</v>
      </c>
      <c r="B323" s="22">
        <v>32.9</v>
      </c>
      <c r="C323" s="24">
        <v>0</v>
      </c>
      <c r="D323" s="24">
        <v>1</v>
      </c>
      <c r="E323" s="24">
        <v>0</v>
      </c>
      <c r="F323" s="24">
        <v>0</v>
      </c>
      <c r="G323" s="24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 s="23">
        <v>5375.0379999999996</v>
      </c>
    </row>
    <row r="324" spans="1:17" hidden="1">
      <c r="A324" s="22">
        <v>33</v>
      </c>
      <c r="B324" s="22">
        <v>42.94</v>
      </c>
      <c r="C324" s="24">
        <v>0</v>
      </c>
      <c r="D324" s="24">
        <v>1</v>
      </c>
      <c r="E324" s="24">
        <v>0</v>
      </c>
      <c r="F324" s="24">
        <v>0</v>
      </c>
      <c r="G324" s="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0</v>
      </c>
      <c r="Q324" s="23">
        <v>6360.9935999999998</v>
      </c>
    </row>
    <row r="325" spans="1:17" hidden="1">
      <c r="A325" s="22">
        <v>33</v>
      </c>
      <c r="B325" s="22">
        <v>36.29</v>
      </c>
      <c r="C325" s="24">
        <v>0</v>
      </c>
      <c r="D325" s="24">
        <v>1</v>
      </c>
      <c r="E325" s="24">
        <v>0</v>
      </c>
      <c r="F325" s="24">
        <v>0</v>
      </c>
      <c r="G325" s="24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 s="23">
        <v>6551.7501000000002</v>
      </c>
    </row>
    <row r="326" spans="1:17" hidden="1">
      <c r="A326" s="22">
        <v>33</v>
      </c>
      <c r="B326" s="22">
        <v>39.82</v>
      </c>
      <c r="C326" s="24">
        <v>0</v>
      </c>
      <c r="D326" s="24">
        <v>1</v>
      </c>
      <c r="E326" s="24">
        <v>0</v>
      </c>
      <c r="F326" s="24">
        <v>0</v>
      </c>
      <c r="G326" s="24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 s="23">
        <v>4795.6567999999997</v>
      </c>
    </row>
    <row r="327" spans="1:17" hidden="1">
      <c r="A327" s="22">
        <v>34</v>
      </c>
      <c r="B327" s="22">
        <v>37.335000000000001</v>
      </c>
      <c r="C327" s="24">
        <v>0</v>
      </c>
      <c r="D327" s="24">
        <v>1</v>
      </c>
      <c r="E327" s="24">
        <v>0</v>
      </c>
      <c r="F327" s="24">
        <v>0</v>
      </c>
      <c r="G327" s="24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 s="23">
        <v>5989.5236500000001</v>
      </c>
    </row>
    <row r="328" spans="1:17" hidden="1">
      <c r="A328" s="22">
        <v>34</v>
      </c>
      <c r="B328" s="22">
        <v>33.700000000000003</v>
      </c>
      <c r="C328" s="24">
        <v>0</v>
      </c>
      <c r="D328" s="24">
        <v>1</v>
      </c>
      <c r="E328" s="24">
        <v>0</v>
      </c>
      <c r="F328" s="24">
        <v>0</v>
      </c>
      <c r="G328" s="24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 s="23">
        <v>5012.4709999999995</v>
      </c>
    </row>
    <row r="329" spans="1:17" hidden="1">
      <c r="A329" s="22">
        <v>34</v>
      </c>
      <c r="B329" s="22">
        <v>38</v>
      </c>
      <c r="C329" s="24">
        <v>0</v>
      </c>
      <c r="D329" s="24">
        <v>1</v>
      </c>
      <c r="E329" s="24">
        <v>0</v>
      </c>
      <c r="F329" s="24">
        <v>0</v>
      </c>
      <c r="G329" s="24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 s="23">
        <v>6196.4480000000003</v>
      </c>
    </row>
    <row r="330" spans="1:17" hidden="1">
      <c r="A330" s="22">
        <v>34</v>
      </c>
      <c r="B330" s="22">
        <v>33.25</v>
      </c>
      <c r="C330" s="24">
        <v>0</v>
      </c>
      <c r="D330" s="24">
        <v>1</v>
      </c>
      <c r="E330" s="24">
        <v>0</v>
      </c>
      <c r="F330" s="24">
        <v>0</v>
      </c>
      <c r="G330" s="24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0</v>
      </c>
      <c r="Q330" s="23">
        <v>5594.8455000000004</v>
      </c>
    </row>
    <row r="331" spans="1:17" hidden="1">
      <c r="A331" s="22">
        <v>35</v>
      </c>
      <c r="B331" s="22">
        <v>34.799999999999997</v>
      </c>
      <c r="C331" s="24">
        <v>0</v>
      </c>
      <c r="D331" s="24">
        <v>1</v>
      </c>
      <c r="E331" s="24">
        <v>0</v>
      </c>
      <c r="F331" s="24">
        <v>0</v>
      </c>
      <c r="G331" s="24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 s="23">
        <v>5246.0469999999996</v>
      </c>
    </row>
    <row r="332" spans="1:17" hidden="1">
      <c r="A332" s="22">
        <v>35</v>
      </c>
      <c r="B332" s="22">
        <v>43.34</v>
      </c>
      <c r="C332" s="24">
        <v>0</v>
      </c>
      <c r="D332" s="24">
        <v>1</v>
      </c>
      <c r="E332" s="24">
        <v>0</v>
      </c>
      <c r="F332" s="24">
        <v>0</v>
      </c>
      <c r="G332" s="24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 s="23">
        <v>5846.9175999999998</v>
      </c>
    </row>
    <row r="333" spans="1:17" hidden="1">
      <c r="A333" s="22">
        <v>35</v>
      </c>
      <c r="B333" s="22">
        <v>31</v>
      </c>
      <c r="C333" s="24">
        <v>0</v>
      </c>
      <c r="D333" s="24">
        <v>1</v>
      </c>
      <c r="E333" s="24">
        <v>0</v>
      </c>
      <c r="F333" s="24">
        <v>0</v>
      </c>
      <c r="G333" s="24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 s="23">
        <v>5240.7650000000003</v>
      </c>
    </row>
    <row r="334" spans="1:17" hidden="1">
      <c r="A334" s="22">
        <v>35</v>
      </c>
      <c r="B334" s="22">
        <v>38.094999999999999</v>
      </c>
      <c r="C334" s="24">
        <v>0</v>
      </c>
      <c r="D334" s="24">
        <v>1</v>
      </c>
      <c r="E334" s="24">
        <v>0</v>
      </c>
      <c r="F334" s="24">
        <v>0</v>
      </c>
      <c r="G334" s="2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0</v>
      </c>
      <c r="Q334" s="23">
        <v>24915.046259999999</v>
      </c>
    </row>
    <row r="335" spans="1:17" hidden="1">
      <c r="A335" s="22">
        <v>35</v>
      </c>
      <c r="B335" s="22">
        <v>34.21</v>
      </c>
      <c r="C335" s="24">
        <v>0</v>
      </c>
      <c r="D335" s="24">
        <v>1</v>
      </c>
      <c r="E335" s="24">
        <v>0</v>
      </c>
      <c r="F335" s="24">
        <v>0</v>
      </c>
      <c r="G335" s="24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 s="23">
        <v>5245.2268999999997</v>
      </c>
    </row>
    <row r="336" spans="1:17" hidden="1">
      <c r="A336" s="22">
        <v>35</v>
      </c>
      <c r="B336" s="22">
        <v>35.86</v>
      </c>
      <c r="C336" s="24">
        <v>0</v>
      </c>
      <c r="D336" s="24">
        <v>1</v>
      </c>
      <c r="E336" s="24">
        <v>0</v>
      </c>
      <c r="F336" s="24">
        <v>0</v>
      </c>
      <c r="G336" s="24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 s="23">
        <v>5836.5204000000003</v>
      </c>
    </row>
    <row r="337" spans="1:17" hidden="1">
      <c r="A337" s="22">
        <v>35</v>
      </c>
      <c r="B337" s="22">
        <v>35.814999999999998</v>
      </c>
      <c r="C337" s="24">
        <v>0</v>
      </c>
      <c r="D337" s="24">
        <v>1</v>
      </c>
      <c r="E337" s="24">
        <v>0</v>
      </c>
      <c r="F337" s="24">
        <v>0</v>
      </c>
      <c r="G337" s="24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0</v>
      </c>
      <c r="Q337" s="23">
        <v>5630.4578499999998</v>
      </c>
    </row>
    <row r="338" spans="1:17" hidden="1">
      <c r="A338" s="22">
        <v>36</v>
      </c>
      <c r="B338" s="22">
        <v>29.92</v>
      </c>
      <c r="C338" s="24">
        <v>0</v>
      </c>
      <c r="D338" s="24">
        <v>1</v>
      </c>
      <c r="E338" s="24">
        <v>0</v>
      </c>
      <c r="F338" s="24">
        <v>0</v>
      </c>
      <c r="G338" s="24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 s="23">
        <v>5478.0367999999999</v>
      </c>
    </row>
    <row r="339" spans="1:17" hidden="1">
      <c r="A339" s="22">
        <v>36</v>
      </c>
      <c r="B339" s="22">
        <v>30.02</v>
      </c>
      <c r="C339" s="24">
        <v>0</v>
      </c>
      <c r="D339" s="24">
        <v>1</v>
      </c>
      <c r="E339" s="24">
        <v>0</v>
      </c>
      <c r="F339" s="24">
        <v>0</v>
      </c>
      <c r="G339" s="24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0</v>
      </c>
      <c r="Q339" s="23">
        <v>5272.1758</v>
      </c>
    </row>
    <row r="340" spans="1:17" hidden="1">
      <c r="A340" s="22">
        <v>36</v>
      </c>
      <c r="B340" s="22">
        <v>29.92</v>
      </c>
      <c r="C340" s="24">
        <v>0</v>
      </c>
      <c r="D340" s="24">
        <v>1</v>
      </c>
      <c r="E340" s="24">
        <v>0</v>
      </c>
      <c r="F340" s="24">
        <v>0</v>
      </c>
      <c r="G340" s="24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 s="23">
        <v>4889.0367999999999</v>
      </c>
    </row>
    <row r="341" spans="1:17" hidden="1">
      <c r="A341" s="22">
        <v>37</v>
      </c>
      <c r="B341" s="22">
        <v>30.8</v>
      </c>
      <c r="C341" s="24">
        <v>0</v>
      </c>
      <c r="D341" s="24">
        <v>1</v>
      </c>
      <c r="E341" s="24">
        <v>0</v>
      </c>
      <c r="F341" s="24">
        <v>0</v>
      </c>
      <c r="G341" s="24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 s="23">
        <v>6313.759</v>
      </c>
    </row>
    <row r="342" spans="1:17" hidden="1">
      <c r="A342" s="22">
        <v>37</v>
      </c>
      <c r="B342" s="22">
        <v>34.104999999999997</v>
      </c>
      <c r="C342" s="24">
        <v>0</v>
      </c>
      <c r="D342" s="24">
        <v>1</v>
      </c>
      <c r="E342" s="24">
        <v>0</v>
      </c>
      <c r="F342" s="24">
        <v>0</v>
      </c>
      <c r="G342" s="24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1</v>
      </c>
      <c r="P342">
        <v>0</v>
      </c>
      <c r="Q342" s="23">
        <v>6112.3529500000004</v>
      </c>
    </row>
    <row r="343" spans="1:17" hidden="1">
      <c r="A343" s="22">
        <v>38</v>
      </c>
      <c r="B343" s="22">
        <v>40.15</v>
      </c>
      <c r="C343" s="24">
        <v>0</v>
      </c>
      <c r="D343" s="24">
        <v>1</v>
      </c>
      <c r="E343" s="24">
        <v>0</v>
      </c>
      <c r="F343" s="24">
        <v>0</v>
      </c>
      <c r="G343" s="24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 s="23">
        <v>5400.9804999999997</v>
      </c>
    </row>
    <row r="344" spans="1:17" hidden="1">
      <c r="A344" s="22">
        <v>38</v>
      </c>
      <c r="B344" s="22">
        <v>37.729999999999997</v>
      </c>
      <c r="C344" s="24">
        <v>0</v>
      </c>
      <c r="D344" s="24">
        <v>1</v>
      </c>
      <c r="E344" s="24">
        <v>0</v>
      </c>
      <c r="F344" s="24">
        <v>0</v>
      </c>
      <c r="G344" s="2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 s="23">
        <v>5397.6166999999996</v>
      </c>
    </row>
    <row r="345" spans="1:17" hidden="1">
      <c r="A345" s="22">
        <v>38</v>
      </c>
      <c r="B345" s="22">
        <v>40.564999999999998</v>
      </c>
      <c r="C345" s="24">
        <v>0</v>
      </c>
      <c r="D345" s="24">
        <v>1</v>
      </c>
      <c r="E345" s="24">
        <v>0</v>
      </c>
      <c r="F345" s="24">
        <v>0</v>
      </c>
      <c r="G345" s="24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1</v>
      </c>
      <c r="P345">
        <v>0</v>
      </c>
      <c r="Q345" s="23">
        <v>6373.55735</v>
      </c>
    </row>
    <row r="346" spans="1:17" hidden="1">
      <c r="A346" s="22">
        <v>38</v>
      </c>
      <c r="B346" s="22">
        <v>30.69</v>
      </c>
      <c r="C346" s="24">
        <v>0</v>
      </c>
      <c r="D346" s="24">
        <v>1</v>
      </c>
      <c r="E346" s="24">
        <v>0</v>
      </c>
      <c r="F346" s="24">
        <v>0</v>
      </c>
      <c r="G346" s="24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 s="23">
        <v>5976.8311000000003</v>
      </c>
    </row>
    <row r="347" spans="1:17" hidden="1">
      <c r="A347" s="22">
        <v>38</v>
      </c>
      <c r="B347" s="22">
        <v>34.799999999999997</v>
      </c>
      <c r="C347" s="24">
        <v>0</v>
      </c>
      <c r="D347" s="24">
        <v>1</v>
      </c>
      <c r="E347" s="24">
        <v>0</v>
      </c>
      <c r="F347" s="24">
        <v>0</v>
      </c>
      <c r="G347" s="24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 s="23">
        <v>6571.5439999999999</v>
      </c>
    </row>
    <row r="348" spans="1:17" hidden="1">
      <c r="A348" s="22">
        <v>38</v>
      </c>
      <c r="B348" s="22">
        <v>30.21</v>
      </c>
      <c r="C348" s="24">
        <v>0</v>
      </c>
      <c r="D348" s="24">
        <v>1</v>
      </c>
      <c r="E348" s="24">
        <v>0</v>
      </c>
      <c r="F348" s="24">
        <v>0</v>
      </c>
      <c r="G348" s="24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</v>
      </c>
      <c r="P348">
        <v>0</v>
      </c>
      <c r="Q348" s="23">
        <v>7537.1638999999996</v>
      </c>
    </row>
    <row r="349" spans="1:17" hidden="1">
      <c r="A349" s="22">
        <v>39</v>
      </c>
      <c r="B349" s="22">
        <v>32.799999999999997</v>
      </c>
      <c r="C349" s="24">
        <v>0</v>
      </c>
      <c r="D349" s="24">
        <v>1</v>
      </c>
      <c r="E349" s="24">
        <v>0</v>
      </c>
      <c r="F349" s="24">
        <v>0</v>
      </c>
      <c r="G349" s="24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 s="23">
        <v>5649.7150000000001</v>
      </c>
    </row>
    <row r="350" spans="1:17" hidden="1">
      <c r="A350" s="22">
        <v>39</v>
      </c>
      <c r="B350" s="22">
        <v>41.8</v>
      </c>
      <c r="C350" s="24">
        <v>0</v>
      </c>
      <c r="D350" s="24">
        <v>1</v>
      </c>
      <c r="E350" s="24">
        <v>0</v>
      </c>
      <c r="F350" s="24">
        <v>0</v>
      </c>
      <c r="G350" s="24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 s="23">
        <v>5662.2250000000004</v>
      </c>
    </row>
    <row r="351" spans="1:17" hidden="1">
      <c r="A351" s="22">
        <v>39</v>
      </c>
      <c r="B351" s="22">
        <v>31.92</v>
      </c>
      <c r="C351" s="24">
        <v>0</v>
      </c>
      <c r="D351" s="24">
        <v>1</v>
      </c>
      <c r="E351" s="24">
        <v>0</v>
      </c>
      <c r="F351" s="24">
        <v>0</v>
      </c>
      <c r="G351" s="24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1</v>
      </c>
      <c r="P351">
        <v>0</v>
      </c>
      <c r="Q351" s="23">
        <v>7209.4917999999998</v>
      </c>
    </row>
    <row r="352" spans="1:17" hidden="1">
      <c r="A352" s="22">
        <v>39</v>
      </c>
      <c r="B352" s="22">
        <v>32.5</v>
      </c>
      <c r="C352" s="24">
        <v>0</v>
      </c>
      <c r="D352" s="24">
        <v>1</v>
      </c>
      <c r="E352" s="24">
        <v>0</v>
      </c>
      <c r="F352" s="24">
        <v>0</v>
      </c>
      <c r="G352" s="24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 s="23">
        <v>6238.2979999999998</v>
      </c>
    </row>
    <row r="353" spans="1:17" hidden="1">
      <c r="A353" s="22">
        <v>39</v>
      </c>
      <c r="B353" s="22">
        <v>34.32</v>
      </c>
      <c r="C353" s="24">
        <v>0</v>
      </c>
      <c r="D353" s="24">
        <v>1</v>
      </c>
      <c r="E353" s="24">
        <v>0</v>
      </c>
      <c r="F353" s="24">
        <v>0</v>
      </c>
      <c r="G353" s="24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 s="23">
        <v>8596.8277999999991</v>
      </c>
    </row>
    <row r="354" spans="1:17" hidden="1">
      <c r="A354" s="22">
        <v>39</v>
      </c>
      <c r="B354" s="22">
        <v>34.1</v>
      </c>
      <c r="C354" s="24">
        <v>0</v>
      </c>
      <c r="D354" s="24">
        <v>1</v>
      </c>
      <c r="E354" s="24">
        <v>0</v>
      </c>
      <c r="F354" s="24">
        <v>0</v>
      </c>
      <c r="G354" s="2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 s="23">
        <v>7418.5219999999999</v>
      </c>
    </row>
    <row r="355" spans="1:17" hidden="1">
      <c r="A355" s="22">
        <v>40</v>
      </c>
      <c r="B355" s="22">
        <v>36.19</v>
      </c>
      <c r="C355" s="24">
        <v>0</v>
      </c>
      <c r="D355" s="24">
        <v>1</v>
      </c>
      <c r="E355" s="24">
        <v>0</v>
      </c>
      <c r="F355" s="24">
        <v>0</v>
      </c>
      <c r="G355" s="24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 s="23">
        <v>5920.1040999999996</v>
      </c>
    </row>
    <row r="356" spans="1:17" hidden="1">
      <c r="A356" s="22">
        <v>40</v>
      </c>
      <c r="B356" s="22">
        <v>33</v>
      </c>
      <c r="C356" s="24">
        <v>0</v>
      </c>
      <c r="D356" s="24">
        <v>1</v>
      </c>
      <c r="E356" s="24">
        <v>0</v>
      </c>
      <c r="F356" s="24">
        <v>0</v>
      </c>
      <c r="G356" s="24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 s="23">
        <v>7682.67</v>
      </c>
    </row>
    <row r="357" spans="1:17" hidden="1">
      <c r="A357" s="22">
        <v>40</v>
      </c>
      <c r="B357" s="22">
        <v>41.42</v>
      </c>
      <c r="C357" s="24">
        <v>0</v>
      </c>
      <c r="D357" s="24">
        <v>1</v>
      </c>
      <c r="E357" s="24">
        <v>0</v>
      </c>
      <c r="F357" s="24">
        <v>0</v>
      </c>
      <c r="G357" s="24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1</v>
      </c>
      <c r="P357">
        <v>0</v>
      </c>
      <c r="Q357" s="23">
        <v>28476.734990000001</v>
      </c>
    </row>
    <row r="358" spans="1:17" hidden="1">
      <c r="A358" s="22">
        <v>41</v>
      </c>
      <c r="B358" s="22">
        <v>32.965000000000003</v>
      </c>
      <c r="C358" s="24">
        <v>0</v>
      </c>
      <c r="D358" s="24">
        <v>1</v>
      </c>
      <c r="E358" s="24">
        <v>0</v>
      </c>
      <c r="F358" s="24">
        <v>0</v>
      </c>
      <c r="G358" s="24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1</v>
      </c>
      <c r="P358">
        <v>0</v>
      </c>
      <c r="Q358" s="23">
        <v>6571.0243499999997</v>
      </c>
    </row>
    <row r="359" spans="1:17" hidden="1">
      <c r="A359" s="22">
        <v>41</v>
      </c>
      <c r="B359" s="22">
        <v>31.6</v>
      </c>
      <c r="C359" s="24">
        <v>0</v>
      </c>
      <c r="D359" s="24">
        <v>1</v>
      </c>
      <c r="E359" s="24">
        <v>0</v>
      </c>
      <c r="F359" s="24">
        <v>0</v>
      </c>
      <c r="G359" s="24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 s="23">
        <v>6186.1270000000004</v>
      </c>
    </row>
    <row r="360" spans="1:17" hidden="1">
      <c r="A360" s="22">
        <v>41</v>
      </c>
      <c r="B360" s="22">
        <v>33.155000000000001</v>
      </c>
      <c r="C360" s="24">
        <v>0</v>
      </c>
      <c r="D360" s="24">
        <v>1</v>
      </c>
      <c r="E360" s="24">
        <v>0</v>
      </c>
      <c r="F360" s="24">
        <v>0</v>
      </c>
      <c r="G360" s="24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1</v>
      </c>
      <c r="P360">
        <v>0</v>
      </c>
      <c r="Q360" s="23">
        <v>8538.28845</v>
      </c>
    </row>
    <row r="361" spans="1:17" hidden="1">
      <c r="A361" s="22">
        <v>41</v>
      </c>
      <c r="B361" s="22">
        <v>32.200000000000003</v>
      </c>
      <c r="C361" s="24">
        <v>0</v>
      </c>
      <c r="D361" s="24">
        <v>1</v>
      </c>
      <c r="E361" s="24">
        <v>0</v>
      </c>
      <c r="F361" s="24">
        <v>0</v>
      </c>
      <c r="G361" s="24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 s="23">
        <v>6775.9610000000002</v>
      </c>
    </row>
    <row r="362" spans="1:17" hidden="1">
      <c r="A362" s="22">
        <v>41</v>
      </c>
      <c r="B362" s="22">
        <v>37.1</v>
      </c>
      <c r="C362" s="24">
        <v>0</v>
      </c>
      <c r="D362" s="24">
        <v>1</v>
      </c>
      <c r="E362" s="24">
        <v>0</v>
      </c>
      <c r="F362" s="24">
        <v>0</v>
      </c>
      <c r="G362" s="24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 s="23">
        <v>7371.7719999999999</v>
      </c>
    </row>
    <row r="363" spans="1:17" hidden="1">
      <c r="A363" s="22">
        <v>41</v>
      </c>
      <c r="B363" s="22">
        <v>31.635000000000002</v>
      </c>
      <c r="C363" s="24">
        <v>0</v>
      </c>
      <c r="D363" s="24">
        <v>1</v>
      </c>
      <c r="E363" s="24">
        <v>0</v>
      </c>
      <c r="F363" s="24">
        <v>0</v>
      </c>
      <c r="G363" s="24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</v>
      </c>
      <c r="P363">
        <v>0</v>
      </c>
      <c r="Q363" s="23">
        <v>7358.1756500000001</v>
      </c>
    </row>
    <row r="364" spans="1:17" hidden="1">
      <c r="A364" s="22">
        <v>41</v>
      </c>
      <c r="B364" s="22">
        <v>33.06</v>
      </c>
      <c r="C364" s="24">
        <v>0</v>
      </c>
      <c r="D364" s="24">
        <v>1</v>
      </c>
      <c r="E364" s="24">
        <v>0</v>
      </c>
      <c r="F364" s="24">
        <v>0</v>
      </c>
      <c r="G364" s="2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1</v>
      </c>
      <c r="P364">
        <v>0</v>
      </c>
      <c r="Q364" s="23">
        <v>7749.1563999999998</v>
      </c>
    </row>
    <row r="365" spans="1:17" hidden="1">
      <c r="A365" s="22">
        <v>41</v>
      </c>
      <c r="B365" s="22">
        <v>31.02</v>
      </c>
      <c r="C365" s="24">
        <v>0</v>
      </c>
      <c r="D365" s="24">
        <v>1</v>
      </c>
      <c r="E365" s="24">
        <v>0</v>
      </c>
      <c r="F365" s="24">
        <v>0</v>
      </c>
      <c r="G365" s="24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 s="23">
        <v>6185.3208000000004</v>
      </c>
    </row>
    <row r="366" spans="1:17" hidden="1">
      <c r="A366" s="22">
        <v>41</v>
      </c>
      <c r="B366" s="22">
        <v>36.08</v>
      </c>
      <c r="C366" s="24">
        <v>0</v>
      </c>
      <c r="D366" s="24">
        <v>1</v>
      </c>
      <c r="E366" s="24">
        <v>0</v>
      </c>
      <c r="F366" s="24">
        <v>0</v>
      </c>
      <c r="G366" s="24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 s="23">
        <v>6781.3541999999998</v>
      </c>
    </row>
    <row r="367" spans="1:17" hidden="1">
      <c r="A367" s="22">
        <v>41</v>
      </c>
      <c r="B367" s="22">
        <v>32.6</v>
      </c>
      <c r="C367" s="24">
        <v>0</v>
      </c>
      <c r="D367" s="24">
        <v>1</v>
      </c>
      <c r="E367" s="24">
        <v>0</v>
      </c>
      <c r="F367" s="24">
        <v>0</v>
      </c>
      <c r="G367" s="24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 s="23">
        <v>7954.5169999999998</v>
      </c>
    </row>
    <row r="368" spans="1:17" hidden="1">
      <c r="A368" s="22">
        <v>42</v>
      </c>
      <c r="B368" s="22">
        <v>36.195</v>
      </c>
      <c r="C368" s="24">
        <v>0</v>
      </c>
      <c r="D368" s="24">
        <v>1</v>
      </c>
      <c r="E368" s="24">
        <v>0</v>
      </c>
      <c r="F368" s="24">
        <v>0</v>
      </c>
      <c r="G368" s="24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1</v>
      </c>
      <c r="P368">
        <v>0</v>
      </c>
      <c r="Q368" s="23">
        <v>7443.6430499999997</v>
      </c>
    </row>
    <row r="369" spans="1:17" hidden="1">
      <c r="A369" s="22">
        <v>42</v>
      </c>
      <c r="B369" s="22">
        <v>33.155000000000001</v>
      </c>
      <c r="C369" s="24">
        <v>0</v>
      </c>
      <c r="D369" s="24">
        <v>1</v>
      </c>
      <c r="E369" s="24">
        <v>0</v>
      </c>
      <c r="F369" s="24">
        <v>0</v>
      </c>
      <c r="G369" s="24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1</v>
      </c>
      <c r="P369">
        <v>0</v>
      </c>
      <c r="Q369" s="23">
        <v>7639.4174499999999</v>
      </c>
    </row>
    <row r="370" spans="1:17" hidden="1">
      <c r="A370" s="22">
        <v>42</v>
      </c>
      <c r="B370" s="22">
        <v>41.325000000000003</v>
      </c>
      <c r="C370" s="24">
        <v>0</v>
      </c>
      <c r="D370" s="24">
        <v>1</v>
      </c>
      <c r="E370" s="24">
        <v>0</v>
      </c>
      <c r="F370" s="24">
        <v>0</v>
      </c>
      <c r="G370" s="24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1</v>
      </c>
      <c r="P370">
        <v>0</v>
      </c>
      <c r="Q370" s="23">
        <v>7650.7737500000003</v>
      </c>
    </row>
    <row r="371" spans="1:17" hidden="1">
      <c r="A371" s="22">
        <v>42</v>
      </c>
      <c r="B371" s="22">
        <v>37.9</v>
      </c>
      <c r="C371" s="24">
        <v>0</v>
      </c>
      <c r="D371" s="24">
        <v>1</v>
      </c>
      <c r="E371" s="24">
        <v>0</v>
      </c>
      <c r="F371" s="24">
        <v>0</v>
      </c>
      <c r="G371" s="24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 s="23">
        <v>6474.0129999999999</v>
      </c>
    </row>
    <row r="372" spans="1:17" hidden="1">
      <c r="A372" s="22">
        <v>42</v>
      </c>
      <c r="B372" s="22">
        <v>32.869999999999997</v>
      </c>
      <c r="C372" s="24">
        <v>0</v>
      </c>
      <c r="D372" s="24">
        <v>1</v>
      </c>
      <c r="E372" s="24">
        <v>0</v>
      </c>
      <c r="F372" s="24">
        <v>0</v>
      </c>
      <c r="G372" s="24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1</v>
      </c>
      <c r="P372">
        <v>0</v>
      </c>
      <c r="Q372" s="23">
        <v>7050.0213000000003</v>
      </c>
    </row>
    <row r="373" spans="1:17" hidden="1">
      <c r="A373" s="22">
        <v>43</v>
      </c>
      <c r="B373" s="22">
        <v>35.72</v>
      </c>
      <c r="C373" s="24">
        <v>0</v>
      </c>
      <c r="D373" s="24">
        <v>1</v>
      </c>
      <c r="E373" s="24">
        <v>0</v>
      </c>
      <c r="F373" s="24">
        <v>0</v>
      </c>
      <c r="G373" s="24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1</v>
      </c>
      <c r="P373">
        <v>0</v>
      </c>
      <c r="Q373" s="23">
        <v>19144.576519999999</v>
      </c>
    </row>
    <row r="374" spans="1:17" hidden="1">
      <c r="A374" s="22">
        <v>43</v>
      </c>
      <c r="B374" s="22">
        <v>34.4</v>
      </c>
      <c r="C374" s="24">
        <v>0</v>
      </c>
      <c r="D374" s="24">
        <v>1</v>
      </c>
      <c r="E374" s="24">
        <v>0</v>
      </c>
      <c r="F374" s="24">
        <v>0</v>
      </c>
      <c r="G374" s="2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 s="23">
        <v>8522.0030000000006</v>
      </c>
    </row>
    <row r="375" spans="1:17" hidden="1">
      <c r="A375" s="22">
        <v>43</v>
      </c>
      <c r="B375" s="22">
        <v>35.64</v>
      </c>
      <c r="C375" s="24">
        <v>0</v>
      </c>
      <c r="D375" s="24">
        <v>1</v>
      </c>
      <c r="E375" s="24">
        <v>0</v>
      </c>
      <c r="F375" s="24">
        <v>0</v>
      </c>
      <c r="G375" s="24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 s="23">
        <v>7345.7266</v>
      </c>
    </row>
    <row r="376" spans="1:17" hidden="1">
      <c r="A376" s="22">
        <v>43</v>
      </c>
      <c r="B376" s="22">
        <v>30.684999999999999</v>
      </c>
      <c r="C376" s="24">
        <v>0</v>
      </c>
      <c r="D376" s="24">
        <v>1</v>
      </c>
      <c r="E376" s="24">
        <v>0</v>
      </c>
      <c r="F376" s="24">
        <v>0</v>
      </c>
      <c r="G376" s="24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1</v>
      </c>
      <c r="P376">
        <v>0</v>
      </c>
      <c r="Q376" s="23">
        <v>8310.8391499999998</v>
      </c>
    </row>
    <row r="377" spans="1:17" hidden="1">
      <c r="A377" s="22">
        <v>43</v>
      </c>
      <c r="B377" s="22">
        <v>34.58</v>
      </c>
      <c r="C377" s="24">
        <v>0</v>
      </c>
      <c r="D377" s="24">
        <v>1</v>
      </c>
      <c r="E377" s="24">
        <v>0</v>
      </c>
      <c r="F377" s="24">
        <v>0</v>
      </c>
      <c r="G377" s="24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1</v>
      </c>
      <c r="P377">
        <v>0</v>
      </c>
      <c r="Q377" s="23">
        <v>7727.2532000000001</v>
      </c>
    </row>
    <row r="378" spans="1:17" hidden="1">
      <c r="A378" s="22">
        <v>44</v>
      </c>
      <c r="B378" s="22">
        <v>36.479999999999997</v>
      </c>
      <c r="C378" s="24">
        <v>0</v>
      </c>
      <c r="D378" s="24">
        <v>1</v>
      </c>
      <c r="E378" s="24">
        <v>0</v>
      </c>
      <c r="F378" s="24">
        <v>0</v>
      </c>
      <c r="G378" s="24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0</v>
      </c>
      <c r="Q378" s="23">
        <v>12797.20962</v>
      </c>
    </row>
    <row r="379" spans="1:17" hidden="1">
      <c r="A379" s="22">
        <v>44</v>
      </c>
      <c r="B379" s="22">
        <v>32.340000000000003</v>
      </c>
      <c r="C379" s="24">
        <v>0</v>
      </c>
      <c r="D379" s="24">
        <v>1</v>
      </c>
      <c r="E379" s="24">
        <v>0</v>
      </c>
      <c r="F379" s="24">
        <v>0</v>
      </c>
      <c r="G379" s="24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 s="23">
        <v>7633.7205999999996</v>
      </c>
    </row>
    <row r="380" spans="1:17" hidden="1">
      <c r="A380" s="22">
        <v>44</v>
      </c>
      <c r="B380" s="22">
        <v>36.954999999999998</v>
      </c>
      <c r="C380" s="24">
        <v>0</v>
      </c>
      <c r="D380" s="24">
        <v>1</v>
      </c>
      <c r="E380" s="24">
        <v>0</v>
      </c>
      <c r="F380" s="24">
        <v>0</v>
      </c>
      <c r="G380" s="24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1</v>
      </c>
      <c r="P380">
        <v>0</v>
      </c>
      <c r="Q380" s="23">
        <v>8023.1354499999998</v>
      </c>
    </row>
    <row r="381" spans="1:17" hidden="1">
      <c r="A381" s="22">
        <v>45</v>
      </c>
      <c r="B381" s="22">
        <v>38.284999999999997</v>
      </c>
      <c r="C381" s="24">
        <v>0</v>
      </c>
      <c r="D381" s="24">
        <v>1</v>
      </c>
      <c r="E381" s="24">
        <v>0</v>
      </c>
      <c r="F381" s="24">
        <v>0</v>
      </c>
      <c r="G381" s="24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1</v>
      </c>
      <c r="P381">
        <v>0</v>
      </c>
      <c r="Q381" s="23">
        <v>7935.29115</v>
      </c>
    </row>
    <row r="382" spans="1:17" hidden="1">
      <c r="A382" s="22">
        <v>45</v>
      </c>
      <c r="B382" s="22">
        <v>30.9</v>
      </c>
      <c r="C382" s="24">
        <v>0</v>
      </c>
      <c r="D382" s="24">
        <v>1</v>
      </c>
      <c r="E382" s="24">
        <v>0</v>
      </c>
      <c r="F382" s="24">
        <v>0</v>
      </c>
      <c r="G382" s="24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 s="23">
        <v>8520.0259999999998</v>
      </c>
    </row>
    <row r="383" spans="1:17" hidden="1">
      <c r="A383" s="22">
        <v>45</v>
      </c>
      <c r="B383" s="22">
        <v>33.1</v>
      </c>
      <c r="C383" s="24">
        <v>0</v>
      </c>
      <c r="D383" s="24">
        <v>1</v>
      </c>
      <c r="E383" s="24">
        <v>0</v>
      </c>
      <c r="F383" s="24">
        <v>0</v>
      </c>
      <c r="G383" s="24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 s="23">
        <v>7345.0839999999998</v>
      </c>
    </row>
    <row r="384" spans="1:17" hidden="1">
      <c r="A384" s="22">
        <v>45</v>
      </c>
      <c r="B384" s="22">
        <v>36.299999999999997</v>
      </c>
      <c r="C384" s="24">
        <v>0</v>
      </c>
      <c r="D384" s="24">
        <v>1</v>
      </c>
      <c r="E384" s="24">
        <v>0</v>
      </c>
      <c r="F384" s="24">
        <v>0</v>
      </c>
      <c r="G384" s="2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 s="23">
        <v>8527.5319999999992</v>
      </c>
    </row>
    <row r="385" spans="1:17" hidden="1">
      <c r="A385" s="22">
        <v>45</v>
      </c>
      <c r="B385" s="22">
        <v>35.814999999999998</v>
      </c>
      <c r="C385" s="24">
        <v>0</v>
      </c>
      <c r="D385" s="24">
        <v>1</v>
      </c>
      <c r="E385" s="24">
        <v>0</v>
      </c>
      <c r="F385" s="24">
        <v>0</v>
      </c>
      <c r="G385" s="24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</v>
      </c>
      <c r="P385">
        <v>0</v>
      </c>
      <c r="Q385" s="23">
        <v>7731.8578500000003</v>
      </c>
    </row>
    <row r="386" spans="1:17" hidden="1">
      <c r="A386" s="22">
        <v>45</v>
      </c>
      <c r="B386" s="22">
        <v>35.299999999999997</v>
      </c>
      <c r="C386" s="24">
        <v>0</v>
      </c>
      <c r="D386" s="24">
        <v>1</v>
      </c>
      <c r="E386" s="24">
        <v>0</v>
      </c>
      <c r="F386" s="24">
        <v>0</v>
      </c>
      <c r="G386" s="24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 s="23">
        <v>7348.1419999999998</v>
      </c>
    </row>
    <row r="387" spans="1:17" hidden="1">
      <c r="A387" s="22">
        <v>45</v>
      </c>
      <c r="B387" s="22">
        <v>39.994999999999997</v>
      </c>
      <c r="C387" s="24">
        <v>0</v>
      </c>
      <c r="D387" s="24">
        <v>1</v>
      </c>
      <c r="E387" s="24">
        <v>0</v>
      </c>
      <c r="F387" s="24">
        <v>0</v>
      </c>
      <c r="G387" s="24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1</v>
      </c>
      <c r="P387">
        <v>0</v>
      </c>
      <c r="Q387" s="23">
        <v>9704.6680500000002</v>
      </c>
    </row>
    <row r="388" spans="1:17" hidden="1">
      <c r="A388" s="22">
        <v>45</v>
      </c>
      <c r="B388" s="22">
        <v>31.79</v>
      </c>
      <c r="C388" s="24">
        <v>0</v>
      </c>
      <c r="D388" s="24">
        <v>1</v>
      </c>
      <c r="E388" s="24">
        <v>0</v>
      </c>
      <c r="F388" s="24">
        <v>0</v>
      </c>
      <c r="G388" s="24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 s="23">
        <v>17929.303370000001</v>
      </c>
    </row>
    <row r="389" spans="1:17" hidden="1">
      <c r="A389" s="22">
        <v>46</v>
      </c>
      <c r="B389" s="22">
        <v>33.44</v>
      </c>
      <c r="C389" s="24">
        <v>0</v>
      </c>
      <c r="D389" s="24">
        <v>1</v>
      </c>
      <c r="E389" s="24">
        <v>0</v>
      </c>
      <c r="F389" s="24">
        <v>0</v>
      </c>
      <c r="G389" s="24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 s="23">
        <v>8240.5895999999993</v>
      </c>
    </row>
    <row r="390" spans="1:17" hidden="1">
      <c r="A390" s="22">
        <v>46</v>
      </c>
      <c r="B390" s="22">
        <v>48.07</v>
      </c>
      <c r="C390" s="24">
        <v>0</v>
      </c>
      <c r="D390" s="24">
        <v>1</v>
      </c>
      <c r="E390" s="24">
        <v>0</v>
      </c>
      <c r="F390" s="24">
        <v>0</v>
      </c>
      <c r="G390" s="24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1</v>
      </c>
      <c r="P390">
        <v>0</v>
      </c>
      <c r="Q390" s="23">
        <v>9432.9253000000008</v>
      </c>
    </row>
    <row r="391" spans="1:17" hidden="1">
      <c r="A391" s="22">
        <v>46</v>
      </c>
      <c r="B391" s="22">
        <v>32.299999999999997</v>
      </c>
      <c r="C391" s="24">
        <v>0</v>
      </c>
      <c r="D391" s="24">
        <v>1</v>
      </c>
      <c r="E391" s="24">
        <v>0</v>
      </c>
      <c r="F391" s="24">
        <v>0</v>
      </c>
      <c r="G391" s="24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0</v>
      </c>
      <c r="Q391" s="23">
        <v>9411.0049999999992</v>
      </c>
    </row>
    <row r="392" spans="1:17" hidden="1">
      <c r="A392" s="22">
        <v>46</v>
      </c>
      <c r="B392" s="22">
        <v>30.2</v>
      </c>
      <c r="C392" s="24">
        <v>0</v>
      </c>
      <c r="D392" s="24">
        <v>1</v>
      </c>
      <c r="E392" s="24">
        <v>0</v>
      </c>
      <c r="F392" s="24">
        <v>0</v>
      </c>
      <c r="G392" s="24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 s="23">
        <v>8825.0859999999993</v>
      </c>
    </row>
    <row r="393" spans="1:17" hidden="1">
      <c r="A393" s="22">
        <v>46</v>
      </c>
      <c r="B393" s="22">
        <v>33.725000000000001</v>
      </c>
      <c r="C393" s="24">
        <v>0</v>
      </c>
      <c r="D393" s="24">
        <v>1</v>
      </c>
      <c r="E393" s="24">
        <v>0</v>
      </c>
      <c r="F393" s="24">
        <v>0</v>
      </c>
      <c r="G393" s="24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1</v>
      </c>
      <c r="P393">
        <v>0</v>
      </c>
      <c r="Q393" s="23">
        <v>8823.9857499999998</v>
      </c>
    </row>
    <row r="394" spans="1:17" hidden="1">
      <c r="A394" s="22">
        <v>46</v>
      </c>
      <c r="B394" s="22">
        <v>30.8</v>
      </c>
      <c r="C394" s="24">
        <v>0</v>
      </c>
      <c r="D394" s="24">
        <v>1</v>
      </c>
      <c r="E394" s="24">
        <v>0</v>
      </c>
      <c r="F394" s="24">
        <v>0</v>
      </c>
      <c r="G394" s="2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 s="23">
        <v>9414.92</v>
      </c>
    </row>
    <row r="395" spans="1:17" hidden="1">
      <c r="A395" s="22">
        <v>47</v>
      </c>
      <c r="B395" s="22">
        <v>33.914999999999999</v>
      </c>
      <c r="C395" s="24">
        <v>0</v>
      </c>
      <c r="D395" s="24">
        <v>1</v>
      </c>
      <c r="E395" s="24">
        <v>0</v>
      </c>
      <c r="F395" s="24">
        <v>0</v>
      </c>
      <c r="G395" s="24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0</v>
      </c>
      <c r="Q395" s="23">
        <v>10115.00885</v>
      </c>
    </row>
    <row r="396" spans="1:17" hidden="1">
      <c r="A396" s="22">
        <v>47</v>
      </c>
      <c r="B396" s="22">
        <v>33.344999999999999</v>
      </c>
      <c r="C396" s="24">
        <v>0</v>
      </c>
      <c r="D396" s="24">
        <v>1</v>
      </c>
      <c r="E396" s="24">
        <v>0</v>
      </c>
      <c r="F396" s="24">
        <v>0</v>
      </c>
      <c r="G396" s="24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1</v>
      </c>
      <c r="P396">
        <v>0</v>
      </c>
      <c r="Q396" s="23">
        <v>20878.78443</v>
      </c>
    </row>
    <row r="397" spans="1:17" hidden="1">
      <c r="A397" s="22">
        <v>47</v>
      </c>
      <c r="B397" s="22">
        <v>36</v>
      </c>
      <c r="C397" s="24">
        <v>0</v>
      </c>
      <c r="D397" s="24">
        <v>1</v>
      </c>
      <c r="E397" s="24">
        <v>0</v>
      </c>
      <c r="F397" s="24">
        <v>0</v>
      </c>
      <c r="G397" s="24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 s="23">
        <v>8556.9069999999992</v>
      </c>
    </row>
    <row r="398" spans="1:17" hidden="1">
      <c r="A398" s="22">
        <v>47</v>
      </c>
      <c r="B398" s="22">
        <v>45.32</v>
      </c>
      <c r="C398" s="24">
        <v>0</v>
      </c>
      <c r="D398" s="24">
        <v>1</v>
      </c>
      <c r="E398" s="24">
        <v>0</v>
      </c>
      <c r="F398" s="24">
        <v>0</v>
      </c>
      <c r="G398" s="24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 s="23">
        <v>8569.8618000000006</v>
      </c>
    </row>
    <row r="399" spans="1:17" hidden="1">
      <c r="A399" s="22">
        <v>47</v>
      </c>
      <c r="B399" s="22">
        <v>32</v>
      </c>
      <c r="C399" s="24">
        <v>0</v>
      </c>
      <c r="D399" s="24">
        <v>1</v>
      </c>
      <c r="E399" s="24">
        <v>0</v>
      </c>
      <c r="F399" s="24">
        <v>0</v>
      </c>
      <c r="G399" s="24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 s="23">
        <v>8551.3469999999998</v>
      </c>
    </row>
    <row r="400" spans="1:17" hidden="1">
      <c r="A400" s="22">
        <v>48</v>
      </c>
      <c r="B400" s="22">
        <v>41.23</v>
      </c>
      <c r="C400" s="24">
        <v>0</v>
      </c>
      <c r="D400" s="24">
        <v>1</v>
      </c>
      <c r="E400" s="24">
        <v>0</v>
      </c>
      <c r="F400" s="24">
        <v>0</v>
      </c>
      <c r="G400" s="24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1</v>
      </c>
      <c r="P400">
        <v>0</v>
      </c>
      <c r="Q400" s="23">
        <v>11033.661700000001</v>
      </c>
    </row>
    <row r="401" spans="1:17" hidden="1">
      <c r="A401" s="22">
        <v>48</v>
      </c>
      <c r="B401" s="22">
        <v>32.229999999999997</v>
      </c>
      <c r="C401" s="24">
        <v>0</v>
      </c>
      <c r="D401" s="24">
        <v>1</v>
      </c>
      <c r="E401" s="24">
        <v>0</v>
      </c>
      <c r="F401" s="24">
        <v>0</v>
      </c>
      <c r="G401" s="24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 s="23">
        <v>8871.1517000000003</v>
      </c>
    </row>
    <row r="402" spans="1:17" hidden="1">
      <c r="A402" s="22">
        <v>48</v>
      </c>
      <c r="B402" s="22">
        <v>32.299999999999997</v>
      </c>
      <c r="C402" s="24">
        <v>0</v>
      </c>
      <c r="D402" s="24">
        <v>1</v>
      </c>
      <c r="E402" s="24">
        <v>0</v>
      </c>
      <c r="F402" s="24">
        <v>0</v>
      </c>
      <c r="G402" s="24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0</v>
      </c>
      <c r="Q402" s="23">
        <v>10043.249</v>
      </c>
    </row>
    <row r="403" spans="1:17" hidden="1">
      <c r="A403" s="22">
        <v>48</v>
      </c>
      <c r="B403" s="22">
        <v>31.13</v>
      </c>
      <c r="C403" s="24">
        <v>0</v>
      </c>
      <c r="D403" s="24">
        <v>1</v>
      </c>
      <c r="E403" s="24">
        <v>0</v>
      </c>
      <c r="F403" s="24">
        <v>0</v>
      </c>
      <c r="G403" s="24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 s="23">
        <v>8280.6226999999999</v>
      </c>
    </row>
    <row r="404" spans="1:17" hidden="1">
      <c r="A404" s="22">
        <v>48</v>
      </c>
      <c r="B404" s="22">
        <v>35.909999999999997</v>
      </c>
      <c r="C404" s="24">
        <v>0</v>
      </c>
      <c r="D404" s="24">
        <v>1</v>
      </c>
      <c r="E404" s="24">
        <v>0</v>
      </c>
      <c r="F404" s="24">
        <v>0</v>
      </c>
      <c r="G404" s="2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>
        <v>0</v>
      </c>
      <c r="Q404" s="23">
        <v>26392.260289999998</v>
      </c>
    </row>
    <row r="405" spans="1:17" hidden="1">
      <c r="A405" s="22">
        <v>48</v>
      </c>
      <c r="B405" s="22">
        <v>36.575000000000003</v>
      </c>
      <c r="C405" s="24">
        <v>0</v>
      </c>
      <c r="D405" s="24">
        <v>1</v>
      </c>
      <c r="E405" s="24">
        <v>0</v>
      </c>
      <c r="F405" s="24">
        <v>0</v>
      </c>
      <c r="G405" s="24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1</v>
      </c>
      <c r="P405">
        <v>0</v>
      </c>
      <c r="Q405" s="23">
        <v>8671.1912499999999</v>
      </c>
    </row>
    <row r="406" spans="1:17" hidden="1">
      <c r="A406" s="22">
        <v>48</v>
      </c>
      <c r="B406" s="22">
        <v>33.33</v>
      </c>
      <c r="C406" s="24">
        <v>0</v>
      </c>
      <c r="D406" s="24">
        <v>1</v>
      </c>
      <c r="E406" s="24">
        <v>0</v>
      </c>
      <c r="F406" s="24">
        <v>0</v>
      </c>
      <c r="G406" s="24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 s="23">
        <v>8283.6807000000008</v>
      </c>
    </row>
    <row r="407" spans="1:17" hidden="1">
      <c r="A407" s="22">
        <v>49</v>
      </c>
      <c r="B407" s="22">
        <v>41.47</v>
      </c>
      <c r="C407" s="24">
        <v>0</v>
      </c>
      <c r="D407" s="24">
        <v>1</v>
      </c>
      <c r="E407" s="24">
        <v>0</v>
      </c>
      <c r="F407" s="24">
        <v>0</v>
      </c>
      <c r="G407" s="24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 s="23">
        <v>10977.2063</v>
      </c>
    </row>
    <row r="408" spans="1:17" hidden="1">
      <c r="A408" s="22">
        <v>49</v>
      </c>
      <c r="B408" s="22">
        <v>30.78</v>
      </c>
      <c r="C408" s="24">
        <v>0</v>
      </c>
      <c r="D408" s="24">
        <v>1</v>
      </c>
      <c r="E408" s="24">
        <v>0</v>
      </c>
      <c r="F408" s="24">
        <v>0</v>
      </c>
      <c r="G408" s="24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1</v>
      </c>
      <c r="P408">
        <v>0</v>
      </c>
      <c r="Q408" s="23">
        <v>9778.3472000000002</v>
      </c>
    </row>
    <row r="409" spans="1:17" hidden="1">
      <c r="A409" s="22">
        <v>49</v>
      </c>
      <c r="B409" s="22">
        <v>36.630000000000003</v>
      </c>
      <c r="C409" s="24">
        <v>0</v>
      </c>
      <c r="D409" s="24">
        <v>1</v>
      </c>
      <c r="E409" s="24">
        <v>0</v>
      </c>
      <c r="F409" s="24">
        <v>0</v>
      </c>
      <c r="G409" s="24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 s="23">
        <v>10381.4787</v>
      </c>
    </row>
    <row r="410" spans="1:17" hidden="1">
      <c r="A410" s="22">
        <v>49</v>
      </c>
      <c r="B410" s="22">
        <v>31.9</v>
      </c>
      <c r="C410" s="24">
        <v>0</v>
      </c>
      <c r="D410" s="24">
        <v>1</v>
      </c>
      <c r="E410" s="24">
        <v>0</v>
      </c>
      <c r="F410" s="24">
        <v>0</v>
      </c>
      <c r="G410" s="24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 s="23">
        <v>11552.904</v>
      </c>
    </row>
    <row r="411" spans="1:17" hidden="1">
      <c r="A411" s="22">
        <v>49</v>
      </c>
      <c r="B411" s="22">
        <v>42.68</v>
      </c>
      <c r="C411" s="24">
        <v>0</v>
      </c>
      <c r="D411" s="24">
        <v>1</v>
      </c>
      <c r="E411" s="24">
        <v>0</v>
      </c>
      <c r="F411" s="24">
        <v>0</v>
      </c>
      <c r="G411" s="24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 s="23">
        <v>9800.8881999999994</v>
      </c>
    </row>
    <row r="412" spans="1:17" hidden="1">
      <c r="A412" s="22">
        <v>49</v>
      </c>
      <c r="B412" s="22">
        <v>34.770000000000003</v>
      </c>
      <c r="C412" s="24">
        <v>0</v>
      </c>
      <c r="D412" s="24">
        <v>1</v>
      </c>
      <c r="E412" s="24">
        <v>0</v>
      </c>
      <c r="F412" s="24">
        <v>0</v>
      </c>
      <c r="G412" s="24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1</v>
      </c>
      <c r="P412">
        <v>0</v>
      </c>
      <c r="Q412" s="23">
        <v>9583.8932999999997</v>
      </c>
    </row>
    <row r="413" spans="1:17" hidden="1">
      <c r="A413" s="22">
        <v>49</v>
      </c>
      <c r="B413" s="22">
        <v>29.925000000000001</v>
      </c>
      <c r="C413" s="24">
        <v>0</v>
      </c>
      <c r="D413" s="24">
        <v>1</v>
      </c>
      <c r="E413" s="24">
        <v>0</v>
      </c>
      <c r="F413" s="24">
        <v>0</v>
      </c>
      <c r="G413" s="24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1</v>
      </c>
      <c r="P413">
        <v>0</v>
      </c>
      <c r="Q413" s="23">
        <v>8988.1587500000005</v>
      </c>
    </row>
    <row r="414" spans="1:17" hidden="1">
      <c r="A414" s="22">
        <v>49</v>
      </c>
      <c r="B414" s="22">
        <v>33.344999999999999</v>
      </c>
      <c r="C414" s="24">
        <v>0</v>
      </c>
      <c r="D414" s="24">
        <v>1</v>
      </c>
      <c r="E414" s="24">
        <v>0</v>
      </c>
      <c r="F414" s="24">
        <v>0</v>
      </c>
      <c r="G414" s="2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1</v>
      </c>
      <c r="P414">
        <v>0</v>
      </c>
      <c r="Q414" s="23">
        <v>10370.912549999999</v>
      </c>
    </row>
    <row r="415" spans="1:17" hidden="1">
      <c r="A415" s="22">
        <v>50</v>
      </c>
      <c r="B415" s="22">
        <v>44.744999999999997</v>
      </c>
      <c r="C415" s="24">
        <v>0</v>
      </c>
      <c r="D415" s="24">
        <v>1</v>
      </c>
      <c r="E415" s="24">
        <v>0</v>
      </c>
      <c r="F415" s="24">
        <v>0</v>
      </c>
      <c r="G415" s="24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1</v>
      </c>
      <c r="P415">
        <v>0</v>
      </c>
      <c r="Q415" s="23">
        <v>9541.6955500000004</v>
      </c>
    </row>
    <row r="416" spans="1:17" hidden="1">
      <c r="A416" s="22">
        <v>50</v>
      </c>
      <c r="B416" s="22">
        <v>30.114999999999998</v>
      </c>
      <c r="C416" s="24">
        <v>0</v>
      </c>
      <c r="D416" s="24">
        <v>1</v>
      </c>
      <c r="E416" s="24">
        <v>0</v>
      </c>
      <c r="F416" s="24">
        <v>0</v>
      </c>
      <c r="G416" s="24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1</v>
      </c>
      <c r="P416">
        <v>0</v>
      </c>
      <c r="Q416" s="23">
        <v>9910.3598500000007</v>
      </c>
    </row>
    <row r="417" spans="1:17" hidden="1">
      <c r="A417" s="22">
        <v>50</v>
      </c>
      <c r="B417" s="22">
        <v>46.09</v>
      </c>
      <c r="C417" s="24">
        <v>0</v>
      </c>
      <c r="D417" s="24">
        <v>1</v>
      </c>
      <c r="E417" s="24">
        <v>0</v>
      </c>
      <c r="F417" s="24">
        <v>0</v>
      </c>
      <c r="G417" s="24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 s="23">
        <v>9549.5650999999998</v>
      </c>
    </row>
    <row r="418" spans="1:17" hidden="1">
      <c r="A418" s="22">
        <v>50</v>
      </c>
      <c r="B418" s="22">
        <v>31.6</v>
      </c>
      <c r="C418" s="24">
        <v>0</v>
      </c>
      <c r="D418" s="24">
        <v>1</v>
      </c>
      <c r="E418" s="24">
        <v>0</v>
      </c>
      <c r="F418" s="24">
        <v>0</v>
      </c>
      <c r="G418" s="24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 s="23">
        <v>10118.424000000001</v>
      </c>
    </row>
    <row r="419" spans="1:17" hidden="1">
      <c r="A419" s="22">
        <v>50</v>
      </c>
      <c r="B419" s="22">
        <v>33.700000000000003</v>
      </c>
      <c r="C419" s="24">
        <v>0</v>
      </c>
      <c r="D419" s="24">
        <v>1</v>
      </c>
      <c r="E419" s="24">
        <v>0</v>
      </c>
      <c r="F419" s="24">
        <v>0</v>
      </c>
      <c r="G419" s="24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 s="23">
        <v>11299.343000000001</v>
      </c>
    </row>
    <row r="420" spans="1:17" hidden="1">
      <c r="A420" s="22">
        <v>51</v>
      </c>
      <c r="B420" s="22">
        <v>37.729999999999997</v>
      </c>
      <c r="C420" s="24">
        <v>0</v>
      </c>
      <c r="D420" s="24">
        <v>1</v>
      </c>
      <c r="E420" s="24">
        <v>0</v>
      </c>
      <c r="F420" s="24">
        <v>0</v>
      </c>
      <c r="G420" s="24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 s="23">
        <v>9877.6077000000005</v>
      </c>
    </row>
    <row r="421" spans="1:17" hidden="1">
      <c r="A421" s="22">
        <v>51</v>
      </c>
      <c r="B421" s="22">
        <v>39.5</v>
      </c>
      <c r="C421" s="24">
        <v>0</v>
      </c>
      <c r="D421" s="24">
        <v>1</v>
      </c>
      <c r="E421" s="24">
        <v>0</v>
      </c>
      <c r="F421" s="24">
        <v>0</v>
      </c>
      <c r="G421" s="24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 s="23">
        <v>9880.0679999999993</v>
      </c>
    </row>
    <row r="422" spans="1:17" hidden="1">
      <c r="A422" s="22">
        <v>51</v>
      </c>
      <c r="B422" s="22">
        <v>33.914999999999999</v>
      </c>
      <c r="C422" s="24">
        <v>0</v>
      </c>
      <c r="D422" s="24">
        <v>1</v>
      </c>
      <c r="E422" s="24">
        <v>0</v>
      </c>
      <c r="F422" s="24">
        <v>0</v>
      </c>
      <c r="G422" s="24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1</v>
      </c>
      <c r="P422">
        <v>0</v>
      </c>
      <c r="Q422" s="23">
        <v>9866.3048500000004</v>
      </c>
    </row>
    <row r="423" spans="1:17" hidden="1">
      <c r="A423" s="22">
        <v>51</v>
      </c>
      <c r="B423" s="22">
        <v>34.1</v>
      </c>
      <c r="C423" s="24">
        <v>0</v>
      </c>
      <c r="D423" s="24">
        <v>1</v>
      </c>
      <c r="E423" s="24">
        <v>0</v>
      </c>
      <c r="F423" s="24">
        <v>0</v>
      </c>
      <c r="G423" s="24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 s="23">
        <v>9283.5619999999999</v>
      </c>
    </row>
    <row r="424" spans="1:17" hidden="1">
      <c r="A424" s="22">
        <v>51</v>
      </c>
      <c r="B424" s="22">
        <v>36.67</v>
      </c>
      <c r="C424" s="24">
        <v>0</v>
      </c>
      <c r="D424" s="24">
        <v>1</v>
      </c>
      <c r="E424" s="24">
        <v>0</v>
      </c>
      <c r="F424" s="24">
        <v>0</v>
      </c>
      <c r="G424" s="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1</v>
      </c>
      <c r="P424">
        <v>0</v>
      </c>
      <c r="Q424" s="23">
        <v>10848.1343</v>
      </c>
    </row>
    <row r="425" spans="1:17" hidden="1">
      <c r="A425" s="22">
        <v>51</v>
      </c>
      <c r="B425" s="22">
        <v>40.659999999999997</v>
      </c>
      <c r="C425" s="24">
        <v>0</v>
      </c>
      <c r="D425" s="24">
        <v>1</v>
      </c>
      <c r="E425" s="24">
        <v>0</v>
      </c>
      <c r="F425" s="24">
        <v>0</v>
      </c>
      <c r="G425" s="24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1</v>
      </c>
      <c r="P425">
        <v>0</v>
      </c>
      <c r="Q425" s="23">
        <v>9875.6803999999993</v>
      </c>
    </row>
    <row r="426" spans="1:17" hidden="1">
      <c r="A426" s="22">
        <v>51</v>
      </c>
      <c r="B426" s="22">
        <v>34.200000000000003</v>
      </c>
      <c r="C426" s="24">
        <v>0</v>
      </c>
      <c r="D426" s="24">
        <v>1</v>
      </c>
      <c r="E426" s="24">
        <v>0</v>
      </c>
      <c r="F426" s="24">
        <v>0</v>
      </c>
      <c r="G426" s="24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 s="23">
        <v>9872.7009999999991</v>
      </c>
    </row>
    <row r="427" spans="1:17" hidden="1">
      <c r="A427" s="22">
        <v>51</v>
      </c>
      <c r="B427" s="22">
        <v>36.384999999999998</v>
      </c>
      <c r="C427" s="24">
        <v>0</v>
      </c>
      <c r="D427" s="24">
        <v>1</v>
      </c>
      <c r="E427" s="24">
        <v>0</v>
      </c>
      <c r="F427" s="24">
        <v>0</v>
      </c>
      <c r="G427" s="24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</v>
      </c>
      <c r="P427">
        <v>0</v>
      </c>
      <c r="Q427" s="23">
        <v>11436.738149999999</v>
      </c>
    </row>
    <row r="428" spans="1:17" hidden="1">
      <c r="A428" s="22">
        <v>52</v>
      </c>
      <c r="B428" s="22">
        <v>30.78</v>
      </c>
      <c r="C428" s="24">
        <v>0</v>
      </c>
      <c r="D428" s="24">
        <v>1</v>
      </c>
      <c r="E428" s="24">
        <v>0</v>
      </c>
      <c r="F428" s="24">
        <v>0</v>
      </c>
      <c r="G428" s="24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1</v>
      </c>
      <c r="P428">
        <v>0</v>
      </c>
      <c r="Q428" s="23">
        <v>10797.3362</v>
      </c>
    </row>
    <row r="429" spans="1:17" hidden="1">
      <c r="A429" s="22">
        <v>52</v>
      </c>
      <c r="B429" s="22">
        <v>37.4</v>
      </c>
      <c r="C429" s="24">
        <v>0</v>
      </c>
      <c r="D429" s="24">
        <v>1</v>
      </c>
      <c r="E429" s="24">
        <v>0</v>
      </c>
      <c r="F429" s="24">
        <v>0</v>
      </c>
      <c r="G429" s="24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 s="23">
        <v>9634.5380000000005</v>
      </c>
    </row>
    <row r="430" spans="1:17" hidden="1">
      <c r="A430" s="22">
        <v>52</v>
      </c>
      <c r="B430" s="22">
        <v>31.2</v>
      </c>
      <c r="C430" s="24">
        <v>0</v>
      </c>
      <c r="D430" s="24">
        <v>1</v>
      </c>
      <c r="E430" s="24">
        <v>0</v>
      </c>
      <c r="F430" s="24">
        <v>0</v>
      </c>
      <c r="G430" s="24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 s="23">
        <v>9625.92</v>
      </c>
    </row>
    <row r="431" spans="1:17" hidden="1">
      <c r="A431" s="22">
        <v>52</v>
      </c>
      <c r="B431" s="22">
        <v>38.380000000000003</v>
      </c>
      <c r="C431" s="24">
        <v>0</v>
      </c>
      <c r="D431" s="24">
        <v>1</v>
      </c>
      <c r="E431" s="24">
        <v>0</v>
      </c>
      <c r="F431" s="24">
        <v>0</v>
      </c>
      <c r="G431" s="24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1</v>
      </c>
      <c r="P431">
        <v>0</v>
      </c>
      <c r="Q431" s="23">
        <v>11396.9002</v>
      </c>
    </row>
    <row r="432" spans="1:17" hidden="1">
      <c r="A432" s="22">
        <v>52</v>
      </c>
      <c r="B432" s="22">
        <v>46.75</v>
      </c>
      <c r="C432" s="24">
        <v>0</v>
      </c>
      <c r="D432" s="24">
        <v>1</v>
      </c>
      <c r="E432" s="24">
        <v>0</v>
      </c>
      <c r="F432" s="24">
        <v>0</v>
      </c>
      <c r="G432" s="24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 s="23">
        <v>12592.5345</v>
      </c>
    </row>
    <row r="433" spans="1:17" hidden="1">
      <c r="A433" s="22">
        <v>52</v>
      </c>
      <c r="B433" s="22">
        <v>31.73</v>
      </c>
      <c r="C433" s="24">
        <v>0</v>
      </c>
      <c r="D433" s="24">
        <v>1</v>
      </c>
      <c r="E433" s="24">
        <v>0</v>
      </c>
      <c r="F433" s="24">
        <v>0</v>
      </c>
      <c r="G433" s="24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1</v>
      </c>
      <c r="P433">
        <v>0</v>
      </c>
      <c r="Q433" s="23">
        <v>11187.6567</v>
      </c>
    </row>
    <row r="434" spans="1:17" hidden="1">
      <c r="A434" s="22">
        <v>52</v>
      </c>
      <c r="B434" s="22">
        <v>37.524999999999999</v>
      </c>
      <c r="C434" s="24">
        <v>0</v>
      </c>
      <c r="D434" s="24">
        <v>1</v>
      </c>
      <c r="E434" s="24">
        <v>0</v>
      </c>
      <c r="F434" s="24">
        <v>0</v>
      </c>
      <c r="G434" s="2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1</v>
      </c>
      <c r="P434">
        <v>0</v>
      </c>
      <c r="Q434" s="23">
        <v>33471.971890000001</v>
      </c>
    </row>
    <row r="435" spans="1:17" hidden="1">
      <c r="A435" s="22">
        <v>52</v>
      </c>
      <c r="B435" s="22">
        <v>30.875</v>
      </c>
      <c r="C435" s="24">
        <v>0</v>
      </c>
      <c r="D435" s="24">
        <v>1</v>
      </c>
      <c r="E435" s="24">
        <v>0</v>
      </c>
      <c r="F435" s="24">
        <v>0</v>
      </c>
      <c r="G435" s="24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1</v>
      </c>
      <c r="P435">
        <v>0</v>
      </c>
      <c r="Q435" s="23">
        <v>23045.566159999998</v>
      </c>
    </row>
    <row r="436" spans="1:17" hidden="1">
      <c r="A436" s="22">
        <v>52</v>
      </c>
      <c r="B436" s="22">
        <v>33.299999999999997</v>
      </c>
      <c r="C436" s="24">
        <v>0</v>
      </c>
      <c r="D436" s="24">
        <v>1</v>
      </c>
      <c r="E436" s="24">
        <v>0</v>
      </c>
      <c r="F436" s="24">
        <v>0</v>
      </c>
      <c r="G436" s="24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 s="23">
        <v>10806.839</v>
      </c>
    </row>
    <row r="437" spans="1:17" hidden="1">
      <c r="A437" s="22">
        <v>52</v>
      </c>
      <c r="B437" s="22">
        <v>44.7</v>
      </c>
      <c r="C437" s="24">
        <v>0</v>
      </c>
      <c r="D437" s="24">
        <v>1</v>
      </c>
      <c r="E437" s="24">
        <v>0</v>
      </c>
      <c r="F437" s="24">
        <v>0</v>
      </c>
      <c r="G437" s="24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 s="23">
        <v>11411.684999999999</v>
      </c>
    </row>
    <row r="438" spans="1:17" hidden="1">
      <c r="A438" s="22">
        <v>53</v>
      </c>
      <c r="B438" s="22">
        <v>35.9</v>
      </c>
      <c r="C438" s="24">
        <v>0</v>
      </c>
      <c r="D438" s="24">
        <v>1</v>
      </c>
      <c r="E438" s="24">
        <v>0</v>
      </c>
      <c r="F438" s="24">
        <v>0</v>
      </c>
      <c r="G438" s="24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 s="23">
        <v>11163.567999999999</v>
      </c>
    </row>
    <row r="439" spans="1:17" hidden="1">
      <c r="A439" s="22">
        <v>53</v>
      </c>
      <c r="B439" s="22">
        <v>37.43</v>
      </c>
      <c r="C439" s="24">
        <v>0</v>
      </c>
      <c r="D439" s="24">
        <v>1</v>
      </c>
      <c r="E439" s="24">
        <v>0</v>
      </c>
      <c r="F439" s="24">
        <v>0</v>
      </c>
      <c r="G439" s="24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1</v>
      </c>
      <c r="P439">
        <v>0</v>
      </c>
      <c r="Q439" s="23">
        <v>10959.6947</v>
      </c>
    </row>
    <row r="440" spans="1:17" hidden="1">
      <c r="A440" s="22">
        <v>53</v>
      </c>
      <c r="B440" s="22">
        <v>33.25</v>
      </c>
      <c r="C440" s="24">
        <v>0</v>
      </c>
      <c r="D440" s="24">
        <v>1</v>
      </c>
      <c r="E440" s="24">
        <v>0</v>
      </c>
      <c r="F440" s="24">
        <v>0</v>
      </c>
      <c r="G440" s="24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 s="23">
        <v>10564.8845</v>
      </c>
    </row>
    <row r="441" spans="1:17" hidden="1">
      <c r="A441" s="22">
        <v>53</v>
      </c>
      <c r="B441" s="22">
        <v>38.06</v>
      </c>
      <c r="C441" s="24">
        <v>0</v>
      </c>
      <c r="D441" s="24">
        <v>1</v>
      </c>
      <c r="E441" s="24">
        <v>0</v>
      </c>
      <c r="F441" s="24">
        <v>0</v>
      </c>
      <c r="G441" s="24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 s="23">
        <v>20462.997660000001</v>
      </c>
    </row>
    <row r="442" spans="1:17" hidden="1">
      <c r="A442" s="22">
        <v>53</v>
      </c>
      <c r="B442" s="22">
        <v>39.6</v>
      </c>
      <c r="C442" s="24">
        <v>0</v>
      </c>
      <c r="D442" s="24">
        <v>1</v>
      </c>
      <c r="E442" s="24">
        <v>0</v>
      </c>
      <c r="F442" s="24">
        <v>0</v>
      </c>
      <c r="G442" s="24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 s="23">
        <v>10579.710999999999</v>
      </c>
    </row>
    <row r="443" spans="1:17" hidden="1">
      <c r="A443" s="22">
        <v>53</v>
      </c>
      <c r="B443" s="22">
        <v>32.299999999999997</v>
      </c>
      <c r="C443" s="24">
        <v>0</v>
      </c>
      <c r="D443" s="24">
        <v>1</v>
      </c>
      <c r="E443" s="24">
        <v>0</v>
      </c>
      <c r="F443" s="24">
        <v>0</v>
      </c>
      <c r="G443" s="24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1</v>
      </c>
      <c r="P443">
        <v>0</v>
      </c>
      <c r="Q443" s="23">
        <v>29186.482360000002</v>
      </c>
    </row>
    <row r="444" spans="1:17" hidden="1">
      <c r="A444" s="22">
        <v>54</v>
      </c>
      <c r="B444" s="22">
        <v>30.8</v>
      </c>
      <c r="C444" s="24">
        <v>0</v>
      </c>
      <c r="D444" s="24">
        <v>1</v>
      </c>
      <c r="E444" s="24">
        <v>0</v>
      </c>
      <c r="F444" s="24">
        <v>0</v>
      </c>
      <c r="G444" s="2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 s="23">
        <v>12105.32</v>
      </c>
    </row>
    <row r="445" spans="1:17" hidden="1">
      <c r="A445" s="22">
        <v>54</v>
      </c>
      <c r="B445" s="22">
        <v>31.9</v>
      </c>
      <c r="C445" s="24">
        <v>0</v>
      </c>
      <c r="D445" s="24">
        <v>1</v>
      </c>
      <c r="E445" s="24">
        <v>0</v>
      </c>
      <c r="F445" s="24">
        <v>0</v>
      </c>
      <c r="G445" s="24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 s="23">
        <v>27322.73386</v>
      </c>
    </row>
    <row r="446" spans="1:17" hidden="1">
      <c r="A446" s="22">
        <v>54</v>
      </c>
      <c r="B446" s="22">
        <v>46.7</v>
      </c>
      <c r="C446" s="24">
        <v>0</v>
      </c>
      <c r="D446" s="24">
        <v>1</v>
      </c>
      <c r="E446" s="24">
        <v>0</v>
      </c>
      <c r="F446" s="24">
        <v>0</v>
      </c>
      <c r="G446" s="24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 s="23">
        <v>11538.421</v>
      </c>
    </row>
    <row r="447" spans="1:17" hidden="1">
      <c r="A447" s="22">
        <v>54</v>
      </c>
      <c r="B447" s="22">
        <v>32.68</v>
      </c>
      <c r="C447" s="24">
        <v>0</v>
      </c>
      <c r="D447" s="24">
        <v>1</v>
      </c>
      <c r="E447" s="24">
        <v>0</v>
      </c>
      <c r="F447" s="24">
        <v>0</v>
      </c>
      <c r="G447" s="24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1</v>
      </c>
      <c r="P447">
        <v>0</v>
      </c>
      <c r="Q447" s="23">
        <v>10923.933199999999</v>
      </c>
    </row>
    <row r="448" spans="1:17" hidden="1">
      <c r="A448" s="22">
        <v>54</v>
      </c>
      <c r="B448" s="22">
        <v>35.814999999999998</v>
      </c>
      <c r="C448" s="24">
        <v>0</v>
      </c>
      <c r="D448" s="24">
        <v>1</v>
      </c>
      <c r="E448" s="24">
        <v>0</v>
      </c>
      <c r="F448" s="24">
        <v>0</v>
      </c>
      <c r="G448" s="24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1</v>
      </c>
      <c r="P448">
        <v>0</v>
      </c>
      <c r="Q448" s="23">
        <v>12495.290849999999</v>
      </c>
    </row>
    <row r="449" spans="1:17" hidden="1">
      <c r="A449" s="22">
        <v>54</v>
      </c>
      <c r="B449" s="22">
        <v>31.9</v>
      </c>
      <c r="C449" s="24">
        <v>0</v>
      </c>
      <c r="D449" s="24">
        <v>1</v>
      </c>
      <c r="E449" s="24">
        <v>0</v>
      </c>
      <c r="F449" s="24">
        <v>0</v>
      </c>
      <c r="G449" s="24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 s="23">
        <v>10928.849</v>
      </c>
    </row>
    <row r="450" spans="1:17" hidden="1">
      <c r="A450" s="22">
        <v>54</v>
      </c>
      <c r="B450" s="22">
        <v>31.24</v>
      </c>
      <c r="C450" s="24">
        <v>0</v>
      </c>
      <c r="D450" s="24">
        <v>1</v>
      </c>
      <c r="E450" s="24">
        <v>0</v>
      </c>
      <c r="F450" s="24">
        <v>0</v>
      </c>
      <c r="G450" s="24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 s="23">
        <v>10338.9316</v>
      </c>
    </row>
    <row r="451" spans="1:17" hidden="1">
      <c r="A451" s="22">
        <v>54</v>
      </c>
      <c r="B451" s="22">
        <v>32.299999999999997</v>
      </c>
      <c r="C451" s="24">
        <v>0</v>
      </c>
      <c r="D451" s="24">
        <v>1</v>
      </c>
      <c r="E451" s="24">
        <v>0</v>
      </c>
      <c r="F451" s="24">
        <v>0</v>
      </c>
      <c r="G451" s="24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 s="23">
        <v>11512.405000000001</v>
      </c>
    </row>
    <row r="452" spans="1:17" hidden="1">
      <c r="A452" s="22">
        <v>55</v>
      </c>
      <c r="B452" s="22">
        <v>32.774999999999999</v>
      </c>
      <c r="C452" s="24">
        <v>0</v>
      </c>
      <c r="D452" s="24">
        <v>1</v>
      </c>
      <c r="E452" s="24">
        <v>0</v>
      </c>
      <c r="F452" s="24">
        <v>0</v>
      </c>
      <c r="G452" s="24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1</v>
      </c>
      <c r="P452">
        <v>0</v>
      </c>
      <c r="Q452" s="23">
        <v>12268.632250000001</v>
      </c>
    </row>
    <row r="453" spans="1:17" hidden="1">
      <c r="A453" s="22">
        <v>55</v>
      </c>
      <c r="B453" s="22">
        <v>32.395000000000003</v>
      </c>
      <c r="C453" s="24">
        <v>0</v>
      </c>
      <c r="D453" s="24">
        <v>1</v>
      </c>
      <c r="E453" s="24">
        <v>0</v>
      </c>
      <c r="F453" s="24">
        <v>0</v>
      </c>
      <c r="G453" s="24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 s="23">
        <v>11879.10405</v>
      </c>
    </row>
    <row r="454" spans="1:17" hidden="1">
      <c r="A454" s="22">
        <v>55</v>
      </c>
      <c r="B454" s="22">
        <v>30.14</v>
      </c>
      <c r="C454" s="24">
        <v>0</v>
      </c>
      <c r="D454" s="24">
        <v>1</v>
      </c>
      <c r="E454" s="24">
        <v>0</v>
      </c>
      <c r="F454" s="24">
        <v>0</v>
      </c>
      <c r="G454" s="2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 s="23">
        <v>11881.9696</v>
      </c>
    </row>
    <row r="455" spans="1:17" hidden="1">
      <c r="A455" s="22">
        <v>55</v>
      </c>
      <c r="B455" s="22">
        <v>37.1</v>
      </c>
      <c r="C455" s="24">
        <v>0</v>
      </c>
      <c r="D455" s="24">
        <v>1</v>
      </c>
      <c r="E455" s="24">
        <v>0</v>
      </c>
      <c r="F455" s="24">
        <v>0</v>
      </c>
      <c r="G455" s="24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 s="23">
        <v>10713.644</v>
      </c>
    </row>
    <row r="456" spans="1:17" hidden="1">
      <c r="A456" s="22">
        <v>55</v>
      </c>
      <c r="B456" s="22">
        <v>40.81</v>
      </c>
      <c r="C456" s="24">
        <v>0</v>
      </c>
      <c r="D456" s="24">
        <v>1</v>
      </c>
      <c r="E456" s="24">
        <v>0</v>
      </c>
      <c r="F456" s="24">
        <v>0</v>
      </c>
      <c r="G456" s="24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 s="23">
        <v>12485.8009</v>
      </c>
    </row>
    <row r="457" spans="1:17" hidden="1">
      <c r="A457" s="22">
        <v>55</v>
      </c>
      <c r="B457" s="22">
        <v>33.534999999999997</v>
      </c>
      <c r="C457" s="24">
        <v>0</v>
      </c>
      <c r="D457" s="24">
        <v>1</v>
      </c>
      <c r="E457" s="24">
        <v>0</v>
      </c>
      <c r="F457" s="24">
        <v>0</v>
      </c>
      <c r="G457" s="24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1</v>
      </c>
      <c r="P457">
        <v>0</v>
      </c>
      <c r="Q457" s="23">
        <v>12269.68865</v>
      </c>
    </row>
    <row r="458" spans="1:17" hidden="1">
      <c r="A458" s="22">
        <v>55</v>
      </c>
      <c r="B458" s="22">
        <v>30.5</v>
      </c>
      <c r="C458" s="24">
        <v>0</v>
      </c>
      <c r="D458" s="24">
        <v>1</v>
      </c>
      <c r="E458" s="24">
        <v>0</v>
      </c>
      <c r="F458" s="24">
        <v>0</v>
      </c>
      <c r="G458" s="24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 s="23">
        <v>10704.47</v>
      </c>
    </row>
    <row r="459" spans="1:17" hidden="1">
      <c r="A459" s="22">
        <v>56</v>
      </c>
      <c r="B459" s="22">
        <v>39.82</v>
      </c>
      <c r="C459" s="24">
        <v>0</v>
      </c>
      <c r="D459" s="24">
        <v>1</v>
      </c>
      <c r="E459" s="24">
        <v>0</v>
      </c>
      <c r="F459" s="24">
        <v>0</v>
      </c>
      <c r="G459" s="24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 s="23">
        <v>11090.7178</v>
      </c>
    </row>
    <row r="460" spans="1:17" hidden="1">
      <c r="A460" s="22">
        <v>56</v>
      </c>
      <c r="B460" s="22">
        <v>37.51</v>
      </c>
      <c r="C460" s="24">
        <v>0</v>
      </c>
      <c r="D460" s="24">
        <v>1</v>
      </c>
      <c r="E460" s="24">
        <v>0</v>
      </c>
      <c r="F460" s="24">
        <v>0</v>
      </c>
      <c r="G460" s="24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 s="23">
        <v>12265.5069</v>
      </c>
    </row>
    <row r="461" spans="1:17" hidden="1">
      <c r="A461" s="22">
        <v>56</v>
      </c>
      <c r="B461" s="22">
        <v>32.299999999999997</v>
      </c>
      <c r="C461" s="24">
        <v>0</v>
      </c>
      <c r="D461" s="24">
        <v>1</v>
      </c>
      <c r="E461" s="24">
        <v>0</v>
      </c>
      <c r="F461" s="24">
        <v>0</v>
      </c>
      <c r="G461" s="24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1</v>
      </c>
      <c r="P461">
        <v>0</v>
      </c>
      <c r="Q461" s="23">
        <v>13430.264999999999</v>
      </c>
    </row>
    <row r="462" spans="1:17" hidden="1">
      <c r="A462" s="22">
        <v>56</v>
      </c>
      <c r="B462" s="22">
        <v>33.82</v>
      </c>
      <c r="C462" s="24">
        <v>0</v>
      </c>
      <c r="D462" s="24">
        <v>1</v>
      </c>
      <c r="E462" s="24">
        <v>0</v>
      </c>
      <c r="F462" s="24">
        <v>0</v>
      </c>
      <c r="G462" s="24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1</v>
      </c>
      <c r="P462">
        <v>0</v>
      </c>
      <c r="Q462" s="23">
        <v>12643.3778</v>
      </c>
    </row>
    <row r="463" spans="1:17" hidden="1">
      <c r="A463" s="22">
        <v>56</v>
      </c>
      <c r="B463" s="22">
        <v>35.799999999999997</v>
      </c>
      <c r="C463" s="24">
        <v>0</v>
      </c>
      <c r="D463" s="24">
        <v>1</v>
      </c>
      <c r="E463" s="24">
        <v>0</v>
      </c>
      <c r="F463" s="24">
        <v>0</v>
      </c>
      <c r="G463" s="24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 s="23">
        <v>11674.13</v>
      </c>
    </row>
    <row r="464" spans="1:17" hidden="1">
      <c r="A464" s="22">
        <v>56</v>
      </c>
      <c r="B464" s="22">
        <v>41.91</v>
      </c>
      <c r="C464" s="24">
        <v>0</v>
      </c>
      <c r="D464" s="24">
        <v>1</v>
      </c>
      <c r="E464" s="24">
        <v>0</v>
      </c>
      <c r="F464" s="24">
        <v>0</v>
      </c>
      <c r="G464" s="2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 s="23">
        <v>11093.6229</v>
      </c>
    </row>
    <row r="465" spans="1:17" hidden="1">
      <c r="A465" s="22">
        <v>57</v>
      </c>
      <c r="B465" s="22">
        <v>38</v>
      </c>
      <c r="C465" s="24">
        <v>0</v>
      </c>
      <c r="D465" s="24">
        <v>1</v>
      </c>
      <c r="E465" s="24">
        <v>0</v>
      </c>
      <c r="F465" s="24">
        <v>0</v>
      </c>
      <c r="G465" s="24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 s="23">
        <v>12646.207</v>
      </c>
    </row>
    <row r="466" spans="1:17" hidden="1">
      <c r="A466" s="22">
        <v>57</v>
      </c>
      <c r="B466" s="22">
        <v>30.495000000000001</v>
      </c>
      <c r="C466" s="24">
        <v>0</v>
      </c>
      <c r="D466" s="24">
        <v>1</v>
      </c>
      <c r="E466" s="24">
        <v>0</v>
      </c>
      <c r="F466" s="24">
        <v>0</v>
      </c>
      <c r="G466" s="24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1</v>
      </c>
      <c r="P466">
        <v>0</v>
      </c>
      <c r="Q466" s="23">
        <v>11840.77505</v>
      </c>
    </row>
    <row r="467" spans="1:17" hidden="1">
      <c r="A467" s="22">
        <v>57</v>
      </c>
      <c r="B467" s="22">
        <v>34.295000000000002</v>
      </c>
      <c r="C467" s="24">
        <v>0</v>
      </c>
      <c r="D467" s="24">
        <v>1</v>
      </c>
      <c r="E467" s="24">
        <v>0</v>
      </c>
      <c r="F467" s="24">
        <v>0</v>
      </c>
      <c r="G467" s="24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1</v>
      </c>
      <c r="P467">
        <v>0</v>
      </c>
      <c r="Q467" s="23">
        <v>13224.057049999999</v>
      </c>
    </row>
    <row r="468" spans="1:17" hidden="1">
      <c r="A468" s="22">
        <v>57</v>
      </c>
      <c r="B468" s="22">
        <v>31.824999999999999</v>
      </c>
      <c r="C468" s="24">
        <v>0</v>
      </c>
      <c r="D468" s="24">
        <v>1</v>
      </c>
      <c r="E468" s="24">
        <v>0</v>
      </c>
      <c r="F468" s="24">
        <v>0</v>
      </c>
      <c r="G468" s="24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1</v>
      </c>
      <c r="P468">
        <v>0</v>
      </c>
      <c r="Q468" s="23">
        <v>11842.623750000001</v>
      </c>
    </row>
    <row r="469" spans="1:17" hidden="1">
      <c r="A469" s="22">
        <v>58</v>
      </c>
      <c r="B469" s="22">
        <v>31.824999999999999</v>
      </c>
      <c r="C469" s="24">
        <v>0</v>
      </c>
      <c r="D469" s="24">
        <v>1</v>
      </c>
      <c r="E469" s="24">
        <v>0</v>
      </c>
      <c r="F469" s="24">
        <v>0</v>
      </c>
      <c r="G469" s="24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1</v>
      </c>
      <c r="P469">
        <v>0</v>
      </c>
      <c r="Q469" s="23">
        <v>13607.36875</v>
      </c>
    </row>
    <row r="470" spans="1:17" hidden="1">
      <c r="A470" s="22">
        <v>58</v>
      </c>
      <c r="B470" s="22">
        <v>41.91</v>
      </c>
      <c r="C470" s="24">
        <v>0</v>
      </c>
      <c r="D470" s="24">
        <v>1</v>
      </c>
      <c r="E470" s="24">
        <v>0</v>
      </c>
      <c r="F470" s="24">
        <v>0</v>
      </c>
      <c r="G470" s="24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 s="23">
        <v>24227.337240000001</v>
      </c>
    </row>
    <row r="471" spans="1:17" hidden="1">
      <c r="A471" s="22">
        <v>58</v>
      </c>
      <c r="B471" s="22">
        <v>39.049999999999997</v>
      </c>
      <c r="C471" s="24">
        <v>0</v>
      </c>
      <c r="D471" s="24">
        <v>1</v>
      </c>
      <c r="E471" s="24">
        <v>0</v>
      </c>
      <c r="F471" s="24">
        <v>0</v>
      </c>
      <c r="G471" s="24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 s="23">
        <v>11856.4115</v>
      </c>
    </row>
    <row r="472" spans="1:17" hidden="1">
      <c r="A472" s="22">
        <v>58</v>
      </c>
      <c r="B472" s="22">
        <v>32.965000000000003</v>
      </c>
      <c r="C472" s="24">
        <v>0</v>
      </c>
      <c r="D472" s="24">
        <v>1</v>
      </c>
      <c r="E472" s="24">
        <v>0</v>
      </c>
      <c r="F472" s="24">
        <v>0</v>
      </c>
      <c r="G472" s="24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1</v>
      </c>
      <c r="P472">
        <v>0</v>
      </c>
      <c r="Q472" s="23">
        <v>12430.95335</v>
      </c>
    </row>
    <row r="473" spans="1:17" hidden="1">
      <c r="A473" s="22">
        <v>58</v>
      </c>
      <c r="B473" s="22">
        <v>33.44</v>
      </c>
      <c r="C473" s="24">
        <v>0</v>
      </c>
      <c r="D473" s="24">
        <v>1</v>
      </c>
      <c r="E473" s="24">
        <v>0</v>
      </c>
      <c r="F473" s="24">
        <v>0</v>
      </c>
      <c r="G473" s="24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1</v>
      </c>
      <c r="P473">
        <v>0</v>
      </c>
      <c r="Q473" s="23">
        <v>12231.613600000001</v>
      </c>
    </row>
    <row r="474" spans="1:17" hidden="1">
      <c r="A474" s="22">
        <v>58</v>
      </c>
      <c r="B474" s="22">
        <v>33.1</v>
      </c>
      <c r="C474" s="24">
        <v>0</v>
      </c>
      <c r="D474" s="24">
        <v>1</v>
      </c>
      <c r="E474" s="24">
        <v>0</v>
      </c>
      <c r="F474" s="24">
        <v>0</v>
      </c>
      <c r="G474" s="2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 s="23">
        <v>11848.141</v>
      </c>
    </row>
    <row r="475" spans="1:17" hidden="1">
      <c r="A475" s="22">
        <v>58</v>
      </c>
      <c r="B475" s="22">
        <v>36.479999999999997</v>
      </c>
      <c r="C475" s="24">
        <v>0</v>
      </c>
      <c r="D475" s="24">
        <v>1</v>
      </c>
      <c r="E475" s="24">
        <v>0</v>
      </c>
      <c r="F475" s="24">
        <v>0</v>
      </c>
      <c r="G475" s="24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1</v>
      </c>
      <c r="P475">
        <v>0</v>
      </c>
      <c r="Q475" s="23">
        <v>12235.8392</v>
      </c>
    </row>
    <row r="476" spans="1:17" hidden="1">
      <c r="A476" s="22">
        <v>58</v>
      </c>
      <c r="B476" s="22">
        <v>32.395000000000003</v>
      </c>
      <c r="C476" s="24">
        <v>0</v>
      </c>
      <c r="D476" s="24">
        <v>1</v>
      </c>
      <c r="E476" s="24">
        <v>0</v>
      </c>
      <c r="F476" s="24">
        <v>0</v>
      </c>
      <c r="G476" s="24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1</v>
      </c>
      <c r="P476">
        <v>0</v>
      </c>
      <c r="Q476" s="23">
        <v>13019.161050000001</v>
      </c>
    </row>
    <row r="477" spans="1:17" hidden="1">
      <c r="A477" s="22">
        <v>59</v>
      </c>
      <c r="B477" s="22">
        <v>32.395000000000003</v>
      </c>
      <c r="C477" s="24">
        <v>0</v>
      </c>
      <c r="D477" s="24">
        <v>1</v>
      </c>
      <c r="E477" s="24">
        <v>0</v>
      </c>
      <c r="F477" s="24">
        <v>0</v>
      </c>
      <c r="G477" s="24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</v>
      </c>
      <c r="P477">
        <v>0</v>
      </c>
      <c r="Q477" s="23">
        <v>14590.63205</v>
      </c>
    </row>
    <row r="478" spans="1:17" hidden="1">
      <c r="A478" s="22">
        <v>59</v>
      </c>
      <c r="B478" s="22">
        <v>36.520000000000003</v>
      </c>
      <c r="C478" s="24">
        <v>0</v>
      </c>
      <c r="D478" s="24">
        <v>1</v>
      </c>
      <c r="E478" s="24">
        <v>0</v>
      </c>
      <c r="F478" s="24">
        <v>0</v>
      </c>
      <c r="G478" s="24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 s="23">
        <v>28287.897659999999</v>
      </c>
    </row>
    <row r="479" spans="1:17" hidden="1">
      <c r="A479" s="22">
        <v>59</v>
      </c>
      <c r="B479" s="22">
        <v>35.200000000000003</v>
      </c>
      <c r="C479" s="24">
        <v>0</v>
      </c>
      <c r="D479" s="24">
        <v>1</v>
      </c>
      <c r="E479" s="24">
        <v>0</v>
      </c>
      <c r="F479" s="24">
        <v>0</v>
      </c>
      <c r="G479" s="24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 s="23">
        <v>12244.531000000001</v>
      </c>
    </row>
    <row r="480" spans="1:17" hidden="1">
      <c r="A480" s="22">
        <v>59</v>
      </c>
      <c r="B480" s="22">
        <v>32.1</v>
      </c>
      <c r="C480" s="24">
        <v>0</v>
      </c>
      <c r="D480" s="24">
        <v>1</v>
      </c>
      <c r="E480" s="24">
        <v>0</v>
      </c>
      <c r="F480" s="24">
        <v>0</v>
      </c>
      <c r="G480" s="24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 s="23">
        <v>14007.222</v>
      </c>
    </row>
    <row r="481" spans="1:17" hidden="1">
      <c r="A481" s="22">
        <v>59</v>
      </c>
      <c r="B481" s="22">
        <v>31.35</v>
      </c>
      <c r="C481" s="24">
        <v>0</v>
      </c>
      <c r="D481" s="24">
        <v>1</v>
      </c>
      <c r="E481" s="24">
        <v>0</v>
      </c>
      <c r="F481" s="24">
        <v>0</v>
      </c>
      <c r="G481" s="24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1</v>
      </c>
      <c r="P481">
        <v>0</v>
      </c>
      <c r="Q481" s="23">
        <v>12622.1795</v>
      </c>
    </row>
    <row r="482" spans="1:17" hidden="1">
      <c r="A482" s="22">
        <v>59</v>
      </c>
      <c r="B482" s="22">
        <v>34.799999999999997</v>
      </c>
      <c r="C482" s="24">
        <v>0</v>
      </c>
      <c r="D482" s="24">
        <v>1</v>
      </c>
      <c r="E482" s="24">
        <v>0</v>
      </c>
      <c r="F482" s="24">
        <v>0</v>
      </c>
      <c r="G482" s="24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 s="23">
        <v>36910.608030000003</v>
      </c>
    </row>
    <row r="483" spans="1:17" hidden="1">
      <c r="A483" s="22">
        <v>60</v>
      </c>
      <c r="B483" s="22">
        <v>36.005000000000003</v>
      </c>
      <c r="C483" s="24">
        <v>0</v>
      </c>
      <c r="D483" s="24">
        <v>1</v>
      </c>
      <c r="E483" s="24">
        <v>0</v>
      </c>
      <c r="F483" s="24">
        <v>0</v>
      </c>
      <c r="G483" s="24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1</v>
      </c>
      <c r="Q483" s="23">
        <v>13228.846949999999</v>
      </c>
    </row>
    <row r="484" spans="1:17" hidden="1">
      <c r="A484" s="22">
        <v>60</v>
      </c>
      <c r="B484" s="22">
        <v>38.06</v>
      </c>
      <c r="C484" s="24">
        <v>0</v>
      </c>
      <c r="D484" s="24">
        <v>1</v>
      </c>
      <c r="E484" s="24">
        <v>0</v>
      </c>
      <c r="F484" s="24">
        <v>0</v>
      </c>
      <c r="G484" s="2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 s="23">
        <v>12648.7034</v>
      </c>
    </row>
    <row r="485" spans="1:17" hidden="1">
      <c r="A485" s="22">
        <v>60</v>
      </c>
      <c r="B485" s="22">
        <v>30.5</v>
      </c>
      <c r="C485" s="24">
        <v>0</v>
      </c>
      <c r="D485" s="24">
        <v>1</v>
      </c>
      <c r="E485" s="24">
        <v>0</v>
      </c>
      <c r="F485" s="24">
        <v>0</v>
      </c>
      <c r="G485" s="24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 s="23">
        <v>12638.195</v>
      </c>
    </row>
    <row r="486" spans="1:17" hidden="1">
      <c r="A486" s="22">
        <v>60</v>
      </c>
      <c r="B486" s="22">
        <v>35.1</v>
      </c>
      <c r="C486" s="24">
        <v>0</v>
      </c>
      <c r="D486" s="24">
        <v>1</v>
      </c>
      <c r="E486" s="24">
        <v>0</v>
      </c>
      <c r="F486" s="24">
        <v>0</v>
      </c>
      <c r="G486" s="24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 s="23">
        <v>12644.589</v>
      </c>
    </row>
    <row r="487" spans="1:17" hidden="1">
      <c r="A487" s="22">
        <v>61</v>
      </c>
      <c r="B487" s="22">
        <v>39.1</v>
      </c>
      <c r="C487" s="24">
        <v>0</v>
      </c>
      <c r="D487" s="24">
        <v>1</v>
      </c>
      <c r="E487" s="24">
        <v>0</v>
      </c>
      <c r="F487" s="24">
        <v>0</v>
      </c>
      <c r="G487" s="24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 s="23">
        <v>14235.072</v>
      </c>
    </row>
    <row r="488" spans="1:17" hidden="1">
      <c r="A488" s="22">
        <v>61</v>
      </c>
      <c r="B488" s="22">
        <v>31.16</v>
      </c>
      <c r="C488" s="24">
        <v>0</v>
      </c>
      <c r="D488" s="24">
        <v>1</v>
      </c>
      <c r="E488" s="24">
        <v>0</v>
      </c>
      <c r="F488" s="24">
        <v>0</v>
      </c>
      <c r="G488" s="24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1</v>
      </c>
      <c r="Q488" s="23">
        <v>13429.035400000001</v>
      </c>
    </row>
    <row r="489" spans="1:17" hidden="1">
      <c r="A489" s="22">
        <v>61</v>
      </c>
      <c r="B489" s="22">
        <v>35.909999999999997</v>
      </c>
      <c r="C489" s="24">
        <v>0</v>
      </c>
      <c r="D489" s="24">
        <v>1</v>
      </c>
      <c r="E489" s="24">
        <v>0</v>
      </c>
      <c r="F489" s="24">
        <v>0</v>
      </c>
      <c r="G489" s="24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1</v>
      </c>
      <c r="Q489" s="23">
        <v>13635.6379</v>
      </c>
    </row>
    <row r="490" spans="1:17" hidden="1">
      <c r="A490" s="22">
        <v>61</v>
      </c>
      <c r="B490" s="22">
        <v>44</v>
      </c>
      <c r="C490" s="24">
        <v>0</v>
      </c>
      <c r="D490" s="24">
        <v>1</v>
      </c>
      <c r="E490" s="24">
        <v>0</v>
      </c>
      <c r="F490" s="24">
        <v>0</v>
      </c>
      <c r="G490" s="24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 s="23">
        <v>13063.883</v>
      </c>
    </row>
    <row r="491" spans="1:17" hidden="1">
      <c r="A491" s="22">
        <v>61</v>
      </c>
      <c r="B491" s="22">
        <v>33.33</v>
      </c>
      <c r="C491" s="24">
        <v>0</v>
      </c>
      <c r="D491" s="24">
        <v>1</v>
      </c>
      <c r="E491" s="24">
        <v>0</v>
      </c>
      <c r="F491" s="24">
        <v>0</v>
      </c>
      <c r="G491" s="24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 s="23">
        <v>36580.282160000002</v>
      </c>
    </row>
    <row r="492" spans="1:17" hidden="1">
      <c r="A492" s="22">
        <v>62</v>
      </c>
      <c r="B492" s="22">
        <v>32.965000000000003</v>
      </c>
      <c r="C492" s="24">
        <v>0</v>
      </c>
      <c r="D492" s="24">
        <v>1</v>
      </c>
      <c r="E492" s="24">
        <v>0</v>
      </c>
      <c r="F492" s="24">
        <v>0</v>
      </c>
      <c r="G492" s="24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1</v>
      </c>
      <c r="Q492" s="23">
        <v>15612.19335</v>
      </c>
    </row>
    <row r="493" spans="1:17" hidden="1">
      <c r="A493" s="22">
        <v>62</v>
      </c>
      <c r="B493" s="22">
        <v>38.094999999999999</v>
      </c>
      <c r="C493" s="24">
        <v>0</v>
      </c>
      <c r="D493" s="24">
        <v>1</v>
      </c>
      <c r="E493" s="24">
        <v>0</v>
      </c>
      <c r="F493" s="24">
        <v>0</v>
      </c>
      <c r="G493" s="24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1</v>
      </c>
      <c r="Q493" s="23">
        <v>15230.324049999999</v>
      </c>
    </row>
    <row r="494" spans="1:17" hidden="1">
      <c r="A494" s="22">
        <v>62</v>
      </c>
      <c r="B494" s="22">
        <v>39.200000000000003</v>
      </c>
      <c r="C494" s="24">
        <v>0</v>
      </c>
      <c r="D494" s="24">
        <v>1</v>
      </c>
      <c r="E494" s="24">
        <v>0</v>
      </c>
      <c r="F494" s="24">
        <v>0</v>
      </c>
      <c r="G494" s="2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 s="23">
        <v>13470.86</v>
      </c>
    </row>
    <row r="495" spans="1:17" hidden="1">
      <c r="A495" s="22">
        <v>62</v>
      </c>
      <c r="B495" s="22">
        <v>31.73</v>
      </c>
      <c r="C495" s="24">
        <v>0</v>
      </c>
      <c r="D495" s="24">
        <v>1</v>
      </c>
      <c r="E495" s="24">
        <v>0</v>
      </c>
      <c r="F495" s="24">
        <v>0</v>
      </c>
      <c r="G495" s="24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1</v>
      </c>
      <c r="Q495" s="23">
        <v>14043.476699999999</v>
      </c>
    </row>
    <row r="496" spans="1:17" hidden="1">
      <c r="A496" s="22">
        <v>62</v>
      </c>
      <c r="B496" s="22">
        <v>36.86</v>
      </c>
      <c r="C496" s="24">
        <v>0</v>
      </c>
      <c r="D496" s="24">
        <v>1</v>
      </c>
      <c r="E496" s="24">
        <v>0</v>
      </c>
      <c r="F496" s="24">
        <v>0</v>
      </c>
      <c r="G496" s="24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1</v>
      </c>
      <c r="Q496" s="23">
        <v>31620.001059999999</v>
      </c>
    </row>
    <row r="497" spans="1:17" hidden="1">
      <c r="A497" s="22">
        <v>62</v>
      </c>
      <c r="B497" s="22">
        <v>29.92</v>
      </c>
      <c r="C497" s="24">
        <v>0</v>
      </c>
      <c r="D497" s="24">
        <v>1</v>
      </c>
      <c r="E497" s="24">
        <v>0</v>
      </c>
      <c r="F497" s="24">
        <v>0</v>
      </c>
      <c r="G497" s="24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 s="23">
        <v>13457.960800000001</v>
      </c>
    </row>
    <row r="498" spans="1:17" hidden="1">
      <c r="A498" s="22">
        <v>62</v>
      </c>
      <c r="B498" s="22">
        <v>33.200000000000003</v>
      </c>
      <c r="C498" s="24">
        <v>0</v>
      </c>
      <c r="D498" s="24">
        <v>1</v>
      </c>
      <c r="E498" s="24">
        <v>0</v>
      </c>
      <c r="F498" s="24">
        <v>0</v>
      </c>
      <c r="G498" s="24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 s="23">
        <v>13462.52</v>
      </c>
    </row>
    <row r="499" spans="1:17" hidden="1">
      <c r="A499" s="22">
        <v>62</v>
      </c>
      <c r="B499" s="22">
        <v>39.159999999999997</v>
      </c>
      <c r="C499" s="24">
        <v>0</v>
      </c>
      <c r="D499" s="24">
        <v>1</v>
      </c>
      <c r="E499" s="24">
        <v>0</v>
      </c>
      <c r="F499" s="24">
        <v>0</v>
      </c>
      <c r="G499" s="24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 s="23">
        <v>13470.804400000001</v>
      </c>
    </row>
    <row r="500" spans="1:17" hidden="1">
      <c r="A500" s="22">
        <v>62</v>
      </c>
      <c r="B500" s="22">
        <v>30.495000000000001</v>
      </c>
      <c r="C500" s="24">
        <v>0</v>
      </c>
      <c r="D500" s="24">
        <v>1</v>
      </c>
      <c r="E500" s="24">
        <v>0</v>
      </c>
      <c r="F500" s="24">
        <v>0</v>
      </c>
      <c r="G500" s="24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1</v>
      </c>
      <c r="Q500" s="23">
        <v>15019.760050000001</v>
      </c>
    </row>
    <row r="501" spans="1:17" hidden="1">
      <c r="A501" s="22">
        <v>62</v>
      </c>
      <c r="B501" s="22">
        <v>32.68</v>
      </c>
      <c r="C501" s="24">
        <v>0</v>
      </c>
      <c r="D501" s="24">
        <v>1</v>
      </c>
      <c r="E501" s="24">
        <v>0</v>
      </c>
      <c r="F501" s="24">
        <v>0</v>
      </c>
      <c r="G501" s="24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1</v>
      </c>
      <c r="Q501" s="23">
        <v>13844.797200000001</v>
      </c>
    </row>
    <row r="502" spans="1:17" hidden="1">
      <c r="A502" s="22">
        <v>63</v>
      </c>
      <c r="B502" s="22">
        <v>31.8</v>
      </c>
      <c r="C502" s="24">
        <v>0</v>
      </c>
      <c r="D502" s="24">
        <v>1</v>
      </c>
      <c r="E502" s="24">
        <v>0</v>
      </c>
      <c r="F502" s="24">
        <v>0</v>
      </c>
      <c r="G502" s="24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 s="23">
        <v>13880.949000000001</v>
      </c>
    </row>
    <row r="503" spans="1:17" hidden="1">
      <c r="A503" s="22">
        <v>63</v>
      </c>
      <c r="B503" s="22">
        <v>36.299999999999997</v>
      </c>
      <c r="C503" s="24">
        <v>0</v>
      </c>
      <c r="D503" s="24">
        <v>1</v>
      </c>
      <c r="E503" s="24">
        <v>0</v>
      </c>
      <c r="F503" s="24">
        <v>0</v>
      </c>
      <c r="G503" s="24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 s="23">
        <v>13887.204</v>
      </c>
    </row>
    <row r="504" spans="1:17" hidden="1">
      <c r="A504" s="22">
        <v>63</v>
      </c>
      <c r="B504" s="22">
        <v>35.200000000000003</v>
      </c>
      <c r="C504" s="24">
        <v>0</v>
      </c>
      <c r="D504" s="24">
        <v>1</v>
      </c>
      <c r="E504" s="24">
        <v>0</v>
      </c>
      <c r="F504" s="24">
        <v>0</v>
      </c>
      <c r="G504" s="2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 s="23">
        <v>14474.674999999999</v>
      </c>
    </row>
    <row r="505" spans="1:17" hidden="1">
      <c r="A505" s="22">
        <v>63</v>
      </c>
      <c r="B505" s="22">
        <v>36.85</v>
      </c>
      <c r="C505" s="24">
        <v>0</v>
      </c>
      <c r="D505" s="24">
        <v>1</v>
      </c>
      <c r="E505" s="24">
        <v>0</v>
      </c>
      <c r="F505" s="24">
        <v>0</v>
      </c>
      <c r="G505" s="24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 s="23">
        <v>13887.968500000001</v>
      </c>
    </row>
    <row r="506" spans="1:17" hidden="1">
      <c r="A506" s="22">
        <v>64</v>
      </c>
      <c r="B506" s="22">
        <v>39.33</v>
      </c>
      <c r="C506" s="24">
        <v>0</v>
      </c>
      <c r="D506" s="24">
        <v>1</v>
      </c>
      <c r="E506" s="24">
        <v>0</v>
      </c>
      <c r="F506" s="24">
        <v>0</v>
      </c>
      <c r="G506" s="24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1</v>
      </c>
      <c r="Q506" s="23">
        <v>14901.5167</v>
      </c>
    </row>
    <row r="507" spans="1:17" hidden="1">
      <c r="A507" s="22">
        <v>64</v>
      </c>
      <c r="B507" s="22">
        <v>30.114999999999998</v>
      </c>
      <c r="C507" s="24">
        <v>0</v>
      </c>
      <c r="D507" s="24">
        <v>1</v>
      </c>
      <c r="E507" s="24">
        <v>0</v>
      </c>
      <c r="F507" s="24">
        <v>0</v>
      </c>
      <c r="G507" s="24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1</v>
      </c>
      <c r="Q507" s="23">
        <v>16455.707849999999</v>
      </c>
    </row>
    <row r="508" spans="1:17" hidden="1">
      <c r="A508" s="22">
        <v>64</v>
      </c>
      <c r="B508" s="22">
        <v>32.965000000000003</v>
      </c>
      <c r="C508" s="24">
        <v>0</v>
      </c>
      <c r="D508" s="24">
        <v>1</v>
      </c>
      <c r="E508" s="24">
        <v>0</v>
      </c>
      <c r="F508" s="24">
        <v>0</v>
      </c>
      <c r="G508" s="24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1</v>
      </c>
      <c r="Q508" s="23">
        <v>14692.66935</v>
      </c>
    </row>
    <row r="509" spans="1:17" hidden="1">
      <c r="A509" s="22">
        <v>64</v>
      </c>
      <c r="B509" s="22">
        <v>39.049999999999997</v>
      </c>
      <c r="C509" s="24">
        <v>0</v>
      </c>
      <c r="D509" s="24">
        <v>1</v>
      </c>
      <c r="E509" s="24">
        <v>0</v>
      </c>
      <c r="F509" s="24">
        <v>0</v>
      </c>
      <c r="G509" s="24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 s="23">
        <v>16085.127500000001</v>
      </c>
    </row>
    <row r="510" spans="1:17" hidden="1">
      <c r="A510" s="22">
        <v>64</v>
      </c>
      <c r="B510" s="22">
        <v>39.700000000000003</v>
      </c>
      <c r="C510" s="24">
        <v>0</v>
      </c>
      <c r="D510" s="24">
        <v>1</v>
      </c>
      <c r="E510" s="24">
        <v>0</v>
      </c>
      <c r="F510" s="24">
        <v>0</v>
      </c>
      <c r="G510" s="24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 s="23">
        <v>14319.031000000001</v>
      </c>
    </row>
    <row r="511" spans="1:17" hidden="1">
      <c r="A511" s="22">
        <v>64</v>
      </c>
      <c r="B511" s="22">
        <v>35.97</v>
      </c>
      <c r="C511" s="24">
        <v>0</v>
      </c>
      <c r="D511" s="24">
        <v>1</v>
      </c>
      <c r="E511" s="24">
        <v>0</v>
      </c>
      <c r="F511" s="24">
        <v>0</v>
      </c>
      <c r="G511" s="24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 s="23">
        <v>14313.846299999999</v>
      </c>
    </row>
    <row r="512" spans="1:17" hidden="1">
      <c r="A512" s="22">
        <v>64</v>
      </c>
      <c r="B512" s="22">
        <v>31.824999999999999</v>
      </c>
      <c r="C512" s="24">
        <v>0</v>
      </c>
      <c r="D512" s="24">
        <v>1</v>
      </c>
      <c r="E512" s="24">
        <v>0</v>
      </c>
      <c r="F512" s="24">
        <v>0</v>
      </c>
      <c r="G512" s="24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 s="23">
        <v>16069.08475</v>
      </c>
    </row>
    <row r="513" spans="1:17">
      <c r="A513" s="22">
        <v>34</v>
      </c>
      <c r="B513" s="22">
        <v>31.92</v>
      </c>
      <c r="C513" s="24">
        <v>0</v>
      </c>
      <c r="D513" s="24">
        <v>1</v>
      </c>
      <c r="E513" s="24">
        <v>0</v>
      </c>
      <c r="F513" s="24">
        <v>0</v>
      </c>
      <c r="G513" s="24">
        <v>0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0</v>
      </c>
      <c r="Q513" s="23">
        <v>37701.876799999998</v>
      </c>
    </row>
    <row r="514" spans="1:17">
      <c r="A514" s="22">
        <v>37</v>
      </c>
      <c r="B514" s="22">
        <v>34.799999999999997</v>
      </c>
      <c r="C514" s="24">
        <v>0</v>
      </c>
      <c r="D514" s="24">
        <v>1</v>
      </c>
      <c r="E514" s="24">
        <v>0</v>
      </c>
      <c r="F514" s="24">
        <v>0</v>
      </c>
      <c r="G514" s="24">
        <v>0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 s="23">
        <v>39836.519</v>
      </c>
    </row>
    <row r="515" spans="1:17">
      <c r="A515" s="22">
        <v>57</v>
      </c>
      <c r="B515" s="22">
        <v>31.16</v>
      </c>
      <c r="C515" s="24">
        <v>0</v>
      </c>
      <c r="D515" s="24">
        <v>1</v>
      </c>
      <c r="E515" s="24">
        <v>0</v>
      </c>
      <c r="F515" s="24">
        <v>0</v>
      </c>
      <c r="G515" s="24">
        <v>0</v>
      </c>
      <c r="H515">
        <v>1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1</v>
      </c>
      <c r="P515">
        <v>0</v>
      </c>
      <c r="Q515" s="23">
        <v>43578.939400000003</v>
      </c>
    </row>
    <row r="516" spans="1:17">
      <c r="A516" s="22">
        <v>64</v>
      </c>
      <c r="B516" s="22">
        <v>31.3</v>
      </c>
      <c r="C516" s="24">
        <v>0</v>
      </c>
      <c r="D516" s="24">
        <v>1</v>
      </c>
      <c r="E516" s="24">
        <v>0</v>
      </c>
      <c r="F516" s="24">
        <v>0</v>
      </c>
      <c r="G516" s="24">
        <v>0</v>
      </c>
      <c r="H516">
        <v>1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 s="23">
        <v>47291.055</v>
      </c>
    </row>
    <row r="517" spans="1:17">
      <c r="A517" s="22">
        <v>61</v>
      </c>
      <c r="B517" s="22">
        <v>29.92</v>
      </c>
      <c r="C517" s="24">
        <v>0</v>
      </c>
      <c r="D517" s="24">
        <v>1</v>
      </c>
      <c r="E517" s="24">
        <v>0</v>
      </c>
      <c r="F517" s="24">
        <v>0</v>
      </c>
      <c r="G517" s="24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 s="23">
        <v>30942.191800000001</v>
      </c>
    </row>
    <row r="518" spans="1:17">
      <c r="A518" s="22">
        <v>18</v>
      </c>
      <c r="B518" s="22">
        <v>36.85</v>
      </c>
      <c r="C518" s="24">
        <v>0</v>
      </c>
      <c r="D518" s="24">
        <v>1</v>
      </c>
      <c r="E518" s="24">
        <v>0</v>
      </c>
      <c r="F518" s="24">
        <v>0</v>
      </c>
      <c r="G518" s="24">
        <v>0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 s="23">
        <v>36149.483500000002</v>
      </c>
    </row>
    <row r="519" spans="1:17">
      <c r="A519" s="22">
        <v>63</v>
      </c>
      <c r="B519" s="22">
        <v>37.700000000000003</v>
      </c>
      <c r="C519" s="24">
        <v>0</v>
      </c>
      <c r="D519" s="24">
        <v>1</v>
      </c>
      <c r="E519" s="24">
        <v>0</v>
      </c>
      <c r="F519" s="24">
        <v>0</v>
      </c>
      <c r="G519" s="24">
        <v>0</v>
      </c>
      <c r="H519">
        <v>1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 s="23">
        <v>48824.45</v>
      </c>
    </row>
    <row r="520" spans="1:17">
      <c r="A520" s="22">
        <v>27</v>
      </c>
      <c r="B520" s="22">
        <v>36.08</v>
      </c>
      <c r="C520" s="24">
        <v>0</v>
      </c>
      <c r="D520" s="24">
        <v>1</v>
      </c>
      <c r="E520" s="24">
        <v>0</v>
      </c>
      <c r="F520" s="24">
        <v>0</v>
      </c>
      <c r="G520" s="24">
        <v>0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 s="23">
        <v>37133.898200000003</v>
      </c>
    </row>
    <row r="521" spans="1:17">
      <c r="A521" s="22">
        <v>23</v>
      </c>
      <c r="B521" s="22">
        <v>36.67</v>
      </c>
      <c r="C521" s="24">
        <v>0</v>
      </c>
      <c r="D521" s="24">
        <v>1</v>
      </c>
      <c r="E521" s="24">
        <v>0</v>
      </c>
      <c r="F521" s="24">
        <v>0</v>
      </c>
      <c r="G521" s="24">
        <v>0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0</v>
      </c>
      <c r="O521">
        <v>0</v>
      </c>
      <c r="P521">
        <v>0</v>
      </c>
      <c r="Q521" s="23">
        <v>38511.628299999997</v>
      </c>
    </row>
    <row r="522" spans="1:17">
      <c r="A522" s="22">
        <v>63</v>
      </c>
      <c r="B522" s="22">
        <v>32.200000000000003</v>
      </c>
      <c r="C522" s="24">
        <v>0</v>
      </c>
      <c r="D522" s="24">
        <v>1</v>
      </c>
      <c r="E522" s="24">
        <v>0</v>
      </c>
      <c r="F522" s="24">
        <v>0</v>
      </c>
      <c r="G522" s="24">
        <v>0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 s="23">
        <v>47305.305</v>
      </c>
    </row>
    <row r="523" spans="1:17">
      <c r="A523" s="22">
        <v>59</v>
      </c>
      <c r="B523" s="22">
        <v>36.765000000000001</v>
      </c>
      <c r="C523" s="24">
        <v>0</v>
      </c>
      <c r="D523" s="24">
        <v>1</v>
      </c>
      <c r="E523" s="24">
        <v>0</v>
      </c>
      <c r="F523" s="24">
        <v>0</v>
      </c>
      <c r="G523" s="24">
        <v>0</v>
      </c>
      <c r="H523">
        <v>1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1</v>
      </c>
      <c r="P523">
        <v>0</v>
      </c>
      <c r="Q523" s="23">
        <v>47896.79135</v>
      </c>
    </row>
    <row r="524" spans="1:17">
      <c r="A524" s="22">
        <v>27</v>
      </c>
      <c r="B524" s="22">
        <v>31.4</v>
      </c>
      <c r="C524" s="24">
        <v>0</v>
      </c>
      <c r="D524" s="24">
        <v>1</v>
      </c>
      <c r="E524" s="24">
        <v>0</v>
      </c>
      <c r="F524" s="24">
        <v>0</v>
      </c>
      <c r="G524" s="24">
        <v>0</v>
      </c>
      <c r="H524">
        <v>1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 s="23">
        <v>34838.873</v>
      </c>
    </row>
    <row r="525" spans="1:17">
      <c r="A525" s="22">
        <v>64</v>
      </c>
      <c r="B525" s="22">
        <v>33.799999999999997</v>
      </c>
      <c r="C525" s="24">
        <v>0</v>
      </c>
      <c r="D525" s="24">
        <v>1</v>
      </c>
      <c r="E525" s="24">
        <v>0</v>
      </c>
      <c r="F525" s="24">
        <v>0</v>
      </c>
      <c r="G525" s="24">
        <v>0</v>
      </c>
      <c r="H525">
        <v>1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 s="23">
        <v>47928.03</v>
      </c>
    </row>
    <row r="526" spans="1:17">
      <c r="A526" s="22">
        <v>61</v>
      </c>
      <c r="B526" s="22">
        <v>36.384999999999998</v>
      </c>
      <c r="C526" s="24">
        <v>0</v>
      </c>
      <c r="D526" s="24">
        <v>1</v>
      </c>
      <c r="E526" s="24">
        <v>0</v>
      </c>
      <c r="F526" s="24">
        <v>0</v>
      </c>
      <c r="G526" s="24">
        <v>0</v>
      </c>
      <c r="H526">
        <v>1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1</v>
      </c>
      <c r="Q526" s="23">
        <v>48517.563150000002</v>
      </c>
    </row>
    <row r="527" spans="1:17">
      <c r="A527" s="22">
        <v>33</v>
      </c>
      <c r="B527" s="22">
        <v>33.5</v>
      </c>
      <c r="C527" s="24">
        <v>0</v>
      </c>
      <c r="D527" s="24">
        <v>1</v>
      </c>
      <c r="E527" s="24">
        <v>0</v>
      </c>
      <c r="F527" s="24">
        <v>0</v>
      </c>
      <c r="G527" s="24">
        <v>0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 s="23">
        <v>37079.372000000003</v>
      </c>
    </row>
    <row r="528" spans="1:17">
      <c r="A528" s="22">
        <v>44</v>
      </c>
      <c r="B528" s="22">
        <v>38.06</v>
      </c>
      <c r="C528" s="24">
        <v>0</v>
      </c>
      <c r="D528" s="24">
        <v>1</v>
      </c>
      <c r="E528" s="24">
        <v>0</v>
      </c>
      <c r="F528" s="24">
        <v>0</v>
      </c>
      <c r="G528" s="24">
        <v>0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 s="23">
        <v>48885.135609999998</v>
      </c>
    </row>
    <row r="529" spans="1:17">
      <c r="A529" s="22">
        <v>54</v>
      </c>
      <c r="B529" s="22">
        <v>47.41</v>
      </c>
      <c r="C529" s="24">
        <v>0</v>
      </c>
      <c r="D529" s="24">
        <v>1</v>
      </c>
      <c r="E529" s="24">
        <v>0</v>
      </c>
      <c r="F529" s="24">
        <v>0</v>
      </c>
      <c r="G529" s="24">
        <v>0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 s="23">
        <v>63770.428010000003</v>
      </c>
    </row>
    <row r="530" spans="1:17">
      <c r="A530" s="22">
        <v>43</v>
      </c>
      <c r="B530" s="22">
        <v>46.2</v>
      </c>
      <c r="C530" s="24">
        <v>0</v>
      </c>
      <c r="D530" s="24">
        <v>1</v>
      </c>
      <c r="E530" s="24">
        <v>0</v>
      </c>
      <c r="F530" s="24">
        <v>0</v>
      </c>
      <c r="G530" s="24">
        <v>0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 s="23">
        <v>45863.205000000002</v>
      </c>
    </row>
    <row r="531" spans="1:17">
      <c r="A531" s="22">
        <v>35</v>
      </c>
      <c r="B531" s="22">
        <v>34.104999999999997</v>
      </c>
      <c r="C531" s="24">
        <v>0</v>
      </c>
      <c r="D531" s="24">
        <v>1</v>
      </c>
      <c r="E531" s="24">
        <v>0</v>
      </c>
      <c r="F531" s="24">
        <v>0</v>
      </c>
      <c r="G531" s="24">
        <v>0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0</v>
      </c>
      <c r="Q531" s="23">
        <v>39983.425949999997</v>
      </c>
    </row>
    <row r="532" spans="1:17">
      <c r="A532" s="22">
        <v>31</v>
      </c>
      <c r="B532" s="22">
        <v>38.094999999999999</v>
      </c>
      <c r="C532" s="24">
        <v>0</v>
      </c>
      <c r="D532" s="24">
        <v>1</v>
      </c>
      <c r="E532" s="24">
        <v>0</v>
      </c>
      <c r="F532" s="24">
        <v>0</v>
      </c>
      <c r="G532" s="24">
        <v>0</v>
      </c>
      <c r="H532">
        <v>1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0</v>
      </c>
      <c r="Q532" s="23">
        <v>58571.074480000003</v>
      </c>
    </row>
    <row r="533" spans="1:17">
      <c r="A533" s="22">
        <v>34</v>
      </c>
      <c r="B533" s="22">
        <v>30.21</v>
      </c>
      <c r="C533" s="24">
        <v>0</v>
      </c>
      <c r="D533" s="24">
        <v>1</v>
      </c>
      <c r="E533" s="24">
        <v>0</v>
      </c>
      <c r="F533" s="24">
        <v>0</v>
      </c>
      <c r="G533" s="24">
        <v>0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 s="23">
        <v>43943.876100000001</v>
      </c>
    </row>
    <row r="534" spans="1:17">
      <c r="A534" s="22">
        <v>47</v>
      </c>
      <c r="B534" s="22">
        <v>36.630000000000003</v>
      </c>
      <c r="C534" s="24">
        <v>0</v>
      </c>
      <c r="D534" s="24">
        <v>1</v>
      </c>
      <c r="E534" s="24">
        <v>0</v>
      </c>
      <c r="F534" s="24">
        <v>0</v>
      </c>
      <c r="G534" s="24">
        <v>0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 s="23">
        <v>42969.852700000003</v>
      </c>
    </row>
    <row r="535" spans="1:17">
      <c r="A535" s="22">
        <v>19</v>
      </c>
      <c r="B535" s="22">
        <v>33.11</v>
      </c>
      <c r="C535" s="24">
        <v>0</v>
      </c>
      <c r="D535" s="24">
        <v>1</v>
      </c>
      <c r="E535" s="24">
        <v>0</v>
      </c>
      <c r="F535" s="24">
        <v>0</v>
      </c>
      <c r="G535" s="24">
        <v>0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 s="23">
        <v>34439.855900000002</v>
      </c>
    </row>
    <row r="536" spans="1:17">
      <c r="A536" s="22">
        <v>44</v>
      </c>
      <c r="B536" s="22">
        <v>38.950000000000003</v>
      </c>
      <c r="C536" s="24">
        <v>0</v>
      </c>
      <c r="D536" s="24">
        <v>1</v>
      </c>
      <c r="E536" s="24">
        <v>0</v>
      </c>
      <c r="F536" s="24">
        <v>0</v>
      </c>
      <c r="G536" s="24">
        <v>0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1</v>
      </c>
      <c r="P536">
        <v>0</v>
      </c>
      <c r="Q536" s="23">
        <v>42983.458500000001</v>
      </c>
    </row>
    <row r="537" spans="1:17">
      <c r="A537" s="22">
        <v>40</v>
      </c>
      <c r="B537" s="22">
        <v>32.774999999999999</v>
      </c>
      <c r="C537" s="24">
        <v>0</v>
      </c>
      <c r="D537" s="24">
        <v>1</v>
      </c>
      <c r="E537" s="24">
        <v>0</v>
      </c>
      <c r="F537" s="24">
        <v>0</v>
      </c>
      <c r="G537" s="24">
        <v>0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1</v>
      </c>
      <c r="P537">
        <v>0</v>
      </c>
      <c r="Q537" s="23">
        <v>40003.332249999999</v>
      </c>
    </row>
    <row r="538" spans="1:17">
      <c r="A538" s="22">
        <v>44</v>
      </c>
      <c r="B538" s="22">
        <v>43.89</v>
      </c>
      <c r="C538" s="24">
        <v>0</v>
      </c>
      <c r="D538" s="24">
        <v>1</v>
      </c>
      <c r="E538" s="24">
        <v>0</v>
      </c>
      <c r="F538" s="24">
        <v>0</v>
      </c>
      <c r="G538" s="24">
        <v>0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 s="23">
        <v>46200.985099999998</v>
      </c>
    </row>
    <row r="539" spans="1:17">
      <c r="A539" s="22">
        <v>51</v>
      </c>
      <c r="B539" s="22">
        <v>38.06</v>
      </c>
      <c r="C539" s="24">
        <v>0</v>
      </c>
      <c r="D539" s="24">
        <v>1</v>
      </c>
      <c r="E539" s="24">
        <v>0</v>
      </c>
      <c r="F539" s="24">
        <v>0</v>
      </c>
      <c r="G539" s="24">
        <v>0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 s="23">
        <v>44400.4064</v>
      </c>
    </row>
    <row r="540" spans="1:17">
      <c r="A540" s="22">
        <v>30</v>
      </c>
      <c r="B540" s="22">
        <v>39.049999999999997</v>
      </c>
      <c r="C540" s="24">
        <v>0</v>
      </c>
      <c r="D540" s="24">
        <v>1</v>
      </c>
      <c r="E540" s="24">
        <v>0</v>
      </c>
      <c r="F540" s="24">
        <v>0</v>
      </c>
      <c r="G540" s="24">
        <v>0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 s="23">
        <v>40932.429499999998</v>
      </c>
    </row>
    <row r="541" spans="1:17">
      <c r="A541" s="22">
        <v>37</v>
      </c>
      <c r="B541" s="22">
        <v>38.39</v>
      </c>
      <c r="C541" s="24">
        <v>0</v>
      </c>
      <c r="D541" s="24">
        <v>1</v>
      </c>
      <c r="E541" s="24">
        <v>0</v>
      </c>
      <c r="F541" s="24">
        <v>0</v>
      </c>
      <c r="G541" s="24">
        <v>0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 s="23">
        <v>40419.019099999998</v>
      </c>
    </row>
    <row r="542" spans="1:17">
      <c r="A542" s="22">
        <v>18</v>
      </c>
      <c r="B542" s="22">
        <v>42.24</v>
      </c>
      <c r="C542" s="24">
        <v>0</v>
      </c>
      <c r="D542" s="24">
        <v>1</v>
      </c>
      <c r="E542" s="24">
        <v>0</v>
      </c>
      <c r="F542" s="24">
        <v>0</v>
      </c>
      <c r="G542" s="24">
        <v>0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 s="23">
        <v>38792.685599999997</v>
      </c>
    </row>
    <row r="543" spans="1:17">
      <c r="A543" s="22">
        <v>33</v>
      </c>
      <c r="B543" s="22">
        <v>35.53</v>
      </c>
      <c r="C543" s="24">
        <v>0</v>
      </c>
      <c r="D543" s="24">
        <v>1</v>
      </c>
      <c r="E543" s="24">
        <v>0</v>
      </c>
      <c r="F543" s="24">
        <v>0</v>
      </c>
      <c r="G543" s="24">
        <v>0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  <c r="Q543" s="23">
        <v>55135.402090000003</v>
      </c>
    </row>
    <row r="544" spans="1:17">
      <c r="A544" s="22">
        <v>23</v>
      </c>
      <c r="B544" s="22">
        <v>32.78</v>
      </c>
      <c r="C544" s="24">
        <v>0</v>
      </c>
      <c r="D544" s="24">
        <v>1</v>
      </c>
      <c r="E544" s="24">
        <v>0</v>
      </c>
      <c r="F544" s="24">
        <v>0</v>
      </c>
      <c r="G544" s="24">
        <v>0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 s="23">
        <v>36021.011200000001</v>
      </c>
    </row>
    <row r="545" spans="1:17">
      <c r="A545" s="22">
        <v>60</v>
      </c>
      <c r="B545" s="22">
        <v>32.450000000000003</v>
      </c>
      <c r="C545" s="24">
        <v>0</v>
      </c>
      <c r="D545" s="24">
        <v>1</v>
      </c>
      <c r="E545" s="24">
        <v>0</v>
      </c>
      <c r="F545" s="24">
        <v>0</v>
      </c>
      <c r="G545" s="24">
        <v>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 s="23">
        <v>45008.955499999996</v>
      </c>
    </row>
    <row r="546" spans="1:17">
      <c r="A546" s="22">
        <v>37</v>
      </c>
      <c r="B546" s="22">
        <v>30.78</v>
      </c>
      <c r="C546" s="24">
        <v>0</v>
      </c>
      <c r="D546" s="24">
        <v>1</v>
      </c>
      <c r="E546" s="24">
        <v>0</v>
      </c>
      <c r="F546" s="24">
        <v>0</v>
      </c>
      <c r="G546" s="24">
        <v>0</v>
      </c>
      <c r="H546">
        <v>1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1</v>
      </c>
      <c r="P546">
        <v>0</v>
      </c>
      <c r="Q546" s="23">
        <v>37270.1512</v>
      </c>
    </row>
    <row r="547" spans="1:17">
      <c r="A547" s="22">
        <v>46</v>
      </c>
      <c r="B547" s="22">
        <v>35.53</v>
      </c>
      <c r="C547" s="24">
        <v>0</v>
      </c>
      <c r="D547" s="24">
        <v>1</v>
      </c>
      <c r="E547" s="24">
        <v>0</v>
      </c>
      <c r="F547" s="24">
        <v>0</v>
      </c>
      <c r="G547" s="24">
        <v>0</v>
      </c>
      <c r="H547">
        <v>1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1</v>
      </c>
      <c r="P547">
        <v>0</v>
      </c>
      <c r="Q547" s="23">
        <v>42111.664700000001</v>
      </c>
    </row>
    <row r="548" spans="1:17">
      <c r="A548" s="22">
        <v>48</v>
      </c>
      <c r="B548" s="22">
        <v>33.11</v>
      </c>
      <c r="C548" s="24">
        <v>0</v>
      </c>
      <c r="D548" s="24">
        <v>1</v>
      </c>
      <c r="E548" s="24">
        <v>0</v>
      </c>
      <c r="F548" s="24">
        <v>0</v>
      </c>
      <c r="G548" s="24">
        <v>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 s="23">
        <v>40974.164900000003</v>
      </c>
    </row>
    <row r="549" spans="1:17">
      <c r="A549" s="22">
        <v>37</v>
      </c>
      <c r="B549" s="22">
        <v>47.6</v>
      </c>
      <c r="C549" s="24">
        <v>0</v>
      </c>
      <c r="D549" s="24">
        <v>1</v>
      </c>
      <c r="E549" s="24">
        <v>0</v>
      </c>
      <c r="F549" s="24">
        <v>0</v>
      </c>
      <c r="G549" s="24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 s="23">
        <v>46113.510999999999</v>
      </c>
    </row>
    <row r="550" spans="1:17">
      <c r="A550" s="22">
        <v>51</v>
      </c>
      <c r="B550" s="22">
        <v>37.049999999999997</v>
      </c>
      <c r="C550" s="24">
        <v>0</v>
      </c>
      <c r="D550" s="24">
        <v>1</v>
      </c>
      <c r="E550" s="24">
        <v>0</v>
      </c>
      <c r="F550" s="24">
        <v>0</v>
      </c>
      <c r="G550" s="24">
        <v>0</v>
      </c>
      <c r="H550">
        <v>1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1</v>
      </c>
      <c r="P550">
        <v>0</v>
      </c>
      <c r="Q550" s="23">
        <v>46255.112500000003</v>
      </c>
    </row>
    <row r="551" spans="1:17">
      <c r="A551" s="22">
        <v>22</v>
      </c>
      <c r="B551" s="22">
        <v>31.02</v>
      </c>
      <c r="C551" s="24">
        <v>0</v>
      </c>
      <c r="D551" s="24">
        <v>1</v>
      </c>
      <c r="E551" s="24">
        <v>0</v>
      </c>
      <c r="F551" s="24">
        <v>0</v>
      </c>
      <c r="G551" s="24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 s="23">
        <v>35595.589800000002</v>
      </c>
    </row>
    <row r="552" spans="1:17">
      <c r="A552" s="22">
        <v>55</v>
      </c>
      <c r="B552" s="22">
        <v>35.200000000000003</v>
      </c>
      <c r="C552" s="24">
        <v>0</v>
      </c>
      <c r="D552" s="24">
        <v>1</v>
      </c>
      <c r="E552" s="24">
        <v>0</v>
      </c>
      <c r="F552" s="24">
        <v>0</v>
      </c>
      <c r="G552" s="24">
        <v>0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 s="23">
        <v>44423.803</v>
      </c>
    </row>
    <row r="553" spans="1:17">
      <c r="A553" s="22">
        <v>45</v>
      </c>
      <c r="B553" s="22">
        <v>30.495000000000001</v>
      </c>
      <c r="C553" s="24">
        <v>0</v>
      </c>
      <c r="D553" s="24">
        <v>1</v>
      </c>
      <c r="E553" s="24">
        <v>0</v>
      </c>
      <c r="F553" s="24">
        <v>0</v>
      </c>
      <c r="G553" s="24">
        <v>0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1</v>
      </c>
      <c r="P553">
        <v>0</v>
      </c>
      <c r="Q553" s="23">
        <v>39725.518049999999</v>
      </c>
    </row>
    <row r="554" spans="1:17">
      <c r="A554" s="22">
        <v>22</v>
      </c>
      <c r="B554" s="22">
        <v>30.4</v>
      </c>
      <c r="C554" s="24">
        <v>0</v>
      </c>
      <c r="D554" s="24">
        <v>1</v>
      </c>
      <c r="E554" s="24">
        <v>0</v>
      </c>
      <c r="F554" s="24">
        <v>0</v>
      </c>
      <c r="G554" s="24">
        <v>0</v>
      </c>
      <c r="H554">
        <v>1</v>
      </c>
      <c r="I554">
        <v>0</v>
      </c>
      <c r="J554">
        <v>0</v>
      </c>
      <c r="K554">
        <v>1</v>
      </c>
      <c r="L554">
        <v>0</v>
      </c>
      <c r="M554">
        <v>1</v>
      </c>
      <c r="N554">
        <v>0</v>
      </c>
      <c r="O554">
        <v>0</v>
      </c>
      <c r="P554">
        <v>0</v>
      </c>
      <c r="Q554" s="23">
        <v>33907.548000000003</v>
      </c>
    </row>
    <row r="555" spans="1:17">
      <c r="A555" s="22">
        <v>51</v>
      </c>
      <c r="B555" s="22">
        <v>34.96</v>
      </c>
      <c r="C555" s="24">
        <v>0</v>
      </c>
      <c r="D555" s="24">
        <v>1</v>
      </c>
      <c r="E555" s="24">
        <v>0</v>
      </c>
      <c r="F555" s="24">
        <v>0</v>
      </c>
      <c r="G555" s="24">
        <v>0</v>
      </c>
      <c r="H555">
        <v>1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1</v>
      </c>
      <c r="P555">
        <v>0</v>
      </c>
      <c r="Q555" s="23">
        <v>44641.197399999997</v>
      </c>
    </row>
    <row r="556" spans="1:17">
      <c r="A556" s="22">
        <v>23</v>
      </c>
      <c r="B556" s="22">
        <v>31.4</v>
      </c>
      <c r="C556" s="24">
        <v>0</v>
      </c>
      <c r="D556" s="24">
        <v>1</v>
      </c>
      <c r="E556" s="24">
        <v>0</v>
      </c>
      <c r="F556" s="24">
        <v>0</v>
      </c>
      <c r="G556" s="24">
        <v>0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 s="23">
        <v>34166.273000000001</v>
      </c>
    </row>
    <row r="557" spans="1:17">
      <c r="A557" s="22">
        <v>53</v>
      </c>
      <c r="B557" s="22">
        <v>36.86</v>
      </c>
      <c r="C557" s="24">
        <v>0</v>
      </c>
      <c r="D557" s="24">
        <v>1</v>
      </c>
      <c r="E557" s="24">
        <v>0</v>
      </c>
      <c r="F557" s="24">
        <v>0</v>
      </c>
      <c r="G557" s="24">
        <v>0</v>
      </c>
      <c r="H557">
        <v>1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1</v>
      </c>
      <c r="P557">
        <v>0</v>
      </c>
      <c r="Q557" s="23">
        <v>46661.4424</v>
      </c>
    </row>
    <row r="558" spans="1:17">
      <c r="A558" s="22">
        <v>23</v>
      </c>
      <c r="B558" s="22">
        <v>42.75</v>
      </c>
      <c r="C558" s="24">
        <v>0</v>
      </c>
      <c r="D558" s="24">
        <v>1</v>
      </c>
      <c r="E558" s="24">
        <v>0</v>
      </c>
      <c r="F558" s="24">
        <v>0</v>
      </c>
      <c r="G558" s="24">
        <v>0</v>
      </c>
      <c r="H558">
        <v>1</v>
      </c>
      <c r="I558">
        <v>0</v>
      </c>
      <c r="J558">
        <v>0</v>
      </c>
      <c r="K558">
        <v>0</v>
      </c>
      <c r="L558">
        <v>1</v>
      </c>
      <c r="M558">
        <v>1</v>
      </c>
      <c r="N558">
        <v>0</v>
      </c>
      <c r="O558">
        <v>0</v>
      </c>
      <c r="P558">
        <v>0</v>
      </c>
      <c r="Q558" s="23">
        <v>40904.199500000002</v>
      </c>
    </row>
    <row r="559" spans="1:17">
      <c r="A559" s="22">
        <v>19</v>
      </c>
      <c r="B559" s="22">
        <v>32.49</v>
      </c>
      <c r="C559" s="24">
        <v>0</v>
      </c>
      <c r="D559" s="24">
        <v>1</v>
      </c>
      <c r="E559" s="24">
        <v>0</v>
      </c>
      <c r="F559" s="24">
        <v>0</v>
      </c>
      <c r="G559" s="24">
        <v>0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1</v>
      </c>
      <c r="N559">
        <v>0</v>
      </c>
      <c r="O559">
        <v>0</v>
      </c>
      <c r="P559">
        <v>0</v>
      </c>
      <c r="Q559" s="23">
        <v>36898.733079999998</v>
      </c>
    </row>
    <row r="560" spans="1:17">
      <c r="A560" s="22">
        <v>43</v>
      </c>
      <c r="B560" s="22">
        <v>32.56</v>
      </c>
      <c r="C560" s="24">
        <v>0</v>
      </c>
      <c r="D560" s="24">
        <v>1</v>
      </c>
      <c r="E560" s="24">
        <v>0</v>
      </c>
      <c r="F560" s="24">
        <v>0</v>
      </c>
      <c r="G560" s="24">
        <v>0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 s="23">
        <v>40941.285400000001</v>
      </c>
    </row>
    <row r="561" spans="1:17">
      <c r="A561" s="22">
        <v>19</v>
      </c>
      <c r="B561" s="22">
        <v>30.02</v>
      </c>
      <c r="C561" s="24">
        <v>0</v>
      </c>
      <c r="D561" s="24">
        <v>1</v>
      </c>
      <c r="E561" s="24">
        <v>0</v>
      </c>
      <c r="F561" s="24">
        <v>0</v>
      </c>
      <c r="G561" s="24">
        <v>0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 s="23">
        <v>33307.550799999997</v>
      </c>
    </row>
    <row r="562" spans="1:17">
      <c r="A562" s="22">
        <v>46</v>
      </c>
      <c r="B562" s="22">
        <v>34.6</v>
      </c>
      <c r="C562" s="24">
        <v>0</v>
      </c>
      <c r="D562" s="24">
        <v>1</v>
      </c>
      <c r="E562" s="24">
        <v>0</v>
      </c>
      <c r="F562" s="24">
        <v>0</v>
      </c>
      <c r="G562" s="24">
        <v>0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 s="23">
        <v>41661.601999999999</v>
      </c>
    </row>
    <row r="563" spans="1:17">
      <c r="A563" s="22">
        <v>25</v>
      </c>
      <c r="B563" s="22">
        <v>30.2</v>
      </c>
      <c r="C563" s="24">
        <v>0</v>
      </c>
      <c r="D563" s="24">
        <v>1</v>
      </c>
      <c r="E563" s="24">
        <v>0</v>
      </c>
      <c r="F563" s="24">
        <v>0</v>
      </c>
      <c r="G563" s="24">
        <v>0</v>
      </c>
      <c r="H563">
        <v>1</v>
      </c>
      <c r="I563">
        <v>0</v>
      </c>
      <c r="J563">
        <v>1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 s="23">
        <v>33900.652999999998</v>
      </c>
    </row>
    <row r="564" spans="1:17">
      <c r="A564" s="22">
        <v>19</v>
      </c>
      <c r="B564" s="22">
        <v>34.700000000000003</v>
      </c>
      <c r="C564" s="24">
        <v>0</v>
      </c>
      <c r="D564" s="24">
        <v>1</v>
      </c>
      <c r="E564" s="24">
        <v>0</v>
      </c>
      <c r="F564" s="24">
        <v>0</v>
      </c>
      <c r="G564" s="24">
        <v>0</v>
      </c>
      <c r="H564">
        <v>1</v>
      </c>
      <c r="I564">
        <v>0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 s="23">
        <v>36397.576000000001</v>
      </c>
    </row>
    <row r="565" spans="1:17">
      <c r="A565" s="22">
        <v>42</v>
      </c>
      <c r="B565" s="22">
        <v>40.369999999999997</v>
      </c>
      <c r="C565" s="24">
        <v>0</v>
      </c>
      <c r="D565" s="24">
        <v>1</v>
      </c>
      <c r="E565" s="24">
        <v>0</v>
      </c>
      <c r="F565" s="24">
        <v>0</v>
      </c>
      <c r="G565" s="24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 s="23">
        <v>43896.376300000004</v>
      </c>
    </row>
    <row r="566" spans="1:17" hidden="1">
      <c r="A566" s="22">
        <v>18</v>
      </c>
      <c r="B566" s="22">
        <v>33.770000000000003</v>
      </c>
      <c r="C566" s="24">
        <v>0</v>
      </c>
      <c r="D566" s="24">
        <v>1</v>
      </c>
      <c r="E566" s="24">
        <v>0</v>
      </c>
      <c r="F566" s="24">
        <v>0</v>
      </c>
      <c r="G566" s="24">
        <v>1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 s="23">
        <v>1725.5523000000001</v>
      </c>
    </row>
    <row r="567" spans="1:17" hidden="1">
      <c r="A567" s="22">
        <v>18</v>
      </c>
      <c r="B567" s="22">
        <v>34.1</v>
      </c>
      <c r="C567" s="24">
        <v>0</v>
      </c>
      <c r="D567" s="24">
        <v>1</v>
      </c>
      <c r="E567" s="24">
        <v>0</v>
      </c>
      <c r="F567" s="24">
        <v>0</v>
      </c>
      <c r="G567" s="24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 s="23">
        <v>1137.011</v>
      </c>
    </row>
    <row r="568" spans="1:17" hidden="1">
      <c r="A568" s="22">
        <v>18</v>
      </c>
      <c r="B568" s="22">
        <v>34.43</v>
      </c>
      <c r="C568" s="24">
        <v>0</v>
      </c>
      <c r="D568" s="24">
        <v>1</v>
      </c>
      <c r="E568" s="24">
        <v>0</v>
      </c>
      <c r="F568" s="24">
        <v>0</v>
      </c>
      <c r="G568" s="24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 s="23">
        <v>1137.4697000000001</v>
      </c>
    </row>
    <row r="569" spans="1:17" hidden="1">
      <c r="A569" s="22">
        <v>18</v>
      </c>
      <c r="B569" s="22">
        <v>30.4</v>
      </c>
      <c r="C569" s="24">
        <v>0</v>
      </c>
      <c r="D569" s="24">
        <v>1</v>
      </c>
      <c r="E569" s="24">
        <v>0</v>
      </c>
      <c r="F569" s="24">
        <v>0</v>
      </c>
      <c r="G569" s="24">
        <v>1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0</v>
      </c>
      <c r="O569">
        <v>0</v>
      </c>
      <c r="P569">
        <v>0</v>
      </c>
      <c r="Q569" s="23">
        <v>3481.8679999999999</v>
      </c>
    </row>
    <row r="570" spans="1:17" hidden="1">
      <c r="A570" s="22">
        <v>18</v>
      </c>
      <c r="B570" s="22">
        <v>43.01</v>
      </c>
      <c r="C570" s="24">
        <v>0</v>
      </c>
      <c r="D570" s="24">
        <v>1</v>
      </c>
      <c r="E570" s="24">
        <v>0</v>
      </c>
      <c r="F570" s="24">
        <v>0</v>
      </c>
      <c r="G570" s="24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 s="23">
        <v>1149.3959</v>
      </c>
    </row>
    <row r="571" spans="1:17" hidden="1">
      <c r="A571" s="22">
        <v>18</v>
      </c>
      <c r="B571" s="22">
        <v>33.659999999999997</v>
      </c>
      <c r="C571" s="24">
        <v>0</v>
      </c>
      <c r="D571" s="24">
        <v>1</v>
      </c>
      <c r="E571" s="24">
        <v>0</v>
      </c>
      <c r="F571" s="24">
        <v>0</v>
      </c>
      <c r="G571" s="24">
        <v>1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 s="23">
        <v>1136.3994</v>
      </c>
    </row>
    <row r="572" spans="1:17" hidden="1">
      <c r="A572" s="22">
        <v>18</v>
      </c>
      <c r="B572" s="22">
        <v>35.200000000000003</v>
      </c>
      <c r="C572" s="24">
        <v>0</v>
      </c>
      <c r="D572" s="24">
        <v>1</v>
      </c>
      <c r="E572" s="24">
        <v>0</v>
      </c>
      <c r="F572" s="24">
        <v>0</v>
      </c>
      <c r="G572" s="24">
        <v>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 s="23">
        <v>1727.54</v>
      </c>
    </row>
    <row r="573" spans="1:17" hidden="1">
      <c r="A573" s="22">
        <v>18</v>
      </c>
      <c r="B573" s="22">
        <v>41.14</v>
      </c>
      <c r="C573" s="24">
        <v>0</v>
      </c>
      <c r="D573" s="24">
        <v>1</v>
      </c>
      <c r="E573" s="24">
        <v>0</v>
      </c>
      <c r="F573" s="24">
        <v>0</v>
      </c>
      <c r="G573" s="24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 s="23">
        <v>1146.7965999999999</v>
      </c>
    </row>
    <row r="574" spans="1:17" hidden="1">
      <c r="A574" s="22">
        <v>18</v>
      </c>
      <c r="B574" s="22">
        <v>30.14</v>
      </c>
      <c r="C574" s="24">
        <v>0</v>
      </c>
      <c r="D574" s="24">
        <v>1</v>
      </c>
      <c r="E574" s="24">
        <v>0</v>
      </c>
      <c r="F574" s="24">
        <v>0</v>
      </c>
      <c r="G574" s="2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 s="23">
        <v>1131.5065999999999</v>
      </c>
    </row>
    <row r="575" spans="1:17" hidden="1">
      <c r="A575" s="22">
        <v>18</v>
      </c>
      <c r="B575" s="22">
        <v>37.29</v>
      </c>
      <c r="C575" s="24">
        <v>0</v>
      </c>
      <c r="D575" s="24">
        <v>1</v>
      </c>
      <c r="E575" s="24">
        <v>0</v>
      </c>
      <c r="F575" s="24">
        <v>0</v>
      </c>
      <c r="G575" s="24">
        <v>1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 s="23">
        <v>1141.4450999999999</v>
      </c>
    </row>
    <row r="576" spans="1:17" hidden="1">
      <c r="A576" s="22">
        <v>18</v>
      </c>
      <c r="B576" s="22">
        <v>39.14</v>
      </c>
      <c r="C576" s="24">
        <v>0</v>
      </c>
      <c r="D576" s="24">
        <v>1</v>
      </c>
      <c r="E576" s="24">
        <v>0</v>
      </c>
      <c r="F576" s="24">
        <v>0</v>
      </c>
      <c r="G576" s="24">
        <v>1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0</v>
      </c>
      <c r="O576">
        <v>0</v>
      </c>
      <c r="P576">
        <v>0</v>
      </c>
      <c r="Q576" s="23">
        <v>12890.057650000001</v>
      </c>
    </row>
    <row r="577" spans="1:17" hidden="1">
      <c r="A577" s="22">
        <v>18</v>
      </c>
      <c r="B577" s="22">
        <v>33.33</v>
      </c>
      <c r="C577" s="24">
        <v>0</v>
      </c>
      <c r="D577" s="24">
        <v>1</v>
      </c>
      <c r="E577" s="24">
        <v>0</v>
      </c>
      <c r="F577" s="24">
        <v>0</v>
      </c>
      <c r="G577" s="24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 s="23">
        <v>1135.9407000000001</v>
      </c>
    </row>
    <row r="578" spans="1:17" hidden="1">
      <c r="A578" s="22">
        <v>18</v>
      </c>
      <c r="B578" s="22">
        <v>30.03</v>
      </c>
      <c r="C578" s="24">
        <v>0</v>
      </c>
      <c r="D578" s="24">
        <v>1</v>
      </c>
      <c r="E578" s="24">
        <v>0</v>
      </c>
      <c r="F578" s="24">
        <v>0</v>
      </c>
      <c r="G578" s="24">
        <v>1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 s="23">
        <v>1720.3536999999999</v>
      </c>
    </row>
    <row r="579" spans="1:17" hidden="1">
      <c r="A579" s="22">
        <v>18</v>
      </c>
      <c r="B579" s="22">
        <v>53.13</v>
      </c>
      <c r="C579" s="24">
        <v>0</v>
      </c>
      <c r="D579" s="24">
        <v>1</v>
      </c>
      <c r="E579" s="24">
        <v>0</v>
      </c>
      <c r="F579" s="24">
        <v>0</v>
      </c>
      <c r="G579" s="24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 s="23">
        <v>1163.4627</v>
      </c>
    </row>
    <row r="580" spans="1:17" hidden="1">
      <c r="A580" s="22">
        <v>19</v>
      </c>
      <c r="B580" s="22">
        <v>34.1</v>
      </c>
      <c r="C580" s="24">
        <v>0</v>
      </c>
      <c r="D580" s="24">
        <v>1</v>
      </c>
      <c r="E580" s="24">
        <v>0</v>
      </c>
      <c r="F580" s="24">
        <v>0</v>
      </c>
      <c r="G580" s="24">
        <v>1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 s="23">
        <v>1261.442</v>
      </c>
    </row>
    <row r="581" spans="1:17" hidden="1">
      <c r="A581" s="22">
        <v>19</v>
      </c>
      <c r="B581" s="22">
        <v>30.59</v>
      </c>
      <c r="C581" s="24">
        <v>0</v>
      </c>
      <c r="D581" s="24">
        <v>1</v>
      </c>
      <c r="E581" s="24">
        <v>0</v>
      </c>
      <c r="F581" s="24">
        <v>0</v>
      </c>
      <c r="G581" s="24">
        <v>1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1</v>
      </c>
      <c r="N581">
        <v>0</v>
      </c>
      <c r="O581">
        <v>0</v>
      </c>
      <c r="P581">
        <v>0</v>
      </c>
      <c r="Q581" s="23">
        <v>1639.5631000000001</v>
      </c>
    </row>
    <row r="582" spans="1:17" hidden="1">
      <c r="A582" s="22">
        <v>19</v>
      </c>
      <c r="B582" s="22">
        <v>34.4</v>
      </c>
      <c r="C582" s="24">
        <v>0</v>
      </c>
      <c r="D582" s="24">
        <v>1</v>
      </c>
      <c r="E582" s="24">
        <v>0</v>
      </c>
      <c r="F582" s="24">
        <v>0</v>
      </c>
      <c r="G582" s="24">
        <v>1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 s="23">
        <v>1261.8589999999999</v>
      </c>
    </row>
    <row r="583" spans="1:17" hidden="1">
      <c r="A583" s="22">
        <v>19</v>
      </c>
      <c r="B583" s="22">
        <v>33.1</v>
      </c>
      <c r="C583" s="24">
        <v>0</v>
      </c>
      <c r="D583" s="24">
        <v>1</v>
      </c>
      <c r="E583" s="24">
        <v>0</v>
      </c>
      <c r="F583" s="24">
        <v>0</v>
      </c>
      <c r="G583" s="24">
        <v>1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 s="23">
        <v>23082.955330000001</v>
      </c>
    </row>
    <row r="584" spans="1:17" hidden="1">
      <c r="A584" s="22">
        <v>19</v>
      </c>
      <c r="B584" s="22">
        <v>30.4</v>
      </c>
      <c r="C584" s="24">
        <v>0</v>
      </c>
      <c r="D584" s="24">
        <v>1</v>
      </c>
      <c r="E584" s="24">
        <v>0</v>
      </c>
      <c r="F584" s="24">
        <v>0</v>
      </c>
      <c r="G584" s="24">
        <v>1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 s="23">
        <v>1256.299</v>
      </c>
    </row>
    <row r="585" spans="1:17" hidden="1">
      <c r="A585" s="22">
        <v>19</v>
      </c>
      <c r="B585" s="22">
        <v>35.53</v>
      </c>
      <c r="C585" s="24">
        <v>0</v>
      </c>
      <c r="D585" s="24">
        <v>1</v>
      </c>
      <c r="E585" s="24">
        <v>0</v>
      </c>
      <c r="F585" s="24">
        <v>0</v>
      </c>
      <c r="G585" s="24">
        <v>1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0</v>
      </c>
      <c r="P585">
        <v>0</v>
      </c>
      <c r="Q585" s="23">
        <v>1646.4296999999999</v>
      </c>
    </row>
    <row r="586" spans="1:17" hidden="1">
      <c r="A586" s="22">
        <v>19</v>
      </c>
      <c r="B586" s="22">
        <v>30.59</v>
      </c>
      <c r="C586" s="24">
        <v>0</v>
      </c>
      <c r="D586" s="24">
        <v>1</v>
      </c>
      <c r="E586" s="24">
        <v>0</v>
      </c>
      <c r="F586" s="24">
        <v>0</v>
      </c>
      <c r="G586" s="24">
        <v>1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0</v>
      </c>
      <c r="P586">
        <v>0</v>
      </c>
      <c r="Q586" s="23">
        <v>1639.5631000000001</v>
      </c>
    </row>
    <row r="587" spans="1:17" hidden="1">
      <c r="A587" s="22">
        <v>19</v>
      </c>
      <c r="B587" s="22">
        <v>35.4</v>
      </c>
      <c r="C587" s="24">
        <v>0</v>
      </c>
      <c r="D587" s="24">
        <v>1</v>
      </c>
      <c r="E587" s="24">
        <v>0</v>
      </c>
      <c r="F587" s="24">
        <v>0</v>
      </c>
      <c r="G587" s="24">
        <v>1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 s="23">
        <v>1263.249</v>
      </c>
    </row>
    <row r="588" spans="1:17" hidden="1">
      <c r="A588" s="22">
        <v>20</v>
      </c>
      <c r="B588" s="22">
        <v>33</v>
      </c>
      <c r="C588" s="24">
        <v>0</v>
      </c>
      <c r="D588" s="24">
        <v>1</v>
      </c>
      <c r="E588" s="24">
        <v>0</v>
      </c>
      <c r="F588" s="24">
        <v>0</v>
      </c>
      <c r="G588" s="24">
        <v>1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 s="23">
        <v>1980.07</v>
      </c>
    </row>
    <row r="589" spans="1:17" hidden="1">
      <c r="A589" s="22">
        <v>20</v>
      </c>
      <c r="B589" s="22">
        <v>33.33</v>
      </c>
      <c r="C589" s="24">
        <v>0</v>
      </c>
      <c r="D589" s="24">
        <v>1</v>
      </c>
      <c r="E589" s="24">
        <v>0</v>
      </c>
      <c r="F589" s="24">
        <v>0</v>
      </c>
      <c r="G589" s="24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 s="23">
        <v>1391.5287000000001</v>
      </c>
    </row>
    <row r="590" spans="1:17" hidden="1">
      <c r="A590" s="22">
        <v>20</v>
      </c>
      <c r="B590" s="22">
        <v>35.31</v>
      </c>
      <c r="C590" s="24">
        <v>0</v>
      </c>
      <c r="D590" s="24">
        <v>1</v>
      </c>
      <c r="E590" s="24">
        <v>0</v>
      </c>
      <c r="F590" s="24">
        <v>0</v>
      </c>
      <c r="G590" s="24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 s="23">
        <v>27724.28875</v>
      </c>
    </row>
    <row r="591" spans="1:17" hidden="1">
      <c r="A591" s="22">
        <v>20</v>
      </c>
      <c r="B591" s="22">
        <v>31.13</v>
      </c>
      <c r="C591" s="24">
        <v>0</v>
      </c>
      <c r="D591" s="24">
        <v>1</v>
      </c>
      <c r="E591" s="24">
        <v>0</v>
      </c>
      <c r="F591" s="24">
        <v>0</v>
      </c>
      <c r="G591" s="24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 s="23">
        <v>2566.4706999999999</v>
      </c>
    </row>
    <row r="592" spans="1:17" hidden="1">
      <c r="A592" s="22">
        <v>20</v>
      </c>
      <c r="B592" s="22">
        <v>32.395000000000003</v>
      </c>
      <c r="C592" s="24">
        <v>0</v>
      </c>
      <c r="D592" s="24">
        <v>1</v>
      </c>
      <c r="E592" s="24">
        <v>0</v>
      </c>
      <c r="F592" s="24">
        <v>0</v>
      </c>
      <c r="G592" s="24">
        <v>1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0</v>
      </c>
      <c r="Q592" s="23">
        <v>2362.2290499999999</v>
      </c>
    </row>
    <row r="593" spans="1:17" hidden="1">
      <c r="A593" s="22">
        <v>20</v>
      </c>
      <c r="B593" s="22">
        <v>40.47</v>
      </c>
      <c r="C593" s="24">
        <v>0</v>
      </c>
      <c r="D593" s="24">
        <v>1</v>
      </c>
      <c r="E593" s="24">
        <v>0</v>
      </c>
      <c r="F593" s="24">
        <v>0</v>
      </c>
      <c r="G593" s="24">
        <v>1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0</v>
      </c>
      <c r="P593">
        <v>0</v>
      </c>
      <c r="Q593" s="23">
        <v>1984.4532999999999</v>
      </c>
    </row>
    <row r="594" spans="1:17" hidden="1">
      <c r="A594" s="22">
        <v>20</v>
      </c>
      <c r="B594" s="22">
        <v>30.114999999999998</v>
      </c>
      <c r="C594" s="24">
        <v>0</v>
      </c>
      <c r="D594" s="24">
        <v>1</v>
      </c>
      <c r="E594" s="24">
        <v>0</v>
      </c>
      <c r="F594" s="24">
        <v>0</v>
      </c>
      <c r="G594" s="24">
        <v>1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0</v>
      </c>
      <c r="Q594" s="23">
        <v>4915.0598499999996</v>
      </c>
    </row>
    <row r="595" spans="1:17" hidden="1">
      <c r="A595" s="22">
        <v>21</v>
      </c>
      <c r="B595" s="22">
        <v>35.53</v>
      </c>
      <c r="C595" s="24">
        <v>0</v>
      </c>
      <c r="D595" s="24">
        <v>1</v>
      </c>
      <c r="E595" s="24">
        <v>0</v>
      </c>
      <c r="F595" s="24">
        <v>0</v>
      </c>
      <c r="G595" s="24">
        <v>1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 s="23">
        <v>1532.4697000000001</v>
      </c>
    </row>
    <row r="596" spans="1:17" hidden="1">
      <c r="A596" s="22">
        <v>21</v>
      </c>
      <c r="B596" s="22">
        <v>31.02</v>
      </c>
      <c r="C596" s="24">
        <v>0</v>
      </c>
      <c r="D596" s="24">
        <v>1</v>
      </c>
      <c r="E596" s="24">
        <v>0</v>
      </c>
      <c r="F596" s="24">
        <v>0</v>
      </c>
      <c r="G596" s="24">
        <v>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 s="23">
        <v>16586.49771</v>
      </c>
    </row>
    <row r="597" spans="1:17" hidden="1">
      <c r="A597" s="22">
        <v>21</v>
      </c>
      <c r="B597" s="22">
        <v>36.85</v>
      </c>
      <c r="C597" s="24">
        <v>0</v>
      </c>
      <c r="D597" s="24">
        <v>1</v>
      </c>
      <c r="E597" s="24">
        <v>0</v>
      </c>
      <c r="F597" s="24">
        <v>0</v>
      </c>
      <c r="G597" s="24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 s="23">
        <v>1534.3045</v>
      </c>
    </row>
    <row r="598" spans="1:17" hidden="1">
      <c r="A598" s="22">
        <v>21</v>
      </c>
      <c r="B598" s="22">
        <v>36.86</v>
      </c>
      <c r="C598" s="24">
        <v>0</v>
      </c>
      <c r="D598" s="24">
        <v>1</v>
      </c>
      <c r="E598" s="24">
        <v>0</v>
      </c>
      <c r="F598" s="24">
        <v>0</v>
      </c>
      <c r="G598" s="24">
        <v>1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 s="23">
        <v>1917.3184000000001</v>
      </c>
    </row>
    <row r="599" spans="1:17" hidden="1">
      <c r="A599" s="22">
        <v>21</v>
      </c>
      <c r="B599" s="22">
        <v>31.1</v>
      </c>
      <c r="C599" s="24">
        <v>0</v>
      </c>
      <c r="D599" s="24">
        <v>1</v>
      </c>
      <c r="E599" s="24">
        <v>0</v>
      </c>
      <c r="F599" s="24">
        <v>0</v>
      </c>
      <c r="G599" s="24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 s="23">
        <v>1526.3119999999999</v>
      </c>
    </row>
    <row r="600" spans="1:17" hidden="1">
      <c r="A600" s="22">
        <v>21</v>
      </c>
      <c r="B600" s="22">
        <v>31.254999999999999</v>
      </c>
      <c r="C600" s="24">
        <v>0</v>
      </c>
      <c r="D600" s="24">
        <v>1</v>
      </c>
      <c r="E600" s="24">
        <v>0</v>
      </c>
      <c r="F600" s="24">
        <v>0</v>
      </c>
      <c r="G600" s="24">
        <v>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0</v>
      </c>
      <c r="Q600" s="23">
        <v>1909.52745</v>
      </c>
    </row>
    <row r="601" spans="1:17" hidden="1">
      <c r="A601" s="22">
        <v>22</v>
      </c>
      <c r="B601" s="22">
        <v>31.73</v>
      </c>
      <c r="C601" s="24">
        <v>0</v>
      </c>
      <c r="D601" s="24">
        <v>1</v>
      </c>
      <c r="E601" s="24">
        <v>0</v>
      </c>
      <c r="F601" s="24">
        <v>0</v>
      </c>
      <c r="G601" s="24">
        <v>1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 s="23">
        <v>2254.7966999999999</v>
      </c>
    </row>
    <row r="602" spans="1:17" hidden="1">
      <c r="A602" s="22">
        <v>22</v>
      </c>
      <c r="B602" s="22">
        <v>31.35</v>
      </c>
      <c r="C602" s="24">
        <v>0</v>
      </c>
      <c r="D602" s="24">
        <v>1</v>
      </c>
      <c r="E602" s="24">
        <v>0</v>
      </c>
      <c r="F602" s="24">
        <v>0</v>
      </c>
      <c r="G602" s="24">
        <v>1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1</v>
      </c>
      <c r="N602">
        <v>0</v>
      </c>
      <c r="O602">
        <v>0</v>
      </c>
      <c r="P602">
        <v>0</v>
      </c>
      <c r="Q602" s="23">
        <v>2643.2685000000001</v>
      </c>
    </row>
    <row r="603" spans="1:17" hidden="1">
      <c r="A603" s="22">
        <v>22</v>
      </c>
      <c r="B603" s="22">
        <v>34.799999999999997</v>
      </c>
      <c r="C603" s="24">
        <v>0</v>
      </c>
      <c r="D603" s="24">
        <v>1</v>
      </c>
      <c r="E603" s="24">
        <v>0</v>
      </c>
      <c r="F603" s="24">
        <v>0</v>
      </c>
      <c r="G603" s="24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 s="23">
        <v>3443.0639999999999</v>
      </c>
    </row>
    <row r="604" spans="1:17" hidden="1">
      <c r="A604" s="22">
        <v>22</v>
      </c>
      <c r="B604" s="22">
        <v>39.5</v>
      </c>
      <c r="C604" s="24">
        <v>0</v>
      </c>
      <c r="D604" s="24">
        <v>1</v>
      </c>
      <c r="E604" s="24">
        <v>0</v>
      </c>
      <c r="F604" s="24">
        <v>0</v>
      </c>
      <c r="G604" s="24">
        <v>1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 s="23">
        <v>1682.597</v>
      </c>
    </row>
    <row r="605" spans="1:17" hidden="1">
      <c r="A605" s="22">
        <v>22</v>
      </c>
      <c r="B605" s="22">
        <v>33.770000000000003</v>
      </c>
      <c r="C605" s="24">
        <v>0</v>
      </c>
      <c r="D605" s="24">
        <v>1</v>
      </c>
      <c r="E605" s="24">
        <v>0</v>
      </c>
      <c r="F605" s="24">
        <v>0</v>
      </c>
      <c r="G605" s="24">
        <v>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 s="23">
        <v>1674.6323</v>
      </c>
    </row>
    <row r="606" spans="1:17" hidden="1">
      <c r="A606" s="22">
        <v>22</v>
      </c>
      <c r="B606" s="22">
        <v>32.11</v>
      </c>
      <c r="C606" s="24">
        <v>0</v>
      </c>
      <c r="D606" s="24">
        <v>1</v>
      </c>
      <c r="E606" s="24">
        <v>0</v>
      </c>
      <c r="F606" s="24">
        <v>0</v>
      </c>
      <c r="G606" s="24">
        <v>1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0</v>
      </c>
      <c r="Q606" s="23">
        <v>2055.3249000000001</v>
      </c>
    </row>
    <row r="607" spans="1:17" hidden="1">
      <c r="A607" s="22">
        <v>23</v>
      </c>
      <c r="B607" s="22">
        <v>34.4</v>
      </c>
      <c r="C607" s="24">
        <v>0</v>
      </c>
      <c r="D607" s="24">
        <v>1</v>
      </c>
      <c r="E607" s="24">
        <v>0</v>
      </c>
      <c r="F607" s="24">
        <v>0</v>
      </c>
      <c r="G607" s="24">
        <v>1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 s="23">
        <v>1826.8430000000001</v>
      </c>
    </row>
    <row r="608" spans="1:17" hidden="1">
      <c r="A608" s="22">
        <v>23</v>
      </c>
      <c r="B608" s="22">
        <v>41.91</v>
      </c>
      <c r="C608" s="24">
        <v>0</v>
      </c>
      <c r="D608" s="24">
        <v>1</v>
      </c>
      <c r="E608" s="24">
        <v>0</v>
      </c>
      <c r="F608" s="24">
        <v>0</v>
      </c>
      <c r="G608" s="24">
        <v>1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 s="23">
        <v>1837.2819</v>
      </c>
    </row>
    <row r="609" spans="1:17" hidden="1">
      <c r="A609" s="22">
        <v>23</v>
      </c>
      <c r="B609" s="22">
        <v>32.56</v>
      </c>
      <c r="C609" s="24">
        <v>0</v>
      </c>
      <c r="D609" s="24">
        <v>1</v>
      </c>
      <c r="E609" s="24">
        <v>0</v>
      </c>
      <c r="F609" s="24">
        <v>0</v>
      </c>
      <c r="G609" s="24">
        <v>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 s="23">
        <v>1824.2854</v>
      </c>
    </row>
    <row r="610" spans="1:17" hidden="1">
      <c r="A610" s="22">
        <v>23</v>
      </c>
      <c r="B610" s="22">
        <v>35.200000000000003</v>
      </c>
      <c r="C610" s="24">
        <v>0</v>
      </c>
      <c r="D610" s="24">
        <v>1</v>
      </c>
      <c r="E610" s="24">
        <v>0</v>
      </c>
      <c r="F610" s="24">
        <v>0</v>
      </c>
      <c r="G610" s="24">
        <v>1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 s="23">
        <v>2416.9549999999999</v>
      </c>
    </row>
    <row r="611" spans="1:17" hidden="1">
      <c r="A611" s="22">
        <v>23</v>
      </c>
      <c r="B611" s="22">
        <v>37.1</v>
      </c>
      <c r="C611" s="24">
        <v>0</v>
      </c>
      <c r="D611" s="24">
        <v>1</v>
      </c>
      <c r="E611" s="24">
        <v>0</v>
      </c>
      <c r="F611" s="24">
        <v>0</v>
      </c>
      <c r="G611" s="24">
        <v>1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 s="23">
        <v>3597.596</v>
      </c>
    </row>
    <row r="612" spans="1:17" hidden="1">
      <c r="A612" s="22">
        <v>23</v>
      </c>
      <c r="B612" s="22">
        <v>50.38</v>
      </c>
      <c r="C612" s="24">
        <v>0</v>
      </c>
      <c r="D612" s="24">
        <v>1</v>
      </c>
      <c r="E612" s="24">
        <v>0</v>
      </c>
      <c r="F612" s="24">
        <v>0</v>
      </c>
      <c r="G612" s="24">
        <v>1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 s="23">
        <v>2438.0551999999998</v>
      </c>
    </row>
    <row r="613" spans="1:17" hidden="1">
      <c r="A613" s="22">
        <v>23</v>
      </c>
      <c r="B613" s="22">
        <v>32.700000000000003</v>
      </c>
      <c r="C613" s="24">
        <v>0</v>
      </c>
      <c r="D613" s="24">
        <v>1</v>
      </c>
      <c r="E613" s="24">
        <v>0</v>
      </c>
      <c r="F613" s="24">
        <v>0</v>
      </c>
      <c r="G613" s="24">
        <v>1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 s="23">
        <v>3591.48</v>
      </c>
    </row>
    <row r="614" spans="1:17" hidden="1">
      <c r="A614" s="22">
        <v>24</v>
      </c>
      <c r="B614" s="22">
        <v>35.86</v>
      </c>
      <c r="C614" s="24">
        <v>0</v>
      </c>
      <c r="D614" s="24">
        <v>1</v>
      </c>
      <c r="E614" s="24">
        <v>0</v>
      </c>
      <c r="F614" s="24">
        <v>0</v>
      </c>
      <c r="G614" s="2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 s="23">
        <v>1986.9333999999999</v>
      </c>
    </row>
    <row r="615" spans="1:17" hidden="1">
      <c r="A615" s="22">
        <v>24</v>
      </c>
      <c r="B615" s="22">
        <v>33.630000000000003</v>
      </c>
      <c r="C615" s="24">
        <v>0</v>
      </c>
      <c r="D615" s="24">
        <v>1</v>
      </c>
      <c r="E615" s="24">
        <v>0</v>
      </c>
      <c r="F615" s="24">
        <v>0</v>
      </c>
      <c r="G615" s="24">
        <v>1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0</v>
      </c>
      <c r="O615">
        <v>0</v>
      </c>
      <c r="P615">
        <v>0</v>
      </c>
      <c r="Q615" s="23">
        <v>17128.426080000001</v>
      </c>
    </row>
    <row r="616" spans="1:17" hidden="1">
      <c r="A616" s="22">
        <v>24</v>
      </c>
      <c r="B616" s="22">
        <v>32.01</v>
      </c>
      <c r="C616" s="24">
        <v>0</v>
      </c>
      <c r="D616" s="24">
        <v>1</v>
      </c>
      <c r="E616" s="24">
        <v>0</v>
      </c>
      <c r="F616" s="24">
        <v>0</v>
      </c>
      <c r="G616" s="24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 s="23">
        <v>1981.5818999999999</v>
      </c>
    </row>
    <row r="617" spans="1:17" hidden="1">
      <c r="A617" s="22">
        <v>25</v>
      </c>
      <c r="B617" s="22">
        <v>33.659999999999997</v>
      </c>
      <c r="C617" s="24">
        <v>0</v>
      </c>
      <c r="D617" s="24">
        <v>1</v>
      </c>
      <c r="E617" s="24">
        <v>0</v>
      </c>
      <c r="F617" s="24">
        <v>0</v>
      </c>
      <c r="G617" s="24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 s="23">
        <v>4504.6624000000002</v>
      </c>
    </row>
    <row r="618" spans="1:17" hidden="1">
      <c r="A618" s="22">
        <v>25</v>
      </c>
      <c r="B618" s="22">
        <v>30.59</v>
      </c>
      <c r="C618" s="24">
        <v>0</v>
      </c>
      <c r="D618" s="24">
        <v>1</v>
      </c>
      <c r="E618" s="24">
        <v>0</v>
      </c>
      <c r="F618" s="24">
        <v>0</v>
      </c>
      <c r="G618" s="24">
        <v>1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0</v>
      </c>
      <c r="O618">
        <v>0</v>
      </c>
      <c r="P618">
        <v>0</v>
      </c>
      <c r="Q618" s="23">
        <v>2727.3951000000002</v>
      </c>
    </row>
    <row r="619" spans="1:17" hidden="1">
      <c r="A619" s="22">
        <v>25</v>
      </c>
      <c r="B619" s="22">
        <v>35.625</v>
      </c>
      <c r="C619" s="24">
        <v>0</v>
      </c>
      <c r="D619" s="24">
        <v>1</v>
      </c>
      <c r="E619" s="24">
        <v>0</v>
      </c>
      <c r="F619" s="24">
        <v>0</v>
      </c>
      <c r="G619" s="24">
        <v>1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1</v>
      </c>
      <c r="N619">
        <v>0</v>
      </c>
      <c r="O619">
        <v>0</v>
      </c>
      <c r="P619">
        <v>0</v>
      </c>
      <c r="Q619" s="23">
        <v>2534.3937500000002</v>
      </c>
    </row>
    <row r="620" spans="1:17" hidden="1">
      <c r="A620" s="22">
        <v>26</v>
      </c>
      <c r="B620" s="22">
        <v>30.875</v>
      </c>
      <c r="C620" s="24">
        <v>0</v>
      </c>
      <c r="D620" s="24">
        <v>1</v>
      </c>
      <c r="E620" s="24">
        <v>0</v>
      </c>
      <c r="F620" s="24">
        <v>0</v>
      </c>
      <c r="G620" s="24">
        <v>1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0</v>
      </c>
      <c r="Q620" s="23">
        <v>3877.3042500000001</v>
      </c>
    </row>
    <row r="621" spans="1:17" hidden="1">
      <c r="A621" s="22">
        <v>26</v>
      </c>
      <c r="B621" s="22">
        <v>32.49</v>
      </c>
      <c r="C621" s="24">
        <v>0</v>
      </c>
      <c r="D621" s="24">
        <v>1</v>
      </c>
      <c r="E621" s="24">
        <v>0</v>
      </c>
      <c r="F621" s="24">
        <v>0</v>
      </c>
      <c r="G621" s="24">
        <v>1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  <c r="P621">
        <v>0</v>
      </c>
      <c r="Q621" s="23">
        <v>3490.5491000000002</v>
      </c>
    </row>
    <row r="622" spans="1:17" hidden="1">
      <c r="A622" s="22">
        <v>26</v>
      </c>
      <c r="B622" s="22">
        <v>46.53</v>
      </c>
      <c r="C622" s="24">
        <v>0</v>
      </c>
      <c r="D622" s="24">
        <v>1</v>
      </c>
      <c r="E622" s="24">
        <v>0</v>
      </c>
      <c r="F622" s="24">
        <v>0</v>
      </c>
      <c r="G622" s="24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 s="23">
        <v>2927.0646999999999</v>
      </c>
    </row>
    <row r="623" spans="1:17" hidden="1">
      <c r="A623" s="22">
        <v>26</v>
      </c>
      <c r="B623" s="22">
        <v>35.42</v>
      </c>
      <c r="C623" s="24">
        <v>0</v>
      </c>
      <c r="D623" s="24">
        <v>1</v>
      </c>
      <c r="E623" s="24">
        <v>0</v>
      </c>
      <c r="F623" s="24">
        <v>0</v>
      </c>
      <c r="G623" s="24">
        <v>1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 s="23">
        <v>2322.6217999999999</v>
      </c>
    </row>
    <row r="624" spans="1:17" hidden="1">
      <c r="A624" s="22">
        <v>26</v>
      </c>
      <c r="B624" s="22">
        <v>30</v>
      </c>
      <c r="C624" s="24">
        <v>0</v>
      </c>
      <c r="D624" s="24">
        <v>1</v>
      </c>
      <c r="E624" s="24">
        <v>0</v>
      </c>
      <c r="F624" s="24">
        <v>0</v>
      </c>
      <c r="G624" s="24">
        <v>1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 s="23">
        <v>2904.0880000000002</v>
      </c>
    </row>
    <row r="625" spans="1:17" hidden="1">
      <c r="A625" s="22">
        <v>26</v>
      </c>
      <c r="B625" s="22">
        <v>31.065000000000001</v>
      </c>
      <c r="C625" s="24">
        <v>0</v>
      </c>
      <c r="D625" s="24">
        <v>1</v>
      </c>
      <c r="E625" s="24">
        <v>0</v>
      </c>
      <c r="F625" s="24">
        <v>0</v>
      </c>
      <c r="G625" s="24">
        <v>1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0</v>
      </c>
      <c r="Q625" s="23">
        <v>2699.56835</v>
      </c>
    </row>
    <row r="626" spans="1:17" hidden="1">
      <c r="A626" s="22">
        <v>26</v>
      </c>
      <c r="B626" s="22">
        <v>33.914999999999999</v>
      </c>
      <c r="C626" s="24">
        <v>0</v>
      </c>
      <c r="D626" s="24">
        <v>1</v>
      </c>
      <c r="E626" s="24">
        <v>0</v>
      </c>
      <c r="F626" s="24">
        <v>0</v>
      </c>
      <c r="G626" s="24">
        <v>1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 s="23">
        <v>3292.5298499999999</v>
      </c>
    </row>
    <row r="627" spans="1:17" hidden="1">
      <c r="A627" s="22">
        <v>27</v>
      </c>
      <c r="B627" s="22">
        <v>30.3</v>
      </c>
      <c r="C627" s="24">
        <v>0</v>
      </c>
      <c r="D627" s="24">
        <v>1</v>
      </c>
      <c r="E627" s="24">
        <v>0</v>
      </c>
      <c r="F627" s="24">
        <v>0</v>
      </c>
      <c r="G627" s="24">
        <v>1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 s="23">
        <v>4260.7439999999997</v>
      </c>
    </row>
    <row r="628" spans="1:17" hidden="1">
      <c r="A628" s="22">
        <v>27</v>
      </c>
      <c r="B628" s="22">
        <v>32.67</v>
      </c>
      <c r="C628" s="24">
        <v>0</v>
      </c>
      <c r="D628" s="24">
        <v>1</v>
      </c>
      <c r="E628" s="24">
        <v>0</v>
      </c>
      <c r="F628" s="24">
        <v>0</v>
      </c>
      <c r="G628" s="24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 s="23">
        <v>2497.0383000000002</v>
      </c>
    </row>
    <row r="629" spans="1:17" hidden="1">
      <c r="A629" s="22">
        <v>27</v>
      </c>
      <c r="B629" s="22">
        <v>33.659999999999997</v>
      </c>
      <c r="C629" s="24">
        <v>0</v>
      </c>
      <c r="D629" s="24">
        <v>1</v>
      </c>
      <c r="E629" s="24">
        <v>0</v>
      </c>
      <c r="F629" s="24">
        <v>0</v>
      </c>
      <c r="G629" s="24">
        <v>1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 s="23">
        <v>2498.4144000000001</v>
      </c>
    </row>
    <row r="630" spans="1:17" hidden="1">
      <c r="A630" s="22">
        <v>27</v>
      </c>
      <c r="B630" s="22">
        <v>30.5</v>
      </c>
      <c r="C630" s="24">
        <v>0</v>
      </c>
      <c r="D630" s="24">
        <v>1</v>
      </c>
      <c r="E630" s="24">
        <v>0</v>
      </c>
      <c r="F630" s="24">
        <v>0</v>
      </c>
      <c r="G630" s="24">
        <v>1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 s="23">
        <v>2494.0219999999999</v>
      </c>
    </row>
    <row r="631" spans="1:17" hidden="1">
      <c r="A631" s="22">
        <v>27</v>
      </c>
      <c r="B631" s="22">
        <v>33.155000000000001</v>
      </c>
      <c r="C631" s="24">
        <v>0</v>
      </c>
      <c r="D631" s="24">
        <v>1</v>
      </c>
      <c r="E631" s="24">
        <v>0</v>
      </c>
      <c r="F631" s="24">
        <v>0</v>
      </c>
      <c r="G631" s="24">
        <v>1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0</v>
      </c>
      <c r="Q631" s="23">
        <v>4058.71245</v>
      </c>
    </row>
    <row r="632" spans="1:17" hidden="1">
      <c r="A632" s="22">
        <v>27</v>
      </c>
      <c r="B632" s="22">
        <v>32.585000000000001</v>
      </c>
      <c r="C632" s="24">
        <v>0</v>
      </c>
      <c r="D632" s="24">
        <v>1</v>
      </c>
      <c r="E632" s="24">
        <v>0</v>
      </c>
      <c r="F632" s="24">
        <v>0</v>
      </c>
      <c r="G632" s="24">
        <v>1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  <c r="P632">
        <v>0</v>
      </c>
      <c r="Q632" s="23">
        <v>4846.9201499999999</v>
      </c>
    </row>
    <row r="633" spans="1:17" hidden="1">
      <c r="A633" s="22">
        <v>27</v>
      </c>
      <c r="B633" s="22">
        <v>45.9</v>
      </c>
      <c r="C633" s="24">
        <v>0</v>
      </c>
      <c r="D633" s="24">
        <v>1</v>
      </c>
      <c r="E633" s="24">
        <v>0</v>
      </c>
      <c r="F633" s="24">
        <v>0</v>
      </c>
      <c r="G633" s="24">
        <v>1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 s="23">
        <v>3693.4279999999999</v>
      </c>
    </row>
    <row r="634" spans="1:17" hidden="1">
      <c r="A634" s="22">
        <v>28</v>
      </c>
      <c r="B634" s="22">
        <v>33</v>
      </c>
      <c r="C634" s="24">
        <v>0</v>
      </c>
      <c r="D634" s="24">
        <v>1</v>
      </c>
      <c r="E634" s="24">
        <v>0</v>
      </c>
      <c r="F634" s="24">
        <v>0</v>
      </c>
      <c r="G634" s="24">
        <v>1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 s="23">
        <v>4449.4620000000004</v>
      </c>
    </row>
    <row r="635" spans="1:17" hidden="1">
      <c r="A635" s="22">
        <v>28</v>
      </c>
      <c r="B635" s="22">
        <v>38.06</v>
      </c>
      <c r="C635" s="24">
        <v>0</v>
      </c>
      <c r="D635" s="24">
        <v>1</v>
      </c>
      <c r="E635" s="24">
        <v>0</v>
      </c>
      <c r="F635" s="24">
        <v>0</v>
      </c>
      <c r="G635" s="24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 s="23">
        <v>2689.4953999999998</v>
      </c>
    </row>
    <row r="636" spans="1:17" hidden="1">
      <c r="A636" s="22">
        <v>28</v>
      </c>
      <c r="B636" s="22">
        <v>35.435000000000002</v>
      </c>
      <c r="C636" s="24">
        <v>0</v>
      </c>
      <c r="D636" s="24">
        <v>1</v>
      </c>
      <c r="E636" s="24">
        <v>0</v>
      </c>
      <c r="F636" s="24">
        <v>0</v>
      </c>
      <c r="G636" s="24">
        <v>1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0</v>
      </c>
      <c r="P636">
        <v>0</v>
      </c>
      <c r="Q636" s="23">
        <v>3268.84665</v>
      </c>
    </row>
    <row r="637" spans="1:17" hidden="1">
      <c r="A637" s="22">
        <v>28</v>
      </c>
      <c r="B637" s="22">
        <v>30.875</v>
      </c>
      <c r="C637" s="24">
        <v>0</v>
      </c>
      <c r="D637" s="24">
        <v>1</v>
      </c>
      <c r="E637" s="24">
        <v>0</v>
      </c>
      <c r="F637" s="24">
        <v>0</v>
      </c>
      <c r="G637" s="24">
        <v>1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0</v>
      </c>
      <c r="Q637" s="23">
        <v>3062.5082499999999</v>
      </c>
    </row>
    <row r="638" spans="1:17" hidden="1">
      <c r="A638" s="22">
        <v>28</v>
      </c>
      <c r="B638" s="22">
        <v>33.82</v>
      </c>
      <c r="C638" s="24">
        <v>0</v>
      </c>
      <c r="D638" s="24">
        <v>1</v>
      </c>
      <c r="E638" s="24">
        <v>0</v>
      </c>
      <c r="F638" s="24">
        <v>0</v>
      </c>
      <c r="G638" s="24">
        <v>1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0</v>
      </c>
      <c r="Q638" s="23">
        <v>19673.335729999999</v>
      </c>
    </row>
    <row r="639" spans="1:17" hidden="1">
      <c r="A639" s="22">
        <v>28</v>
      </c>
      <c r="B639" s="22">
        <v>37.1</v>
      </c>
      <c r="C639" s="24">
        <v>0</v>
      </c>
      <c r="D639" s="24">
        <v>1</v>
      </c>
      <c r="E639" s="24">
        <v>0</v>
      </c>
      <c r="F639" s="24">
        <v>0</v>
      </c>
      <c r="G639" s="24">
        <v>1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 s="23">
        <v>3277.1610000000001</v>
      </c>
    </row>
    <row r="640" spans="1:17" hidden="1">
      <c r="A640" s="22">
        <v>29</v>
      </c>
      <c r="B640" s="22">
        <v>33.344999999999999</v>
      </c>
      <c r="C640" s="24">
        <v>0</v>
      </c>
      <c r="D640" s="24">
        <v>1</v>
      </c>
      <c r="E640" s="24">
        <v>0</v>
      </c>
      <c r="F640" s="24">
        <v>0</v>
      </c>
      <c r="G640" s="24">
        <v>1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 s="23">
        <v>19442.353500000001</v>
      </c>
    </row>
    <row r="641" spans="1:17" hidden="1">
      <c r="A641" s="22">
        <v>29</v>
      </c>
      <c r="B641" s="22">
        <v>31.73</v>
      </c>
      <c r="C641" s="24">
        <v>0</v>
      </c>
      <c r="D641" s="24">
        <v>1</v>
      </c>
      <c r="E641" s="24">
        <v>0</v>
      </c>
      <c r="F641" s="24">
        <v>0</v>
      </c>
      <c r="G641" s="24">
        <v>1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1</v>
      </c>
      <c r="O641">
        <v>0</v>
      </c>
      <c r="P641">
        <v>0</v>
      </c>
      <c r="Q641" s="23">
        <v>4433.3877000000002</v>
      </c>
    </row>
    <row r="642" spans="1:17" hidden="1">
      <c r="A642" s="22">
        <v>29</v>
      </c>
      <c r="B642" s="22">
        <v>38.94</v>
      </c>
      <c r="C642" s="24">
        <v>0</v>
      </c>
      <c r="D642" s="24">
        <v>1</v>
      </c>
      <c r="E642" s="24">
        <v>0</v>
      </c>
      <c r="F642" s="24">
        <v>0</v>
      </c>
      <c r="G642" s="24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 s="23">
        <v>3471.4096</v>
      </c>
    </row>
    <row r="643" spans="1:17" hidden="1">
      <c r="A643" s="22">
        <v>29</v>
      </c>
      <c r="B643" s="22">
        <v>32.11</v>
      </c>
      <c r="C643" s="24">
        <v>0</v>
      </c>
      <c r="D643" s="24">
        <v>1</v>
      </c>
      <c r="E643" s="24">
        <v>0</v>
      </c>
      <c r="F643" s="24">
        <v>0</v>
      </c>
      <c r="G643" s="24">
        <v>1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0</v>
      </c>
      <c r="Q643" s="23">
        <v>4433.9159</v>
      </c>
    </row>
    <row r="644" spans="1:17" hidden="1">
      <c r="A644" s="22">
        <v>29</v>
      </c>
      <c r="B644" s="22">
        <v>37.29</v>
      </c>
      <c r="C644" s="24">
        <v>0</v>
      </c>
      <c r="D644" s="24">
        <v>1</v>
      </c>
      <c r="E644" s="24">
        <v>0</v>
      </c>
      <c r="F644" s="24">
        <v>0</v>
      </c>
      <c r="G644" s="24">
        <v>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 s="23">
        <v>4058.1161000000002</v>
      </c>
    </row>
    <row r="645" spans="1:17" hidden="1">
      <c r="A645" s="22">
        <v>30</v>
      </c>
      <c r="B645" s="22">
        <v>31.4</v>
      </c>
      <c r="C645" s="24">
        <v>0</v>
      </c>
      <c r="D645" s="24">
        <v>1</v>
      </c>
      <c r="E645" s="24">
        <v>0</v>
      </c>
      <c r="F645" s="24">
        <v>0</v>
      </c>
      <c r="G645" s="24">
        <v>1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 s="23">
        <v>3659.346</v>
      </c>
    </row>
    <row r="646" spans="1:17" hidden="1">
      <c r="A646" s="22">
        <v>30</v>
      </c>
      <c r="B646" s="22">
        <v>31.57</v>
      </c>
      <c r="C646" s="24">
        <v>0</v>
      </c>
      <c r="D646" s="24">
        <v>1</v>
      </c>
      <c r="E646" s="24">
        <v>0</v>
      </c>
      <c r="F646" s="24">
        <v>0</v>
      </c>
      <c r="G646" s="24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 s="23">
        <v>4837.5823</v>
      </c>
    </row>
    <row r="647" spans="1:17" hidden="1">
      <c r="A647" s="22">
        <v>30</v>
      </c>
      <c r="B647" s="22">
        <v>37.43</v>
      </c>
      <c r="C647" s="24">
        <v>0</v>
      </c>
      <c r="D647" s="24">
        <v>1</v>
      </c>
      <c r="E647" s="24">
        <v>0</v>
      </c>
      <c r="F647" s="24">
        <v>0</v>
      </c>
      <c r="G647" s="24">
        <v>1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  <c r="P647">
        <v>0</v>
      </c>
      <c r="Q647" s="23">
        <v>5428.7277000000004</v>
      </c>
    </row>
    <row r="648" spans="1:17" hidden="1">
      <c r="A648" s="22">
        <v>30</v>
      </c>
      <c r="B648" s="22">
        <v>44.22</v>
      </c>
      <c r="C648" s="24">
        <v>0</v>
      </c>
      <c r="D648" s="24">
        <v>1</v>
      </c>
      <c r="E648" s="24">
        <v>0</v>
      </c>
      <c r="F648" s="24">
        <v>0</v>
      </c>
      <c r="G648" s="24">
        <v>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 s="23">
        <v>4266.1657999999998</v>
      </c>
    </row>
    <row r="649" spans="1:17" hidden="1">
      <c r="A649" s="22">
        <v>30</v>
      </c>
      <c r="B649" s="22">
        <v>38.83</v>
      </c>
      <c r="C649" s="24">
        <v>0</v>
      </c>
      <c r="D649" s="24">
        <v>1</v>
      </c>
      <c r="E649" s="24">
        <v>0</v>
      </c>
      <c r="F649" s="24">
        <v>0</v>
      </c>
      <c r="G649" s="24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 s="23">
        <v>18963.171920000001</v>
      </c>
    </row>
    <row r="650" spans="1:17" hidden="1">
      <c r="A650" s="22">
        <v>31</v>
      </c>
      <c r="B650" s="22">
        <v>38.39</v>
      </c>
      <c r="C650" s="24">
        <v>0</v>
      </c>
      <c r="D650" s="24">
        <v>1</v>
      </c>
      <c r="E650" s="24">
        <v>0</v>
      </c>
      <c r="F650" s="24">
        <v>0</v>
      </c>
      <c r="G650" s="24">
        <v>1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 s="23">
        <v>4463.2051000000001</v>
      </c>
    </row>
    <row r="651" spans="1:17" hidden="1">
      <c r="A651" s="22">
        <v>31</v>
      </c>
      <c r="B651" s="22">
        <v>30.875</v>
      </c>
      <c r="C651" s="24">
        <v>0</v>
      </c>
      <c r="D651" s="24">
        <v>1</v>
      </c>
      <c r="E651" s="24">
        <v>0</v>
      </c>
      <c r="F651" s="24">
        <v>0</v>
      </c>
      <c r="G651" s="24">
        <v>1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0</v>
      </c>
      <c r="P651">
        <v>0</v>
      </c>
      <c r="Q651" s="23">
        <v>3857.7592500000001</v>
      </c>
    </row>
    <row r="652" spans="1:17" hidden="1">
      <c r="A652" s="22">
        <v>31</v>
      </c>
      <c r="B652" s="22">
        <v>39.49</v>
      </c>
      <c r="C652" s="24">
        <v>0</v>
      </c>
      <c r="D652" s="24">
        <v>1</v>
      </c>
      <c r="E652" s="24">
        <v>0</v>
      </c>
      <c r="F652" s="24">
        <v>0</v>
      </c>
      <c r="G652" s="24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 s="23">
        <v>3875.7341000000001</v>
      </c>
    </row>
    <row r="653" spans="1:17" hidden="1">
      <c r="A653" s="22">
        <v>31</v>
      </c>
      <c r="B653" s="22">
        <v>31.065000000000001</v>
      </c>
      <c r="C653" s="24">
        <v>0</v>
      </c>
      <c r="D653" s="24">
        <v>1</v>
      </c>
      <c r="E653" s="24">
        <v>0</v>
      </c>
      <c r="F653" s="24">
        <v>0</v>
      </c>
      <c r="G653" s="24">
        <v>1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 s="23">
        <v>5425.0233500000004</v>
      </c>
    </row>
    <row r="654" spans="1:17" hidden="1">
      <c r="A654" s="22">
        <v>32</v>
      </c>
      <c r="B654" s="22">
        <v>30.8</v>
      </c>
      <c r="C654" s="24">
        <v>0</v>
      </c>
      <c r="D654" s="24">
        <v>1</v>
      </c>
      <c r="E654" s="24">
        <v>0</v>
      </c>
      <c r="F654" s="24">
        <v>0</v>
      </c>
      <c r="G654" s="24">
        <v>1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 s="23">
        <v>5253.5240000000003</v>
      </c>
    </row>
    <row r="655" spans="1:17" hidden="1">
      <c r="A655" s="22">
        <v>32</v>
      </c>
      <c r="B655" s="22">
        <v>37.335000000000001</v>
      </c>
      <c r="C655" s="24">
        <v>0</v>
      </c>
      <c r="D655" s="24">
        <v>1</v>
      </c>
      <c r="E655" s="24">
        <v>0</v>
      </c>
      <c r="F655" s="24">
        <v>0</v>
      </c>
      <c r="G655" s="24">
        <v>1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  <c r="P655">
        <v>0</v>
      </c>
      <c r="Q655" s="23">
        <v>4667.6076499999999</v>
      </c>
    </row>
    <row r="656" spans="1:17" hidden="1">
      <c r="A656" s="22">
        <v>32</v>
      </c>
      <c r="B656" s="22">
        <v>30.03</v>
      </c>
      <c r="C656" s="24">
        <v>0</v>
      </c>
      <c r="D656" s="24">
        <v>1</v>
      </c>
      <c r="E656" s="24">
        <v>0</v>
      </c>
      <c r="F656" s="24">
        <v>0</v>
      </c>
      <c r="G656" s="24">
        <v>1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 s="23">
        <v>4074.4537</v>
      </c>
    </row>
    <row r="657" spans="1:17" hidden="1">
      <c r="A657" s="22">
        <v>32</v>
      </c>
      <c r="B657" s="22">
        <v>46.53</v>
      </c>
      <c r="C657" s="24">
        <v>0</v>
      </c>
      <c r="D657" s="24">
        <v>1</v>
      </c>
      <c r="E657" s="24">
        <v>0</v>
      </c>
      <c r="F657" s="24">
        <v>0</v>
      </c>
      <c r="G657" s="24">
        <v>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 s="23">
        <v>4686.3887000000004</v>
      </c>
    </row>
    <row r="658" spans="1:17" hidden="1">
      <c r="A658" s="22">
        <v>32</v>
      </c>
      <c r="B658" s="22">
        <v>37.18</v>
      </c>
      <c r="C658" s="24">
        <v>0</v>
      </c>
      <c r="D658" s="24">
        <v>1</v>
      </c>
      <c r="E658" s="24">
        <v>0</v>
      </c>
      <c r="F658" s="24">
        <v>0</v>
      </c>
      <c r="G658" s="24">
        <v>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 s="23">
        <v>4673.3922000000002</v>
      </c>
    </row>
    <row r="659" spans="1:17" hidden="1">
      <c r="A659" s="22">
        <v>32</v>
      </c>
      <c r="B659" s="22">
        <v>33.82</v>
      </c>
      <c r="C659" s="24">
        <v>0</v>
      </c>
      <c r="D659" s="24">
        <v>1</v>
      </c>
      <c r="E659" s="24">
        <v>0</v>
      </c>
      <c r="F659" s="24">
        <v>0</v>
      </c>
      <c r="G659" s="24">
        <v>1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0</v>
      </c>
      <c r="Q659" s="23">
        <v>4462.7218000000003</v>
      </c>
    </row>
    <row r="660" spans="1:17" hidden="1">
      <c r="A660" s="22">
        <v>32</v>
      </c>
      <c r="B660" s="22">
        <v>31.5</v>
      </c>
      <c r="C660" s="24">
        <v>0</v>
      </c>
      <c r="D660" s="24">
        <v>1</v>
      </c>
      <c r="E660" s="24">
        <v>0</v>
      </c>
      <c r="F660" s="24">
        <v>0</v>
      </c>
      <c r="G660" s="24">
        <v>1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 s="23">
        <v>4076.4969999999998</v>
      </c>
    </row>
    <row r="661" spans="1:17" hidden="1">
      <c r="A661" s="22">
        <v>32</v>
      </c>
      <c r="B661" s="22">
        <v>35.200000000000003</v>
      </c>
      <c r="C661" s="24">
        <v>0</v>
      </c>
      <c r="D661" s="24">
        <v>1</v>
      </c>
      <c r="E661" s="24">
        <v>0</v>
      </c>
      <c r="F661" s="24">
        <v>0</v>
      </c>
      <c r="G661" s="24">
        <v>1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 s="23">
        <v>4670.6400000000003</v>
      </c>
    </row>
    <row r="662" spans="1:17" hidden="1">
      <c r="A662" s="22">
        <v>33</v>
      </c>
      <c r="B662" s="22">
        <v>35.75</v>
      </c>
      <c r="C662" s="24">
        <v>0</v>
      </c>
      <c r="D662" s="24">
        <v>1</v>
      </c>
      <c r="E662" s="24">
        <v>0</v>
      </c>
      <c r="F662" s="24">
        <v>0</v>
      </c>
      <c r="G662" s="24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 s="23">
        <v>4889.9994999999999</v>
      </c>
    </row>
    <row r="663" spans="1:17" hidden="1">
      <c r="A663" s="22">
        <v>33</v>
      </c>
      <c r="B663" s="22">
        <v>35.244999999999997</v>
      </c>
      <c r="C663" s="24">
        <v>0</v>
      </c>
      <c r="D663" s="24">
        <v>1</v>
      </c>
      <c r="E663" s="24">
        <v>0</v>
      </c>
      <c r="F663" s="24">
        <v>0</v>
      </c>
      <c r="G663" s="24">
        <v>1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1</v>
      </c>
      <c r="O663">
        <v>0</v>
      </c>
      <c r="P663">
        <v>0</v>
      </c>
      <c r="Q663" s="23">
        <v>12404.8791</v>
      </c>
    </row>
    <row r="664" spans="1:17" hidden="1">
      <c r="A664" s="22">
        <v>33</v>
      </c>
      <c r="B664" s="22">
        <v>42.46</v>
      </c>
      <c r="C664" s="24">
        <v>0</v>
      </c>
      <c r="D664" s="24">
        <v>1</v>
      </c>
      <c r="E664" s="24">
        <v>0</v>
      </c>
      <c r="F664" s="24">
        <v>0</v>
      </c>
      <c r="G664" s="2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 s="23">
        <v>11326.71487</v>
      </c>
    </row>
    <row r="665" spans="1:17" hidden="1">
      <c r="A665" s="22">
        <v>33</v>
      </c>
      <c r="B665" s="22">
        <v>42.4</v>
      </c>
      <c r="C665" s="24">
        <v>0</v>
      </c>
      <c r="D665" s="24">
        <v>1</v>
      </c>
      <c r="E665" s="24">
        <v>0</v>
      </c>
      <c r="F665" s="24">
        <v>0</v>
      </c>
      <c r="G665" s="24">
        <v>1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 s="23">
        <v>6666.2430000000004</v>
      </c>
    </row>
    <row r="666" spans="1:17" hidden="1">
      <c r="A666" s="22">
        <v>33</v>
      </c>
      <c r="B666" s="22">
        <v>33.44</v>
      </c>
      <c r="C666" s="24">
        <v>0</v>
      </c>
      <c r="D666" s="24">
        <v>1</v>
      </c>
      <c r="E666" s="24">
        <v>0</v>
      </c>
      <c r="F666" s="24">
        <v>0</v>
      </c>
      <c r="G666" s="24">
        <v>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 s="23">
        <v>6653.7885999999999</v>
      </c>
    </row>
    <row r="667" spans="1:17" hidden="1">
      <c r="A667" s="22">
        <v>33</v>
      </c>
      <c r="B667" s="22">
        <v>30.25</v>
      </c>
      <c r="C667" s="24">
        <v>0</v>
      </c>
      <c r="D667" s="24">
        <v>1</v>
      </c>
      <c r="E667" s="24">
        <v>0</v>
      </c>
      <c r="F667" s="24">
        <v>0</v>
      </c>
      <c r="G667" s="24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 s="23">
        <v>3704.3544999999999</v>
      </c>
    </row>
    <row r="668" spans="1:17" hidden="1">
      <c r="A668" s="22">
        <v>34</v>
      </c>
      <c r="B668" s="22">
        <v>34.21</v>
      </c>
      <c r="C668" s="24">
        <v>0</v>
      </c>
      <c r="D668" s="24">
        <v>1</v>
      </c>
      <c r="E668" s="24">
        <v>0</v>
      </c>
      <c r="F668" s="24">
        <v>0</v>
      </c>
      <c r="G668" s="24">
        <v>1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 s="23">
        <v>3935.1799000000001</v>
      </c>
    </row>
    <row r="669" spans="1:17" hidden="1">
      <c r="A669" s="22">
        <v>34</v>
      </c>
      <c r="B669" s="22">
        <v>35.814999999999998</v>
      </c>
      <c r="C669" s="24">
        <v>0</v>
      </c>
      <c r="D669" s="24">
        <v>1</v>
      </c>
      <c r="E669" s="24">
        <v>0</v>
      </c>
      <c r="F669" s="24">
        <v>0</v>
      </c>
      <c r="G669" s="24">
        <v>1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0</v>
      </c>
      <c r="Q669" s="23">
        <v>4320.4108500000002</v>
      </c>
    </row>
    <row r="670" spans="1:17" hidden="1">
      <c r="A670" s="22">
        <v>34</v>
      </c>
      <c r="B670" s="22">
        <v>34.674999999999997</v>
      </c>
      <c r="C670" s="24">
        <v>0</v>
      </c>
      <c r="D670" s="24">
        <v>1</v>
      </c>
      <c r="E670" s="24">
        <v>0</v>
      </c>
      <c r="F670" s="24">
        <v>0</v>
      </c>
      <c r="G670" s="24">
        <v>1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0</v>
      </c>
      <c r="Q670" s="23">
        <v>4518.8262500000001</v>
      </c>
    </row>
    <row r="671" spans="1:17" hidden="1">
      <c r="A671" s="22">
        <v>34</v>
      </c>
      <c r="B671" s="22">
        <v>32.799999999999997</v>
      </c>
      <c r="C671" s="24">
        <v>0</v>
      </c>
      <c r="D671" s="24">
        <v>1</v>
      </c>
      <c r="E671" s="24">
        <v>0</v>
      </c>
      <c r="F671" s="24">
        <v>0</v>
      </c>
      <c r="G671" s="24">
        <v>1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 s="23">
        <v>14358.364369999999</v>
      </c>
    </row>
    <row r="672" spans="1:17" hidden="1">
      <c r="A672" s="22">
        <v>34</v>
      </c>
      <c r="B672" s="22">
        <v>42.13</v>
      </c>
      <c r="C672" s="24">
        <v>0</v>
      </c>
      <c r="D672" s="24">
        <v>1</v>
      </c>
      <c r="E672" s="24">
        <v>0</v>
      </c>
      <c r="F672" s="24">
        <v>0</v>
      </c>
      <c r="G672" s="24">
        <v>1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 s="23">
        <v>5124.1886999999997</v>
      </c>
    </row>
    <row r="673" spans="1:17" hidden="1">
      <c r="A673" s="22">
        <v>34</v>
      </c>
      <c r="B673" s="22">
        <v>42.9</v>
      </c>
      <c r="C673" s="24">
        <v>0</v>
      </c>
      <c r="D673" s="24">
        <v>1</v>
      </c>
      <c r="E673" s="24">
        <v>0</v>
      </c>
      <c r="F673" s="24">
        <v>0</v>
      </c>
      <c r="G673" s="24">
        <v>1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 s="23">
        <v>4536.259</v>
      </c>
    </row>
    <row r="674" spans="1:17" hidden="1">
      <c r="A674" s="22">
        <v>35</v>
      </c>
      <c r="B674" s="22">
        <v>34.770000000000003</v>
      </c>
      <c r="C674" s="24">
        <v>0</v>
      </c>
      <c r="D674" s="24">
        <v>1</v>
      </c>
      <c r="E674" s="24">
        <v>0</v>
      </c>
      <c r="F674" s="24">
        <v>0</v>
      </c>
      <c r="G674" s="24">
        <v>1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0</v>
      </c>
      <c r="Q674" s="23">
        <v>5729.0052999999998</v>
      </c>
    </row>
    <row r="675" spans="1:17" hidden="1">
      <c r="A675" s="22">
        <v>35</v>
      </c>
      <c r="B675" s="22">
        <v>30.5</v>
      </c>
      <c r="C675" s="24">
        <v>0</v>
      </c>
      <c r="D675" s="24">
        <v>1</v>
      </c>
      <c r="E675" s="24">
        <v>0</v>
      </c>
      <c r="F675" s="24">
        <v>0</v>
      </c>
      <c r="G675" s="24">
        <v>1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 s="23">
        <v>4751.07</v>
      </c>
    </row>
    <row r="676" spans="1:17" hidden="1">
      <c r="A676" s="22">
        <v>35</v>
      </c>
      <c r="B676" s="22">
        <v>38.6</v>
      </c>
      <c r="C676" s="24">
        <v>0</v>
      </c>
      <c r="D676" s="24">
        <v>1</v>
      </c>
      <c r="E676" s="24">
        <v>0</v>
      </c>
      <c r="F676" s="24">
        <v>0</v>
      </c>
      <c r="G676" s="24">
        <v>1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 s="23">
        <v>4762.3289999999997</v>
      </c>
    </row>
    <row r="677" spans="1:17" hidden="1">
      <c r="A677" s="22">
        <v>35</v>
      </c>
      <c r="B677" s="22">
        <v>34.32</v>
      </c>
      <c r="C677" s="24">
        <v>0</v>
      </c>
      <c r="D677" s="24">
        <v>1</v>
      </c>
      <c r="E677" s="24">
        <v>0</v>
      </c>
      <c r="F677" s="24">
        <v>0</v>
      </c>
      <c r="G677" s="24">
        <v>1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 s="23">
        <v>5934.3797999999997</v>
      </c>
    </row>
    <row r="678" spans="1:17" hidden="1">
      <c r="A678" s="22">
        <v>35</v>
      </c>
      <c r="B678" s="22">
        <v>39.71</v>
      </c>
      <c r="C678" s="24">
        <v>0</v>
      </c>
      <c r="D678" s="24">
        <v>1</v>
      </c>
      <c r="E678" s="24">
        <v>0</v>
      </c>
      <c r="F678" s="24">
        <v>0</v>
      </c>
      <c r="G678" s="24">
        <v>1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  <c r="P678">
        <v>0</v>
      </c>
      <c r="Q678" s="23">
        <v>19496.71917</v>
      </c>
    </row>
    <row r="679" spans="1:17" hidden="1">
      <c r="A679" s="22">
        <v>36</v>
      </c>
      <c r="B679" s="22">
        <v>34.43</v>
      </c>
      <c r="C679" s="24">
        <v>0</v>
      </c>
      <c r="D679" s="24">
        <v>1</v>
      </c>
      <c r="E679" s="24">
        <v>0</v>
      </c>
      <c r="F679" s="24">
        <v>0</v>
      </c>
      <c r="G679" s="24">
        <v>1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 s="23">
        <v>5584.3056999999999</v>
      </c>
    </row>
    <row r="680" spans="1:17" hidden="1">
      <c r="A680" s="22">
        <v>36</v>
      </c>
      <c r="B680" s="22">
        <v>33.82</v>
      </c>
      <c r="C680" s="24">
        <v>0</v>
      </c>
      <c r="D680" s="24">
        <v>1</v>
      </c>
      <c r="E680" s="24">
        <v>0</v>
      </c>
      <c r="F680" s="24">
        <v>0</v>
      </c>
      <c r="G680" s="24">
        <v>1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1</v>
      </c>
      <c r="P680">
        <v>0</v>
      </c>
      <c r="Q680" s="23">
        <v>5377.4578000000001</v>
      </c>
    </row>
    <row r="681" spans="1:17" hidden="1">
      <c r="A681" s="22">
        <v>36</v>
      </c>
      <c r="B681" s="22">
        <v>31.5</v>
      </c>
      <c r="C681" s="24">
        <v>0</v>
      </c>
      <c r="D681" s="24">
        <v>1</v>
      </c>
      <c r="E681" s="24">
        <v>0</v>
      </c>
      <c r="F681" s="24">
        <v>0</v>
      </c>
      <c r="G681" s="24">
        <v>1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 s="23">
        <v>4402.2330000000002</v>
      </c>
    </row>
    <row r="682" spans="1:17" hidden="1">
      <c r="A682" s="22">
        <v>36</v>
      </c>
      <c r="B682" s="22">
        <v>30.875</v>
      </c>
      <c r="C682" s="24">
        <v>0</v>
      </c>
      <c r="D682" s="24">
        <v>1</v>
      </c>
      <c r="E682" s="24">
        <v>0</v>
      </c>
      <c r="F682" s="24">
        <v>0</v>
      </c>
      <c r="G682" s="24">
        <v>1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1</v>
      </c>
      <c r="P682">
        <v>0</v>
      </c>
      <c r="Q682" s="23">
        <v>5373.3642499999996</v>
      </c>
    </row>
    <row r="683" spans="1:17" hidden="1">
      <c r="A683" s="22">
        <v>37</v>
      </c>
      <c r="B683" s="22">
        <v>30.8</v>
      </c>
      <c r="C683" s="24">
        <v>0</v>
      </c>
      <c r="D683" s="24">
        <v>1</v>
      </c>
      <c r="E683" s="24">
        <v>0</v>
      </c>
      <c r="F683" s="24">
        <v>0</v>
      </c>
      <c r="G683" s="24">
        <v>1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 s="23">
        <v>4646.759</v>
      </c>
    </row>
    <row r="684" spans="1:17" hidden="1">
      <c r="A684" s="22">
        <v>37</v>
      </c>
      <c r="B684" s="22">
        <v>30.875</v>
      </c>
      <c r="C684" s="24">
        <v>0</v>
      </c>
      <c r="D684" s="24">
        <v>1</v>
      </c>
      <c r="E684" s="24">
        <v>0</v>
      </c>
      <c r="F684" s="24">
        <v>0</v>
      </c>
      <c r="G684" s="24">
        <v>1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1</v>
      </c>
      <c r="P684">
        <v>0</v>
      </c>
      <c r="Q684" s="23">
        <v>6796.8632500000003</v>
      </c>
    </row>
    <row r="685" spans="1:17" hidden="1">
      <c r="A685" s="22">
        <v>37</v>
      </c>
      <c r="B685" s="22">
        <v>36.19</v>
      </c>
      <c r="C685" s="24">
        <v>0</v>
      </c>
      <c r="D685" s="24">
        <v>1</v>
      </c>
      <c r="E685" s="24">
        <v>0</v>
      </c>
      <c r="F685" s="24">
        <v>0</v>
      </c>
      <c r="G685" s="24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 s="23">
        <v>19214.705529999999</v>
      </c>
    </row>
    <row r="686" spans="1:17" hidden="1">
      <c r="A686" s="22">
        <v>37</v>
      </c>
      <c r="B686" s="22">
        <v>46.53</v>
      </c>
      <c r="C686" s="24">
        <v>0</v>
      </c>
      <c r="D686" s="24">
        <v>1</v>
      </c>
      <c r="E686" s="24">
        <v>0</v>
      </c>
      <c r="F686" s="24">
        <v>0</v>
      </c>
      <c r="G686" s="24">
        <v>1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 s="23">
        <v>6435.6237000000001</v>
      </c>
    </row>
    <row r="687" spans="1:17" hidden="1">
      <c r="A687" s="22">
        <v>38</v>
      </c>
      <c r="B687" s="22">
        <v>37.049999999999997</v>
      </c>
      <c r="C687" s="24">
        <v>0</v>
      </c>
      <c r="D687" s="24">
        <v>1</v>
      </c>
      <c r="E687" s="24">
        <v>0</v>
      </c>
      <c r="F687" s="24">
        <v>0</v>
      </c>
      <c r="G687" s="24">
        <v>1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1</v>
      </c>
      <c r="P687">
        <v>0</v>
      </c>
      <c r="Q687" s="23">
        <v>6079.6715000000004</v>
      </c>
    </row>
    <row r="688" spans="1:17" hidden="1">
      <c r="A688" s="22">
        <v>38</v>
      </c>
      <c r="B688" s="22">
        <v>34.700000000000003</v>
      </c>
      <c r="C688" s="24">
        <v>0</v>
      </c>
      <c r="D688" s="24">
        <v>1</v>
      </c>
      <c r="E688" s="24">
        <v>0</v>
      </c>
      <c r="F688" s="24">
        <v>0</v>
      </c>
      <c r="G688" s="24">
        <v>1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 s="23">
        <v>6082.4049999999997</v>
      </c>
    </row>
    <row r="689" spans="1:17" hidden="1">
      <c r="A689" s="22">
        <v>38</v>
      </c>
      <c r="B689" s="22">
        <v>31</v>
      </c>
      <c r="C689" s="24">
        <v>0</v>
      </c>
      <c r="D689" s="24">
        <v>1</v>
      </c>
      <c r="E689" s="24">
        <v>0</v>
      </c>
      <c r="F689" s="24">
        <v>0</v>
      </c>
      <c r="G689" s="24">
        <v>1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 s="23">
        <v>5488.2619999999997</v>
      </c>
    </row>
    <row r="690" spans="1:17" hidden="1">
      <c r="A690" s="22">
        <v>39</v>
      </c>
      <c r="B690" s="22">
        <v>45.43</v>
      </c>
      <c r="C690" s="24">
        <v>0</v>
      </c>
      <c r="D690" s="24">
        <v>1</v>
      </c>
      <c r="E690" s="24">
        <v>0</v>
      </c>
      <c r="F690" s="24">
        <v>0</v>
      </c>
      <c r="G690" s="24">
        <v>1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 s="23">
        <v>6356.2707</v>
      </c>
    </row>
    <row r="691" spans="1:17" hidden="1">
      <c r="A691" s="22">
        <v>39</v>
      </c>
      <c r="B691" s="22">
        <v>42.655000000000001</v>
      </c>
      <c r="C691" s="24">
        <v>0</v>
      </c>
      <c r="D691" s="24">
        <v>1</v>
      </c>
      <c r="E691" s="24">
        <v>0</v>
      </c>
      <c r="F691" s="24">
        <v>0</v>
      </c>
      <c r="G691" s="24">
        <v>1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0</v>
      </c>
      <c r="Q691" s="23">
        <v>5757.41345</v>
      </c>
    </row>
    <row r="692" spans="1:17" hidden="1">
      <c r="A692" s="22">
        <v>39</v>
      </c>
      <c r="B692" s="22">
        <v>32.340000000000003</v>
      </c>
      <c r="C692" s="24">
        <v>0</v>
      </c>
      <c r="D692" s="24">
        <v>1</v>
      </c>
      <c r="E692" s="24">
        <v>0</v>
      </c>
      <c r="F692" s="24">
        <v>0</v>
      </c>
      <c r="G692" s="24">
        <v>1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 s="23">
        <v>6338.0756000000001</v>
      </c>
    </row>
    <row r="693" spans="1:17" hidden="1">
      <c r="A693" s="22">
        <v>39</v>
      </c>
      <c r="B693" s="22">
        <v>34.1</v>
      </c>
      <c r="C693" s="24">
        <v>0</v>
      </c>
      <c r="D693" s="24">
        <v>1</v>
      </c>
      <c r="E693" s="24">
        <v>0</v>
      </c>
      <c r="F693" s="24">
        <v>0</v>
      </c>
      <c r="G693" s="24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 s="23">
        <v>23563.016179999999</v>
      </c>
    </row>
    <row r="694" spans="1:17" hidden="1">
      <c r="A694" s="22">
        <v>40</v>
      </c>
      <c r="B694" s="22">
        <v>41.23</v>
      </c>
      <c r="C694" s="24">
        <v>0</v>
      </c>
      <c r="D694" s="24">
        <v>1</v>
      </c>
      <c r="E694" s="24">
        <v>0</v>
      </c>
      <c r="F694" s="24">
        <v>0</v>
      </c>
      <c r="G694" s="24">
        <v>1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0</v>
      </c>
      <c r="Q694" s="23">
        <v>6610.1097</v>
      </c>
    </row>
    <row r="695" spans="1:17" hidden="1">
      <c r="A695" s="22">
        <v>40</v>
      </c>
      <c r="B695" s="22">
        <v>30.875</v>
      </c>
      <c r="C695" s="24">
        <v>0</v>
      </c>
      <c r="D695" s="24">
        <v>1</v>
      </c>
      <c r="E695" s="24">
        <v>0</v>
      </c>
      <c r="F695" s="24">
        <v>0</v>
      </c>
      <c r="G695" s="24">
        <v>1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0</v>
      </c>
      <c r="Q695" s="23">
        <v>8162.7162500000004</v>
      </c>
    </row>
    <row r="696" spans="1:17" hidden="1">
      <c r="A696" s="22">
        <v>40</v>
      </c>
      <c r="B696" s="22">
        <v>35.299999999999997</v>
      </c>
      <c r="C696" s="24">
        <v>0</v>
      </c>
      <c r="D696" s="24">
        <v>1</v>
      </c>
      <c r="E696" s="24">
        <v>0</v>
      </c>
      <c r="F696" s="24">
        <v>0</v>
      </c>
      <c r="G696" s="24">
        <v>1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 s="23">
        <v>7196.8670000000002</v>
      </c>
    </row>
    <row r="697" spans="1:17" hidden="1">
      <c r="A697" s="22">
        <v>40</v>
      </c>
      <c r="B697" s="22">
        <v>34.104999999999997</v>
      </c>
      <c r="C697" s="24">
        <v>0</v>
      </c>
      <c r="D697" s="24">
        <v>1</v>
      </c>
      <c r="E697" s="24">
        <v>0</v>
      </c>
      <c r="F697" s="24">
        <v>0</v>
      </c>
      <c r="G697" s="24">
        <v>1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1</v>
      </c>
      <c r="P697">
        <v>0</v>
      </c>
      <c r="Q697" s="23">
        <v>6600.2059499999996</v>
      </c>
    </row>
    <row r="698" spans="1:17" hidden="1">
      <c r="A698" s="22">
        <v>40</v>
      </c>
      <c r="B698" s="22">
        <v>41.69</v>
      </c>
      <c r="C698" s="24">
        <v>0</v>
      </c>
      <c r="D698" s="24">
        <v>1</v>
      </c>
      <c r="E698" s="24">
        <v>0</v>
      </c>
      <c r="F698" s="24">
        <v>0</v>
      </c>
      <c r="G698" s="24">
        <v>1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 s="23">
        <v>5438.7491</v>
      </c>
    </row>
    <row r="699" spans="1:17" hidden="1">
      <c r="A699" s="22">
        <v>40</v>
      </c>
      <c r="B699" s="22">
        <v>32.299999999999997</v>
      </c>
      <c r="C699" s="24">
        <v>0</v>
      </c>
      <c r="D699" s="24">
        <v>1</v>
      </c>
      <c r="E699" s="24">
        <v>0</v>
      </c>
      <c r="F699" s="24">
        <v>0</v>
      </c>
      <c r="G699" s="24">
        <v>1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1</v>
      </c>
      <c r="P699">
        <v>0</v>
      </c>
      <c r="Q699" s="23">
        <v>6986.6970000000001</v>
      </c>
    </row>
    <row r="700" spans="1:17" hidden="1">
      <c r="A700" s="22">
        <v>41</v>
      </c>
      <c r="B700" s="22">
        <v>37.049999999999997</v>
      </c>
      <c r="C700" s="24">
        <v>0</v>
      </c>
      <c r="D700" s="24">
        <v>1</v>
      </c>
      <c r="E700" s="24">
        <v>0</v>
      </c>
      <c r="F700" s="24">
        <v>0</v>
      </c>
      <c r="G700" s="24">
        <v>1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1</v>
      </c>
      <c r="P700">
        <v>0</v>
      </c>
      <c r="Q700" s="23">
        <v>7265.7025000000003</v>
      </c>
    </row>
    <row r="701" spans="1:17" hidden="1">
      <c r="A701" s="22">
        <v>41</v>
      </c>
      <c r="B701" s="22">
        <v>30.59</v>
      </c>
      <c r="C701" s="24">
        <v>0</v>
      </c>
      <c r="D701" s="24">
        <v>1</v>
      </c>
      <c r="E701" s="24">
        <v>0</v>
      </c>
      <c r="F701" s="24">
        <v>0</v>
      </c>
      <c r="G701" s="24">
        <v>1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1</v>
      </c>
      <c r="P701">
        <v>0</v>
      </c>
      <c r="Q701" s="23">
        <v>7256.7231000000002</v>
      </c>
    </row>
    <row r="702" spans="1:17" hidden="1">
      <c r="A702" s="22">
        <v>41</v>
      </c>
      <c r="B702" s="22">
        <v>40.26</v>
      </c>
      <c r="C702" s="24">
        <v>0</v>
      </c>
      <c r="D702" s="24">
        <v>1</v>
      </c>
      <c r="E702" s="24">
        <v>0</v>
      </c>
      <c r="F702" s="24">
        <v>0</v>
      </c>
      <c r="G702" s="24">
        <v>1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 s="23">
        <v>5709.1643999999997</v>
      </c>
    </row>
    <row r="703" spans="1:17" hidden="1">
      <c r="A703" s="22">
        <v>41</v>
      </c>
      <c r="B703" s="22">
        <v>34.200000000000003</v>
      </c>
      <c r="C703" s="24">
        <v>0</v>
      </c>
      <c r="D703" s="24">
        <v>1</v>
      </c>
      <c r="E703" s="24">
        <v>0</v>
      </c>
      <c r="F703" s="24">
        <v>0</v>
      </c>
      <c r="G703" s="24">
        <v>1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1</v>
      </c>
      <c r="P703">
        <v>0</v>
      </c>
      <c r="Q703" s="23">
        <v>7261.741</v>
      </c>
    </row>
    <row r="704" spans="1:17" hidden="1">
      <c r="A704" s="22">
        <v>41</v>
      </c>
      <c r="B704" s="22">
        <v>34.21</v>
      </c>
      <c r="C704" s="24">
        <v>0</v>
      </c>
      <c r="D704" s="24">
        <v>1</v>
      </c>
      <c r="E704" s="24">
        <v>0</v>
      </c>
      <c r="F704" s="24">
        <v>0</v>
      </c>
      <c r="G704" s="2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 s="23">
        <v>6289.7548999999999</v>
      </c>
    </row>
    <row r="705" spans="1:17" hidden="1">
      <c r="A705" s="22">
        <v>41</v>
      </c>
      <c r="B705" s="22">
        <v>33.549999999999997</v>
      </c>
      <c r="C705" s="24">
        <v>0</v>
      </c>
      <c r="D705" s="24">
        <v>1</v>
      </c>
      <c r="E705" s="24">
        <v>0</v>
      </c>
      <c r="F705" s="24">
        <v>0</v>
      </c>
      <c r="G705" s="24">
        <v>1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 s="23">
        <v>5699.8374999999996</v>
      </c>
    </row>
    <row r="706" spans="1:17" hidden="1">
      <c r="A706" s="22">
        <v>41</v>
      </c>
      <c r="B706" s="22">
        <v>32.200000000000003</v>
      </c>
      <c r="C706" s="24">
        <v>0</v>
      </c>
      <c r="D706" s="24">
        <v>1</v>
      </c>
      <c r="E706" s="24">
        <v>0</v>
      </c>
      <c r="F706" s="24">
        <v>0</v>
      </c>
      <c r="G706" s="24">
        <v>1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 s="23">
        <v>6875.9610000000002</v>
      </c>
    </row>
    <row r="707" spans="1:17" hidden="1">
      <c r="A707" s="22">
        <v>42</v>
      </c>
      <c r="B707" s="22">
        <v>35.97</v>
      </c>
      <c r="C707" s="24">
        <v>0</v>
      </c>
      <c r="D707" s="24">
        <v>1</v>
      </c>
      <c r="E707" s="24">
        <v>0</v>
      </c>
      <c r="F707" s="24">
        <v>0</v>
      </c>
      <c r="G707" s="24">
        <v>1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 s="23">
        <v>7160.3302999999996</v>
      </c>
    </row>
    <row r="708" spans="1:17" hidden="1">
      <c r="A708" s="22">
        <v>42</v>
      </c>
      <c r="B708" s="22">
        <v>35.799999999999997</v>
      </c>
      <c r="C708" s="24">
        <v>0</v>
      </c>
      <c r="D708" s="24">
        <v>1</v>
      </c>
      <c r="E708" s="24">
        <v>0</v>
      </c>
      <c r="F708" s="24">
        <v>0</v>
      </c>
      <c r="G708" s="24">
        <v>1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 s="23">
        <v>7160.0940000000001</v>
      </c>
    </row>
    <row r="709" spans="1:17" hidden="1">
      <c r="A709" s="22">
        <v>42</v>
      </c>
      <c r="B709" s="22">
        <v>31.254999999999999</v>
      </c>
      <c r="C709" s="24">
        <v>0</v>
      </c>
      <c r="D709" s="24">
        <v>1</v>
      </c>
      <c r="E709" s="24">
        <v>0</v>
      </c>
      <c r="F709" s="24">
        <v>0</v>
      </c>
      <c r="G709" s="24">
        <v>1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1</v>
      </c>
      <c r="P709">
        <v>0</v>
      </c>
      <c r="Q709" s="23">
        <v>6358.7764500000003</v>
      </c>
    </row>
    <row r="710" spans="1:17" hidden="1">
      <c r="A710" s="22">
        <v>42</v>
      </c>
      <c r="B710" s="22">
        <v>34.1</v>
      </c>
      <c r="C710" s="24">
        <v>0</v>
      </c>
      <c r="D710" s="24">
        <v>1</v>
      </c>
      <c r="E710" s="24">
        <v>0</v>
      </c>
      <c r="F710" s="24">
        <v>0</v>
      </c>
      <c r="G710" s="24">
        <v>1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 s="23">
        <v>5979.7309999999998</v>
      </c>
    </row>
    <row r="711" spans="1:17" hidden="1">
      <c r="A711" s="22">
        <v>42</v>
      </c>
      <c r="B711" s="22">
        <v>37.18</v>
      </c>
      <c r="C711" s="24">
        <v>0</v>
      </c>
      <c r="D711" s="24">
        <v>1</v>
      </c>
      <c r="E711" s="24">
        <v>0</v>
      </c>
      <c r="F711" s="24">
        <v>0</v>
      </c>
      <c r="G711" s="24">
        <v>1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 s="23">
        <v>7162.0122000000001</v>
      </c>
    </row>
    <row r="712" spans="1:17" hidden="1">
      <c r="A712" s="22">
        <v>43</v>
      </c>
      <c r="B712" s="22">
        <v>32.6</v>
      </c>
      <c r="C712" s="24">
        <v>0</v>
      </c>
      <c r="D712" s="24">
        <v>1</v>
      </c>
      <c r="E712" s="24">
        <v>0</v>
      </c>
      <c r="F712" s="24">
        <v>0</v>
      </c>
      <c r="G712" s="24">
        <v>1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 s="23">
        <v>7441.5010000000002</v>
      </c>
    </row>
    <row r="713" spans="1:17" hidden="1">
      <c r="A713" s="22">
        <v>43</v>
      </c>
      <c r="B713" s="22">
        <v>35.31</v>
      </c>
      <c r="C713" s="24">
        <v>0</v>
      </c>
      <c r="D713" s="24">
        <v>1</v>
      </c>
      <c r="E713" s="24">
        <v>0</v>
      </c>
      <c r="F713" s="24">
        <v>0</v>
      </c>
      <c r="G713" s="24">
        <v>1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 s="23">
        <v>18806.145469999999</v>
      </c>
    </row>
    <row r="714" spans="1:17" hidden="1">
      <c r="A714" s="22">
        <v>43</v>
      </c>
      <c r="B714" s="22">
        <v>30.1</v>
      </c>
      <c r="C714" s="24">
        <v>0</v>
      </c>
      <c r="D714" s="24">
        <v>1</v>
      </c>
      <c r="E714" s="24">
        <v>0</v>
      </c>
      <c r="F714" s="24">
        <v>0</v>
      </c>
      <c r="G714" s="24">
        <v>1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 s="23">
        <v>6849.0259999999998</v>
      </c>
    </row>
    <row r="715" spans="1:17" hidden="1">
      <c r="A715" s="22">
        <v>43</v>
      </c>
      <c r="B715" s="22">
        <v>30.114999999999998</v>
      </c>
      <c r="C715" s="24">
        <v>0</v>
      </c>
      <c r="D715" s="24">
        <v>1</v>
      </c>
      <c r="E715" s="24">
        <v>0</v>
      </c>
      <c r="F715" s="24">
        <v>0</v>
      </c>
      <c r="G715" s="24">
        <v>1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1</v>
      </c>
      <c r="P715">
        <v>0</v>
      </c>
      <c r="Q715" s="23">
        <v>8410.0468500000006</v>
      </c>
    </row>
    <row r="716" spans="1:17" hidden="1">
      <c r="A716" s="22">
        <v>44</v>
      </c>
      <c r="B716" s="22">
        <v>37.1</v>
      </c>
      <c r="C716" s="24">
        <v>0</v>
      </c>
      <c r="D716" s="24">
        <v>1</v>
      </c>
      <c r="E716" s="24">
        <v>0</v>
      </c>
      <c r="F716" s="24">
        <v>0</v>
      </c>
      <c r="G716" s="24">
        <v>1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 s="23">
        <v>7740.3370000000004</v>
      </c>
    </row>
    <row r="717" spans="1:17" hidden="1">
      <c r="A717" s="22">
        <v>44</v>
      </c>
      <c r="B717" s="22">
        <v>39.520000000000003</v>
      </c>
      <c r="C717" s="24">
        <v>0</v>
      </c>
      <c r="D717" s="24">
        <v>1</v>
      </c>
      <c r="E717" s="24">
        <v>0</v>
      </c>
      <c r="F717" s="24">
        <v>0</v>
      </c>
      <c r="G717" s="24">
        <v>1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</v>
      </c>
      <c r="P717">
        <v>0</v>
      </c>
      <c r="Q717" s="23">
        <v>6948.7007999999996</v>
      </c>
    </row>
    <row r="718" spans="1:17" hidden="1">
      <c r="A718" s="22">
        <v>44</v>
      </c>
      <c r="B718" s="22">
        <v>30.69</v>
      </c>
      <c r="C718" s="24">
        <v>0</v>
      </c>
      <c r="D718" s="24">
        <v>1</v>
      </c>
      <c r="E718" s="24">
        <v>0</v>
      </c>
      <c r="F718" s="24">
        <v>0</v>
      </c>
      <c r="G718" s="24">
        <v>1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 s="23">
        <v>7731.4270999999999</v>
      </c>
    </row>
    <row r="719" spans="1:17" hidden="1">
      <c r="A719" s="22">
        <v>44</v>
      </c>
      <c r="B719" s="22">
        <v>38.06</v>
      </c>
      <c r="C719" s="24">
        <v>0</v>
      </c>
      <c r="D719" s="24">
        <v>1</v>
      </c>
      <c r="E719" s="24">
        <v>0</v>
      </c>
      <c r="F719" s="24">
        <v>0</v>
      </c>
      <c r="G719" s="24">
        <v>1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 s="23">
        <v>7152.6714000000002</v>
      </c>
    </row>
    <row r="720" spans="1:17" hidden="1">
      <c r="A720" s="22">
        <v>44</v>
      </c>
      <c r="B720" s="22">
        <v>32.015000000000001</v>
      </c>
      <c r="C720" s="24">
        <v>0</v>
      </c>
      <c r="D720" s="24">
        <v>1</v>
      </c>
      <c r="E720" s="24">
        <v>0</v>
      </c>
      <c r="F720" s="24">
        <v>0</v>
      </c>
      <c r="G720" s="24">
        <v>1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1</v>
      </c>
      <c r="P720">
        <v>0</v>
      </c>
      <c r="Q720" s="23">
        <v>8116.2688500000004</v>
      </c>
    </row>
    <row r="721" spans="1:17" hidden="1">
      <c r="A721" s="22">
        <v>44</v>
      </c>
      <c r="B721" s="22">
        <v>34.32</v>
      </c>
      <c r="C721" s="24">
        <v>0</v>
      </c>
      <c r="D721" s="24">
        <v>1</v>
      </c>
      <c r="E721" s="24">
        <v>0</v>
      </c>
      <c r="F721" s="24">
        <v>0</v>
      </c>
      <c r="G721" s="24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 s="23">
        <v>7147.4727999999996</v>
      </c>
    </row>
    <row r="722" spans="1:17" hidden="1">
      <c r="A722" s="22">
        <v>45</v>
      </c>
      <c r="B722" s="22">
        <v>30.2</v>
      </c>
      <c r="C722" s="24">
        <v>0</v>
      </c>
      <c r="D722" s="24">
        <v>1</v>
      </c>
      <c r="E722" s="24">
        <v>0</v>
      </c>
      <c r="F722" s="24">
        <v>0</v>
      </c>
      <c r="G722" s="24">
        <v>1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 s="23">
        <v>7441.0529999999999</v>
      </c>
    </row>
    <row r="723" spans="1:17" hidden="1">
      <c r="A723" s="22">
        <v>45</v>
      </c>
      <c r="B723" s="22">
        <v>30.495000000000001</v>
      </c>
      <c r="C723" s="24">
        <v>0</v>
      </c>
      <c r="D723" s="24">
        <v>1</v>
      </c>
      <c r="E723" s="24">
        <v>0</v>
      </c>
      <c r="F723" s="24">
        <v>0</v>
      </c>
      <c r="G723" s="24">
        <v>1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1</v>
      </c>
      <c r="P723">
        <v>0</v>
      </c>
      <c r="Q723" s="23">
        <v>8413.4630500000003</v>
      </c>
    </row>
    <row r="724" spans="1:17" hidden="1">
      <c r="A724" s="22">
        <v>45</v>
      </c>
      <c r="B724" s="22">
        <v>39.805</v>
      </c>
      <c r="C724" s="24">
        <v>0</v>
      </c>
      <c r="D724" s="24">
        <v>1</v>
      </c>
      <c r="E724" s="24">
        <v>0</v>
      </c>
      <c r="F724" s="24">
        <v>0</v>
      </c>
      <c r="G724" s="24">
        <v>1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1</v>
      </c>
      <c r="P724">
        <v>0</v>
      </c>
      <c r="Q724" s="23">
        <v>7448.4039499999999</v>
      </c>
    </row>
    <row r="725" spans="1:17" hidden="1">
      <c r="A725" s="22">
        <v>45</v>
      </c>
      <c r="B725" s="22">
        <v>33.700000000000003</v>
      </c>
      <c r="C725" s="24">
        <v>0</v>
      </c>
      <c r="D725" s="24">
        <v>1</v>
      </c>
      <c r="E725" s="24">
        <v>0</v>
      </c>
      <c r="F725" s="24">
        <v>0</v>
      </c>
      <c r="G725" s="24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 s="23">
        <v>7445.9179999999997</v>
      </c>
    </row>
    <row r="726" spans="1:17" hidden="1">
      <c r="A726" s="22">
        <v>46</v>
      </c>
      <c r="B726" s="22">
        <v>33.344999999999999</v>
      </c>
      <c r="C726" s="24">
        <v>0</v>
      </c>
      <c r="D726" s="24">
        <v>1</v>
      </c>
      <c r="E726" s="24">
        <v>0</v>
      </c>
      <c r="F726" s="24">
        <v>0</v>
      </c>
      <c r="G726" s="24">
        <v>1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1</v>
      </c>
      <c r="P726">
        <v>0</v>
      </c>
      <c r="Q726" s="23">
        <v>8334.4575499999992</v>
      </c>
    </row>
    <row r="727" spans="1:17" hidden="1">
      <c r="A727" s="22">
        <v>46</v>
      </c>
      <c r="B727" s="22">
        <v>43.89</v>
      </c>
      <c r="C727" s="24">
        <v>0</v>
      </c>
      <c r="D727" s="24">
        <v>1</v>
      </c>
      <c r="E727" s="24">
        <v>0</v>
      </c>
      <c r="F727" s="24">
        <v>0</v>
      </c>
      <c r="G727" s="24">
        <v>1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 s="23">
        <v>8944.1151000000009</v>
      </c>
    </row>
    <row r="728" spans="1:17" hidden="1">
      <c r="A728" s="22">
        <v>46</v>
      </c>
      <c r="B728" s="22">
        <v>39.424999999999997</v>
      </c>
      <c r="C728" s="24">
        <v>0</v>
      </c>
      <c r="D728" s="24">
        <v>1</v>
      </c>
      <c r="E728" s="24">
        <v>0</v>
      </c>
      <c r="F728" s="24">
        <v>0</v>
      </c>
      <c r="G728" s="24">
        <v>1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1</v>
      </c>
      <c r="P728">
        <v>0</v>
      </c>
      <c r="Q728" s="23">
        <v>8342.9087500000005</v>
      </c>
    </row>
    <row r="729" spans="1:17" hidden="1">
      <c r="A729" s="22">
        <v>46</v>
      </c>
      <c r="B729" s="22">
        <v>33.44</v>
      </c>
      <c r="C729" s="24">
        <v>0</v>
      </c>
      <c r="D729" s="24">
        <v>1</v>
      </c>
      <c r="E729" s="24">
        <v>0</v>
      </c>
      <c r="F729" s="24">
        <v>0</v>
      </c>
      <c r="G729" s="24">
        <v>1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1</v>
      </c>
      <c r="P729">
        <v>0</v>
      </c>
      <c r="Q729" s="23">
        <v>8334.5895999999993</v>
      </c>
    </row>
    <row r="730" spans="1:17" hidden="1">
      <c r="A730" s="22">
        <v>46</v>
      </c>
      <c r="B730" s="22">
        <v>38.17</v>
      </c>
      <c r="C730" s="24">
        <v>0</v>
      </c>
      <c r="D730" s="24">
        <v>1</v>
      </c>
      <c r="E730" s="24">
        <v>0</v>
      </c>
      <c r="F730" s="24">
        <v>0</v>
      </c>
      <c r="G730" s="24">
        <v>1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 s="23">
        <v>8347.1643000000004</v>
      </c>
    </row>
    <row r="731" spans="1:17" hidden="1">
      <c r="A731" s="22">
        <v>46</v>
      </c>
      <c r="B731" s="22">
        <v>40.375</v>
      </c>
      <c r="C731" s="24">
        <v>0</v>
      </c>
      <c r="D731" s="24">
        <v>1</v>
      </c>
      <c r="E731" s="24">
        <v>0</v>
      </c>
      <c r="F731" s="24">
        <v>0</v>
      </c>
      <c r="G731" s="24">
        <v>1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1</v>
      </c>
      <c r="P731">
        <v>0</v>
      </c>
      <c r="Q731" s="23">
        <v>8733.2292500000003</v>
      </c>
    </row>
    <row r="732" spans="1:17" hidden="1">
      <c r="A732" s="22">
        <v>47</v>
      </c>
      <c r="B732" s="22">
        <v>47.52</v>
      </c>
      <c r="C732" s="24">
        <v>0</v>
      </c>
      <c r="D732" s="24">
        <v>1</v>
      </c>
      <c r="E732" s="24">
        <v>0</v>
      </c>
      <c r="F732" s="24">
        <v>0</v>
      </c>
      <c r="G732" s="24">
        <v>1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 s="23">
        <v>8083.9197999999997</v>
      </c>
    </row>
    <row r="733" spans="1:17" hidden="1">
      <c r="A733" s="22">
        <v>47</v>
      </c>
      <c r="B733" s="22">
        <v>36.200000000000003</v>
      </c>
      <c r="C733" s="24">
        <v>0</v>
      </c>
      <c r="D733" s="24">
        <v>1</v>
      </c>
      <c r="E733" s="24">
        <v>0</v>
      </c>
      <c r="F733" s="24">
        <v>0</v>
      </c>
      <c r="G733" s="24">
        <v>1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 s="23">
        <v>8068.1850000000004</v>
      </c>
    </row>
    <row r="734" spans="1:17" hidden="1">
      <c r="A734" s="22">
        <v>47</v>
      </c>
      <c r="B734" s="22">
        <v>32.299999999999997</v>
      </c>
      <c r="C734" s="24">
        <v>0</v>
      </c>
      <c r="D734" s="24">
        <v>1</v>
      </c>
      <c r="E734" s="24">
        <v>0</v>
      </c>
      <c r="F734" s="24">
        <v>0</v>
      </c>
      <c r="G734" s="24">
        <v>1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 s="23">
        <v>8062.7640000000001</v>
      </c>
    </row>
    <row r="735" spans="1:17" hidden="1">
      <c r="A735" s="22">
        <v>48</v>
      </c>
      <c r="B735" s="22">
        <v>35.625</v>
      </c>
      <c r="C735" s="24">
        <v>0</v>
      </c>
      <c r="D735" s="24">
        <v>1</v>
      </c>
      <c r="E735" s="24">
        <v>0</v>
      </c>
      <c r="F735" s="24">
        <v>0</v>
      </c>
      <c r="G735" s="24">
        <v>1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1</v>
      </c>
      <c r="P735">
        <v>0</v>
      </c>
      <c r="Q735" s="23">
        <v>10736.87075</v>
      </c>
    </row>
    <row r="736" spans="1:17" hidden="1">
      <c r="A736" s="22">
        <v>48</v>
      </c>
      <c r="B736" s="22">
        <v>31.445</v>
      </c>
      <c r="C736" s="24">
        <v>0</v>
      </c>
      <c r="D736" s="24">
        <v>1</v>
      </c>
      <c r="E736" s="24">
        <v>0</v>
      </c>
      <c r="F736" s="24">
        <v>0</v>
      </c>
      <c r="G736" s="24">
        <v>1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1</v>
      </c>
      <c r="P736">
        <v>0</v>
      </c>
      <c r="Q736" s="23">
        <v>8964.0605500000001</v>
      </c>
    </row>
    <row r="737" spans="1:17" hidden="1">
      <c r="A737" s="22">
        <v>48</v>
      </c>
      <c r="B737" s="22">
        <v>30.2</v>
      </c>
      <c r="C737" s="24">
        <v>0</v>
      </c>
      <c r="D737" s="24">
        <v>1</v>
      </c>
      <c r="E737" s="24">
        <v>0</v>
      </c>
      <c r="F737" s="24">
        <v>0</v>
      </c>
      <c r="G737" s="24">
        <v>1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 s="23">
        <v>8968.33</v>
      </c>
    </row>
    <row r="738" spans="1:17" hidden="1">
      <c r="A738" s="22">
        <v>48</v>
      </c>
      <c r="B738" s="22">
        <v>34.299999999999997</v>
      </c>
      <c r="C738" s="24">
        <v>0</v>
      </c>
      <c r="D738" s="24">
        <v>1</v>
      </c>
      <c r="E738" s="24">
        <v>0</v>
      </c>
      <c r="F738" s="24">
        <v>0</v>
      </c>
      <c r="G738" s="24">
        <v>1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 s="23">
        <v>9563.0290000000005</v>
      </c>
    </row>
    <row r="739" spans="1:17" hidden="1">
      <c r="A739" s="22">
        <v>48</v>
      </c>
      <c r="B739" s="22">
        <v>30.78</v>
      </c>
      <c r="C739" s="24">
        <v>0</v>
      </c>
      <c r="D739" s="24">
        <v>1</v>
      </c>
      <c r="E739" s="24">
        <v>0</v>
      </c>
      <c r="F739" s="24">
        <v>0</v>
      </c>
      <c r="G739" s="24">
        <v>1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1</v>
      </c>
      <c r="P739">
        <v>0</v>
      </c>
      <c r="Q739" s="23">
        <v>10141.136200000001</v>
      </c>
    </row>
    <row r="740" spans="1:17" hidden="1">
      <c r="A740" s="22">
        <v>48</v>
      </c>
      <c r="B740" s="22">
        <v>36.67</v>
      </c>
      <c r="C740" s="24">
        <v>0</v>
      </c>
      <c r="D740" s="24">
        <v>1</v>
      </c>
      <c r="E740" s="24">
        <v>0</v>
      </c>
      <c r="F740" s="24">
        <v>0</v>
      </c>
      <c r="G740" s="24">
        <v>1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1</v>
      </c>
      <c r="P740">
        <v>0</v>
      </c>
      <c r="Q740" s="23">
        <v>28468.919010000001</v>
      </c>
    </row>
    <row r="741" spans="1:17" hidden="1">
      <c r="A741" s="22">
        <v>48</v>
      </c>
      <c r="B741" s="22">
        <v>40.15</v>
      </c>
      <c r="C741" s="24">
        <v>0</v>
      </c>
      <c r="D741" s="24">
        <v>1</v>
      </c>
      <c r="E741" s="24">
        <v>0</v>
      </c>
      <c r="F741" s="24">
        <v>0</v>
      </c>
      <c r="G741" s="24">
        <v>1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 s="23">
        <v>7804.1605</v>
      </c>
    </row>
    <row r="742" spans="1:17" hidden="1">
      <c r="A742" s="22">
        <v>48</v>
      </c>
      <c r="B742" s="22">
        <v>32.299999999999997</v>
      </c>
      <c r="C742" s="24">
        <v>0</v>
      </c>
      <c r="D742" s="24">
        <v>1</v>
      </c>
      <c r="E742" s="24">
        <v>0</v>
      </c>
      <c r="F742" s="24">
        <v>0</v>
      </c>
      <c r="G742" s="24">
        <v>1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0</v>
      </c>
      <c r="Q742" s="23">
        <v>8765.2489999999998</v>
      </c>
    </row>
    <row r="743" spans="1:17" hidden="1">
      <c r="A743" s="22">
        <v>48</v>
      </c>
      <c r="B743" s="22">
        <v>37.29</v>
      </c>
      <c r="C743" s="24">
        <v>0</v>
      </c>
      <c r="D743" s="24">
        <v>1</v>
      </c>
      <c r="E743" s="24">
        <v>0</v>
      </c>
      <c r="F743" s="24">
        <v>0</v>
      </c>
      <c r="G743" s="24">
        <v>1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 s="23">
        <v>8978.1851000000006</v>
      </c>
    </row>
    <row r="744" spans="1:17" hidden="1">
      <c r="A744" s="22">
        <v>49</v>
      </c>
      <c r="B744" s="22">
        <v>30.3</v>
      </c>
      <c r="C744" s="24">
        <v>0</v>
      </c>
      <c r="D744" s="24">
        <v>1</v>
      </c>
      <c r="E744" s="24">
        <v>0</v>
      </c>
      <c r="F744" s="24">
        <v>0</v>
      </c>
      <c r="G744" s="24">
        <v>1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 s="23">
        <v>8116.68</v>
      </c>
    </row>
    <row r="745" spans="1:17" hidden="1">
      <c r="A745" s="22">
        <v>49</v>
      </c>
      <c r="B745" s="22">
        <v>35.86</v>
      </c>
      <c r="C745" s="24">
        <v>0</v>
      </c>
      <c r="D745" s="24">
        <v>1</v>
      </c>
      <c r="E745" s="24">
        <v>0</v>
      </c>
      <c r="F745" s="24">
        <v>0</v>
      </c>
      <c r="G745" s="24">
        <v>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 s="23">
        <v>8124.4084000000003</v>
      </c>
    </row>
    <row r="746" spans="1:17" hidden="1">
      <c r="A746" s="22">
        <v>49</v>
      </c>
      <c r="B746" s="22">
        <v>31.35</v>
      </c>
      <c r="C746" s="24">
        <v>0</v>
      </c>
      <c r="D746" s="24">
        <v>1</v>
      </c>
      <c r="E746" s="24">
        <v>0</v>
      </c>
      <c r="F746" s="24">
        <v>0</v>
      </c>
      <c r="G746" s="24">
        <v>1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1</v>
      </c>
      <c r="P746">
        <v>0</v>
      </c>
      <c r="Q746" s="23">
        <v>9290.1394999999993</v>
      </c>
    </row>
    <row r="747" spans="1:17" hidden="1">
      <c r="A747" s="22">
        <v>49</v>
      </c>
      <c r="B747" s="22">
        <v>32.299999999999997</v>
      </c>
      <c r="C747" s="24">
        <v>0</v>
      </c>
      <c r="D747" s="24">
        <v>1</v>
      </c>
      <c r="E747" s="24">
        <v>0</v>
      </c>
      <c r="F747" s="24">
        <v>0</v>
      </c>
      <c r="G747" s="24">
        <v>1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1</v>
      </c>
      <c r="P747">
        <v>0</v>
      </c>
      <c r="Q747" s="23">
        <v>10269.459999999999</v>
      </c>
    </row>
    <row r="748" spans="1:17" hidden="1">
      <c r="A748" s="22">
        <v>49</v>
      </c>
      <c r="B748" s="22">
        <v>37.51</v>
      </c>
      <c r="C748" s="24">
        <v>0</v>
      </c>
      <c r="D748" s="24">
        <v>1</v>
      </c>
      <c r="E748" s="24">
        <v>0</v>
      </c>
      <c r="F748" s="24">
        <v>0</v>
      </c>
      <c r="G748" s="24">
        <v>1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 s="23">
        <v>9304.7019</v>
      </c>
    </row>
    <row r="749" spans="1:17" hidden="1">
      <c r="A749" s="22">
        <v>49</v>
      </c>
      <c r="B749" s="22">
        <v>36.85</v>
      </c>
      <c r="C749" s="24">
        <v>0</v>
      </c>
      <c r="D749" s="24">
        <v>1</v>
      </c>
      <c r="E749" s="24">
        <v>0</v>
      </c>
      <c r="F749" s="24">
        <v>0</v>
      </c>
      <c r="G749" s="24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 s="23">
        <v>8125.7844999999998</v>
      </c>
    </row>
    <row r="750" spans="1:17" hidden="1">
      <c r="A750" s="22">
        <v>50</v>
      </c>
      <c r="B750" s="22">
        <v>32.204999999999998</v>
      </c>
      <c r="C750" s="24">
        <v>0</v>
      </c>
      <c r="D750" s="24">
        <v>1</v>
      </c>
      <c r="E750" s="24">
        <v>0</v>
      </c>
      <c r="F750" s="24">
        <v>0</v>
      </c>
      <c r="G750" s="24">
        <v>1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1</v>
      </c>
      <c r="P750">
        <v>0</v>
      </c>
      <c r="Q750" s="23">
        <v>8835.2649500000007</v>
      </c>
    </row>
    <row r="751" spans="1:17" hidden="1">
      <c r="A751" s="22">
        <v>50</v>
      </c>
      <c r="B751" s="22">
        <v>44.77</v>
      </c>
      <c r="C751" s="24">
        <v>0</v>
      </c>
      <c r="D751" s="24">
        <v>1</v>
      </c>
      <c r="E751" s="24">
        <v>0</v>
      </c>
      <c r="F751" s="24">
        <v>0</v>
      </c>
      <c r="G751" s="24">
        <v>1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 s="23">
        <v>9058.7302999999993</v>
      </c>
    </row>
    <row r="752" spans="1:17" hidden="1">
      <c r="A752" s="22">
        <v>50</v>
      </c>
      <c r="B752" s="22">
        <v>36.200000000000003</v>
      </c>
      <c r="C752" s="24">
        <v>0</v>
      </c>
      <c r="D752" s="24">
        <v>1</v>
      </c>
      <c r="E752" s="24">
        <v>0</v>
      </c>
      <c r="F752" s="24">
        <v>0</v>
      </c>
      <c r="G752" s="24">
        <v>1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 s="23">
        <v>8457.8179999999993</v>
      </c>
    </row>
    <row r="753" spans="1:17" hidden="1">
      <c r="A753" s="22">
        <v>50</v>
      </c>
      <c r="B753" s="22">
        <v>32.11</v>
      </c>
      <c r="C753" s="24">
        <v>0</v>
      </c>
      <c r="D753" s="24">
        <v>1</v>
      </c>
      <c r="E753" s="24">
        <v>0</v>
      </c>
      <c r="F753" s="24">
        <v>0</v>
      </c>
      <c r="G753" s="24">
        <v>1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1</v>
      </c>
      <c r="P753">
        <v>0</v>
      </c>
      <c r="Q753" s="23">
        <v>25333.332839999999</v>
      </c>
    </row>
    <row r="754" spans="1:17" hidden="1">
      <c r="A754" s="22">
        <v>50</v>
      </c>
      <c r="B754" s="22">
        <v>37.07</v>
      </c>
      <c r="C754" s="24">
        <v>0</v>
      </c>
      <c r="D754" s="24">
        <v>1</v>
      </c>
      <c r="E754" s="24">
        <v>0</v>
      </c>
      <c r="F754" s="24">
        <v>0</v>
      </c>
      <c r="G754" s="24">
        <v>1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 s="23">
        <v>9048.0272999999997</v>
      </c>
    </row>
    <row r="755" spans="1:17" hidden="1">
      <c r="A755" s="22">
        <v>50</v>
      </c>
      <c r="B755" s="22">
        <v>32.299999999999997</v>
      </c>
      <c r="C755" s="24">
        <v>0</v>
      </c>
      <c r="D755" s="24">
        <v>1</v>
      </c>
      <c r="E755" s="24">
        <v>0</v>
      </c>
      <c r="F755" s="24">
        <v>0</v>
      </c>
      <c r="G755" s="24">
        <v>1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 s="23">
        <v>9630.3970000000008</v>
      </c>
    </row>
    <row r="756" spans="1:17" hidden="1">
      <c r="A756" s="22">
        <v>50</v>
      </c>
      <c r="B756" s="22">
        <v>30.97</v>
      </c>
      <c r="C756" s="24">
        <v>0</v>
      </c>
      <c r="D756" s="24">
        <v>1</v>
      </c>
      <c r="E756" s="24">
        <v>0</v>
      </c>
      <c r="F756" s="24">
        <v>0</v>
      </c>
      <c r="G756" s="24">
        <v>1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0</v>
      </c>
      <c r="Q756" s="23">
        <v>10600.5483</v>
      </c>
    </row>
    <row r="757" spans="1:17" hidden="1">
      <c r="A757" s="22">
        <v>51</v>
      </c>
      <c r="B757" s="22">
        <v>31.635000000000002</v>
      </c>
      <c r="C757" s="24">
        <v>0</v>
      </c>
      <c r="D757" s="24">
        <v>1</v>
      </c>
      <c r="E757" s="24">
        <v>0</v>
      </c>
      <c r="F757" s="24">
        <v>0</v>
      </c>
      <c r="G757" s="24">
        <v>1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1</v>
      </c>
      <c r="P757">
        <v>0</v>
      </c>
      <c r="Q757" s="23">
        <v>9174.1356500000002</v>
      </c>
    </row>
    <row r="758" spans="1:17" hidden="1">
      <c r="A758" s="22">
        <v>51</v>
      </c>
      <c r="B758" s="22">
        <v>39.700000000000003</v>
      </c>
      <c r="C758" s="24">
        <v>0</v>
      </c>
      <c r="D758" s="24">
        <v>1</v>
      </c>
      <c r="E758" s="24">
        <v>0</v>
      </c>
      <c r="F758" s="24">
        <v>0</v>
      </c>
      <c r="G758" s="24">
        <v>1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 s="23">
        <v>9391.3459999999995</v>
      </c>
    </row>
    <row r="759" spans="1:17" hidden="1">
      <c r="A759" s="22">
        <v>51</v>
      </c>
      <c r="B759" s="22">
        <v>33.33</v>
      </c>
      <c r="C759" s="24">
        <v>0</v>
      </c>
      <c r="D759" s="24">
        <v>1</v>
      </c>
      <c r="E759" s="24">
        <v>0</v>
      </c>
      <c r="F759" s="24">
        <v>0</v>
      </c>
      <c r="G759" s="24">
        <v>1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 s="23">
        <v>10560.4917</v>
      </c>
    </row>
    <row r="760" spans="1:17" hidden="1">
      <c r="A760" s="22">
        <v>51</v>
      </c>
      <c r="B760" s="22">
        <v>35.97</v>
      </c>
      <c r="C760" s="24">
        <v>0</v>
      </c>
      <c r="D760" s="24">
        <v>1</v>
      </c>
      <c r="E760" s="24">
        <v>0</v>
      </c>
      <c r="F760" s="24">
        <v>0</v>
      </c>
      <c r="G760" s="24">
        <v>1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 s="23">
        <v>9386.1612999999998</v>
      </c>
    </row>
    <row r="761" spans="1:17" hidden="1">
      <c r="A761" s="22">
        <v>51</v>
      </c>
      <c r="B761" s="22">
        <v>37</v>
      </c>
      <c r="C761" s="24">
        <v>0</v>
      </c>
      <c r="D761" s="24">
        <v>1</v>
      </c>
      <c r="E761" s="24">
        <v>0</v>
      </c>
      <c r="F761" s="24">
        <v>0</v>
      </c>
      <c r="G761" s="24">
        <v>1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 s="23">
        <v>8798.5930000000008</v>
      </c>
    </row>
    <row r="762" spans="1:17" hidden="1">
      <c r="A762" s="22">
        <v>51</v>
      </c>
      <c r="B762" s="22">
        <v>32.299999999999997</v>
      </c>
      <c r="C762" s="24">
        <v>0</v>
      </c>
      <c r="D762" s="24">
        <v>1</v>
      </c>
      <c r="E762" s="24">
        <v>0</v>
      </c>
      <c r="F762" s="24">
        <v>0</v>
      </c>
      <c r="G762" s="24">
        <v>1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1</v>
      </c>
      <c r="P762">
        <v>0</v>
      </c>
      <c r="Q762" s="23">
        <v>9964.06</v>
      </c>
    </row>
    <row r="763" spans="1:17" hidden="1">
      <c r="A763" s="22">
        <v>51</v>
      </c>
      <c r="B763" s="22">
        <v>30.03</v>
      </c>
      <c r="C763" s="24">
        <v>0</v>
      </c>
      <c r="D763" s="24">
        <v>1</v>
      </c>
      <c r="E763" s="24">
        <v>0</v>
      </c>
      <c r="F763" s="24">
        <v>0</v>
      </c>
      <c r="G763" s="24">
        <v>1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 s="23">
        <v>9377.9046999999991</v>
      </c>
    </row>
    <row r="764" spans="1:17" hidden="1">
      <c r="A764" s="22">
        <v>52</v>
      </c>
      <c r="B764" s="22">
        <v>32.204999999999998</v>
      </c>
      <c r="C764" s="24">
        <v>0</v>
      </c>
      <c r="D764" s="24">
        <v>1</v>
      </c>
      <c r="E764" s="24">
        <v>0</v>
      </c>
      <c r="F764" s="24">
        <v>0</v>
      </c>
      <c r="G764" s="24">
        <v>1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1</v>
      </c>
      <c r="P764">
        <v>0</v>
      </c>
      <c r="Q764" s="23">
        <v>11488.31695</v>
      </c>
    </row>
    <row r="765" spans="1:17" hidden="1">
      <c r="A765" s="22">
        <v>52</v>
      </c>
      <c r="B765" s="22">
        <v>33.25</v>
      </c>
      <c r="C765" s="24">
        <v>0</v>
      </c>
      <c r="D765" s="24">
        <v>1</v>
      </c>
      <c r="E765" s="24">
        <v>0</v>
      </c>
      <c r="F765" s="24">
        <v>0</v>
      </c>
      <c r="G765" s="24">
        <v>1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1</v>
      </c>
      <c r="P765">
        <v>0</v>
      </c>
      <c r="Q765" s="23">
        <v>9722.7695000000003</v>
      </c>
    </row>
    <row r="766" spans="1:17" hidden="1">
      <c r="A766" s="22">
        <v>52</v>
      </c>
      <c r="B766" s="22">
        <v>36.700000000000003</v>
      </c>
      <c r="C766" s="24">
        <v>0</v>
      </c>
      <c r="D766" s="24">
        <v>1</v>
      </c>
      <c r="E766" s="24">
        <v>0</v>
      </c>
      <c r="F766" s="24">
        <v>0</v>
      </c>
      <c r="G766" s="24">
        <v>1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 s="23">
        <v>9144.5650000000005</v>
      </c>
    </row>
    <row r="767" spans="1:17" hidden="1">
      <c r="A767" s="22">
        <v>52</v>
      </c>
      <c r="B767" s="22">
        <v>34.1</v>
      </c>
      <c r="C767" s="24">
        <v>0</v>
      </c>
      <c r="D767" s="24">
        <v>1</v>
      </c>
      <c r="E767" s="24">
        <v>0</v>
      </c>
      <c r="F767" s="24">
        <v>0</v>
      </c>
      <c r="G767" s="24">
        <v>1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 s="23">
        <v>9140.9509999999991</v>
      </c>
    </row>
    <row r="768" spans="1:17" hidden="1">
      <c r="A768" s="22">
        <v>52</v>
      </c>
      <c r="B768" s="22">
        <v>30.2</v>
      </c>
      <c r="C768" s="24">
        <v>0</v>
      </c>
      <c r="D768" s="24">
        <v>1</v>
      </c>
      <c r="E768" s="24">
        <v>0</v>
      </c>
      <c r="F768" s="24">
        <v>0</v>
      </c>
      <c r="G768" s="24">
        <v>1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 s="23">
        <v>9724.5300000000007</v>
      </c>
    </row>
    <row r="769" spans="1:17" hidden="1">
      <c r="A769" s="22">
        <v>52</v>
      </c>
      <c r="B769" s="22">
        <v>36.765000000000001</v>
      </c>
      <c r="C769" s="24">
        <v>0</v>
      </c>
      <c r="D769" s="24">
        <v>1</v>
      </c>
      <c r="E769" s="24">
        <v>0</v>
      </c>
      <c r="F769" s="24">
        <v>0</v>
      </c>
      <c r="G769" s="24">
        <v>1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1</v>
      </c>
      <c r="P769">
        <v>0</v>
      </c>
      <c r="Q769" s="23">
        <v>26467.09737</v>
      </c>
    </row>
    <row r="770" spans="1:17" hidden="1">
      <c r="A770" s="22">
        <v>52</v>
      </c>
      <c r="B770" s="22">
        <v>47.74</v>
      </c>
      <c r="C770" s="24">
        <v>0</v>
      </c>
      <c r="D770" s="24">
        <v>1</v>
      </c>
      <c r="E770" s="24">
        <v>0</v>
      </c>
      <c r="F770" s="24">
        <v>0</v>
      </c>
      <c r="G770" s="24">
        <v>1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 s="23">
        <v>9748.9105999999992</v>
      </c>
    </row>
    <row r="771" spans="1:17" hidden="1">
      <c r="A771" s="22">
        <v>52</v>
      </c>
      <c r="B771" s="22">
        <v>32.774999999999999</v>
      </c>
      <c r="C771" s="24">
        <v>0</v>
      </c>
      <c r="D771" s="24">
        <v>1</v>
      </c>
      <c r="E771" s="24">
        <v>0</v>
      </c>
      <c r="F771" s="24">
        <v>0</v>
      </c>
      <c r="G771" s="24">
        <v>1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1</v>
      </c>
      <c r="P771">
        <v>0</v>
      </c>
      <c r="Q771" s="23">
        <v>11289.10925</v>
      </c>
    </row>
    <row r="772" spans="1:17" hidden="1">
      <c r="A772" s="22">
        <v>52</v>
      </c>
      <c r="B772" s="22">
        <v>38.6</v>
      </c>
      <c r="C772" s="24">
        <v>0</v>
      </c>
      <c r="D772" s="24">
        <v>1</v>
      </c>
      <c r="E772" s="24">
        <v>0</v>
      </c>
      <c r="F772" s="24">
        <v>0</v>
      </c>
      <c r="G772" s="24">
        <v>1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 s="23">
        <v>10325.206</v>
      </c>
    </row>
    <row r="773" spans="1:17" hidden="1">
      <c r="A773" s="22">
        <v>53</v>
      </c>
      <c r="B773" s="22">
        <v>31.16</v>
      </c>
      <c r="C773" s="24">
        <v>0</v>
      </c>
      <c r="D773" s="24">
        <v>1</v>
      </c>
      <c r="E773" s="24">
        <v>0</v>
      </c>
      <c r="F773" s="24">
        <v>0</v>
      </c>
      <c r="G773" s="24">
        <v>1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1</v>
      </c>
      <c r="P773">
        <v>0</v>
      </c>
      <c r="Q773" s="23">
        <v>10461.9794</v>
      </c>
    </row>
    <row r="774" spans="1:17" hidden="1">
      <c r="A774" s="22">
        <v>53</v>
      </c>
      <c r="B774" s="22">
        <v>31.35</v>
      </c>
      <c r="C774" s="24">
        <v>0</v>
      </c>
      <c r="D774" s="24">
        <v>1</v>
      </c>
      <c r="E774" s="24">
        <v>0</v>
      </c>
      <c r="F774" s="24">
        <v>0</v>
      </c>
      <c r="G774" s="24">
        <v>1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 s="23">
        <v>27346.04207</v>
      </c>
    </row>
    <row r="775" spans="1:17" hidden="1">
      <c r="A775" s="22">
        <v>53</v>
      </c>
      <c r="B775" s="22">
        <v>36.1</v>
      </c>
      <c r="C775" s="24">
        <v>0</v>
      </c>
      <c r="D775" s="24">
        <v>1</v>
      </c>
      <c r="E775" s="24">
        <v>0</v>
      </c>
      <c r="F775" s="24">
        <v>0</v>
      </c>
      <c r="G775" s="24">
        <v>1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 s="23">
        <v>10085.846</v>
      </c>
    </row>
    <row r="776" spans="1:17" hidden="1">
      <c r="A776" s="22">
        <v>53</v>
      </c>
      <c r="B776" s="22">
        <v>41.47</v>
      </c>
      <c r="C776" s="24">
        <v>0</v>
      </c>
      <c r="D776" s="24">
        <v>1</v>
      </c>
      <c r="E776" s="24">
        <v>0</v>
      </c>
      <c r="F776" s="24">
        <v>0</v>
      </c>
      <c r="G776" s="24">
        <v>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 s="23">
        <v>9504.3102999999992</v>
      </c>
    </row>
    <row r="777" spans="1:17" hidden="1">
      <c r="A777" s="22">
        <v>53</v>
      </c>
      <c r="B777" s="22">
        <v>36.6</v>
      </c>
      <c r="C777" s="24">
        <v>0</v>
      </c>
      <c r="D777" s="24">
        <v>1</v>
      </c>
      <c r="E777" s="24">
        <v>0</v>
      </c>
      <c r="F777" s="24">
        <v>0</v>
      </c>
      <c r="G777" s="24">
        <v>1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 s="23">
        <v>11264.540999999999</v>
      </c>
    </row>
    <row r="778" spans="1:17" hidden="1">
      <c r="A778" s="22">
        <v>53</v>
      </c>
      <c r="B778" s="22">
        <v>30.495000000000001</v>
      </c>
      <c r="C778" s="24">
        <v>0</v>
      </c>
      <c r="D778" s="24">
        <v>1</v>
      </c>
      <c r="E778" s="24">
        <v>0</v>
      </c>
      <c r="F778" s="24">
        <v>0</v>
      </c>
      <c r="G778" s="24">
        <v>1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1</v>
      </c>
      <c r="P778">
        <v>0</v>
      </c>
      <c r="Q778" s="23">
        <v>10072.055050000001</v>
      </c>
    </row>
    <row r="779" spans="1:17" hidden="1">
      <c r="A779" s="22">
        <v>54</v>
      </c>
      <c r="B779" s="22">
        <v>33.630000000000003</v>
      </c>
      <c r="C779" s="24">
        <v>0</v>
      </c>
      <c r="D779" s="24">
        <v>1</v>
      </c>
      <c r="E779" s="24">
        <v>0</v>
      </c>
      <c r="F779" s="24">
        <v>0</v>
      </c>
      <c r="G779" s="24">
        <v>1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1</v>
      </c>
      <c r="P779">
        <v>0</v>
      </c>
      <c r="Q779" s="23">
        <v>10825.253699999999</v>
      </c>
    </row>
    <row r="780" spans="1:17" hidden="1">
      <c r="A780" s="22">
        <v>54</v>
      </c>
      <c r="B780" s="22">
        <v>39.6</v>
      </c>
      <c r="C780" s="24">
        <v>0</v>
      </c>
      <c r="D780" s="24">
        <v>1</v>
      </c>
      <c r="E780" s="24">
        <v>0</v>
      </c>
      <c r="F780" s="24">
        <v>0</v>
      </c>
      <c r="G780" s="24">
        <v>1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 s="23">
        <v>10450.552</v>
      </c>
    </row>
    <row r="781" spans="1:17" hidden="1">
      <c r="A781" s="22">
        <v>54</v>
      </c>
      <c r="B781" s="22">
        <v>30.02</v>
      </c>
      <c r="C781" s="24">
        <v>0</v>
      </c>
      <c r="D781" s="24">
        <v>1</v>
      </c>
      <c r="E781" s="24">
        <v>0</v>
      </c>
      <c r="F781" s="24">
        <v>0</v>
      </c>
      <c r="G781" s="24">
        <v>1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1</v>
      </c>
      <c r="P781">
        <v>0</v>
      </c>
      <c r="Q781" s="23">
        <v>24476.478510000001</v>
      </c>
    </row>
    <row r="782" spans="1:17" hidden="1">
      <c r="A782" s="22">
        <v>54</v>
      </c>
      <c r="B782" s="22">
        <v>32.774999999999999</v>
      </c>
      <c r="C782" s="24">
        <v>0</v>
      </c>
      <c r="D782" s="24">
        <v>1</v>
      </c>
      <c r="E782" s="24">
        <v>0</v>
      </c>
      <c r="F782" s="24">
        <v>0</v>
      </c>
      <c r="G782" s="24">
        <v>1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1</v>
      </c>
      <c r="P782">
        <v>0</v>
      </c>
      <c r="Q782" s="23">
        <v>10435.06525</v>
      </c>
    </row>
    <row r="783" spans="1:17" hidden="1">
      <c r="A783" s="22">
        <v>54</v>
      </c>
      <c r="B783" s="22">
        <v>30.21</v>
      </c>
      <c r="C783" s="24">
        <v>0</v>
      </c>
      <c r="D783" s="24">
        <v>1</v>
      </c>
      <c r="E783" s="24">
        <v>0</v>
      </c>
      <c r="F783" s="24">
        <v>0</v>
      </c>
      <c r="G783" s="24">
        <v>1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1</v>
      </c>
      <c r="P783">
        <v>0</v>
      </c>
      <c r="Q783" s="23">
        <v>10231.499900000001</v>
      </c>
    </row>
    <row r="784" spans="1:17" hidden="1">
      <c r="A784" s="22">
        <v>54</v>
      </c>
      <c r="B784" s="22">
        <v>31.6</v>
      </c>
      <c r="C784" s="24">
        <v>0</v>
      </c>
      <c r="D784" s="24">
        <v>1</v>
      </c>
      <c r="E784" s="24">
        <v>0</v>
      </c>
      <c r="F784" s="24">
        <v>0</v>
      </c>
      <c r="G784" s="24">
        <v>1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 s="23">
        <v>9850.4320000000007</v>
      </c>
    </row>
    <row r="785" spans="1:17" hidden="1">
      <c r="A785" s="22">
        <v>55</v>
      </c>
      <c r="B785" s="22">
        <v>37.299999999999997</v>
      </c>
      <c r="C785" s="24">
        <v>0</v>
      </c>
      <c r="D785" s="24">
        <v>1</v>
      </c>
      <c r="E785" s="24">
        <v>0</v>
      </c>
      <c r="F785" s="24">
        <v>0</v>
      </c>
      <c r="G785" s="24">
        <v>1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 s="23">
        <v>20630.283510000001</v>
      </c>
    </row>
    <row r="786" spans="1:17" hidden="1">
      <c r="A786" s="22">
        <v>55</v>
      </c>
      <c r="B786" s="22">
        <v>38.28</v>
      </c>
      <c r="C786" s="24">
        <v>0</v>
      </c>
      <c r="D786" s="24">
        <v>1</v>
      </c>
      <c r="E786" s="24">
        <v>0</v>
      </c>
      <c r="F786" s="24">
        <v>0</v>
      </c>
      <c r="G786" s="24">
        <v>1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 s="23">
        <v>10226.2842</v>
      </c>
    </row>
    <row r="787" spans="1:17" hidden="1">
      <c r="A787" s="22">
        <v>55</v>
      </c>
      <c r="B787" s="22">
        <v>33.880000000000003</v>
      </c>
      <c r="C787" s="24">
        <v>0</v>
      </c>
      <c r="D787" s="24">
        <v>1</v>
      </c>
      <c r="E787" s="24">
        <v>0</v>
      </c>
      <c r="F787" s="24">
        <v>0</v>
      </c>
      <c r="G787" s="24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 s="23">
        <v>11987.1682</v>
      </c>
    </row>
    <row r="788" spans="1:17" hidden="1">
      <c r="A788" s="22">
        <v>55</v>
      </c>
      <c r="B788" s="22">
        <v>33</v>
      </c>
      <c r="C788" s="24">
        <v>0</v>
      </c>
      <c r="D788" s="24">
        <v>1</v>
      </c>
      <c r="E788" s="24">
        <v>0</v>
      </c>
      <c r="F788" s="24">
        <v>0</v>
      </c>
      <c r="G788" s="24">
        <v>1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 s="23">
        <v>20781.48892</v>
      </c>
    </row>
    <row r="789" spans="1:17" hidden="1">
      <c r="A789" s="22">
        <v>55</v>
      </c>
      <c r="B789" s="22">
        <v>32.774999999999999</v>
      </c>
      <c r="C789" s="24">
        <v>0</v>
      </c>
      <c r="D789" s="24">
        <v>1</v>
      </c>
      <c r="E789" s="24">
        <v>0</v>
      </c>
      <c r="F789" s="24">
        <v>0</v>
      </c>
      <c r="G789" s="24">
        <v>1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1</v>
      </c>
      <c r="P789">
        <v>0</v>
      </c>
      <c r="Q789" s="23">
        <v>10601.632250000001</v>
      </c>
    </row>
    <row r="790" spans="1:17" hidden="1">
      <c r="A790" s="22">
        <v>55</v>
      </c>
      <c r="B790" s="22">
        <v>35.244999999999997</v>
      </c>
      <c r="C790" s="24">
        <v>0</v>
      </c>
      <c r="D790" s="24">
        <v>1</v>
      </c>
      <c r="E790" s="24">
        <v>0</v>
      </c>
      <c r="F790" s="24">
        <v>0</v>
      </c>
      <c r="G790" s="24">
        <v>1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</v>
      </c>
      <c r="P790">
        <v>0</v>
      </c>
      <c r="Q790" s="23">
        <v>11394.065549999999</v>
      </c>
    </row>
    <row r="791" spans="1:17" hidden="1">
      <c r="A791" s="22">
        <v>55</v>
      </c>
      <c r="B791" s="22">
        <v>32.67</v>
      </c>
      <c r="C791" s="24">
        <v>0</v>
      </c>
      <c r="D791" s="24">
        <v>1</v>
      </c>
      <c r="E791" s="24">
        <v>0</v>
      </c>
      <c r="F791" s="24">
        <v>0</v>
      </c>
      <c r="G791" s="24">
        <v>1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 s="23">
        <v>10807.4863</v>
      </c>
    </row>
    <row r="792" spans="1:17" hidden="1">
      <c r="A792" s="22">
        <v>55</v>
      </c>
      <c r="B792" s="22">
        <v>37.715000000000003</v>
      </c>
      <c r="C792" s="24">
        <v>0</v>
      </c>
      <c r="D792" s="24">
        <v>1</v>
      </c>
      <c r="E792" s="24">
        <v>0</v>
      </c>
      <c r="F792" s="24">
        <v>0</v>
      </c>
      <c r="G792" s="24">
        <v>1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1</v>
      </c>
      <c r="P792">
        <v>0</v>
      </c>
      <c r="Q792" s="23">
        <v>30063.580549999999</v>
      </c>
    </row>
    <row r="793" spans="1:17" hidden="1">
      <c r="A793" s="22">
        <v>56</v>
      </c>
      <c r="B793" s="22">
        <v>40.299999999999997</v>
      </c>
      <c r="C793" s="24">
        <v>0</v>
      </c>
      <c r="D793" s="24">
        <v>1</v>
      </c>
      <c r="E793" s="24">
        <v>0</v>
      </c>
      <c r="F793" s="24">
        <v>0</v>
      </c>
      <c r="G793" s="24">
        <v>1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 s="23">
        <v>10602.385</v>
      </c>
    </row>
    <row r="794" spans="1:17" hidden="1">
      <c r="A794" s="22">
        <v>56</v>
      </c>
      <c r="B794" s="22">
        <v>39.6</v>
      </c>
      <c r="C794" s="24">
        <v>0</v>
      </c>
      <c r="D794" s="24">
        <v>1</v>
      </c>
      <c r="E794" s="24">
        <v>0</v>
      </c>
      <c r="F794" s="24">
        <v>0</v>
      </c>
      <c r="G794" s="24">
        <v>1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 s="23">
        <v>10601.412</v>
      </c>
    </row>
    <row r="795" spans="1:17" hidden="1">
      <c r="A795" s="22">
        <v>56</v>
      </c>
      <c r="B795" s="22">
        <v>32.11</v>
      </c>
      <c r="C795" s="24">
        <v>0</v>
      </c>
      <c r="D795" s="24">
        <v>1</v>
      </c>
      <c r="E795" s="24">
        <v>0</v>
      </c>
      <c r="F795" s="24">
        <v>0</v>
      </c>
      <c r="G795" s="24">
        <v>1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1</v>
      </c>
      <c r="P795">
        <v>0</v>
      </c>
      <c r="Q795" s="23">
        <v>11763.000899999999</v>
      </c>
    </row>
    <row r="796" spans="1:17" hidden="1">
      <c r="A796" s="22">
        <v>56</v>
      </c>
      <c r="B796" s="22">
        <v>33.659999999999997</v>
      </c>
      <c r="C796" s="24">
        <v>0</v>
      </c>
      <c r="D796" s="24">
        <v>1</v>
      </c>
      <c r="E796" s="24">
        <v>0</v>
      </c>
      <c r="F796" s="24">
        <v>0</v>
      </c>
      <c r="G796" s="24">
        <v>1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 s="23">
        <v>12949.1554</v>
      </c>
    </row>
    <row r="797" spans="1:17" hidden="1">
      <c r="A797" s="22">
        <v>56</v>
      </c>
      <c r="B797" s="22">
        <v>36.1</v>
      </c>
      <c r="C797" s="24">
        <v>0</v>
      </c>
      <c r="D797" s="24">
        <v>1</v>
      </c>
      <c r="E797" s="24">
        <v>0</v>
      </c>
      <c r="F797" s="24">
        <v>0</v>
      </c>
      <c r="G797" s="24">
        <v>1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 s="23">
        <v>12363.547</v>
      </c>
    </row>
    <row r="798" spans="1:17" hidden="1">
      <c r="A798" s="22">
        <v>56</v>
      </c>
      <c r="B798" s="22">
        <v>33.725000000000001</v>
      </c>
      <c r="C798" s="24">
        <v>0</v>
      </c>
      <c r="D798" s="24">
        <v>1</v>
      </c>
      <c r="E798" s="24">
        <v>0</v>
      </c>
      <c r="F798" s="24">
        <v>0</v>
      </c>
      <c r="G798" s="24">
        <v>1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</v>
      </c>
      <c r="P798">
        <v>0</v>
      </c>
      <c r="Q798" s="23">
        <v>10976.24575</v>
      </c>
    </row>
    <row r="799" spans="1:17" hidden="1">
      <c r="A799" s="22">
        <v>56</v>
      </c>
      <c r="B799" s="22">
        <v>34.43</v>
      </c>
      <c r="C799" s="24">
        <v>0</v>
      </c>
      <c r="D799" s="24">
        <v>1</v>
      </c>
      <c r="E799" s="24">
        <v>0</v>
      </c>
      <c r="F799" s="24">
        <v>0</v>
      </c>
      <c r="G799" s="24">
        <v>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 s="23">
        <v>10594.225700000001</v>
      </c>
    </row>
    <row r="800" spans="1:17" hidden="1">
      <c r="A800" s="22">
        <v>57</v>
      </c>
      <c r="B800" s="22">
        <v>34.01</v>
      </c>
      <c r="C800" s="24">
        <v>0</v>
      </c>
      <c r="D800" s="24">
        <v>1</v>
      </c>
      <c r="E800" s="24">
        <v>0</v>
      </c>
      <c r="F800" s="24">
        <v>0</v>
      </c>
      <c r="G800" s="24">
        <v>1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1</v>
      </c>
      <c r="P800">
        <v>0</v>
      </c>
      <c r="Q800" s="23">
        <v>11356.660900000001</v>
      </c>
    </row>
    <row r="801" spans="1:17" hidden="1">
      <c r="A801" s="22">
        <v>57</v>
      </c>
      <c r="B801" s="22">
        <v>40.945</v>
      </c>
      <c r="C801" s="24">
        <v>0</v>
      </c>
      <c r="D801" s="24">
        <v>1</v>
      </c>
      <c r="E801" s="24">
        <v>0</v>
      </c>
      <c r="F801" s="24">
        <v>0</v>
      </c>
      <c r="G801" s="24">
        <v>1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1</v>
      </c>
      <c r="P801">
        <v>0</v>
      </c>
      <c r="Q801" s="23">
        <v>11566.30055</v>
      </c>
    </row>
    <row r="802" spans="1:17" hidden="1">
      <c r="A802" s="22">
        <v>57</v>
      </c>
      <c r="B802" s="22">
        <v>43.7</v>
      </c>
      <c r="C802" s="24">
        <v>0</v>
      </c>
      <c r="D802" s="24">
        <v>1</v>
      </c>
      <c r="E802" s="24">
        <v>0</v>
      </c>
      <c r="F802" s="24">
        <v>0</v>
      </c>
      <c r="G802" s="24">
        <v>1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 s="23">
        <v>11576.13</v>
      </c>
    </row>
    <row r="803" spans="1:17" hidden="1">
      <c r="A803" s="22">
        <v>57</v>
      </c>
      <c r="B803" s="22">
        <v>33.630000000000003</v>
      </c>
      <c r="C803" s="24">
        <v>0</v>
      </c>
      <c r="D803" s="24">
        <v>1</v>
      </c>
      <c r="E803" s="24">
        <v>0</v>
      </c>
      <c r="F803" s="24">
        <v>0</v>
      </c>
      <c r="G803" s="24">
        <v>1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1</v>
      </c>
      <c r="P803">
        <v>0</v>
      </c>
      <c r="Q803" s="23">
        <v>11945.1327</v>
      </c>
    </row>
    <row r="804" spans="1:17" hidden="1">
      <c r="A804" s="22">
        <v>57</v>
      </c>
      <c r="B804" s="22">
        <v>31.54</v>
      </c>
      <c r="C804" s="24">
        <v>0</v>
      </c>
      <c r="D804" s="24">
        <v>1</v>
      </c>
      <c r="E804" s="24">
        <v>0</v>
      </c>
      <c r="F804" s="24">
        <v>0</v>
      </c>
      <c r="G804" s="24">
        <v>1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1</v>
      </c>
      <c r="P804">
        <v>0</v>
      </c>
      <c r="Q804" s="23">
        <v>11353.2276</v>
      </c>
    </row>
    <row r="805" spans="1:17" hidden="1">
      <c r="A805" s="22">
        <v>57</v>
      </c>
      <c r="B805" s="22">
        <v>40.28</v>
      </c>
      <c r="C805" s="24">
        <v>0</v>
      </c>
      <c r="D805" s="24">
        <v>1</v>
      </c>
      <c r="E805" s="24">
        <v>0</v>
      </c>
      <c r="F805" s="24">
        <v>0</v>
      </c>
      <c r="G805" s="24">
        <v>1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</v>
      </c>
      <c r="P805">
        <v>0</v>
      </c>
      <c r="Q805" s="23">
        <v>20709.020339999999</v>
      </c>
    </row>
    <row r="806" spans="1:17" hidden="1">
      <c r="A806" s="22">
        <v>57</v>
      </c>
      <c r="B806" s="22">
        <v>40.369999999999997</v>
      </c>
      <c r="C806" s="24">
        <v>0</v>
      </c>
      <c r="D806" s="24">
        <v>1</v>
      </c>
      <c r="E806" s="24">
        <v>0</v>
      </c>
      <c r="F806" s="24">
        <v>0</v>
      </c>
      <c r="G806" s="24">
        <v>1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 s="23">
        <v>10982.5013</v>
      </c>
    </row>
    <row r="807" spans="1:17" hidden="1">
      <c r="A807" s="22">
        <v>58</v>
      </c>
      <c r="B807" s="22">
        <v>32.01</v>
      </c>
      <c r="C807" s="24">
        <v>0</v>
      </c>
      <c r="D807" s="24">
        <v>1</v>
      </c>
      <c r="E807" s="24">
        <v>0</v>
      </c>
      <c r="F807" s="24">
        <v>0</v>
      </c>
      <c r="G807" s="24">
        <v>1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 s="23">
        <v>11946.625899999999</v>
      </c>
    </row>
    <row r="808" spans="1:17" hidden="1">
      <c r="A808" s="22">
        <v>58</v>
      </c>
      <c r="B808" s="22">
        <v>49.06</v>
      </c>
      <c r="C808" s="24">
        <v>0</v>
      </c>
      <c r="D808" s="24">
        <v>1</v>
      </c>
      <c r="E808" s="24">
        <v>0</v>
      </c>
      <c r="F808" s="24">
        <v>0</v>
      </c>
      <c r="G808" s="24">
        <v>1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0</v>
      </c>
      <c r="Q808" s="23">
        <v>11381.3254</v>
      </c>
    </row>
    <row r="809" spans="1:17" hidden="1">
      <c r="A809" s="22">
        <v>58</v>
      </c>
      <c r="B809" s="22">
        <v>34.865000000000002</v>
      </c>
      <c r="C809" s="24">
        <v>0</v>
      </c>
      <c r="D809" s="24">
        <v>1</v>
      </c>
      <c r="E809" s="24">
        <v>0</v>
      </c>
      <c r="F809" s="24">
        <v>0</v>
      </c>
      <c r="G809" s="24">
        <v>1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1</v>
      </c>
      <c r="P809">
        <v>0</v>
      </c>
      <c r="Q809" s="23">
        <v>11944.594349999999</v>
      </c>
    </row>
    <row r="810" spans="1:17" hidden="1">
      <c r="A810" s="22">
        <v>58</v>
      </c>
      <c r="B810" s="22">
        <v>35.700000000000003</v>
      </c>
      <c r="C810" s="24">
        <v>0</v>
      </c>
      <c r="D810" s="24">
        <v>1</v>
      </c>
      <c r="E810" s="24">
        <v>0</v>
      </c>
      <c r="F810" s="24">
        <v>0</v>
      </c>
      <c r="G810" s="24">
        <v>1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 s="23">
        <v>11362.754999999999</v>
      </c>
    </row>
    <row r="811" spans="1:17" hidden="1">
      <c r="A811" s="22">
        <v>58</v>
      </c>
      <c r="B811" s="22">
        <v>38</v>
      </c>
      <c r="C811" s="24">
        <v>0</v>
      </c>
      <c r="D811" s="24">
        <v>1</v>
      </c>
      <c r="E811" s="24">
        <v>0</v>
      </c>
      <c r="F811" s="24">
        <v>0</v>
      </c>
      <c r="G811" s="24">
        <v>1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 s="23">
        <v>11365.951999999999</v>
      </c>
    </row>
    <row r="812" spans="1:17" hidden="1">
      <c r="A812" s="22">
        <v>58</v>
      </c>
      <c r="B812" s="22">
        <v>34.39</v>
      </c>
      <c r="C812" s="24">
        <v>0</v>
      </c>
      <c r="D812" s="24">
        <v>1</v>
      </c>
      <c r="E812" s="24">
        <v>0</v>
      </c>
      <c r="F812" s="24">
        <v>0</v>
      </c>
      <c r="G812" s="24">
        <v>1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1</v>
      </c>
      <c r="P812">
        <v>0</v>
      </c>
      <c r="Q812" s="23">
        <v>11743.9341</v>
      </c>
    </row>
    <row r="813" spans="1:17" hidden="1">
      <c r="A813" s="22">
        <v>58</v>
      </c>
      <c r="B813" s="22">
        <v>36.08</v>
      </c>
      <c r="C813" s="24">
        <v>0</v>
      </c>
      <c r="D813" s="24">
        <v>1</v>
      </c>
      <c r="E813" s="24">
        <v>0</v>
      </c>
      <c r="F813" s="24">
        <v>0</v>
      </c>
      <c r="G813" s="24">
        <v>1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 s="23">
        <v>11363.2832</v>
      </c>
    </row>
    <row r="814" spans="1:17" hidden="1">
      <c r="A814" s="22">
        <v>58</v>
      </c>
      <c r="B814" s="22">
        <v>30.305</v>
      </c>
      <c r="C814" s="24">
        <v>0</v>
      </c>
      <c r="D814" s="24">
        <v>1</v>
      </c>
      <c r="E814" s="24">
        <v>0</v>
      </c>
      <c r="F814" s="24">
        <v>0</v>
      </c>
      <c r="G814" s="24">
        <v>1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1</v>
      </c>
      <c r="P814">
        <v>0</v>
      </c>
      <c r="Q814" s="23">
        <v>11938.255950000001</v>
      </c>
    </row>
    <row r="815" spans="1:17" hidden="1">
      <c r="A815" s="22">
        <v>59</v>
      </c>
      <c r="B815" s="22">
        <v>31.79</v>
      </c>
      <c r="C815" s="24">
        <v>0</v>
      </c>
      <c r="D815" s="24">
        <v>1</v>
      </c>
      <c r="E815" s="24">
        <v>0</v>
      </c>
      <c r="F815" s="24">
        <v>0</v>
      </c>
      <c r="G815" s="24">
        <v>1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 s="23">
        <v>12928.7911</v>
      </c>
    </row>
    <row r="816" spans="1:17" hidden="1">
      <c r="A816" s="22">
        <v>59</v>
      </c>
      <c r="B816" s="22">
        <v>37.4</v>
      </c>
      <c r="C816" s="24">
        <v>0</v>
      </c>
      <c r="D816" s="24">
        <v>1</v>
      </c>
      <c r="E816" s="24">
        <v>0</v>
      </c>
      <c r="F816" s="24">
        <v>0</v>
      </c>
      <c r="G816" s="24">
        <v>1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 s="23">
        <v>21797.000400000001</v>
      </c>
    </row>
    <row r="817" spans="1:17" hidden="1">
      <c r="A817" s="22">
        <v>59</v>
      </c>
      <c r="B817" s="22">
        <v>37.1</v>
      </c>
      <c r="C817" s="24">
        <v>0</v>
      </c>
      <c r="D817" s="24">
        <v>1</v>
      </c>
      <c r="E817" s="24">
        <v>0</v>
      </c>
      <c r="F817" s="24">
        <v>0</v>
      </c>
      <c r="G817" s="24">
        <v>1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 s="23">
        <v>12347.172</v>
      </c>
    </row>
    <row r="818" spans="1:17" hidden="1">
      <c r="A818" s="22">
        <v>60</v>
      </c>
      <c r="B818" s="22">
        <v>33.11</v>
      </c>
      <c r="C818" s="24">
        <v>0</v>
      </c>
      <c r="D818" s="24">
        <v>1</v>
      </c>
      <c r="E818" s="24">
        <v>0</v>
      </c>
      <c r="F818" s="24">
        <v>0</v>
      </c>
      <c r="G818" s="24">
        <v>1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 s="23">
        <v>13919.822899999999</v>
      </c>
    </row>
    <row r="819" spans="1:17" hidden="1">
      <c r="A819" s="22">
        <v>60</v>
      </c>
      <c r="B819" s="22">
        <v>36.954999999999998</v>
      </c>
      <c r="C819" s="24">
        <v>0</v>
      </c>
      <c r="D819" s="24">
        <v>1</v>
      </c>
      <c r="E819" s="24">
        <v>0</v>
      </c>
      <c r="F819" s="24">
        <v>0</v>
      </c>
      <c r="G819" s="24">
        <v>1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1</v>
      </c>
      <c r="Q819" s="23">
        <v>12741.167450000001</v>
      </c>
    </row>
    <row r="820" spans="1:17" hidden="1">
      <c r="A820" s="22">
        <v>61</v>
      </c>
      <c r="B820" s="22">
        <v>31.57</v>
      </c>
      <c r="C820" s="24">
        <v>0</v>
      </c>
      <c r="D820" s="24">
        <v>1</v>
      </c>
      <c r="E820" s="24">
        <v>0</v>
      </c>
      <c r="F820" s="24">
        <v>0</v>
      </c>
      <c r="G820" s="24">
        <v>1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 s="23">
        <v>12557.605299999999</v>
      </c>
    </row>
    <row r="821" spans="1:17" hidden="1">
      <c r="A821" s="22">
        <v>61</v>
      </c>
      <c r="B821" s="22">
        <v>43.4</v>
      </c>
      <c r="C821" s="24">
        <v>0</v>
      </c>
      <c r="D821" s="24">
        <v>1</v>
      </c>
      <c r="E821" s="24">
        <v>0</v>
      </c>
      <c r="F821" s="24">
        <v>0</v>
      </c>
      <c r="G821" s="24">
        <v>1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 s="23">
        <v>12574.049000000001</v>
      </c>
    </row>
    <row r="822" spans="1:17" hidden="1">
      <c r="A822" s="22">
        <v>61</v>
      </c>
      <c r="B822" s="22">
        <v>33.914999999999999</v>
      </c>
      <c r="C822" s="24">
        <v>0</v>
      </c>
      <c r="D822" s="24">
        <v>1</v>
      </c>
      <c r="E822" s="24">
        <v>0</v>
      </c>
      <c r="F822" s="24">
        <v>0</v>
      </c>
      <c r="G822" s="24">
        <v>1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1</v>
      </c>
      <c r="Q822" s="23">
        <v>13143.86485</v>
      </c>
    </row>
    <row r="823" spans="1:17" hidden="1">
      <c r="A823" s="22">
        <v>61</v>
      </c>
      <c r="B823" s="22">
        <v>36.1</v>
      </c>
      <c r="C823" s="24">
        <v>0</v>
      </c>
      <c r="D823" s="24">
        <v>1</v>
      </c>
      <c r="E823" s="24">
        <v>0</v>
      </c>
      <c r="F823" s="24">
        <v>0</v>
      </c>
      <c r="G823" s="24">
        <v>1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 s="23">
        <v>27941.28758</v>
      </c>
    </row>
    <row r="824" spans="1:17" hidden="1">
      <c r="A824" s="22">
        <v>61</v>
      </c>
      <c r="B824" s="22">
        <v>32.299999999999997</v>
      </c>
      <c r="C824" s="24">
        <v>0</v>
      </c>
      <c r="D824" s="24">
        <v>1</v>
      </c>
      <c r="E824" s="24">
        <v>0</v>
      </c>
      <c r="F824" s="24">
        <v>0</v>
      </c>
      <c r="G824" s="24">
        <v>1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1</v>
      </c>
      <c r="Q824" s="23">
        <v>14119.62</v>
      </c>
    </row>
    <row r="825" spans="1:17" hidden="1">
      <c r="A825" s="22">
        <v>61</v>
      </c>
      <c r="B825" s="22">
        <v>38.380000000000003</v>
      </c>
      <c r="C825" s="24">
        <v>0</v>
      </c>
      <c r="D825" s="24">
        <v>1</v>
      </c>
      <c r="E825" s="24">
        <v>0</v>
      </c>
      <c r="F825" s="24">
        <v>0</v>
      </c>
      <c r="G825" s="24">
        <v>1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1</v>
      </c>
      <c r="Q825" s="23">
        <v>12950.0712</v>
      </c>
    </row>
    <row r="826" spans="1:17" hidden="1">
      <c r="A826" s="22">
        <v>61</v>
      </c>
      <c r="B826" s="22">
        <v>33.534999999999997</v>
      </c>
      <c r="C826" s="24">
        <v>0</v>
      </c>
      <c r="D826" s="24">
        <v>1</v>
      </c>
      <c r="E826" s="24">
        <v>0</v>
      </c>
      <c r="F826" s="24">
        <v>0</v>
      </c>
      <c r="G826" s="24">
        <v>1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1</v>
      </c>
      <c r="Q826" s="23">
        <v>13143.336649999999</v>
      </c>
    </row>
    <row r="827" spans="1:17" hidden="1">
      <c r="A827" s="22">
        <v>62</v>
      </c>
      <c r="B827" s="22">
        <v>30.02</v>
      </c>
      <c r="C827" s="24">
        <v>0</v>
      </c>
      <c r="D827" s="24">
        <v>1</v>
      </c>
      <c r="E827" s="24">
        <v>0</v>
      </c>
      <c r="F827" s="24">
        <v>0</v>
      </c>
      <c r="G827" s="24">
        <v>1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1</v>
      </c>
      <c r="Q827" s="23">
        <v>13352.0998</v>
      </c>
    </row>
    <row r="828" spans="1:17" hidden="1">
      <c r="A828" s="22">
        <v>62</v>
      </c>
      <c r="B828" s="22">
        <v>31.46</v>
      </c>
      <c r="C828" s="24">
        <v>0</v>
      </c>
      <c r="D828" s="24">
        <v>1</v>
      </c>
      <c r="E828" s="24">
        <v>0</v>
      </c>
      <c r="F828" s="24">
        <v>0</v>
      </c>
      <c r="G828" s="24">
        <v>1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 s="23">
        <v>27000.98473</v>
      </c>
    </row>
    <row r="829" spans="1:17" hidden="1">
      <c r="A829" s="22">
        <v>62</v>
      </c>
      <c r="B829" s="22">
        <v>37.4</v>
      </c>
      <c r="C829" s="24">
        <v>0</v>
      </c>
      <c r="D829" s="24">
        <v>1</v>
      </c>
      <c r="E829" s="24">
        <v>0</v>
      </c>
      <c r="F829" s="24">
        <v>0</v>
      </c>
      <c r="G829" s="24">
        <v>1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 s="23">
        <v>12979.358</v>
      </c>
    </row>
    <row r="830" spans="1:17" hidden="1">
      <c r="A830" s="22">
        <v>62</v>
      </c>
      <c r="B830" s="22">
        <v>32.11</v>
      </c>
      <c r="C830" s="24">
        <v>0</v>
      </c>
      <c r="D830" s="24">
        <v>1</v>
      </c>
      <c r="E830" s="24">
        <v>0</v>
      </c>
      <c r="F830" s="24">
        <v>0</v>
      </c>
      <c r="G830" s="24">
        <v>1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1</v>
      </c>
      <c r="Q830" s="23">
        <v>13555.0049</v>
      </c>
    </row>
    <row r="831" spans="1:17" hidden="1">
      <c r="A831" s="22">
        <v>62</v>
      </c>
      <c r="B831" s="22">
        <v>39.93</v>
      </c>
      <c r="C831" s="24">
        <v>0</v>
      </c>
      <c r="D831" s="24">
        <v>1</v>
      </c>
      <c r="E831" s="24">
        <v>0</v>
      </c>
      <c r="F831" s="24">
        <v>0</v>
      </c>
      <c r="G831" s="24">
        <v>1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 s="23">
        <v>12982.8747</v>
      </c>
    </row>
    <row r="832" spans="1:17" hidden="1">
      <c r="A832" s="22">
        <v>62</v>
      </c>
      <c r="B832" s="22">
        <v>38.83</v>
      </c>
      <c r="C832" s="24">
        <v>0</v>
      </c>
      <c r="D832" s="24">
        <v>1</v>
      </c>
      <c r="E832" s="24">
        <v>0</v>
      </c>
      <c r="F832" s="24">
        <v>0</v>
      </c>
      <c r="G832" s="24">
        <v>1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 s="23">
        <v>12981.3457</v>
      </c>
    </row>
    <row r="833" spans="1:17" hidden="1">
      <c r="A833" s="22">
        <v>63</v>
      </c>
      <c r="B833" s="22">
        <v>41.47</v>
      </c>
      <c r="C833" s="24">
        <v>0</v>
      </c>
      <c r="D833" s="24">
        <v>1</v>
      </c>
      <c r="E833" s="24">
        <v>0</v>
      </c>
      <c r="F833" s="24">
        <v>0</v>
      </c>
      <c r="G833" s="24">
        <v>1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 s="23">
        <v>13405.390299999999</v>
      </c>
    </row>
    <row r="834" spans="1:17" hidden="1">
      <c r="A834" s="22">
        <v>63</v>
      </c>
      <c r="B834" s="22">
        <v>36.765000000000001</v>
      </c>
      <c r="C834" s="24">
        <v>0</v>
      </c>
      <c r="D834" s="24">
        <v>1</v>
      </c>
      <c r="E834" s="24">
        <v>0</v>
      </c>
      <c r="F834" s="24">
        <v>0</v>
      </c>
      <c r="G834" s="24">
        <v>1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1</v>
      </c>
      <c r="Q834" s="23">
        <v>13981.850350000001</v>
      </c>
    </row>
    <row r="835" spans="1:17" hidden="1">
      <c r="A835" s="22">
        <v>63</v>
      </c>
      <c r="B835" s="22">
        <v>41.325000000000003</v>
      </c>
      <c r="C835" s="24">
        <v>0</v>
      </c>
      <c r="D835" s="24">
        <v>1</v>
      </c>
      <c r="E835" s="24">
        <v>0</v>
      </c>
      <c r="F835" s="24">
        <v>0</v>
      </c>
      <c r="G835" s="24">
        <v>1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1</v>
      </c>
      <c r="Q835" s="23">
        <v>15555.188749999999</v>
      </c>
    </row>
    <row r="836" spans="1:17" hidden="1">
      <c r="A836" s="22">
        <v>63</v>
      </c>
      <c r="B836" s="22">
        <v>30.8</v>
      </c>
      <c r="C836" s="24">
        <v>0</v>
      </c>
      <c r="D836" s="24">
        <v>1</v>
      </c>
      <c r="E836" s="24">
        <v>0</v>
      </c>
      <c r="F836" s="24">
        <v>0</v>
      </c>
      <c r="G836" s="24">
        <v>1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 s="23">
        <v>13390.558999999999</v>
      </c>
    </row>
    <row r="837" spans="1:17" hidden="1">
      <c r="A837" s="22">
        <v>63</v>
      </c>
      <c r="B837" s="22">
        <v>33.1</v>
      </c>
      <c r="C837" s="24">
        <v>0</v>
      </c>
      <c r="D837" s="24">
        <v>1</v>
      </c>
      <c r="E837" s="24">
        <v>0</v>
      </c>
      <c r="F837" s="24">
        <v>0</v>
      </c>
      <c r="G837" s="24">
        <v>1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 s="23">
        <v>13393.755999999999</v>
      </c>
    </row>
    <row r="838" spans="1:17" hidden="1">
      <c r="A838" s="22">
        <v>63</v>
      </c>
      <c r="B838" s="22">
        <v>39.799999999999997</v>
      </c>
      <c r="C838" s="24">
        <v>0</v>
      </c>
      <c r="D838" s="24">
        <v>1</v>
      </c>
      <c r="E838" s="24">
        <v>0</v>
      </c>
      <c r="F838" s="24">
        <v>0</v>
      </c>
      <c r="G838" s="24">
        <v>1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 s="23">
        <v>15170.069</v>
      </c>
    </row>
    <row r="839" spans="1:17" hidden="1">
      <c r="A839" s="22">
        <v>63</v>
      </c>
      <c r="B839" s="22">
        <v>31.445</v>
      </c>
      <c r="C839" s="24">
        <v>0</v>
      </c>
      <c r="D839" s="24">
        <v>1</v>
      </c>
      <c r="E839" s="24">
        <v>0</v>
      </c>
      <c r="F839" s="24">
        <v>0</v>
      </c>
      <c r="G839" s="24">
        <v>1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1</v>
      </c>
      <c r="Q839" s="23">
        <v>13974.455550000001</v>
      </c>
    </row>
    <row r="840" spans="1:17" hidden="1">
      <c r="A840" s="22">
        <v>63</v>
      </c>
      <c r="B840" s="22">
        <v>33.659999999999997</v>
      </c>
      <c r="C840" s="24">
        <v>0</v>
      </c>
      <c r="D840" s="24">
        <v>1</v>
      </c>
      <c r="E840" s="24">
        <v>0</v>
      </c>
      <c r="F840" s="24">
        <v>0</v>
      </c>
      <c r="G840" s="24">
        <v>1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 s="23">
        <v>15161.5344</v>
      </c>
    </row>
    <row r="841" spans="1:17" hidden="1">
      <c r="A841" s="22">
        <v>64</v>
      </c>
      <c r="B841" s="22">
        <v>34.5</v>
      </c>
      <c r="C841" s="24">
        <v>0</v>
      </c>
      <c r="D841" s="24">
        <v>1</v>
      </c>
      <c r="E841" s="24">
        <v>0</v>
      </c>
      <c r="F841" s="24">
        <v>0</v>
      </c>
      <c r="G841" s="24">
        <v>1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 s="23">
        <v>13822.803</v>
      </c>
    </row>
    <row r="842" spans="1:17" hidden="1">
      <c r="A842" s="22">
        <v>64</v>
      </c>
      <c r="B842" s="22">
        <v>39.159999999999997</v>
      </c>
      <c r="C842" s="24">
        <v>0</v>
      </c>
      <c r="D842" s="24">
        <v>1</v>
      </c>
      <c r="E842" s="24">
        <v>0</v>
      </c>
      <c r="F842" s="24">
        <v>0</v>
      </c>
      <c r="G842" s="24">
        <v>1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 s="23">
        <v>14418.2804</v>
      </c>
    </row>
    <row r="843" spans="1:17" hidden="1">
      <c r="A843" s="22">
        <v>64</v>
      </c>
      <c r="B843" s="22">
        <v>40.479999999999997</v>
      </c>
      <c r="C843" s="24">
        <v>0</v>
      </c>
      <c r="D843" s="24">
        <v>1</v>
      </c>
      <c r="E843" s="24">
        <v>0</v>
      </c>
      <c r="F843" s="24">
        <v>0</v>
      </c>
      <c r="G843" s="24">
        <v>1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 s="23">
        <v>13831.1152</v>
      </c>
    </row>
    <row r="844" spans="1:17" hidden="1">
      <c r="A844" s="22">
        <v>64</v>
      </c>
      <c r="B844" s="22">
        <v>38.19</v>
      </c>
      <c r="C844" s="24">
        <v>0</v>
      </c>
      <c r="D844" s="24">
        <v>1</v>
      </c>
      <c r="E844" s="24">
        <v>0</v>
      </c>
      <c r="F844" s="24">
        <v>0</v>
      </c>
      <c r="G844" s="24">
        <v>1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1</v>
      </c>
      <c r="Q844" s="23">
        <v>14410.9321</v>
      </c>
    </row>
    <row r="845" spans="1:17" hidden="1">
      <c r="A845" s="22">
        <v>64</v>
      </c>
      <c r="B845" s="22">
        <v>37.905000000000001</v>
      </c>
      <c r="C845" s="24">
        <v>0</v>
      </c>
      <c r="D845" s="24">
        <v>1</v>
      </c>
      <c r="E845" s="24">
        <v>0</v>
      </c>
      <c r="F845" s="24">
        <v>0</v>
      </c>
      <c r="G845" s="24">
        <v>1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1</v>
      </c>
      <c r="Q845" s="23">
        <v>14210.53595</v>
      </c>
    </row>
    <row r="846" spans="1:17">
      <c r="A846" s="22">
        <v>27</v>
      </c>
      <c r="B846" s="22">
        <v>42.13</v>
      </c>
      <c r="C846" s="24">
        <v>0</v>
      </c>
      <c r="D846" s="24">
        <v>1</v>
      </c>
      <c r="E846" s="24">
        <v>0</v>
      </c>
      <c r="F846" s="24">
        <v>0</v>
      </c>
      <c r="G846" s="24">
        <v>1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0</v>
      </c>
      <c r="Q846" s="23">
        <v>39611.757700000002</v>
      </c>
    </row>
    <row r="847" spans="1:17">
      <c r="A847" s="22">
        <v>30</v>
      </c>
      <c r="B847" s="22">
        <v>35.299999999999997</v>
      </c>
      <c r="C847" s="24">
        <v>0</v>
      </c>
      <c r="D847" s="24">
        <v>1</v>
      </c>
      <c r="E847" s="24">
        <v>0</v>
      </c>
      <c r="F847" s="24">
        <v>0</v>
      </c>
      <c r="G847" s="24">
        <v>1</v>
      </c>
      <c r="H847">
        <v>1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 s="23">
        <v>36837.466999999997</v>
      </c>
    </row>
    <row r="848" spans="1:17">
      <c r="A848" s="22">
        <v>31</v>
      </c>
      <c r="B848" s="22">
        <v>36.299999999999997</v>
      </c>
      <c r="C848" s="24">
        <v>0</v>
      </c>
      <c r="D848" s="24">
        <v>1</v>
      </c>
      <c r="E848" s="24">
        <v>0</v>
      </c>
      <c r="F848" s="24">
        <v>0</v>
      </c>
      <c r="G848" s="24">
        <v>1</v>
      </c>
      <c r="H848">
        <v>1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 s="23">
        <v>38711</v>
      </c>
    </row>
    <row r="849" spans="1:17">
      <c r="A849" s="22">
        <v>22</v>
      </c>
      <c r="B849" s="22">
        <v>35.6</v>
      </c>
      <c r="C849" s="24">
        <v>0</v>
      </c>
      <c r="D849" s="24">
        <v>1</v>
      </c>
      <c r="E849" s="24">
        <v>0</v>
      </c>
      <c r="F849" s="24">
        <v>0</v>
      </c>
      <c r="G849" s="24">
        <v>1</v>
      </c>
      <c r="H849">
        <v>1</v>
      </c>
      <c r="I849">
        <v>0</v>
      </c>
      <c r="J849">
        <v>1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 s="23">
        <v>35585.576000000001</v>
      </c>
    </row>
    <row r="850" spans="1:17">
      <c r="A850" s="22">
        <v>28</v>
      </c>
      <c r="B850" s="22">
        <v>36.4</v>
      </c>
      <c r="C850" s="24">
        <v>0</v>
      </c>
      <c r="D850" s="24">
        <v>1</v>
      </c>
      <c r="E850" s="24">
        <v>0</v>
      </c>
      <c r="F850" s="24">
        <v>0</v>
      </c>
      <c r="G850" s="24">
        <v>1</v>
      </c>
      <c r="H850">
        <v>1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 s="23">
        <v>51194.559139999998</v>
      </c>
    </row>
    <row r="851" spans="1:17">
      <c r="A851" s="22">
        <v>35</v>
      </c>
      <c r="B851" s="22">
        <v>36.67</v>
      </c>
      <c r="C851" s="24">
        <v>0</v>
      </c>
      <c r="D851" s="24">
        <v>1</v>
      </c>
      <c r="E851" s="24">
        <v>0</v>
      </c>
      <c r="F851" s="24">
        <v>0</v>
      </c>
      <c r="G851" s="24">
        <v>1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  <c r="P851">
        <v>0</v>
      </c>
      <c r="Q851" s="23">
        <v>39774.276299999998</v>
      </c>
    </row>
    <row r="852" spans="1:17">
      <c r="A852" s="22">
        <v>60</v>
      </c>
      <c r="B852" s="22">
        <v>39.9</v>
      </c>
      <c r="C852" s="24">
        <v>0</v>
      </c>
      <c r="D852" s="24">
        <v>1</v>
      </c>
      <c r="E852" s="24">
        <v>0</v>
      </c>
      <c r="F852" s="24">
        <v>0</v>
      </c>
      <c r="G852" s="24">
        <v>1</v>
      </c>
      <c r="H852">
        <v>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 s="23">
        <v>48173.360999999997</v>
      </c>
    </row>
    <row r="853" spans="1:17">
      <c r="A853" s="22">
        <v>36</v>
      </c>
      <c r="B853" s="22">
        <v>35.200000000000003</v>
      </c>
      <c r="C853" s="24">
        <v>0</v>
      </c>
      <c r="D853" s="24">
        <v>1</v>
      </c>
      <c r="E853" s="24">
        <v>0</v>
      </c>
      <c r="F853" s="24">
        <v>0</v>
      </c>
      <c r="G853" s="24">
        <v>1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 s="23">
        <v>38709.175999999999</v>
      </c>
    </row>
    <row r="854" spans="1:17">
      <c r="A854" s="22">
        <v>36</v>
      </c>
      <c r="B854" s="22">
        <v>34.43</v>
      </c>
      <c r="C854" s="24">
        <v>0</v>
      </c>
      <c r="D854" s="24">
        <v>1</v>
      </c>
      <c r="E854" s="24">
        <v>0</v>
      </c>
      <c r="F854" s="24">
        <v>0</v>
      </c>
      <c r="G854" s="24">
        <v>1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 s="23">
        <v>37742.575700000001</v>
      </c>
    </row>
    <row r="855" spans="1:17">
      <c r="A855" s="22">
        <v>58</v>
      </c>
      <c r="B855" s="22">
        <v>36.954999999999998</v>
      </c>
      <c r="C855" s="24">
        <v>0</v>
      </c>
      <c r="D855" s="24">
        <v>1</v>
      </c>
      <c r="E855" s="24">
        <v>0</v>
      </c>
      <c r="F855" s="24">
        <v>0</v>
      </c>
      <c r="G855" s="24">
        <v>1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1</v>
      </c>
      <c r="P855">
        <v>0</v>
      </c>
      <c r="Q855" s="23">
        <v>47496.494449999998</v>
      </c>
    </row>
    <row r="856" spans="1:17">
      <c r="A856" s="22">
        <v>18</v>
      </c>
      <c r="B856" s="22">
        <v>31.68</v>
      </c>
      <c r="C856" s="24">
        <v>0</v>
      </c>
      <c r="D856" s="24">
        <v>1</v>
      </c>
      <c r="E856" s="24">
        <v>0</v>
      </c>
      <c r="F856" s="24">
        <v>0</v>
      </c>
      <c r="G856" s="24">
        <v>1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 s="23">
        <v>34303.167200000004</v>
      </c>
    </row>
    <row r="857" spans="1:17">
      <c r="A857" s="22">
        <v>22</v>
      </c>
      <c r="B857" s="22">
        <v>37.619999999999997</v>
      </c>
      <c r="C857" s="24">
        <v>0</v>
      </c>
      <c r="D857" s="24">
        <v>1</v>
      </c>
      <c r="E857" s="24">
        <v>0</v>
      </c>
      <c r="F857" s="24">
        <v>0</v>
      </c>
      <c r="G857" s="24">
        <v>1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 s="23">
        <v>37165.163800000002</v>
      </c>
    </row>
    <row r="858" spans="1:17">
      <c r="A858" s="22">
        <v>63</v>
      </c>
      <c r="B858" s="22">
        <v>35.090000000000003</v>
      </c>
      <c r="C858" s="24">
        <v>0</v>
      </c>
      <c r="D858" s="24">
        <v>1</v>
      </c>
      <c r="E858" s="24">
        <v>0</v>
      </c>
      <c r="F858" s="24">
        <v>0</v>
      </c>
      <c r="G858" s="24">
        <v>1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 s="23">
        <v>47055.532099999997</v>
      </c>
    </row>
    <row r="859" spans="1:17">
      <c r="A859" s="22">
        <v>44</v>
      </c>
      <c r="B859" s="22">
        <v>31.35</v>
      </c>
      <c r="C859" s="24">
        <v>0</v>
      </c>
      <c r="D859" s="24">
        <v>1</v>
      </c>
      <c r="E859" s="24">
        <v>0</v>
      </c>
      <c r="F859" s="24">
        <v>0</v>
      </c>
      <c r="G859" s="24">
        <v>1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1</v>
      </c>
      <c r="P859">
        <v>0</v>
      </c>
      <c r="Q859" s="23">
        <v>39556.494500000001</v>
      </c>
    </row>
    <row r="860" spans="1:17">
      <c r="A860" s="22">
        <v>46</v>
      </c>
      <c r="B860" s="22">
        <v>30.495000000000001</v>
      </c>
      <c r="C860" s="24">
        <v>0</v>
      </c>
      <c r="D860" s="24">
        <v>1</v>
      </c>
      <c r="E860" s="24">
        <v>0</v>
      </c>
      <c r="F860" s="24">
        <v>0</v>
      </c>
      <c r="G860" s="24">
        <v>1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1</v>
      </c>
      <c r="P860">
        <v>0</v>
      </c>
      <c r="Q860" s="23">
        <v>40720.551050000002</v>
      </c>
    </row>
    <row r="861" spans="1:17">
      <c r="A861" s="22">
        <v>30</v>
      </c>
      <c r="B861" s="22">
        <v>35.53</v>
      </c>
      <c r="C861" s="24">
        <v>0</v>
      </c>
      <c r="D861" s="24">
        <v>1</v>
      </c>
      <c r="E861" s="24">
        <v>0</v>
      </c>
      <c r="F861" s="24">
        <v>0</v>
      </c>
      <c r="G861" s="24">
        <v>1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 s="23">
        <v>36950.256699999998</v>
      </c>
    </row>
    <row r="862" spans="1:17">
      <c r="A862" s="22">
        <v>36</v>
      </c>
      <c r="B862" s="22">
        <v>41.895000000000003</v>
      </c>
      <c r="C862" s="24">
        <v>0</v>
      </c>
      <c r="D862" s="24">
        <v>1</v>
      </c>
      <c r="E862" s="24">
        <v>0</v>
      </c>
      <c r="F862" s="24">
        <v>0</v>
      </c>
      <c r="G862" s="24">
        <v>1</v>
      </c>
      <c r="H862">
        <v>1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1</v>
      </c>
      <c r="P862">
        <v>0</v>
      </c>
      <c r="Q862" s="23">
        <v>43753.337050000002</v>
      </c>
    </row>
    <row r="863" spans="1:17">
      <c r="A863" s="22">
        <v>19</v>
      </c>
      <c r="B863" s="22">
        <v>34.799999999999997</v>
      </c>
      <c r="C863" s="24">
        <v>0</v>
      </c>
      <c r="D863" s="24">
        <v>1</v>
      </c>
      <c r="E863" s="24">
        <v>0</v>
      </c>
      <c r="F863" s="24">
        <v>0</v>
      </c>
      <c r="G863" s="24">
        <v>1</v>
      </c>
      <c r="H863">
        <v>1</v>
      </c>
      <c r="I863">
        <v>0</v>
      </c>
      <c r="J863">
        <v>1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 s="23">
        <v>34779.614999999998</v>
      </c>
    </row>
    <row r="864" spans="1:17">
      <c r="A864" s="22">
        <v>54</v>
      </c>
      <c r="B864" s="22">
        <v>34.21</v>
      </c>
      <c r="C864" s="24">
        <v>0</v>
      </c>
      <c r="D864" s="24">
        <v>1</v>
      </c>
      <c r="E864" s="24">
        <v>0</v>
      </c>
      <c r="F864" s="24">
        <v>0</v>
      </c>
      <c r="G864" s="24">
        <v>1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 s="23">
        <v>44260.749900000003</v>
      </c>
    </row>
    <row r="865" spans="1:17">
      <c r="A865" s="22">
        <v>50</v>
      </c>
      <c r="B865" s="22">
        <v>31.824999999999999</v>
      </c>
      <c r="C865" s="24">
        <v>0</v>
      </c>
      <c r="D865" s="24">
        <v>1</v>
      </c>
      <c r="E865" s="24">
        <v>0</v>
      </c>
      <c r="F865" s="24">
        <v>0</v>
      </c>
      <c r="G865" s="24">
        <v>1</v>
      </c>
      <c r="H865">
        <v>1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0</v>
      </c>
      <c r="Q865" s="23">
        <v>41097.161749999999</v>
      </c>
    </row>
    <row r="866" spans="1:17">
      <c r="A866" s="22">
        <v>56</v>
      </c>
      <c r="B866" s="22">
        <v>33.630000000000003</v>
      </c>
      <c r="C866" s="24">
        <v>0</v>
      </c>
      <c r="D866" s="24">
        <v>1</v>
      </c>
      <c r="E866" s="24">
        <v>0</v>
      </c>
      <c r="F866" s="24">
        <v>0</v>
      </c>
      <c r="G866" s="24">
        <v>1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1</v>
      </c>
      <c r="P866">
        <v>0</v>
      </c>
      <c r="Q866" s="23">
        <v>43921.183700000001</v>
      </c>
    </row>
    <row r="867" spans="1:17">
      <c r="A867" s="22">
        <v>19</v>
      </c>
      <c r="B867" s="22">
        <v>31.92</v>
      </c>
      <c r="C867" s="24">
        <v>0</v>
      </c>
      <c r="D867" s="24">
        <v>1</v>
      </c>
      <c r="E867" s="24">
        <v>0</v>
      </c>
      <c r="F867" s="24">
        <v>0</v>
      </c>
      <c r="G867" s="24">
        <v>1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0</v>
      </c>
      <c r="P867">
        <v>0</v>
      </c>
      <c r="Q867" s="23">
        <v>33750.291799999999</v>
      </c>
    </row>
    <row r="868" spans="1:17">
      <c r="A868" s="22">
        <v>19</v>
      </c>
      <c r="B868" s="22">
        <v>36.954999999999998</v>
      </c>
      <c r="C868" s="24">
        <v>0</v>
      </c>
      <c r="D868" s="24">
        <v>1</v>
      </c>
      <c r="E868" s="24">
        <v>0</v>
      </c>
      <c r="F868" s="24">
        <v>0</v>
      </c>
      <c r="G868" s="24">
        <v>1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1</v>
      </c>
      <c r="N868">
        <v>0</v>
      </c>
      <c r="O868">
        <v>0</v>
      </c>
      <c r="P868">
        <v>0</v>
      </c>
      <c r="Q868" s="23">
        <v>36219.405449999998</v>
      </c>
    </row>
    <row r="869" spans="1:17">
      <c r="A869" s="22">
        <v>46</v>
      </c>
      <c r="B869" s="22">
        <v>42.35</v>
      </c>
      <c r="C869" s="24">
        <v>0</v>
      </c>
      <c r="D869" s="24">
        <v>1</v>
      </c>
      <c r="E869" s="24">
        <v>0</v>
      </c>
      <c r="F869" s="24">
        <v>0</v>
      </c>
      <c r="G869" s="24">
        <v>1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 s="23">
        <v>46151.124499999998</v>
      </c>
    </row>
    <row r="870" spans="1:17">
      <c r="A870" s="22">
        <v>50</v>
      </c>
      <c r="B870" s="22">
        <v>34.200000000000003</v>
      </c>
      <c r="C870" s="24">
        <v>0</v>
      </c>
      <c r="D870" s="24">
        <v>1</v>
      </c>
      <c r="E870" s="24">
        <v>0</v>
      </c>
      <c r="F870" s="24">
        <v>0</v>
      </c>
      <c r="G870" s="24">
        <v>1</v>
      </c>
      <c r="H870">
        <v>1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 s="23">
        <v>42856.838000000003</v>
      </c>
    </row>
    <row r="871" spans="1:17">
      <c r="A871" s="22">
        <v>54</v>
      </c>
      <c r="B871" s="22">
        <v>40.564999999999998</v>
      </c>
      <c r="C871" s="24">
        <v>0</v>
      </c>
      <c r="D871" s="24">
        <v>1</v>
      </c>
      <c r="E871" s="24">
        <v>0</v>
      </c>
      <c r="F871" s="24">
        <v>0</v>
      </c>
      <c r="G871" s="24">
        <v>1</v>
      </c>
      <c r="H871">
        <v>1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1</v>
      </c>
      <c r="P871">
        <v>0</v>
      </c>
      <c r="Q871" s="23">
        <v>48549.178350000002</v>
      </c>
    </row>
    <row r="872" spans="1:17">
      <c r="A872" s="22">
        <v>25</v>
      </c>
      <c r="B872" s="22">
        <v>45.54</v>
      </c>
      <c r="C872" s="24">
        <v>0</v>
      </c>
      <c r="D872" s="24">
        <v>1</v>
      </c>
      <c r="E872" s="24">
        <v>0</v>
      </c>
      <c r="F872" s="24">
        <v>0</v>
      </c>
      <c r="G872" s="24">
        <v>1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 s="23">
        <v>42112.2356</v>
      </c>
    </row>
    <row r="873" spans="1:17">
      <c r="A873" s="22">
        <v>31</v>
      </c>
      <c r="B873" s="22">
        <v>34.39</v>
      </c>
      <c r="C873" s="24">
        <v>0</v>
      </c>
      <c r="D873" s="24">
        <v>1</v>
      </c>
      <c r="E873" s="24">
        <v>0</v>
      </c>
      <c r="F873" s="24">
        <v>0</v>
      </c>
      <c r="G873" s="24">
        <v>1</v>
      </c>
      <c r="H873">
        <v>1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0</v>
      </c>
      <c r="Q873" s="23">
        <v>38746.355100000001</v>
      </c>
    </row>
    <row r="874" spans="1:17">
      <c r="A874" s="22">
        <v>43</v>
      </c>
      <c r="B874" s="22">
        <v>35.97</v>
      </c>
      <c r="C874" s="24">
        <v>0</v>
      </c>
      <c r="D874" s="24">
        <v>1</v>
      </c>
      <c r="E874" s="24">
        <v>0</v>
      </c>
      <c r="F874" s="24">
        <v>0</v>
      </c>
      <c r="G874" s="24">
        <v>1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 s="23">
        <v>42124.515299999999</v>
      </c>
    </row>
    <row r="875" spans="1:17">
      <c r="A875" s="22">
        <v>34</v>
      </c>
      <c r="B875" s="22">
        <v>30.8</v>
      </c>
      <c r="C875" s="24">
        <v>0</v>
      </c>
      <c r="D875" s="24">
        <v>1</v>
      </c>
      <c r="E875" s="24">
        <v>0</v>
      </c>
      <c r="F875" s="24">
        <v>0</v>
      </c>
      <c r="G875" s="24">
        <v>1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 s="23">
        <v>35491.64</v>
      </c>
    </row>
    <row r="876" spans="1:17">
      <c r="A876" s="22">
        <v>45</v>
      </c>
      <c r="B876" s="22">
        <v>36.479999999999997</v>
      </c>
      <c r="C876" s="24">
        <v>0</v>
      </c>
      <c r="D876" s="24">
        <v>1</v>
      </c>
      <c r="E876" s="24">
        <v>0</v>
      </c>
      <c r="F876" s="24">
        <v>0</v>
      </c>
      <c r="G876" s="24">
        <v>1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1</v>
      </c>
      <c r="P876">
        <v>0</v>
      </c>
      <c r="Q876" s="23">
        <v>42760.502200000003</v>
      </c>
    </row>
    <row r="877" spans="1:17">
      <c r="A877" s="22">
        <v>50</v>
      </c>
      <c r="B877" s="22">
        <v>32.299999999999997</v>
      </c>
      <c r="C877" s="24">
        <v>0</v>
      </c>
      <c r="D877" s="24">
        <v>1</v>
      </c>
      <c r="E877" s="24">
        <v>0</v>
      </c>
      <c r="F877" s="24">
        <v>0</v>
      </c>
      <c r="G877" s="24">
        <v>1</v>
      </c>
      <c r="H877">
        <v>1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1</v>
      </c>
      <c r="P877">
        <v>0</v>
      </c>
      <c r="Q877" s="23">
        <v>41919.097000000002</v>
      </c>
    </row>
    <row r="878" spans="1:17">
      <c r="A878" s="22">
        <v>26</v>
      </c>
      <c r="B878" s="22">
        <v>32.9</v>
      </c>
      <c r="C878" s="24">
        <v>0</v>
      </c>
      <c r="D878" s="24">
        <v>1</v>
      </c>
      <c r="E878" s="24">
        <v>0</v>
      </c>
      <c r="F878" s="24">
        <v>0</v>
      </c>
      <c r="G878" s="24">
        <v>1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 s="23">
        <v>36085.218999999997</v>
      </c>
    </row>
    <row r="879" spans="1:17">
      <c r="A879" s="22">
        <v>24</v>
      </c>
      <c r="B879" s="22">
        <v>40.15</v>
      </c>
      <c r="C879" s="24">
        <v>0</v>
      </c>
      <c r="D879" s="24">
        <v>1</v>
      </c>
      <c r="E879" s="24">
        <v>0</v>
      </c>
      <c r="F879" s="24">
        <v>0</v>
      </c>
      <c r="G879" s="24">
        <v>1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 s="23">
        <v>38126.246500000001</v>
      </c>
    </row>
    <row r="880" spans="1:17">
      <c r="A880" s="22">
        <v>55</v>
      </c>
      <c r="B880" s="22">
        <v>30.684999999999999</v>
      </c>
      <c r="C880" s="24">
        <v>0</v>
      </c>
      <c r="D880" s="24">
        <v>1</v>
      </c>
      <c r="E880" s="24">
        <v>0</v>
      </c>
      <c r="F880" s="24">
        <v>0</v>
      </c>
      <c r="G880" s="24">
        <v>1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0</v>
      </c>
      <c r="Q880" s="23">
        <v>42303.692150000003</v>
      </c>
    </row>
    <row r="881" spans="1:17">
      <c r="A881" s="22">
        <v>64</v>
      </c>
      <c r="B881" s="22">
        <v>33.880000000000003</v>
      </c>
      <c r="C881" s="24">
        <v>0</v>
      </c>
      <c r="D881" s="24">
        <v>1</v>
      </c>
      <c r="E881" s="24">
        <v>0</v>
      </c>
      <c r="F881" s="24">
        <v>0</v>
      </c>
      <c r="G881" s="24">
        <v>1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 s="23">
        <v>46889.261200000001</v>
      </c>
    </row>
    <row r="882" spans="1:17">
      <c r="A882" s="22">
        <v>61</v>
      </c>
      <c r="B882" s="22">
        <v>35.86</v>
      </c>
      <c r="C882" s="24">
        <v>0</v>
      </c>
      <c r="D882" s="24">
        <v>1</v>
      </c>
      <c r="E882" s="24">
        <v>0</v>
      </c>
      <c r="F882" s="24">
        <v>0</v>
      </c>
      <c r="G882" s="24">
        <v>1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 s="23">
        <v>46599.108399999997</v>
      </c>
    </row>
    <row r="883" spans="1:17">
      <c r="A883" s="22">
        <v>40</v>
      </c>
      <c r="B883" s="22">
        <v>32.774999999999999</v>
      </c>
      <c r="C883" s="24">
        <v>0</v>
      </c>
      <c r="D883" s="24">
        <v>1</v>
      </c>
      <c r="E883" s="24">
        <v>0</v>
      </c>
      <c r="F883" s="24">
        <v>0</v>
      </c>
      <c r="G883" s="24">
        <v>1</v>
      </c>
      <c r="H883">
        <v>1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1</v>
      </c>
      <c r="P883">
        <v>0</v>
      </c>
      <c r="Q883" s="23">
        <v>39125.332249999999</v>
      </c>
    </row>
    <row r="884" spans="1:17">
      <c r="A884" s="22">
        <v>42</v>
      </c>
      <c r="B884" s="22">
        <v>30</v>
      </c>
      <c r="C884" s="24">
        <v>0</v>
      </c>
      <c r="D884" s="24">
        <v>1</v>
      </c>
      <c r="E884" s="24">
        <v>0</v>
      </c>
      <c r="F884" s="24">
        <v>0</v>
      </c>
      <c r="G884" s="24">
        <v>1</v>
      </c>
      <c r="H884">
        <v>1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 s="23">
        <v>22144.031999999999</v>
      </c>
    </row>
    <row r="885" spans="1:17">
      <c r="A885" s="22">
        <v>29</v>
      </c>
      <c r="B885" s="22">
        <v>34.4</v>
      </c>
      <c r="C885" s="24">
        <v>0</v>
      </c>
      <c r="D885" s="24">
        <v>1</v>
      </c>
      <c r="E885" s="24">
        <v>0</v>
      </c>
      <c r="F885" s="24">
        <v>0</v>
      </c>
      <c r="G885" s="24">
        <v>1</v>
      </c>
      <c r="H885">
        <v>1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 s="23">
        <v>36197.699000000001</v>
      </c>
    </row>
    <row r="886" spans="1:17">
      <c r="A886" s="22">
        <v>19</v>
      </c>
      <c r="B886" s="22">
        <v>30.25</v>
      </c>
      <c r="C886" s="24">
        <v>0</v>
      </c>
      <c r="D886" s="24">
        <v>1</v>
      </c>
      <c r="E886" s="24">
        <v>0</v>
      </c>
      <c r="F886" s="24">
        <v>0</v>
      </c>
      <c r="G886" s="24">
        <v>1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 s="23">
        <v>32548.340499999998</v>
      </c>
    </row>
    <row r="887" spans="1:17">
      <c r="A887" s="22">
        <v>57</v>
      </c>
      <c r="B887" s="22">
        <v>42.13</v>
      </c>
      <c r="C887" s="24">
        <v>0</v>
      </c>
      <c r="D887" s="24">
        <v>1</v>
      </c>
      <c r="E887" s="24">
        <v>0</v>
      </c>
      <c r="F887" s="24">
        <v>0</v>
      </c>
      <c r="G887" s="24">
        <v>1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 s="23">
        <v>48675.517699999997</v>
      </c>
    </row>
    <row r="888" spans="1:17">
      <c r="A888" s="22">
        <v>48</v>
      </c>
      <c r="B888" s="22">
        <v>40.564999999999998</v>
      </c>
      <c r="C888" s="24">
        <v>0</v>
      </c>
      <c r="D888" s="24">
        <v>1</v>
      </c>
      <c r="E888" s="24">
        <v>0</v>
      </c>
      <c r="F888" s="24">
        <v>0</v>
      </c>
      <c r="G888" s="24">
        <v>1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1</v>
      </c>
      <c r="P888">
        <v>0</v>
      </c>
      <c r="Q888" s="23">
        <v>45702.022349999999</v>
      </c>
    </row>
    <row r="889" spans="1:17">
      <c r="A889" s="22">
        <v>30</v>
      </c>
      <c r="B889" s="22">
        <v>37.799999999999997</v>
      </c>
      <c r="C889" s="24">
        <v>0</v>
      </c>
      <c r="D889" s="24">
        <v>1</v>
      </c>
      <c r="E889" s="24">
        <v>0</v>
      </c>
      <c r="F889" s="24">
        <v>0</v>
      </c>
      <c r="G889" s="24">
        <v>1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 s="23">
        <v>39241.442000000003</v>
      </c>
    </row>
    <row r="890" spans="1:17">
      <c r="A890" s="22">
        <v>37</v>
      </c>
      <c r="B890" s="22">
        <v>34.1</v>
      </c>
      <c r="C890" s="24">
        <v>0</v>
      </c>
      <c r="D890" s="24">
        <v>1</v>
      </c>
      <c r="E890" s="24">
        <v>0</v>
      </c>
      <c r="F890" s="24">
        <v>0</v>
      </c>
      <c r="G890" s="24">
        <v>1</v>
      </c>
      <c r="H890">
        <v>1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 s="23">
        <v>40182.245999999999</v>
      </c>
    </row>
    <row r="891" spans="1:17">
      <c r="A891" s="22">
        <v>18</v>
      </c>
      <c r="B891" s="22">
        <v>33.534999999999997</v>
      </c>
      <c r="C891" s="24">
        <v>0</v>
      </c>
      <c r="D891" s="24">
        <v>1</v>
      </c>
      <c r="E891" s="24">
        <v>0</v>
      </c>
      <c r="F891" s="24">
        <v>0</v>
      </c>
      <c r="G891" s="24">
        <v>1</v>
      </c>
      <c r="H891">
        <v>1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0</v>
      </c>
      <c r="O891">
        <v>0</v>
      </c>
      <c r="P891">
        <v>0</v>
      </c>
      <c r="Q891" s="23">
        <v>34617.840649999998</v>
      </c>
    </row>
    <row r="892" spans="1:17">
      <c r="A892" s="22">
        <v>43</v>
      </c>
      <c r="B892" s="22">
        <v>38.06</v>
      </c>
      <c r="C892" s="24">
        <v>0</v>
      </c>
      <c r="D892" s="24">
        <v>1</v>
      </c>
      <c r="E892" s="24">
        <v>0</v>
      </c>
      <c r="F892" s="24">
        <v>0</v>
      </c>
      <c r="G892" s="24">
        <v>1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 s="23">
        <v>42560.430399999997</v>
      </c>
    </row>
    <row r="893" spans="1:17">
      <c r="A893" s="22">
        <v>62</v>
      </c>
      <c r="B893" s="22">
        <v>32.015000000000001</v>
      </c>
      <c r="C893" s="24">
        <v>0</v>
      </c>
      <c r="D893" s="24">
        <v>1</v>
      </c>
      <c r="E893" s="24">
        <v>0</v>
      </c>
      <c r="F893" s="24">
        <v>0</v>
      </c>
      <c r="G893" s="24">
        <v>1</v>
      </c>
      <c r="H893">
        <v>1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1</v>
      </c>
      <c r="Q893" s="23">
        <v>45710.207849999999</v>
      </c>
    </row>
    <row r="894" spans="1:17">
      <c r="A894" s="22">
        <v>60</v>
      </c>
      <c r="B894" s="22">
        <v>31.35</v>
      </c>
      <c r="C894" s="24">
        <v>0</v>
      </c>
      <c r="D894" s="24">
        <v>1</v>
      </c>
      <c r="E894" s="24">
        <v>0</v>
      </c>
      <c r="F894" s="24">
        <v>0</v>
      </c>
      <c r="G894" s="24">
        <v>1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1</v>
      </c>
      <c r="Q894" s="23">
        <v>46130.5265</v>
      </c>
    </row>
    <row r="895" spans="1:17">
      <c r="A895" s="22">
        <v>39</v>
      </c>
      <c r="B895" s="22">
        <v>35.299999999999997</v>
      </c>
      <c r="C895" s="24">
        <v>0</v>
      </c>
      <c r="D895" s="24">
        <v>1</v>
      </c>
      <c r="E895" s="24">
        <v>0</v>
      </c>
      <c r="F895" s="24">
        <v>0</v>
      </c>
      <c r="G895" s="24">
        <v>1</v>
      </c>
      <c r="H895">
        <v>1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 s="23">
        <v>40103.89</v>
      </c>
    </row>
    <row r="896" spans="1:17">
      <c r="A896" s="22">
        <v>27</v>
      </c>
      <c r="B896" s="22">
        <v>31.13</v>
      </c>
      <c r="C896" s="24">
        <v>0</v>
      </c>
      <c r="D896" s="24">
        <v>1</v>
      </c>
      <c r="E896" s="24">
        <v>0</v>
      </c>
      <c r="F896" s="24">
        <v>0</v>
      </c>
      <c r="G896" s="24">
        <v>1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 s="23">
        <v>34806.467700000001</v>
      </c>
    </row>
    <row r="897" spans="1:17">
      <c r="A897" s="22">
        <v>41</v>
      </c>
      <c r="B897" s="22">
        <v>35.75</v>
      </c>
      <c r="C897" s="24">
        <v>0</v>
      </c>
      <c r="D897" s="24">
        <v>1</v>
      </c>
      <c r="E897" s="24">
        <v>0</v>
      </c>
      <c r="F897" s="24">
        <v>0</v>
      </c>
      <c r="G897" s="24">
        <v>1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 s="23">
        <v>40273.645499999999</v>
      </c>
    </row>
    <row r="898" spans="1:17">
      <c r="A898" s="22">
        <v>23</v>
      </c>
      <c r="B898" s="22">
        <v>31.73</v>
      </c>
      <c r="C898" s="24">
        <v>0</v>
      </c>
      <c r="D898" s="24">
        <v>1</v>
      </c>
      <c r="E898" s="24">
        <v>0</v>
      </c>
      <c r="F898" s="24">
        <v>0</v>
      </c>
      <c r="G898" s="24">
        <v>1</v>
      </c>
      <c r="H898">
        <v>1</v>
      </c>
      <c r="I898">
        <v>0</v>
      </c>
      <c r="J898">
        <v>0</v>
      </c>
      <c r="K898">
        <v>0</v>
      </c>
      <c r="L898">
        <v>1</v>
      </c>
      <c r="M898">
        <v>1</v>
      </c>
      <c r="N898">
        <v>0</v>
      </c>
      <c r="O898">
        <v>0</v>
      </c>
      <c r="P898">
        <v>0</v>
      </c>
      <c r="Q898" s="23">
        <v>36189.101699999999</v>
      </c>
    </row>
    <row r="899" spans="1:17">
      <c r="A899" s="22">
        <v>29</v>
      </c>
      <c r="B899" s="22">
        <v>35.5</v>
      </c>
      <c r="C899" s="24">
        <v>0</v>
      </c>
      <c r="D899" s="24">
        <v>1</v>
      </c>
      <c r="E899" s="24">
        <v>0</v>
      </c>
      <c r="F899" s="24">
        <v>0</v>
      </c>
      <c r="G899" s="24">
        <v>1</v>
      </c>
      <c r="H899">
        <v>1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 s="23">
        <v>44585.455869999998</v>
      </c>
    </row>
    <row r="900" spans="1:17">
      <c r="A900" s="22">
        <v>53</v>
      </c>
      <c r="B900" s="22">
        <v>34.104999999999997</v>
      </c>
      <c r="C900" s="24">
        <v>0</v>
      </c>
      <c r="D900" s="24">
        <v>1</v>
      </c>
      <c r="E900" s="24">
        <v>0</v>
      </c>
      <c r="F900" s="24">
        <v>0</v>
      </c>
      <c r="G900" s="24">
        <v>1</v>
      </c>
      <c r="H900">
        <v>1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1</v>
      </c>
      <c r="P900">
        <v>0</v>
      </c>
      <c r="Q900" s="23">
        <v>43254.417950000003</v>
      </c>
    </row>
    <row r="901" spans="1:17">
      <c r="A901" s="22">
        <v>18</v>
      </c>
      <c r="B901" s="22">
        <v>38.17</v>
      </c>
      <c r="C901" s="24">
        <v>0</v>
      </c>
      <c r="D901" s="24">
        <v>1</v>
      </c>
      <c r="E901" s="24">
        <v>0</v>
      </c>
      <c r="F901" s="24">
        <v>0</v>
      </c>
      <c r="G901" s="24">
        <v>1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 s="23">
        <v>36307.798300000002</v>
      </c>
    </row>
    <row r="902" spans="1:17">
      <c r="A902" s="22">
        <v>56</v>
      </c>
      <c r="B902" s="22">
        <v>31.79</v>
      </c>
      <c r="C902" s="24">
        <v>0</v>
      </c>
      <c r="D902" s="24">
        <v>1</v>
      </c>
      <c r="E902" s="24">
        <v>0</v>
      </c>
      <c r="F902" s="24">
        <v>0</v>
      </c>
      <c r="G902" s="24">
        <v>1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 s="23">
        <v>43813.866099999999</v>
      </c>
    </row>
    <row r="903" spans="1:17">
      <c r="A903" s="22">
        <v>41</v>
      </c>
      <c r="B903" s="22">
        <v>30.78</v>
      </c>
      <c r="C903" s="24">
        <v>0</v>
      </c>
      <c r="D903" s="24">
        <v>1</v>
      </c>
      <c r="E903" s="24">
        <v>0</v>
      </c>
      <c r="F903" s="24">
        <v>0</v>
      </c>
      <c r="G903" s="24">
        <v>1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1</v>
      </c>
      <c r="P903">
        <v>0</v>
      </c>
      <c r="Q903" s="23">
        <v>39597.407200000001</v>
      </c>
    </row>
    <row r="904" spans="1:17">
      <c r="A904" s="22">
        <v>47</v>
      </c>
      <c r="B904" s="22">
        <v>38.94</v>
      </c>
      <c r="C904" s="24">
        <v>0</v>
      </c>
      <c r="D904" s="24">
        <v>1</v>
      </c>
      <c r="E904" s="24">
        <v>0</v>
      </c>
      <c r="F904" s="24">
        <v>0</v>
      </c>
      <c r="G904" s="24">
        <v>1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 s="23">
        <v>44202.653599999998</v>
      </c>
    </row>
    <row r="905" spans="1:17">
      <c r="A905" s="22">
        <v>60</v>
      </c>
      <c r="B905" s="22">
        <v>40.92</v>
      </c>
      <c r="C905" s="24">
        <v>0</v>
      </c>
      <c r="D905" s="24">
        <v>1</v>
      </c>
      <c r="E905" s="24">
        <v>0</v>
      </c>
      <c r="F905" s="24">
        <v>0</v>
      </c>
      <c r="G905" s="24">
        <v>1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 s="23">
        <v>48673.558799999999</v>
      </c>
    </row>
    <row r="906" spans="1:17">
      <c r="A906" s="22">
        <v>18</v>
      </c>
      <c r="B906" s="22">
        <v>31.73</v>
      </c>
      <c r="C906" s="24">
        <v>0</v>
      </c>
      <c r="D906" s="24">
        <v>1</v>
      </c>
      <c r="E906" s="24">
        <v>0</v>
      </c>
      <c r="F906" s="24">
        <v>0</v>
      </c>
      <c r="G906" s="24">
        <v>1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0</v>
      </c>
      <c r="O906">
        <v>0</v>
      </c>
      <c r="P906">
        <v>0</v>
      </c>
      <c r="Q906" s="23">
        <v>33732.686699999998</v>
      </c>
    </row>
    <row r="907" spans="1:17">
      <c r="A907" s="22">
        <v>37</v>
      </c>
      <c r="B907" s="22">
        <v>34.200000000000003</v>
      </c>
      <c r="C907" s="24">
        <v>0</v>
      </c>
      <c r="D907" s="24">
        <v>1</v>
      </c>
      <c r="E907" s="24">
        <v>0</v>
      </c>
      <c r="F907" s="24">
        <v>0</v>
      </c>
      <c r="G907" s="24">
        <v>1</v>
      </c>
      <c r="H907">
        <v>1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1</v>
      </c>
      <c r="P907">
        <v>0</v>
      </c>
      <c r="Q907" s="23">
        <v>39047.285000000003</v>
      </c>
    </row>
    <row r="908" spans="1:17">
      <c r="A908" s="22">
        <v>51</v>
      </c>
      <c r="B908" s="22">
        <v>42.9</v>
      </c>
      <c r="C908" s="24">
        <v>0</v>
      </c>
      <c r="D908" s="24">
        <v>1</v>
      </c>
      <c r="E908" s="24">
        <v>0</v>
      </c>
      <c r="F908" s="24">
        <v>0</v>
      </c>
      <c r="G908" s="24">
        <v>1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 s="23">
        <v>47462.894</v>
      </c>
    </row>
    <row r="909" spans="1:17">
      <c r="A909" s="22">
        <v>44</v>
      </c>
      <c r="B909" s="22">
        <v>30.2</v>
      </c>
      <c r="C909" s="24">
        <v>0</v>
      </c>
      <c r="D909" s="24">
        <v>1</v>
      </c>
      <c r="E909" s="24">
        <v>0</v>
      </c>
      <c r="F909" s="24">
        <v>0</v>
      </c>
      <c r="G909" s="24">
        <v>1</v>
      </c>
      <c r="H909">
        <v>1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 s="23">
        <v>38998.546000000002</v>
      </c>
    </row>
    <row r="910" spans="1:17">
      <c r="A910" s="22">
        <v>54</v>
      </c>
      <c r="B910" s="22">
        <v>30.8</v>
      </c>
      <c r="C910" s="24">
        <v>0</v>
      </c>
      <c r="D910" s="24">
        <v>1</v>
      </c>
      <c r="E910" s="24">
        <v>0</v>
      </c>
      <c r="F910" s="24">
        <v>0</v>
      </c>
      <c r="G910" s="24">
        <v>1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 s="23">
        <v>41999.519999999997</v>
      </c>
    </row>
    <row r="911" spans="1:17">
      <c r="A911" s="22">
        <v>43</v>
      </c>
      <c r="B911" s="22">
        <v>34.96</v>
      </c>
      <c r="C911" s="24">
        <v>0</v>
      </c>
      <c r="D911" s="24">
        <v>1</v>
      </c>
      <c r="E911" s="24">
        <v>0</v>
      </c>
      <c r="F911" s="24">
        <v>0</v>
      </c>
      <c r="G911" s="24">
        <v>1</v>
      </c>
      <c r="H911">
        <v>1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1</v>
      </c>
      <c r="P911">
        <v>0</v>
      </c>
      <c r="Q911" s="23">
        <v>41034.221400000002</v>
      </c>
    </row>
    <row r="912" spans="1:17">
      <c r="A912" s="22">
        <v>24</v>
      </c>
      <c r="B912" s="22">
        <v>32.700000000000003</v>
      </c>
      <c r="C912" s="24">
        <v>0</v>
      </c>
      <c r="D912" s="24">
        <v>1</v>
      </c>
      <c r="E912" s="24">
        <v>0</v>
      </c>
      <c r="F912" s="24">
        <v>0</v>
      </c>
      <c r="G912" s="24">
        <v>1</v>
      </c>
      <c r="H912">
        <v>1</v>
      </c>
      <c r="I912">
        <v>0</v>
      </c>
      <c r="J912">
        <v>1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 s="23">
        <v>34472.841</v>
      </c>
    </row>
    <row r="913" spans="1:17">
      <c r="A913" s="22">
        <v>47</v>
      </c>
      <c r="B913" s="22">
        <v>36.08</v>
      </c>
      <c r="C913" s="24">
        <v>0</v>
      </c>
      <c r="D913" s="24">
        <v>1</v>
      </c>
      <c r="E913" s="24">
        <v>0</v>
      </c>
      <c r="F913" s="24">
        <v>0</v>
      </c>
      <c r="G913" s="24">
        <v>1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 s="23">
        <v>42211.138200000001</v>
      </c>
    </row>
    <row r="914" spans="1:17">
      <c r="A914" s="22">
        <v>22</v>
      </c>
      <c r="B914" s="22">
        <v>37.07</v>
      </c>
      <c r="C914" s="24">
        <v>0</v>
      </c>
      <c r="D914" s="24">
        <v>1</v>
      </c>
      <c r="E914" s="24">
        <v>0</v>
      </c>
      <c r="F914" s="24">
        <v>0</v>
      </c>
      <c r="G914" s="24">
        <v>1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 s="23">
        <v>37484.4493</v>
      </c>
    </row>
    <row r="915" spans="1:17">
      <c r="A915" s="22">
        <v>20</v>
      </c>
      <c r="B915" s="22">
        <v>30.684999999999999</v>
      </c>
      <c r="C915" s="24">
        <v>0</v>
      </c>
      <c r="D915" s="24">
        <v>1</v>
      </c>
      <c r="E915" s="24">
        <v>0</v>
      </c>
      <c r="F915" s="24">
        <v>0</v>
      </c>
      <c r="G915" s="24">
        <v>1</v>
      </c>
      <c r="H915">
        <v>1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0</v>
      </c>
      <c r="O915">
        <v>0</v>
      </c>
      <c r="P915">
        <v>0</v>
      </c>
      <c r="Q915" s="23">
        <v>33475.817150000003</v>
      </c>
    </row>
    <row r="916" spans="1:17">
      <c r="A916" s="22">
        <v>22</v>
      </c>
      <c r="B916" s="22">
        <v>52.58</v>
      </c>
      <c r="C916" s="24">
        <v>0</v>
      </c>
      <c r="D916" s="24">
        <v>1</v>
      </c>
      <c r="E916" s="24">
        <v>0</v>
      </c>
      <c r="F916" s="24">
        <v>0</v>
      </c>
      <c r="G916" s="24">
        <v>1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 s="23">
        <v>44501.398200000003</v>
      </c>
    </row>
    <row r="917" spans="1:17">
      <c r="A917" s="22">
        <v>49</v>
      </c>
      <c r="B917" s="22">
        <v>30.9</v>
      </c>
      <c r="C917" s="24">
        <v>0</v>
      </c>
      <c r="D917" s="24">
        <v>1</v>
      </c>
      <c r="E917" s="24">
        <v>0</v>
      </c>
      <c r="F917" s="24">
        <v>0</v>
      </c>
      <c r="G917" s="24">
        <v>1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 s="23">
        <v>39727.614000000001</v>
      </c>
    </row>
    <row r="918" spans="1:17">
      <c r="A918" s="22">
        <v>59</v>
      </c>
      <c r="B918" s="22">
        <v>41.14</v>
      </c>
      <c r="C918" s="24">
        <v>0</v>
      </c>
      <c r="D918" s="24">
        <v>1</v>
      </c>
      <c r="E918" s="24">
        <v>0</v>
      </c>
      <c r="F918" s="24">
        <v>0</v>
      </c>
      <c r="G918" s="24">
        <v>1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 s="23">
        <v>48970.247600000002</v>
      </c>
    </row>
    <row r="919" spans="1:17">
      <c r="A919" s="22">
        <v>37</v>
      </c>
      <c r="B919" s="22">
        <v>37.07</v>
      </c>
      <c r="C919" s="24">
        <v>0</v>
      </c>
      <c r="D919" s="24">
        <v>1</v>
      </c>
      <c r="E919" s="24">
        <v>0</v>
      </c>
      <c r="F919" s="24">
        <v>0</v>
      </c>
      <c r="G919" s="24">
        <v>1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 s="23">
        <v>39871.704299999998</v>
      </c>
    </row>
    <row r="920" spans="1:17">
      <c r="A920" s="22">
        <v>28</v>
      </c>
      <c r="B920" s="22">
        <v>31.68</v>
      </c>
      <c r="C920" s="24">
        <v>0</v>
      </c>
      <c r="D920" s="24">
        <v>1</v>
      </c>
      <c r="E920" s="24">
        <v>0</v>
      </c>
      <c r="F920" s="24">
        <v>0</v>
      </c>
      <c r="G920" s="24">
        <v>1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 s="23">
        <v>34672.147199999999</v>
      </c>
    </row>
    <row r="921" spans="1:17">
      <c r="A921" s="22">
        <v>47</v>
      </c>
      <c r="B921" s="22">
        <v>36.19</v>
      </c>
      <c r="C921" s="24">
        <v>0</v>
      </c>
      <c r="D921" s="24">
        <v>1</v>
      </c>
      <c r="E921" s="24">
        <v>0</v>
      </c>
      <c r="F921" s="24">
        <v>0</v>
      </c>
      <c r="G921" s="24">
        <v>1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 s="23">
        <v>41676.081100000003</v>
      </c>
    </row>
    <row r="922" spans="1:17">
      <c r="A922" s="22">
        <v>38</v>
      </c>
      <c r="B922" s="22">
        <v>38.39</v>
      </c>
      <c r="C922" s="24">
        <v>0</v>
      </c>
      <c r="D922" s="24">
        <v>1</v>
      </c>
      <c r="E922" s="24">
        <v>0</v>
      </c>
      <c r="F922" s="24">
        <v>0</v>
      </c>
      <c r="G922" s="24">
        <v>1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 s="23">
        <v>41949.244100000004</v>
      </c>
    </row>
    <row r="923" spans="1:17">
      <c r="A923" s="22">
        <v>25</v>
      </c>
      <c r="B923" s="22">
        <v>33.33</v>
      </c>
      <c r="C923" s="24">
        <v>0</v>
      </c>
      <c r="D923" s="24">
        <v>1</v>
      </c>
      <c r="E923" s="24">
        <v>0</v>
      </c>
      <c r="F923" s="24">
        <v>0</v>
      </c>
      <c r="G923" s="24">
        <v>1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 s="23">
        <v>36124.573700000001</v>
      </c>
    </row>
    <row r="924" spans="1:17">
      <c r="A924" s="22">
        <v>33</v>
      </c>
      <c r="B924" s="22">
        <v>35.75</v>
      </c>
      <c r="C924" s="24">
        <v>0</v>
      </c>
      <c r="D924" s="24">
        <v>1</v>
      </c>
      <c r="E924" s="24">
        <v>0</v>
      </c>
      <c r="F924" s="24">
        <v>0</v>
      </c>
      <c r="G924" s="24">
        <v>1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 s="23">
        <v>38282.749499999998</v>
      </c>
    </row>
    <row r="925" spans="1:17">
      <c r="A925" s="22">
        <v>60</v>
      </c>
      <c r="B925" s="22">
        <v>32.799999999999997</v>
      </c>
      <c r="C925" s="24">
        <v>0</v>
      </c>
      <c r="D925" s="24">
        <v>1</v>
      </c>
      <c r="E925" s="24">
        <v>0</v>
      </c>
      <c r="F925" s="24">
        <v>0</v>
      </c>
      <c r="G925" s="24">
        <v>1</v>
      </c>
      <c r="H925">
        <v>1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 s="23">
        <v>52590.829389999999</v>
      </c>
    </row>
    <row r="926" spans="1:17">
      <c r="A926" s="22">
        <v>19</v>
      </c>
      <c r="B926" s="22">
        <v>44.88</v>
      </c>
      <c r="C926" s="24">
        <v>0</v>
      </c>
      <c r="D926" s="24">
        <v>1</v>
      </c>
      <c r="E926" s="24">
        <v>0</v>
      </c>
      <c r="F926" s="24">
        <v>0</v>
      </c>
      <c r="G926" s="24">
        <v>1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 s="23">
        <v>39722.746200000001</v>
      </c>
    </row>
    <row r="927" spans="1:17">
      <c r="A927" s="22">
        <v>20</v>
      </c>
      <c r="B927" s="22">
        <v>35.625</v>
      </c>
      <c r="C927" s="24">
        <v>0</v>
      </c>
      <c r="D927" s="24">
        <v>1</v>
      </c>
      <c r="E927" s="24">
        <v>0</v>
      </c>
      <c r="F927" s="24">
        <v>0</v>
      </c>
      <c r="G927" s="24">
        <v>1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1</v>
      </c>
      <c r="N927">
        <v>0</v>
      </c>
      <c r="O927">
        <v>0</v>
      </c>
      <c r="P927">
        <v>0</v>
      </c>
      <c r="Q927" s="23">
        <v>37465.34375</v>
      </c>
    </row>
    <row r="928" spans="1:17">
      <c r="A928" s="22">
        <v>36</v>
      </c>
      <c r="B928" s="22">
        <v>33.4</v>
      </c>
      <c r="C928" s="24">
        <v>0</v>
      </c>
      <c r="D928" s="24">
        <v>1</v>
      </c>
      <c r="E928" s="24">
        <v>0</v>
      </c>
      <c r="F928" s="24">
        <v>0</v>
      </c>
      <c r="G928" s="24">
        <v>1</v>
      </c>
      <c r="H928">
        <v>1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 s="23">
        <v>38415.474000000002</v>
      </c>
    </row>
    <row r="929" spans="1:17">
      <c r="A929" s="22">
        <v>52</v>
      </c>
      <c r="B929" s="22">
        <v>34.484999999999999</v>
      </c>
      <c r="C929" s="24">
        <v>0</v>
      </c>
      <c r="D929" s="24">
        <v>1</v>
      </c>
      <c r="E929" s="24">
        <v>0</v>
      </c>
      <c r="F929" s="24">
        <v>0</v>
      </c>
      <c r="G929" s="24">
        <v>1</v>
      </c>
      <c r="H929">
        <v>1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1</v>
      </c>
      <c r="P929">
        <v>0</v>
      </c>
      <c r="Q929" s="23">
        <v>60021.398970000002</v>
      </c>
    </row>
    <row r="930" spans="1:17">
      <c r="A930" s="22">
        <v>52</v>
      </c>
      <c r="B930" s="22">
        <v>41.8</v>
      </c>
      <c r="C930" s="24">
        <v>0</v>
      </c>
      <c r="D930" s="24">
        <v>1</v>
      </c>
      <c r="E930" s="24">
        <v>0</v>
      </c>
      <c r="F930" s="24">
        <v>0</v>
      </c>
      <c r="G930" s="24">
        <v>1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 s="23">
        <v>47269.853999999999</v>
      </c>
    </row>
    <row r="931" spans="1:17">
      <c r="A931" s="22">
        <v>64</v>
      </c>
      <c r="B931" s="22">
        <v>36.96</v>
      </c>
      <c r="C931" s="24">
        <v>0</v>
      </c>
      <c r="D931" s="24">
        <v>1</v>
      </c>
      <c r="E931" s="24">
        <v>0</v>
      </c>
      <c r="F931" s="24">
        <v>0</v>
      </c>
      <c r="G931" s="24">
        <v>1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 s="23">
        <v>49577.662400000001</v>
      </c>
    </row>
    <row r="932" spans="1:17">
      <c r="A932" s="22">
        <v>32</v>
      </c>
      <c r="B932" s="22">
        <v>33.630000000000003</v>
      </c>
      <c r="C932" s="24">
        <v>0</v>
      </c>
      <c r="D932" s="24">
        <v>1</v>
      </c>
      <c r="E932" s="24">
        <v>0</v>
      </c>
      <c r="F932" s="24">
        <v>0</v>
      </c>
      <c r="G932" s="24">
        <v>1</v>
      </c>
      <c r="H932">
        <v>1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0</v>
      </c>
      <c r="P932">
        <v>0</v>
      </c>
      <c r="Q932" s="23">
        <v>37607.527699999999</v>
      </c>
    </row>
    <row r="933" spans="1:17">
      <c r="A933" s="22">
        <v>24</v>
      </c>
      <c r="B933" s="22">
        <v>31.065000000000001</v>
      </c>
      <c r="C933" s="24">
        <v>0</v>
      </c>
      <c r="D933" s="24">
        <v>1</v>
      </c>
      <c r="E933" s="24">
        <v>0</v>
      </c>
      <c r="F933" s="24">
        <v>0</v>
      </c>
      <c r="G933" s="24">
        <v>1</v>
      </c>
      <c r="H933">
        <v>1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0</v>
      </c>
      <c r="O933">
        <v>0</v>
      </c>
      <c r="P933">
        <v>0</v>
      </c>
      <c r="Q933" s="23">
        <v>34254.053350000002</v>
      </c>
    </row>
    <row r="934" spans="1:17">
      <c r="A934" s="22">
        <v>39</v>
      </c>
      <c r="B934" s="22">
        <v>29.925000000000001</v>
      </c>
      <c r="C934" s="24">
        <v>0</v>
      </c>
      <c r="D934" s="24">
        <v>1</v>
      </c>
      <c r="E934" s="24">
        <v>0</v>
      </c>
      <c r="F934" s="24">
        <v>0</v>
      </c>
      <c r="G934" s="24">
        <v>1</v>
      </c>
      <c r="H934">
        <v>1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1</v>
      </c>
      <c r="P934">
        <v>0</v>
      </c>
      <c r="Q934" s="23">
        <v>22462.043750000001</v>
      </c>
    </row>
    <row r="935" spans="1:17">
      <c r="A935" s="22">
        <v>61</v>
      </c>
      <c r="B935" s="22">
        <v>36.299999999999997</v>
      </c>
      <c r="C935" s="24">
        <v>0</v>
      </c>
      <c r="D935" s="24">
        <v>1</v>
      </c>
      <c r="E935" s="24">
        <v>0</v>
      </c>
      <c r="F935" s="24">
        <v>0</v>
      </c>
      <c r="G935" s="24">
        <v>1</v>
      </c>
      <c r="H935">
        <v>1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 s="23">
        <v>47403.88</v>
      </c>
    </row>
    <row r="936" spans="1:17">
      <c r="A936" s="22">
        <v>20</v>
      </c>
      <c r="B936" s="22">
        <v>39.4</v>
      </c>
      <c r="C936" s="24">
        <v>0</v>
      </c>
      <c r="D936" s="24">
        <v>1</v>
      </c>
      <c r="E936" s="24">
        <v>0</v>
      </c>
      <c r="F936" s="24">
        <v>0</v>
      </c>
      <c r="G936" s="24">
        <v>1</v>
      </c>
      <c r="H936">
        <v>1</v>
      </c>
      <c r="I936">
        <v>0</v>
      </c>
      <c r="J936">
        <v>1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 s="23">
        <v>38344.565999999999</v>
      </c>
    </row>
    <row r="937" spans="1:17">
      <c r="A937" s="22">
        <v>19</v>
      </c>
      <c r="B937" s="22">
        <v>34.9</v>
      </c>
      <c r="C937" s="24">
        <v>0</v>
      </c>
      <c r="D937" s="24">
        <v>1</v>
      </c>
      <c r="E937" s="24">
        <v>0</v>
      </c>
      <c r="F937" s="24">
        <v>0</v>
      </c>
      <c r="G937" s="24">
        <v>1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 s="23">
        <v>34828.654000000002</v>
      </c>
    </row>
    <row r="938" spans="1:17">
      <c r="A938" s="22">
        <v>45</v>
      </c>
      <c r="B938" s="22">
        <v>30.36</v>
      </c>
      <c r="C938" s="24">
        <v>0</v>
      </c>
      <c r="D938" s="24">
        <v>1</v>
      </c>
      <c r="E938" s="24">
        <v>0</v>
      </c>
      <c r="F938" s="24">
        <v>0</v>
      </c>
      <c r="G938" s="24">
        <v>1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 s="23">
        <v>62592.873090000001</v>
      </c>
    </row>
    <row r="939" spans="1:17">
      <c r="A939" s="22">
        <v>62</v>
      </c>
      <c r="B939" s="22">
        <v>30.875</v>
      </c>
      <c r="C939" s="24">
        <v>0</v>
      </c>
      <c r="D939" s="24">
        <v>1</v>
      </c>
      <c r="E939" s="24">
        <v>0</v>
      </c>
      <c r="F939" s="24">
        <v>0</v>
      </c>
      <c r="G939" s="24">
        <v>1</v>
      </c>
      <c r="H939">
        <v>1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1</v>
      </c>
      <c r="Q939" s="23">
        <v>46718.163249999998</v>
      </c>
    </row>
    <row r="940" spans="1:17" hidden="1">
      <c r="A940" s="22">
        <v>18</v>
      </c>
      <c r="B940" s="22">
        <v>26.315000000000001</v>
      </c>
      <c r="C940" s="24">
        <v>0</v>
      </c>
      <c r="D940" s="24">
        <v>0</v>
      </c>
      <c r="E940" s="24">
        <v>1</v>
      </c>
      <c r="F940" s="24">
        <v>0</v>
      </c>
      <c r="G940" s="24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0</v>
      </c>
      <c r="O940">
        <v>0</v>
      </c>
      <c r="P940">
        <v>0</v>
      </c>
      <c r="Q940" s="23">
        <v>2198.1898500000002</v>
      </c>
    </row>
    <row r="941" spans="1:17" hidden="1">
      <c r="A941" s="22">
        <v>18</v>
      </c>
      <c r="B941" s="22">
        <v>26.73</v>
      </c>
      <c r="C941" s="24">
        <v>0</v>
      </c>
      <c r="D941" s="24">
        <v>0</v>
      </c>
      <c r="E941" s="24">
        <v>1</v>
      </c>
      <c r="F941" s="24">
        <v>0</v>
      </c>
      <c r="G941" s="24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0</v>
      </c>
      <c r="P941">
        <v>0</v>
      </c>
      <c r="Q941" s="23">
        <v>1615.7666999999999</v>
      </c>
    </row>
    <row r="942" spans="1:17" hidden="1">
      <c r="A942" s="22">
        <v>18</v>
      </c>
      <c r="B942" s="22">
        <v>29.164999999999999</v>
      </c>
      <c r="C942" s="24">
        <v>0</v>
      </c>
      <c r="D942" s="24">
        <v>0</v>
      </c>
      <c r="E942" s="24">
        <v>1</v>
      </c>
      <c r="F942" s="24">
        <v>0</v>
      </c>
      <c r="G942" s="24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0</v>
      </c>
      <c r="O942">
        <v>0</v>
      </c>
      <c r="P942">
        <v>0</v>
      </c>
      <c r="Q942" s="23">
        <v>7323.7348190000002</v>
      </c>
    </row>
    <row r="943" spans="1:17" hidden="1">
      <c r="A943" s="22">
        <v>18</v>
      </c>
      <c r="B943" s="22">
        <v>25.08</v>
      </c>
      <c r="C943" s="24">
        <v>0</v>
      </c>
      <c r="D943" s="24">
        <v>0</v>
      </c>
      <c r="E943" s="24">
        <v>1</v>
      </c>
      <c r="F943" s="24">
        <v>0</v>
      </c>
      <c r="G943" s="24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0</v>
      </c>
      <c r="O943">
        <v>0</v>
      </c>
      <c r="P943">
        <v>0</v>
      </c>
      <c r="Q943" s="23">
        <v>2196.4731999999999</v>
      </c>
    </row>
    <row r="944" spans="1:17" hidden="1">
      <c r="A944" s="22">
        <v>18</v>
      </c>
      <c r="B944" s="22">
        <v>28.215</v>
      </c>
      <c r="C944" s="24">
        <v>0</v>
      </c>
      <c r="D944" s="24">
        <v>0</v>
      </c>
      <c r="E944" s="24">
        <v>1</v>
      </c>
      <c r="F944" s="24">
        <v>0</v>
      </c>
      <c r="G944" s="2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0</v>
      </c>
      <c r="O944">
        <v>0</v>
      </c>
      <c r="P944">
        <v>0</v>
      </c>
      <c r="Q944" s="23">
        <v>2200.8308499999998</v>
      </c>
    </row>
    <row r="945" spans="1:17" hidden="1">
      <c r="A945" s="22">
        <v>19</v>
      </c>
      <c r="B945" s="22">
        <v>28.6</v>
      </c>
      <c r="C945" s="24">
        <v>0</v>
      </c>
      <c r="D945" s="24">
        <v>0</v>
      </c>
      <c r="E945" s="24">
        <v>1</v>
      </c>
      <c r="F945" s="24">
        <v>0</v>
      </c>
      <c r="G945" s="24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 s="23">
        <v>4687.7969999999996</v>
      </c>
    </row>
    <row r="946" spans="1:17" hidden="1">
      <c r="A946" s="22">
        <v>19</v>
      </c>
      <c r="B946" s="22">
        <v>28.9</v>
      </c>
      <c r="C946" s="24">
        <v>0</v>
      </c>
      <c r="D946" s="24">
        <v>0</v>
      </c>
      <c r="E946" s="24">
        <v>1</v>
      </c>
      <c r="F946" s="24">
        <v>0</v>
      </c>
      <c r="G946" s="24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 s="23">
        <v>1743.2139999999999</v>
      </c>
    </row>
    <row r="947" spans="1:17" hidden="1">
      <c r="A947" s="22">
        <v>19</v>
      </c>
      <c r="B947" s="22">
        <v>28.4</v>
      </c>
      <c r="C947" s="24">
        <v>0</v>
      </c>
      <c r="D947" s="24">
        <v>0</v>
      </c>
      <c r="E947" s="24">
        <v>1</v>
      </c>
      <c r="F947" s="24">
        <v>0</v>
      </c>
      <c r="G947" s="24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0</v>
      </c>
      <c r="Q947" s="23">
        <v>2331.5189999999998</v>
      </c>
    </row>
    <row r="948" spans="1:17" hidden="1">
      <c r="A948" s="22">
        <v>19</v>
      </c>
      <c r="B948" s="22">
        <v>29.8</v>
      </c>
      <c r="C948" s="24">
        <v>0</v>
      </c>
      <c r="D948" s="24">
        <v>0</v>
      </c>
      <c r="E948" s="24">
        <v>1</v>
      </c>
      <c r="F948" s="24">
        <v>0</v>
      </c>
      <c r="G948" s="24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 s="23">
        <v>1744.4649999999999</v>
      </c>
    </row>
    <row r="949" spans="1:17" hidden="1">
      <c r="A949" s="22">
        <v>19</v>
      </c>
      <c r="B949" s="22">
        <v>27.93</v>
      </c>
      <c r="C949" s="24">
        <v>0</v>
      </c>
      <c r="D949" s="24">
        <v>0</v>
      </c>
      <c r="E949" s="24">
        <v>1</v>
      </c>
      <c r="F949" s="24">
        <v>0</v>
      </c>
      <c r="G949" s="24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1</v>
      </c>
      <c r="N949">
        <v>0</v>
      </c>
      <c r="O949">
        <v>0</v>
      </c>
      <c r="P949">
        <v>0</v>
      </c>
      <c r="Q949" s="23">
        <v>18838.703659999999</v>
      </c>
    </row>
    <row r="950" spans="1:17" hidden="1">
      <c r="A950" s="22">
        <v>19</v>
      </c>
      <c r="B950" s="22">
        <v>25.745000000000001</v>
      </c>
      <c r="C950" s="24">
        <v>0</v>
      </c>
      <c r="D950" s="24">
        <v>0</v>
      </c>
      <c r="E950" s="24">
        <v>1</v>
      </c>
      <c r="F950" s="24">
        <v>0</v>
      </c>
      <c r="G950" s="24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1</v>
      </c>
      <c r="N950">
        <v>0</v>
      </c>
      <c r="O950">
        <v>0</v>
      </c>
      <c r="P950">
        <v>0</v>
      </c>
      <c r="Q950" s="23">
        <v>2710.8285500000002</v>
      </c>
    </row>
    <row r="951" spans="1:17" hidden="1">
      <c r="A951" s="22">
        <v>20</v>
      </c>
      <c r="B951" s="22">
        <v>28.975000000000001</v>
      </c>
      <c r="C951" s="24">
        <v>0</v>
      </c>
      <c r="D951" s="24">
        <v>0</v>
      </c>
      <c r="E951" s="24">
        <v>1</v>
      </c>
      <c r="F951" s="24">
        <v>0</v>
      </c>
      <c r="G951" s="24">
        <v>0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1</v>
      </c>
      <c r="N951">
        <v>0</v>
      </c>
      <c r="O951">
        <v>0</v>
      </c>
      <c r="P951">
        <v>0</v>
      </c>
      <c r="Q951" s="23">
        <v>2257.47525</v>
      </c>
    </row>
    <row r="952" spans="1:17" hidden="1">
      <c r="A952" s="22">
        <v>20</v>
      </c>
      <c r="B952" s="22">
        <v>28.785</v>
      </c>
      <c r="C952" s="24">
        <v>0</v>
      </c>
      <c r="D952" s="24">
        <v>0</v>
      </c>
      <c r="E952" s="24">
        <v>1</v>
      </c>
      <c r="F952" s="24">
        <v>0</v>
      </c>
      <c r="G952" s="24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0</v>
      </c>
      <c r="O952">
        <v>0</v>
      </c>
      <c r="P952">
        <v>0</v>
      </c>
      <c r="Q952" s="23">
        <v>2457.2111500000001</v>
      </c>
    </row>
    <row r="953" spans="1:17" hidden="1">
      <c r="A953" s="22">
        <v>20</v>
      </c>
      <c r="B953" s="22">
        <v>29.6</v>
      </c>
      <c r="C953" s="24">
        <v>0</v>
      </c>
      <c r="D953" s="24">
        <v>0</v>
      </c>
      <c r="E953" s="24">
        <v>1</v>
      </c>
      <c r="F953" s="24">
        <v>0</v>
      </c>
      <c r="G953" s="24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 s="23">
        <v>1875.3440000000001</v>
      </c>
    </row>
    <row r="954" spans="1:17" hidden="1">
      <c r="A954" s="22">
        <v>21</v>
      </c>
      <c r="B954" s="22">
        <v>26.4</v>
      </c>
      <c r="C954" s="24">
        <v>0</v>
      </c>
      <c r="D954" s="24">
        <v>0</v>
      </c>
      <c r="E954" s="24">
        <v>1</v>
      </c>
      <c r="F954" s="24">
        <v>0</v>
      </c>
      <c r="G954" s="2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 s="23">
        <v>2597.779</v>
      </c>
    </row>
    <row r="955" spans="1:17" hidden="1">
      <c r="A955" s="22">
        <v>21</v>
      </c>
      <c r="B955" s="22">
        <v>25.8</v>
      </c>
      <c r="C955" s="24">
        <v>0</v>
      </c>
      <c r="D955" s="24">
        <v>0</v>
      </c>
      <c r="E955" s="24">
        <v>1</v>
      </c>
      <c r="F955" s="24">
        <v>0</v>
      </c>
      <c r="G955" s="24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 s="23">
        <v>2007.9449999999999</v>
      </c>
    </row>
    <row r="956" spans="1:17" hidden="1">
      <c r="A956" s="22">
        <v>22</v>
      </c>
      <c r="B956" s="22">
        <v>28.05</v>
      </c>
      <c r="C956" s="24">
        <v>0</v>
      </c>
      <c r="D956" s="24">
        <v>0</v>
      </c>
      <c r="E956" s="24">
        <v>1</v>
      </c>
      <c r="F956" s="24">
        <v>0</v>
      </c>
      <c r="G956" s="24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 s="23">
        <v>2155.6815000000001</v>
      </c>
    </row>
    <row r="957" spans="1:17" hidden="1">
      <c r="A957" s="22">
        <v>22</v>
      </c>
      <c r="B957" s="22">
        <v>28.82</v>
      </c>
      <c r="C957" s="24">
        <v>0</v>
      </c>
      <c r="D957" s="24">
        <v>0</v>
      </c>
      <c r="E957" s="24">
        <v>1</v>
      </c>
      <c r="F957" s="24">
        <v>0</v>
      </c>
      <c r="G957" s="24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0</v>
      </c>
      <c r="Q957" s="23">
        <v>2156.7518</v>
      </c>
    </row>
    <row r="958" spans="1:17" hidden="1">
      <c r="A958" s="22">
        <v>22</v>
      </c>
      <c r="B958" s="22">
        <v>27.1</v>
      </c>
      <c r="C958" s="24">
        <v>0</v>
      </c>
      <c r="D958" s="24">
        <v>0</v>
      </c>
      <c r="E958" s="24">
        <v>1</v>
      </c>
      <c r="F958" s="24">
        <v>0</v>
      </c>
      <c r="G958" s="24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 s="23">
        <v>2154.3609999999999</v>
      </c>
    </row>
    <row r="959" spans="1:17" hidden="1">
      <c r="A959" s="22">
        <v>23</v>
      </c>
      <c r="B959" s="22">
        <v>28.12</v>
      </c>
      <c r="C959" s="24">
        <v>0</v>
      </c>
      <c r="D959" s="24">
        <v>0</v>
      </c>
      <c r="E959" s="24">
        <v>1</v>
      </c>
      <c r="F959" s="24">
        <v>0</v>
      </c>
      <c r="G959" s="24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1</v>
      </c>
      <c r="N959">
        <v>0</v>
      </c>
      <c r="O959">
        <v>0</v>
      </c>
      <c r="P959">
        <v>0</v>
      </c>
      <c r="Q959" s="23">
        <v>2690.1138000000001</v>
      </c>
    </row>
    <row r="960" spans="1:17" hidden="1">
      <c r="A960" s="22">
        <v>23</v>
      </c>
      <c r="B960" s="22">
        <v>28</v>
      </c>
      <c r="C960" s="24">
        <v>0</v>
      </c>
      <c r="D960" s="24">
        <v>0</v>
      </c>
      <c r="E960" s="24">
        <v>1</v>
      </c>
      <c r="F960" s="24">
        <v>0</v>
      </c>
      <c r="G960" s="24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 s="23">
        <v>13126.677449999999</v>
      </c>
    </row>
    <row r="961" spans="1:17" hidden="1">
      <c r="A961" s="22">
        <v>24</v>
      </c>
      <c r="B961" s="22">
        <v>26.6</v>
      </c>
      <c r="C961" s="24">
        <v>0</v>
      </c>
      <c r="D961" s="24">
        <v>0</v>
      </c>
      <c r="E961" s="24">
        <v>1</v>
      </c>
      <c r="F961" s="24">
        <v>0</v>
      </c>
      <c r="G961" s="24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0</v>
      </c>
      <c r="P961">
        <v>0</v>
      </c>
      <c r="Q961" s="23">
        <v>3046.0619999999999</v>
      </c>
    </row>
    <row r="962" spans="1:17" hidden="1">
      <c r="A962" s="22">
        <v>24</v>
      </c>
      <c r="B962" s="22">
        <v>27.6</v>
      </c>
      <c r="C962" s="24">
        <v>0</v>
      </c>
      <c r="D962" s="24">
        <v>0</v>
      </c>
      <c r="E962" s="24">
        <v>1</v>
      </c>
      <c r="F962" s="24">
        <v>0</v>
      </c>
      <c r="G962" s="24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 s="23">
        <v>18955.220170000001</v>
      </c>
    </row>
    <row r="963" spans="1:17" hidden="1">
      <c r="A963" s="22">
        <v>24</v>
      </c>
      <c r="B963" s="22">
        <v>25.27</v>
      </c>
      <c r="C963" s="24">
        <v>0</v>
      </c>
      <c r="D963" s="24">
        <v>0</v>
      </c>
      <c r="E963" s="24">
        <v>1</v>
      </c>
      <c r="F963" s="24">
        <v>0</v>
      </c>
      <c r="G963" s="24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0</v>
      </c>
      <c r="O963">
        <v>0</v>
      </c>
      <c r="P963">
        <v>0</v>
      </c>
      <c r="Q963" s="23">
        <v>3044.2132999999999</v>
      </c>
    </row>
    <row r="964" spans="1:17" hidden="1">
      <c r="A964" s="22">
        <v>24</v>
      </c>
      <c r="B964" s="22">
        <v>27.72</v>
      </c>
      <c r="C964" s="24">
        <v>0</v>
      </c>
      <c r="D964" s="24">
        <v>0</v>
      </c>
      <c r="E964" s="24">
        <v>1</v>
      </c>
      <c r="F964" s="24">
        <v>0</v>
      </c>
      <c r="G964" s="2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 s="23">
        <v>2464.6188000000002</v>
      </c>
    </row>
    <row r="965" spans="1:17" hidden="1">
      <c r="A965" s="22">
        <v>25</v>
      </c>
      <c r="B965" s="22">
        <v>28.594999999999999</v>
      </c>
      <c r="C965" s="24">
        <v>0</v>
      </c>
      <c r="D965" s="24">
        <v>0</v>
      </c>
      <c r="E965" s="24">
        <v>1</v>
      </c>
      <c r="F965" s="24">
        <v>0</v>
      </c>
      <c r="G965" s="24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0</v>
      </c>
      <c r="O965">
        <v>0</v>
      </c>
      <c r="P965">
        <v>0</v>
      </c>
      <c r="Q965" s="23">
        <v>3213.6220499999999</v>
      </c>
    </row>
    <row r="966" spans="1:17" hidden="1">
      <c r="A966" s="22">
        <v>25</v>
      </c>
      <c r="B966" s="22">
        <v>26.79</v>
      </c>
      <c r="C966" s="24">
        <v>0</v>
      </c>
      <c r="D966" s="24">
        <v>0</v>
      </c>
      <c r="E966" s="24">
        <v>1</v>
      </c>
      <c r="F966" s="24">
        <v>0</v>
      </c>
      <c r="G966" s="24">
        <v>0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1</v>
      </c>
      <c r="N966">
        <v>0</v>
      </c>
      <c r="O966">
        <v>0</v>
      </c>
      <c r="P966">
        <v>0</v>
      </c>
      <c r="Q966" s="23">
        <v>4189.1130999999996</v>
      </c>
    </row>
    <row r="967" spans="1:17" hidden="1">
      <c r="A967" s="22">
        <v>26</v>
      </c>
      <c r="B967" s="22">
        <v>28.785</v>
      </c>
      <c r="C967" s="24">
        <v>0</v>
      </c>
      <c r="D967" s="24">
        <v>0</v>
      </c>
      <c r="E967" s="24">
        <v>1</v>
      </c>
      <c r="F967" s="24">
        <v>0</v>
      </c>
      <c r="G967" s="24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  <c r="P967">
        <v>0</v>
      </c>
      <c r="Q967" s="23">
        <v>3385.3991500000002</v>
      </c>
    </row>
    <row r="968" spans="1:17" hidden="1">
      <c r="A968" s="22">
        <v>26</v>
      </c>
      <c r="B968" s="22">
        <v>29.64</v>
      </c>
      <c r="C968" s="24">
        <v>0</v>
      </c>
      <c r="D968" s="24">
        <v>0</v>
      </c>
      <c r="E968" s="24">
        <v>1</v>
      </c>
      <c r="F968" s="24">
        <v>0</v>
      </c>
      <c r="G968" s="24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  <c r="P968">
        <v>0</v>
      </c>
      <c r="Q968" s="23">
        <v>24671.663339999999</v>
      </c>
    </row>
    <row r="969" spans="1:17" hidden="1">
      <c r="A969" s="22">
        <v>26</v>
      </c>
      <c r="B969" s="22">
        <v>29.48</v>
      </c>
      <c r="C969" s="24">
        <v>0</v>
      </c>
      <c r="D969" s="24">
        <v>0</v>
      </c>
      <c r="E969" s="24">
        <v>1</v>
      </c>
      <c r="F969" s="24">
        <v>0</v>
      </c>
      <c r="G969" s="24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 s="23">
        <v>3392.3652000000002</v>
      </c>
    </row>
    <row r="970" spans="1:17" hidden="1">
      <c r="A970" s="22">
        <v>26</v>
      </c>
      <c r="B970" s="22">
        <v>29.355</v>
      </c>
      <c r="C970" s="24">
        <v>0</v>
      </c>
      <c r="D970" s="24">
        <v>0</v>
      </c>
      <c r="E970" s="24">
        <v>1</v>
      </c>
      <c r="F970" s="24">
        <v>0</v>
      </c>
      <c r="G970" s="24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0</v>
      </c>
      <c r="P970">
        <v>0</v>
      </c>
      <c r="Q970" s="23">
        <v>4564.1914500000003</v>
      </c>
    </row>
    <row r="971" spans="1:17" hidden="1">
      <c r="A971" s="22">
        <v>27</v>
      </c>
      <c r="B971" s="22">
        <v>25.175000000000001</v>
      </c>
      <c r="C971" s="24">
        <v>0</v>
      </c>
      <c r="D971" s="24">
        <v>0</v>
      </c>
      <c r="E971" s="24">
        <v>1</v>
      </c>
      <c r="F971" s="24">
        <v>0</v>
      </c>
      <c r="G971" s="24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  <c r="P971">
        <v>0</v>
      </c>
      <c r="Q971" s="23">
        <v>3558.6202499999999</v>
      </c>
    </row>
    <row r="972" spans="1:17" hidden="1">
      <c r="A972" s="22">
        <v>28</v>
      </c>
      <c r="B972" s="22">
        <v>25.934999999999999</v>
      </c>
      <c r="C972" s="24">
        <v>0</v>
      </c>
      <c r="D972" s="24">
        <v>0</v>
      </c>
      <c r="E972" s="24">
        <v>1</v>
      </c>
      <c r="F972" s="24">
        <v>0</v>
      </c>
      <c r="G972" s="24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1</v>
      </c>
      <c r="O972">
        <v>0</v>
      </c>
      <c r="P972">
        <v>0</v>
      </c>
      <c r="Q972" s="23">
        <v>4133.6416499999996</v>
      </c>
    </row>
    <row r="973" spans="1:17" hidden="1">
      <c r="A973" s="22">
        <v>28</v>
      </c>
      <c r="B973" s="22">
        <v>28.88</v>
      </c>
      <c r="C973" s="24">
        <v>0</v>
      </c>
      <c r="D973" s="24">
        <v>0</v>
      </c>
      <c r="E973" s="24">
        <v>1</v>
      </c>
      <c r="F973" s="24">
        <v>0</v>
      </c>
      <c r="G973" s="24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1</v>
      </c>
      <c r="O973">
        <v>0</v>
      </c>
      <c r="P973">
        <v>0</v>
      </c>
      <c r="Q973" s="23">
        <v>4337.7352000000001</v>
      </c>
    </row>
    <row r="974" spans="1:17" hidden="1">
      <c r="A974" s="22">
        <v>28</v>
      </c>
      <c r="B974" s="22">
        <v>27.5</v>
      </c>
      <c r="C974" s="24">
        <v>0</v>
      </c>
      <c r="D974" s="24">
        <v>0</v>
      </c>
      <c r="E974" s="24">
        <v>1</v>
      </c>
      <c r="F974" s="24">
        <v>0</v>
      </c>
      <c r="G974" s="2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 s="23">
        <v>20177.671129999999</v>
      </c>
    </row>
    <row r="975" spans="1:17" hidden="1">
      <c r="A975" s="22">
        <v>28</v>
      </c>
      <c r="B975" s="22">
        <v>25.8</v>
      </c>
      <c r="C975" s="24">
        <v>0</v>
      </c>
      <c r="D975" s="24">
        <v>0</v>
      </c>
      <c r="E975" s="24">
        <v>1</v>
      </c>
      <c r="F975" s="24">
        <v>0</v>
      </c>
      <c r="G975" s="24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 s="23">
        <v>3161.4540000000002</v>
      </c>
    </row>
    <row r="976" spans="1:17" hidden="1">
      <c r="A976" s="22">
        <v>28</v>
      </c>
      <c r="B976" s="22">
        <v>26.315000000000001</v>
      </c>
      <c r="C976" s="24">
        <v>0</v>
      </c>
      <c r="D976" s="24">
        <v>0</v>
      </c>
      <c r="E976" s="24">
        <v>1</v>
      </c>
      <c r="F976" s="24">
        <v>0</v>
      </c>
      <c r="G976" s="24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0</v>
      </c>
      <c r="Q976" s="23">
        <v>5312.1698500000002</v>
      </c>
    </row>
    <row r="977" spans="1:17" hidden="1">
      <c r="A977" s="22">
        <v>28</v>
      </c>
      <c r="B977" s="22">
        <v>26.51</v>
      </c>
      <c r="C977" s="24">
        <v>0</v>
      </c>
      <c r="D977" s="24">
        <v>0</v>
      </c>
      <c r="E977" s="24">
        <v>1</v>
      </c>
      <c r="F977" s="24">
        <v>0</v>
      </c>
      <c r="G977" s="24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 s="23">
        <v>4340.4408999999996</v>
      </c>
    </row>
    <row r="978" spans="1:17" hidden="1">
      <c r="A978" s="22">
        <v>29</v>
      </c>
      <c r="B978" s="22">
        <v>29.59</v>
      </c>
      <c r="C978" s="24">
        <v>0</v>
      </c>
      <c r="D978" s="24">
        <v>0</v>
      </c>
      <c r="E978" s="24">
        <v>1</v>
      </c>
      <c r="F978" s="24">
        <v>0</v>
      </c>
      <c r="G978" s="24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 s="23">
        <v>3947.4131000000002</v>
      </c>
    </row>
    <row r="979" spans="1:17" hidden="1">
      <c r="A979" s="22">
        <v>29</v>
      </c>
      <c r="B979" s="22">
        <v>26.03</v>
      </c>
      <c r="C979" s="24">
        <v>0</v>
      </c>
      <c r="D979" s="24">
        <v>0</v>
      </c>
      <c r="E979" s="24">
        <v>1</v>
      </c>
      <c r="F979" s="24">
        <v>0</v>
      </c>
      <c r="G979" s="24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0</v>
      </c>
      <c r="Q979" s="23">
        <v>3736.4647</v>
      </c>
    </row>
    <row r="980" spans="1:17" hidden="1">
      <c r="A980" s="22">
        <v>29</v>
      </c>
      <c r="B980" s="22">
        <v>25.9</v>
      </c>
      <c r="C980" s="24">
        <v>0</v>
      </c>
      <c r="D980" s="24">
        <v>0</v>
      </c>
      <c r="E980" s="24">
        <v>1</v>
      </c>
      <c r="F980" s="24">
        <v>0</v>
      </c>
      <c r="G980" s="24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 s="23">
        <v>3353.2840000000001</v>
      </c>
    </row>
    <row r="981" spans="1:17" hidden="1">
      <c r="A981" s="22">
        <v>29</v>
      </c>
      <c r="B981" s="22">
        <v>25.6</v>
      </c>
      <c r="C981" s="24">
        <v>0</v>
      </c>
      <c r="D981" s="24">
        <v>0</v>
      </c>
      <c r="E981" s="24">
        <v>1</v>
      </c>
      <c r="F981" s="24">
        <v>0</v>
      </c>
      <c r="G981" s="24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 s="23">
        <v>5708.8670000000002</v>
      </c>
    </row>
    <row r="982" spans="1:17" hidden="1">
      <c r="A982" s="22">
        <v>30</v>
      </c>
      <c r="B982" s="22">
        <v>27.7</v>
      </c>
      <c r="C982" s="24">
        <v>0</v>
      </c>
      <c r="D982" s="24">
        <v>0</v>
      </c>
      <c r="E982" s="24">
        <v>1</v>
      </c>
      <c r="F982" s="24">
        <v>0</v>
      </c>
      <c r="G982" s="24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 s="23">
        <v>3554.203</v>
      </c>
    </row>
    <row r="983" spans="1:17" hidden="1">
      <c r="A983" s="22">
        <v>30</v>
      </c>
      <c r="B983" s="22">
        <v>28.405000000000001</v>
      </c>
      <c r="C983" s="24">
        <v>0</v>
      </c>
      <c r="D983" s="24">
        <v>0</v>
      </c>
      <c r="E983" s="24">
        <v>1</v>
      </c>
      <c r="F983" s="24">
        <v>0</v>
      </c>
      <c r="G983" s="24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0</v>
      </c>
      <c r="Q983" s="23">
        <v>4527.1829500000003</v>
      </c>
    </row>
    <row r="984" spans="1:17" hidden="1">
      <c r="A984" s="22">
        <v>30</v>
      </c>
      <c r="B984" s="22">
        <v>27.93</v>
      </c>
      <c r="C984" s="24">
        <v>0</v>
      </c>
      <c r="D984" s="24">
        <v>0</v>
      </c>
      <c r="E984" s="24">
        <v>1</v>
      </c>
      <c r="F984" s="24">
        <v>0</v>
      </c>
      <c r="G984" s="2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1</v>
      </c>
      <c r="O984">
        <v>0</v>
      </c>
      <c r="P984">
        <v>0</v>
      </c>
      <c r="Q984" s="23">
        <v>4137.5227000000004</v>
      </c>
    </row>
    <row r="985" spans="1:17" hidden="1">
      <c r="A985" s="22">
        <v>31</v>
      </c>
      <c r="B985" s="22">
        <v>25.74</v>
      </c>
      <c r="C985" s="24">
        <v>0</v>
      </c>
      <c r="D985" s="24">
        <v>0</v>
      </c>
      <c r="E985" s="24">
        <v>1</v>
      </c>
      <c r="F985" s="24">
        <v>0</v>
      </c>
      <c r="G985" s="24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 s="23">
        <v>3756.6215999999999</v>
      </c>
    </row>
    <row r="986" spans="1:17" hidden="1">
      <c r="A986" s="22">
        <v>31</v>
      </c>
      <c r="B986" s="22">
        <v>29.1</v>
      </c>
      <c r="C986" s="24">
        <v>0</v>
      </c>
      <c r="D986" s="24">
        <v>0</v>
      </c>
      <c r="E986" s="24">
        <v>1</v>
      </c>
      <c r="F986" s="24">
        <v>0</v>
      </c>
      <c r="G986" s="24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 s="23">
        <v>3761.2919999999999</v>
      </c>
    </row>
    <row r="987" spans="1:17" hidden="1">
      <c r="A987" s="22">
        <v>31</v>
      </c>
      <c r="B987" s="22">
        <v>26.62</v>
      </c>
      <c r="C987" s="24">
        <v>0</v>
      </c>
      <c r="D987" s="24">
        <v>0</v>
      </c>
      <c r="E987" s="24">
        <v>1</v>
      </c>
      <c r="F987" s="24">
        <v>0</v>
      </c>
      <c r="G987" s="24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 s="23">
        <v>3757.8447999999999</v>
      </c>
    </row>
    <row r="988" spans="1:17" hidden="1">
      <c r="A988" s="22">
        <v>31</v>
      </c>
      <c r="B988" s="22">
        <v>29.26</v>
      </c>
      <c r="C988" s="24">
        <v>0</v>
      </c>
      <c r="D988" s="24">
        <v>0</v>
      </c>
      <c r="E988" s="24">
        <v>1</v>
      </c>
      <c r="F988" s="24">
        <v>0</v>
      </c>
      <c r="G988" s="24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 s="23">
        <v>4350.5144</v>
      </c>
    </row>
    <row r="989" spans="1:17" hidden="1">
      <c r="A989" s="22">
        <v>31</v>
      </c>
      <c r="B989" s="22">
        <v>25.8</v>
      </c>
      <c r="C989" s="24">
        <v>0</v>
      </c>
      <c r="D989" s="24">
        <v>0</v>
      </c>
      <c r="E989" s="24">
        <v>1</v>
      </c>
      <c r="F989" s="24">
        <v>0</v>
      </c>
      <c r="G989" s="24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 s="23">
        <v>4934.7049999999999</v>
      </c>
    </row>
    <row r="990" spans="1:17" hidden="1">
      <c r="A990" s="22">
        <v>32</v>
      </c>
      <c r="B990" s="22">
        <v>29.8</v>
      </c>
      <c r="C990" s="24">
        <v>0</v>
      </c>
      <c r="D990" s="24">
        <v>0</v>
      </c>
      <c r="E990" s="24">
        <v>1</v>
      </c>
      <c r="F990" s="24">
        <v>0</v>
      </c>
      <c r="G990" s="24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 s="23">
        <v>5152.134</v>
      </c>
    </row>
    <row r="991" spans="1:17" hidden="1">
      <c r="A991" s="22">
        <v>32</v>
      </c>
      <c r="B991" s="22">
        <v>28.93</v>
      </c>
      <c r="C991" s="24">
        <v>0</v>
      </c>
      <c r="D991" s="24">
        <v>0</v>
      </c>
      <c r="E991" s="24">
        <v>1</v>
      </c>
      <c r="F991" s="24">
        <v>0</v>
      </c>
      <c r="G991" s="24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 s="23">
        <v>3972.9247</v>
      </c>
    </row>
    <row r="992" spans="1:17" hidden="1">
      <c r="A992" s="22">
        <v>32</v>
      </c>
      <c r="B992" s="22">
        <v>29.59</v>
      </c>
      <c r="C992" s="24">
        <v>0</v>
      </c>
      <c r="D992" s="24">
        <v>0</v>
      </c>
      <c r="E992" s="24">
        <v>1</v>
      </c>
      <c r="F992" s="24">
        <v>0</v>
      </c>
      <c r="G992" s="24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 s="23">
        <v>4562.8420999999998</v>
      </c>
    </row>
    <row r="993" spans="1:17" hidden="1">
      <c r="A993" s="22">
        <v>32</v>
      </c>
      <c r="B993" s="22">
        <v>29.734999999999999</v>
      </c>
      <c r="C993" s="24">
        <v>0</v>
      </c>
      <c r="D993" s="24">
        <v>0</v>
      </c>
      <c r="E993" s="24">
        <v>1</v>
      </c>
      <c r="F993" s="24">
        <v>0</v>
      </c>
      <c r="G993" s="24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1</v>
      </c>
      <c r="O993">
        <v>0</v>
      </c>
      <c r="P993">
        <v>0</v>
      </c>
      <c r="Q993" s="23">
        <v>4357.0436499999996</v>
      </c>
    </row>
    <row r="994" spans="1:17" hidden="1">
      <c r="A994" s="22">
        <v>33</v>
      </c>
      <c r="B994" s="22">
        <v>28.27</v>
      </c>
      <c r="C994" s="24">
        <v>0</v>
      </c>
      <c r="D994" s="24">
        <v>0</v>
      </c>
      <c r="E994" s="24">
        <v>1</v>
      </c>
      <c r="F994" s="24">
        <v>0</v>
      </c>
      <c r="G994" s="2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 s="23">
        <v>4779.6022999999996</v>
      </c>
    </row>
    <row r="995" spans="1:17" hidden="1">
      <c r="A995" s="22">
        <v>33</v>
      </c>
      <c r="B995" s="22">
        <v>26.695</v>
      </c>
      <c r="C995" s="24">
        <v>0</v>
      </c>
      <c r="D995" s="24">
        <v>0</v>
      </c>
      <c r="E995" s="24">
        <v>1</v>
      </c>
      <c r="F995" s="24">
        <v>0</v>
      </c>
      <c r="G995" s="24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 s="23">
        <v>4571.4130500000001</v>
      </c>
    </row>
    <row r="996" spans="1:17" hidden="1">
      <c r="A996" s="22">
        <v>34</v>
      </c>
      <c r="B996" s="22">
        <v>27.5</v>
      </c>
      <c r="C996" s="24">
        <v>0</v>
      </c>
      <c r="D996" s="24">
        <v>0</v>
      </c>
      <c r="E996" s="24">
        <v>1</v>
      </c>
      <c r="F996" s="24">
        <v>0</v>
      </c>
      <c r="G996" s="24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 s="23">
        <v>5003.8530000000001</v>
      </c>
    </row>
    <row r="997" spans="1:17" hidden="1">
      <c r="A997" s="22">
        <v>34</v>
      </c>
      <c r="B997" s="22">
        <v>26.73</v>
      </c>
      <c r="C997" s="24">
        <v>0</v>
      </c>
      <c r="D997" s="24">
        <v>0</v>
      </c>
      <c r="E997" s="24">
        <v>1</v>
      </c>
      <c r="F997" s="24">
        <v>0</v>
      </c>
      <c r="G997" s="24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 s="23">
        <v>5002.7826999999997</v>
      </c>
    </row>
    <row r="998" spans="1:17" hidden="1">
      <c r="A998" s="22">
        <v>34</v>
      </c>
      <c r="B998" s="22">
        <v>29.26</v>
      </c>
      <c r="C998" s="24">
        <v>0</v>
      </c>
      <c r="D998" s="24">
        <v>0</v>
      </c>
      <c r="E998" s="24">
        <v>1</v>
      </c>
      <c r="F998" s="24">
        <v>0</v>
      </c>
      <c r="G998" s="24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 s="23">
        <v>6184.2993999999999</v>
      </c>
    </row>
    <row r="999" spans="1:17" hidden="1">
      <c r="A999" s="22">
        <v>34</v>
      </c>
      <c r="B999" s="22">
        <v>26.41</v>
      </c>
      <c r="C999" s="24">
        <v>0</v>
      </c>
      <c r="D999" s="24">
        <v>0</v>
      </c>
      <c r="E999" s="24">
        <v>1</v>
      </c>
      <c r="F999" s="24">
        <v>0</v>
      </c>
      <c r="G999" s="24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0</v>
      </c>
      <c r="Q999" s="23">
        <v>5385.3379000000004</v>
      </c>
    </row>
    <row r="1000" spans="1:17" hidden="1">
      <c r="A1000" s="22">
        <v>34</v>
      </c>
      <c r="B1000" s="22">
        <v>27.72</v>
      </c>
      <c r="C1000" s="24">
        <v>0</v>
      </c>
      <c r="D1000" s="24">
        <v>0</v>
      </c>
      <c r="E1000" s="24">
        <v>1</v>
      </c>
      <c r="F1000" s="24">
        <v>0</v>
      </c>
      <c r="G1000" s="24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 s="23">
        <v>4415.1588000000002</v>
      </c>
    </row>
    <row r="1001" spans="1:17" hidden="1">
      <c r="A1001" s="22">
        <v>35</v>
      </c>
      <c r="B1001" s="22">
        <v>27.7</v>
      </c>
      <c r="C1001" s="24">
        <v>0</v>
      </c>
      <c r="D1001" s="24">
        <v>0</v>
      </c>
      <c r="E1001" s="24">
        <v>1</v>
      </c>
      <c r="F1001" s="24">
        <v>0</v>
      </c>
      <c r="G1001" s="24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 s="23">
        <v>6414.1779999999999</v>
      </c>
    </row>
    <row r="1002" spans="1:17" hidden="1">
      <c r="A1002" s="22">
        <v>35</v>
      </c>
      <c r="B1002" s="22">
        <v>26.125</v>
      </c>
      <c r="C1002" s="24">
        <v>0</v>
      </c>
      <c r="D1002" s="24">
        <v>0</v>
      </c>
      <c r="E1002" s="24">
        <v>1</v>
      </c>
      <c r="F1002" s="24">
        <v>0</v>
      </c>
      <c r="G1002" s="24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0</v>
      </c>
      <c r="P1002">
        <v>0</v>
      </c>
      <c r="Q1002" s="23">
        <v>5227.9887500000004</v>
      </c>
    </row>
    <row r="1003" spans="1:17" hidden="1">
      <c r="A1003" s="22">
        <v>36</v>
      </c>
      <c r="B1003" s="22">
        <v>26.2</v>
      </c>
      <c r="C1003" s="24">
        <v>0</v>
      </c>
      <c r="D1003" s="24">
        <v>0</v>
      </c>
      <c r="E1003" s="24">
        <v>1</v>
      </c>
      <c r="F1003" s="24">
        <v>0</v>
      </c>
      <c r="G1003" s="24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 s="23">
        <v>4883.866</v>
      </c>
    </row>
    <row r="1004" spans="1:17" hidden="1">
      <c r="A1004" s="22">
        <v>36</v>
      </c>
      <c r="B1004" s="22">
        <v>27.74</v>
      </c>
      <c r="C1004" s="24">
        <v>0</v>
      </c>
      <c r="D1004" s="24">
        <v>0</v>
      </c>
      <c r="E1004" s="24">
        <v>1</v>
      </c>
      <c r="F1004" s="24">
        <v>0</v>
      </c>
      <c r="G1004" s="2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0</v>
      </c>
      <c r="Q1004" s="23">
        <v>5469.0065999999997</v>
      </c>
    </row>
    <row r="1005" spans="1:17" hidden="1">
      <c r="A1005" s="22">
        <v>36</v>
      </c>
      <c r="B1005" s="22">
        <v>25.84</v>
      </c>
      <c r="C1005" s="24">
        <v>0</v>
      </c>
      <c r="D1005" s="24">
        <v>0</v>
      </c>
      <c r="E1005" s="24">
        <v>1</v>
      </c>
      <c r="F1005" s="24">
        <v>0</v>
      </c>
      <c r="G1005" s="24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1</v>
      </c>
      <c r="P1005">
        <v>0</v>
      </c>
      <c r="Q1005" s="23">
        <v>5266.3656000000001</v>
      </c>
    </row>
    <row r="1006" spans="1:17" hidden="1">
      <c r="A1006" s="22">
        <v>36</v>
      </c>
      <c r="B1006" s="22">
        <v>29.04</v>
      </c>
      <c r="C1006" s="24">
        <v>0</v>
      </c>
      <c r="D1006" s="24">
        <v>0</v>
      </c>
      <c r="E1006" s="24">
        <v>1</v>
      </c>
      <c r="F1006" s="24">
        <v>0</v>
      </c>
      <c r="G1006" s="24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 s="23">
        <v>7243.8136000000004</v>
      </c>
    </row>
    <row r="1007" spans="1:17" hidden="1">
      <c r="A1007" s="22">
        <v>36</v>
      </c>
      <c r="B1007" s="22">
        <v>26.885000000000002</v>
      </c>
      <c r="C1007" s="24">
        <v>0</v>
      </c>
      <c r="D1007" s="24">
        <v>0</v>
      </c>
      <c r="E1007" s="24">
        <v>1</v>
      </c>
      <c r="F1007" s="24">
        <v>0</v>
      </c>
      <c r="G1007" s="24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1</v>
      </c>
      <c r="P1007">
        <v>0</v>
      </c>
      <c r="Q1007" s="23">
        <v>5267.8181500000001</v>
      </c>
    </row>
    <row r="1008" spans="1:17" hidden="1">
      <c r="A1008" s="22">
        <v>36</v>
      </c>
      <c r="B1008" s="22">
        <v>25.9</v>
      </c>
      <c r="C1008" s="24">
        <v>0</v>
      </c>
      <c r="D1008" s="24">
        <v>0</v>
      </c>
      <c r="E1008" s="24">
        <v>1</v>
      </c>
      <c r="F1008" s="24">
        <v>0</v>
      </c>
      <c r="G1008" s="24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 s="23">
        <v>5472.4489999999996</v>
      </c>
    </row>
    <row r="1009" spans="1:17" hidden="1">
      <c r="A1009" s="22">
        <v>37</v>
      </c>
      <c r="B1009" s="22">
        <v>27.74</v>
      </c>
      <c r="C1009" s="24">
        <v>0</v>
      </c>
      <c r="D1009" s="24">
        <v>0</v>
      </c>
      <c r="E1009" s="24">
        <v>1</v>
      </c>
      <c r="F1009" s="24">
        <v>0</v>
      </c>
      <c r="G1009" s="24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1</v>
      </c>
      <c r="P1009">
        <v>0</v>
      </c>
      <c r="Q1009" s="23">
        <v>7281.5056000000004</v>
      </c>
    </row>
    <row r="1010" spans="1:17" hidden="1">
      <c r="A1010" s="22">
        <v>37</v>
      </c>
      <c r="B1010" s="22">
        <v>29.5</v>
      </c>
      <c r="C1010" s="24">
        <v>0</v>
      </c>
      <c r="D1010" s="24">
        <v>0</v>
      </c>
      <c r="E1010" s="24">
        <v>1</v>
      </c>
      <c r="F1010" s="24">
        <v>0</v>
      </c>
      <c r="G1010" s="24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 s="23">
        <v>6311.9520000000002</v>
      </c>
    </row>
    <row r="1011" spans="1:17" hidden="1">
      <c r="A1011" s="22">
        <v>38</v>
      </c>
      <c r="B1011" s="22">
        <v>27.265000000000001</v>
      </c>
      <c r="C1011" s="24">
        <v>0</v>
      </c>
      <c r="D1011" s="24">
        <v>0</v>
      </c>
      <c r="E1011" s="24">
        <v>1</v>
      </c>
      <c r="F1011" s="24">
        <v>0</v>
      </c>
      <c r="G1011" s="24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1</v>
      </c>
      <c r="P1011">
        <v>0</v>
      </c>
      <c r="Q1011" s="23">
        <v>6555.07035</v>
      </c>
    </row>
    <row r="1012" spans="1:17" hidden="1">
      <c r="A1012" s="22">
        <v>38</v>
      </c>
      <c r="B1012" s="22">
        <v>28.93</v>
      </c>
      <c r="C1012" s="24">
        <v>0</v>
      </c>
      <c r="D1012" s="24">
        <v>0</v>
      </c>
      <c r="E1012" s="24">
        <v>1</v>
      </c>
      <c r="F1012" s="24">
        <v>0</v>
      </c>
      <c r="G1012" s="24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 s="23">
        <v>5974.3846999999996</v>
      </c>
    </row>
    <row r="1013" spans="1:17" hidden="1">
      <c r="A1013" s="22">
        <v>38</v>
      </c>
      <c r="B1013" s="22">
        <v>28</v>
      </c>
      <c r="C1013" s="24">
        <v>0</v>
      </c>
      <c r="D1013" s="24">
        <v>0</v>
      </c>
      <c r="E1013" s="24">
        <v>1</v>
      </c>
      <c r="F1013" s="24">
        <v>0</v>
      </c>
      <c r="G1013" s="24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 s="23">
        <v>7151.0919999999996</v>
      </c>
    </row>
    <row r="1014" spans="1:17" hidden="1">
      <c r="A1014" s="22">
        <v>38</v>
      </c>
      <c r="B1014" s="22">
        <v>27.835000000000001</v>
      </c>
      <c r="C1014" s="24">
        <v>0</v>
      </c>
      <c r="D1014" s="24">
        <v>0</v>
      </c>
      <c r="E1014" s="24">
        <v>1</v>
      </c>
      <c r="F1014" s="24">
        <v>0</v>
      </c>
      <c r="G1014" s="2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1</v>
      </c>
      <c r="P1014">
        <v>0</v>
      </c>
      <c r="Q1014" s="23">
        <v>7144.86265</v>
      </c>
    </row>
    <row r="1015" spans="1:17" hidden="1">
      <c r="A1015" s="22">
        <v>38</v>
      </c>
      <c r="B1015" s="22">
        <v>27.6</v>
      </c>
      <c r="C1015" s="24">
        <v>0</v>
      </c>
      <c r="D1015" s="24">
        <v>0</v>
      </c>
      <c r="E1015" s="24">
        <v>1</v>
      </c>
      <c r="F1015" s="24">
        <v>0</v>
      </c>
      <c r="G1015" s="24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 s="23">
        <v>5383.5360000000001</v>
      </c>
    </row>
    <row r="1016" spans="1:17" hidden="1">
      <c r="A1016" s="22">
        <v>39</v>
      </c>
      <c r="B1016" s="22">
        <v>26.315000000000001</v>
      </c>
      <c r="C1016" s="24">
        <v>0</v>
      </c>
      <c r="D1016" s="24">
        <v>0</v>
      </c>
      <c r="E1016" s="24">
        <v>1</v>
      </c>
      <c r="F1016" s="24">
        <v>0</v>
      </c>
      <c r="G1016" s="24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1</v>
      </c>
      <c r="P1016">
        <v>0</v>
      </c>
      <c r="Q1016" s="23">
        <v>7201.7008500000002</v>
      </c>
    </row>
    <row r="1017" spans="1:17" hidden="1">
      <c r="A1017" s="22">
        <v>40</v>
      </c>
      <c r="B1017" s="22">
        <v>28.69</v>
      </c>
      <c r="C1017" s="24">
        <v>0</v>
      </c>
      <c r="D1017" s="24">
        <v>0</v>
      </c>
      <c r="E1017" s="24">
        <v>1</v>
      </c>
      <c r="F1017" s="24">
        <v>0</v>
      </c>
      <c r="G1017" s="24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1</v>
      </c>
      <c r="P1017">
        <v>0</v>
      </c>
      <c r="Q1017" s="23">
        <v>8059.6791000000003</v>
      </c>
    </row>
    <row r="1018" spans="1:17" hidden="1">
      <c r="A1018" s="22">
        <v>40</v>
      </c>
      <c r="B1018" s="22">
        <v>25.46</v>
      </c>
      <c r="C1018" s="24">
        <v>0</v>
      </c>
      <c r="D1018" s="24">
        <v>0</v>
      </c>
      <c r="E1018" s="24">
        <v>1</v>
      </c>
      <c r="F1018" s="24">
        <v>0</v>
      </c>
      <c r="G1018" s="24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1</v>
      </c>
      <c r="P1018">
        <v>0</v>
      </c>
      <c r="Q1018" s="23">
        <v>7077.1894000000002</v>
      </c>
    </row>
    <row r="1019" spans="1:17" hidden="1">
      <c r="A1019" s="22">
        <v>40</v>
      </c>
      <c r="B1019" s="22">
        <v>29.6</v>
      </c>
      <c r="C1019" s="24">
        <v>0</v>
      </c>
      <c r="D1019" s="24">
        <v>0</v>
      </c>
      <c r="E1019" s="24">
        <v>1</v>
      </c>
      <c r="F1019" s="24">
        <v>0</v>
      </c>
      <c r="G1019" s="24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 s="23">
        <v>5910.9440000000004</v>
      </c>
    </row>
    <row r="1020" spans="1:17" hidden="1">
      <c r="A1020" s="22">
        <v>40</v>
      </c>
      <c r="B1020" s="22">
        <v>29.81</v>
      </c>
      <c r="C1020" s="24">
        <v>0</v>
      </c>
      <c r="D1020" s="24">
        <v>0</v>
      </c>
      <c r="E1020" s="24">
        <v>1</v>
      </c>
      <c r="F1020" s="24">
        <v>0</v>
      </c>
      <c r="G1020" s="24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 s="23">
        <v>6500.2358999999997</v>
      </c>
    </row>
    <row r="1021" spans="1:17" hidden="1">
      <c r="A1021" s="22">
        <v>40</v>
      </c>
      <c r="B1021" s="22">
        <v>27.4</v>
      </c>
      <c r="C1021" s="24">
        <v>0</v>
      </c>
      <c r="D1021" s="24">
        <v>0</v>
      </c>
      <c r="E1021" s="24">
        <v>1</v>
      </c>
      <c r="F1021" s="24">
        <v>0</v>
      </c>
      <c r="G1021" s="24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 s="23">
        <v>6496.8860000000004</v>
      </c>
    </row>
    <row r="1022" spans="1:17" hidden="1">
      <c r="A1022" s="22">
        <v>40</v>
      </c>
      <c r="B1022" s="22">
        <v>29.3</v>
      </c>
      <c r="C1022" s="24">
        <v>0</v>
      </c>
      <c r="D1022" s="24">
        <v>0</v>
      </c>
      <c r="E1022" s="24">
        <v>1</v>
      </c>
      <c r="F1022" s="24">
        <v>0</v>
      </c>
      <c r="G1022" s="24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 s="23">
        <v>15828.82173</v>
      </c>
    </row>
    <row r="1023" spans="1:17" hidden="1">
      <c r="A1023" s="22">
        <v>41</v>
      </c>
      <c r="B1023" s="22">
        <v>28.31</v>
      </c>
      <c r="C1023" s="24">
        <v>0</v>
      </c>
      <c r="D1023" s="24">
        <v>0</v>
      </c>
      <c r="E1023" s="24">
        <v>1</v>
      </c>
      <c r="F1023" s="24">
        <v>0</v>
      </c>
      <c r="G1023" s="24">
        <v>0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1</v>
      </c>
      <c r="P1023">
        <v>0</v>
      </c>
      <c r="Q1023" s="23">
        <v>7153.5538999999999</v>
      </c>
    </row>
    <row r="1024" spans="1:17" hidden="1">
      <c r="A1024" s="22">
        <v>41</v>
      </c>
      <c r="B1024" s="22">
        <v>28.05</v>
      </c>
      <c r="C1024" s="24">
        <v>0</v>
      </c>
      <c r="D1024" s="24">
        <v>0</v>
      </c>
      <c r="E1024" s="24">
        <v>1</v>
      </c>
      <c r="F1024" s="24">
        <v>0</v>
      </c>
      <c r="G1024" s="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 s="23">
        <v>6770.1925000000001</v>
      </c>
    </row>
    <row r="1025" spans="1:17" hidden="1">
      <c r="A1025" s="22">
        <v>42</v>
      </c>
      <c r="B1025" s="22">
        <v>24.984999999999999</v>
      </c>
      <c r="C1025" s="24">
        <v>0</v>
      </c>
      <c r="D1025" s="24">
        <v>0</v>
      </c>
      <c r="E1025" s="24">
        <v>1</v>
      </c>
      <c r="F1025" s="24">
        <v>0</v>
      </c>
      <c r="G1025" s="24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1</v>
      </c>
      <c r="P1025">
        <v>0</v>
      </c>
      <c r="Q1025" s="23">
        <v>8017.0611500000005</v>
      </c>
    </row>
    <row r="1026" spans="1:17" hidden="1">
      <c r="A1026" s="22">
        <v>42</v>
      </c>
      <c r="B1026" s="22">
        <v>29.48</v>
      </c>
      <c r="C1026" s="24">
        <v>0</v>
      </c>
      <c r="D1026" s="24">
        <v>0</v>
      </c>
      <c r="E1026" s="24">
        <v>1</v>
      </c>
      <c r="F1026" s="24">
        <v>0</v>
      </c>
      <c r="G1026" s="24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 s="23">
        <v>7640.3091999999997</v>
      </c>
    </row>
    <row r="1027" spans="1:17" hidden="1">
      <c r="A1027" s="22">
        <v>42</v>
      </c>
      <c r="B1027" s="22">
        <v>29</v>
      </c>
      <c r="C1027" s="24">
        <v>0</v>
      </c>
      <c r="D1027" s="24">
        <v>0</v>
      </c>
      <c r="E1027" s="24">
        <v>1</v>
      </c>
      <c r="F1027" s="24">
        <v>0</v>
      </c>
      <c r="G1027" s="24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 s="23">
        <v>7050.6419999999998</v>
      </c>
    </row>
    <row r="1028" spans="1:17" hidden="1">
      <c r="A1028" s="22">
        <v>42</v>
      </c>
      <c r="B1028" s="22">
        <v>26.18</v>
      </c>
      <c r="C1028" s="24">
        <v>0</v>
      </c>
      <c r="D1028" s="24">
        <v>0</v>
      </c>
      <c r="E1028" s="24">
        <v>1</v>
      </c>
      <c r="F1028" s="24">
        <v>0</v>
      </c>
      <c r="G1028" s="24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 s="23">
        <v>7046.7222000000002</v>
      </c>
    </row>
    <row r="1029" spans="1:17" hidden="1">
      <c r="A1029" s="22">
        <v>42</v>
      </c>
      <c r="B1029" s="22">
        <v>25.3</v>
      </c>
      <c r="C1029" s="24">
        <v>0</v>
      </c>
      <c r="D1029" s="24">
        <v>0</v>
      </c>
      <c r="E1029" s="24">
        <v>1</v>
      </c>
      <c r="F1029" s="24">
        <v>0</v>
      </c>
      <c r="G1029" s="24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 s="23">
        <v>7045.4989999999998</v>
      </c>
    </row>
    <row r="1030" spans="1:17" hidden="1">
      <c r="A1030" s="22">
        <v>43</v>
      </c>
      <c r="B1030" s="22">
        <v>25.08</v>
      </c>
      <c r="C1030" s="24">
        <v>0</v>
      </c>
      <c r="D1030" s="24">
        <v>0</v>
      </c>
      <c r="E1030" s="24">
        <v>1</v>
      </c>
      <c r="F1030" s="24">
        <v>0</v>
      </c>
      <c r="G1030" s="24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1</v>
      </c>
      <c r="P1030">
        <v>0</v>
      </c>
      <c r="Q1030" s="23">
        <v>7325.0482000000002</v>
      </c>
    </row>
    <row r="1031" spans="1:17" hidden="1">
      <c r="A1031" s="22">
        <v>43</v>
      </c>
      <c r="B1031" s="22">
        <v>29.9</v>
      </c>
      <c r="C1031" s="24">
        <v>0</v>
      </c>
      <c r="D1031" s="24">
        <v>0</v>
      </c>
      <c r="E1031" s="24">
        <v>1</v>
      </c>
      <c r="F1031" s="24">
        <v>0</v>
      </c>
      <c r="G1031" s="24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 s="23">
        <v>7337.7479999999996</v>
      </c>
    </row>
    <row r="1032" spans="1:17" hidden="1">
      <c r="A1032" s="22">
        <v>44</v>
      </c>
      <c r="B1032" s="22">
        <v>26.41</v>
      </c>
      <c r="C1032" s="24">
        <v>0</v>
      </c>
      <c r="D1032" s="24">
        <v>0</v>
      </c>
      <c r="E1032" s="24">
        <v>1</v>
      </c>
      <c r="F1032" s="24">
        <v>0</v>
      </c>
      <c r="G1032" s="24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1</v>
      </c>
      <c r="P1032">
        <v>0</v>
      </c>
      <c r="Q1032" s="23">
        <v>7419.4778999999999</v>
      </c>
    </row>
    <row r="1033" spans="1:17" hidden="1">
      <c r="A1033" s="22">
        <v>44</v>
      </c>
      <c r="B1033" s="22">
        <v>27.645</v>
      </c>
      <c r="C1033" s="24">
        <v>0</v>
      </c>
      <c r="D1033" s="24">
        <v>0</v>
      </c>
      <c r="E1033" s="24">
        <v>1</v>
      </c>
      <c r="F1033" s="24">
        <v>0</v>
      </c>
      <c r="G1033" s="24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1</v>
      </c>
      <c r="P1033">
        <v>0</v>
      </c>
      <c r="Q1033" s="23">
        <v>7421.1945500000002</v>
      </c>
    </row>
    <row r="1034" spans="1:17" hidden="1">
      <c r="A1034" s="22">
        <v>44</v>
      </c>
      <c r="B1034" s="22">
        <v>29.81</v>
      </c>
      <c r="C1034" s="24">
        <v>0</v>
      </c>
      <c r="D1034" s="24">
        <v>0</v>
      </c>
      <c r="E1034" s="24">
        <v>1</v>
      </c>
      <c r="F1034" s="24">
        <v>0</v>
      </c>
      <c r="G1034" s="2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 s="23">
        <v>8219.2039000000004</v>
      </c>
    </row>
    <row r="1035" spans="1:17" hidden="1">
      <c r="A1035" s="22">
        <v>44</v>
      </c>
      <c r="B1035" s="22">
        <v>27.5</v>
      </c>
      <c r="C1035" s="24">
        <v>0</v>
      </c>
      <c r="D1035" s="24">
        <v>0</v>
      </c>
      <c r="E1035" s="24">
        <v>1</v>
      </c>
      <c r="F1035" s="24">
        <v>0</v>
      </c>
      <c r="G1035" s="24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 s="23">
        <v>7626.9930000000004</v>
      </c>
    </row>
    <row r="1036" spans="1:17" hidden="1">
      <c r="A1036" s="22">
        <v>44</v>
      </c>
      <c r="B1036" s="22">
        <v>25.8</v>
      </c>
      <c r="C1036" s="24">
        <v>0</v>
      </c>
      <c r="D1036" s="24">
        <v>0</v>
      </c>
      <c r="E1036" s="24">
        <v>1</v>
      </c>
      <c r="F1036" s="24">
        <v>0</v>
      </c>
      <c r="G1036" s="24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 s="23">
        <v>7624.63</v>
      </c>
    </row>
    <row r="1037" spans="1:17" hidden="1">
      <c r="A1037" s="22">
        <v>44</v>
      </c>
      <c r="B1037" s="22">
        <v>25</v>
      </c>
      <c r="C1037" s="24">
        <v>0</v>
      </c>
      <c r="D1037" s="24">
        <v>0</v>
      </c>
      <c r="E1037" s="24">
        <v>1</v>
      </c>
      <c r="F1037" s="24">
        <v>0</v>
      </c>
      <c r="G1037" s="24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 s="23">
        <v>7623.518</v>
      </c>
    </row>
    <row r="1038" spans="1:17" hidden="1">
      <c r="A1038" s="22">
        <v>45</v>
      </c>
      <c r="B1038" s="22">
        <v>28.6</v>
      </c>
      <c r="C1038" s="24">
        <v>0</v>
      </c>
      <c r="D1038" s="24">
        <v>0</v>
      </c>
      <c r="E1038" s="24">
        <v>1</v>
      </c>
      <c r="F1038" s="24">
        <v>0</v>
      </c>
      <c r="G1038" s="24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 s="23">
        <v>8516.8289999999997</v>
      </c>
    </row>
    <row r="1039" spans="1:17" hidden="1">
      <c r="A1039" s="22">
        <v>45</v>
      </c>
      <c r="B1039" s="22">
        <v>25.175000000000001</v>
      </c>
      <c r="C1039" s="24">
        <v>0</v>
      </c>
      <c r="D1039" s="24">
        <v>0</v>
      </c>
      <c r="E1039" s="24">
        <v>1</v>
      </c>
      <c r="F1039" s="24">
        <v>0</v>
      </c>
      <c r="G1039" s="24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</v>
      </c>
      <c r="P1039">
        <v>0</v>
      </c>
      <c r="Q1039" s="23">
        <v>9095.0682500000003</v>
      </c>
    </row>
    <row r="1040" spans="1:17" hidden="1">
      <c r="A1040" s="22">
        <v>45</v>
      </c>
      <c r="B1040" s="22">
        <v>27.645</v>
      </c>
      <c r="C1040" s="24">
        <v>0</v>
      </c>
      <c r="D1040" s="24">
        <v>0</v>
      </c>
      <c r="E1040" s="24">
        <v>1</v>
      </c>
      <c r="F1040" s="24">
        <v>0</v>
      </c>
      <c r="G1040" s="24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1</v>
      </c>
      <c r="P1040">
        <v>0</v>
      </c>
      <c r="Q1040" s="23">
        <v>28340.188849999999</v>
      </c>
    </row>
    <row r="1041" spans="1:17" hidden="1">
      <c r="A1041" s="22">
        <v>45</v>
      </c>
      <c r="B1041" s="22">
        <v>27.83</v>
      </c>
      <c r="C1041" s="24">
        <v>0</v>
      </c>
      <c r="D1041" s="24">
        <v>0</v>
      </c>
      <c r="E1041" s="24">
        <v>1</v>
      </c>
      <c r="F1041" s="24">
        <v>0</v>
      </c>
      <c r="G1041" s="24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 s="23">
        <v>8515.7587000000003</v>
      </c>
    </row>
    <row r="1042" spans="1:17" hidden="1">
      <c r="A1042" s="22">
        <v>45</v>
      </c>
      <c r="B1042" s="22">
        <v>25.7</v>
      </c>
      <c r="C1042" s="24">
        <v>0</v>
      </c>
      <c r="D1042" s="24">
        <v>0</v>
      </c>
      <c r="E1042" s="24">
        <v>1</v>
      </c>
      <c r="F1042" s="24">
        <v>0</v>
      </c>
      <c r="G1042" s="24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 s="23">
        <v>9101.7980000000007</v>
      </c>
    </row>
    <row r="1043" spans="1:17" hidden="1">
      <c r="A1043" s="22">
        <v>46</v>
      </c>
      <c r="B1043" s="22">
        <v>27.74</v>
      </c>
      <c r="C1043" s="24">
        <v>0</v>
      </c>
      <c r="D1043" s="24">
        <v>0</v>
      </c>
      <c r="E1043" s="24">
        <v>1</v>
      </c>
      <c r="F1043" s="24">
        <v>0</v>
      </c>
      <c r="G1043" s="24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1</v>
      </c>
      <c r="P1043">
        <v>0</v>
      </c>
      <c r="Q1043" s="23">
        <v>8026.6665999999996</v>
      </c>
    </row>
    <row r="1044" spans="1:17" hidden="1">
      <c r="A1044" s="22">
        <v>46</v>
      </c>
      <c r="B1044" s="22">
        <v>28.9</v>
      </c>
      <c r="C1044" s="24">
        <v>0</v>
      </c>
      <c r="D1044" s="24">
        <v>0</v>
      </c>
      <c r="E1044" s="24">
        <v>1</v>
      </c>
      <c r="F1044" s="24">
        <v>0</v>
      </c>
      <c r="G1044" s="2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 s="23">
        <v>8823.2790000000005</v>
      </c>
    </row>
    <row r="1045" spans="1:17" hidden="1">
      <c r="A1045" s="22">
        <v>46</v>
      </c>
      <c r="B1045" s="22">
        <v>27.72</v>
      </c>
      <c r="C1045" s="24">
        <v>0</v>
      </c>
      <c r="D1045" s="24">
        <v>0</v>
      </c>
      <c r="E1045" s="24">
        <v>1</v>
      </c>
      <c r="F1045" s="24">
        <v>0</v>
      </c>
      <c r="G1045" s="24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 s="23">
        <v>8232.6388000000006</v>
      </c>
    </row>
    <row r="1046" spans="1:17" hidden="1">
      <c r="A1046" s="22">
        <v>46</v>
      </c>
      <c r="B1046" s="22">
        <v>28.05</v>
      </c>
      <c r="C1046" s="24">
        <v>0</v>
      </c>
      <c r="D1046" s="24">
        <v>0</v>
      </c>
      <c r="E1046" s="24">
        <v>1</v>
      </c>
      <c r="F1046" s="24">
        <v>0</v>
      </c>
      <c r="G1046" s="24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 s="23">
        <v>8233.0974999999999</v>
      </c>
    </row>
    <row r="1047" spans="1:17" hidden="1">
      <c r="A1047" s="22">
        <v>47</v>
      </c>
      <c r="B1047" s="22">
        <v>26.6</v>
      </c>
      <c r="C1047" s="24">
        <v>0</v>
      </c>
      <c r="D1047" s="24">
        <v>0</v>
      </c>
      <c r="E1047" s="24">
        <v>1</v>
      </c>
      <c r="F1047" s="24">
        <v>0</v>
      </c>
      <c r="G1047" s="24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1</v>
      </c>
      <c r="P1047">
        <v>0</v>
      </c>
      <c r="Q1047" s="23">
        <v>9715.8410000000003</v>
      </c>
    </row>
    <row r="1048" spans="1:17" hidden="1">
      <c r="A1048" s="22">
        <v>47</v>
      </c>
      <c r="B1048" s="22">
        <v>29.37</v>
      </c>
      <c r="C1048" s="24">
        <v>0</v>
      </c>
      <c r="D1048" s="24">
        <v>0</v>
      </c>
      <c r="E1048" s="24">
        <v>1</v>
      </c>
      <c r="F1048" s="24">
        <v>0</v>
      </c>
      <c r="G1048" s="24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 s="23">
        <v>8547.6913000000004</v>
      </c>
    </row>
    <row r="1049" spans="1:17" hidden="1">
      <c r="A1049" s="22">
        <v>47</v>
      </c>
      <c r="B1049" s="22">
        <v>29.545000000000002</v>
      </c>
      <c r="C1049" s="24">
        <v>0</v>
      </c>
      <c r="D1049" s="24">
        <v>0</v>
      </c>
      <c r="E1049" s="24">
        <v>1</v>
      </c>
      <c r="F1049" s="24">
        <v>0</v>
      </c>
      <c r="G1049" s="24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1</v>
      </c>
      <c r="P1049">
        <v>0</v>
      </c>
      <c r="Q1049" s="23">
        <v>8930.9345499999999</v>
      </c>
    </row>
    <row r="1050" spans="1:17" hidden="1">
      <c r="A1050" s="22">
        <v>48</v>
      </c>
      <c r="B1050" s="22">
        <v>28.88</v>
      </c>
      <c r="C1050" s="24">
        <v>0</v>
      </c>
      <c r="D1050" s="24">
        <v>0</v>
      </c>
      <c r="E1050" s="24">
        <v>1</v>
      </c>
      <c r="F1050" s="24">
        <v>0</v>
      </c>
      <c r="G1050" s="24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1</v>
      </c>
      <c r="P1050">
        <v>0</v>
      </c>
      <c r="Q1050" s="23">
        <v>9249.4951999999994</v>
      </c>
    </row>
    <row r="1051" spans="1:17" hidden="1">
      <c r="A1051" s="22">
        <v>48</v>
      </c>
      <c r="B1051" s="22">
        <v>27.265000000000001</v>
      </c>
      <c r="C1051" s="24">
        <v>0</v>
      </c>
      <c r="D1051" s="24">
        <v>0</v>
      </c>
      <c r="E1051" s="24">
        <v>1</v>
      </c>
      <c r="F1051" s="24">
        <v>0</v>
      </c>
      <c r="G1051" s="24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1</v>
      </c>
      <c r="P1051">
        <v>0</v>
      </c>
      <c r="Q1051" s="23">
        <v>9447.2503500000003</v>
      </c>
    </row>
    <row r="1052" spans="1:17" hidden="1">
      <c r="A1052" s="22">
        <v>48</v>
      </c>
      <c r="B1052" s="22">
        <v>28.9</v>
      </c>
      <c r="C1052" s="24">
        <v>0</v>
      </c>
      <c r="D1052" s="24">
        <v>0</v>
      </c>
      <c r="E1052" s="24">
        <v>1</v>
      </c>
      <c r="F1052" s="24">
        <v>0</v>
      </c>
      <c r="G1052" s="24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 s="23">
        <v>8277.5229999999992</v>
      </c>
    </row>
    <row r="1053" spans="1:17" hidden="1">
      <c r="A1053" s="22">
        <v>48</v>
      </c>
      <c r="B1053" s="22">
        <v>27.93</v>
      </c>
      <c r="C1053" s="24">
        <v>0</v>
      </c>
      <c r="D1053" s="24">
        <v>0</v>
      </c>
      <c r="E1053" s="24">
        <v>1</v>
      </c>
      <c r="F1053" s="24">
        <v>0</v>
      </c>
      <c r="G1053" s="24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1</v>
      </c>
      <c r="P1053">
        <v>0</v>
      </c>
      <c r="Q1053" s="23">
        <v>11015.1747</v>
      </c>
    </row>
    <row r="1054" spans="1:17" hidden="1">
      <c r="A1054" s="22">
        <v>48</v>
      </c>
      <c r="B1054" s="22">
        <v>27.36</v>
      </c>
      <c r="C1054" s="24">
        <v>0</v>
      </c>
      <c r="D1054" s="24">
        <v>0</v>
      </c>
      <c r="E1054" s="24">
        <v>1</v>
      </c>
      <c r="F1054" s="24">
        <v>0</v>
      </c>
      <c r="G1054" s="2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1</v>
      </c>
      <c r="P1054">
        <v>0</v>
      </c>
      <c r="Q1054" s="23">
        <v>9447.3824000000004</v>
      </c>
    </row>
    <row r="1055" spans="1:17" hidden="1">
      <c r="A1055" s="22">
        <v>49</v>
      </c>
      <c r="B1055" s="22">
        <v>27.17</v>
      </c>
      <c r="C1055" s="24">
        <v>0</v>
      </c>
      <c r="D1055" s="24">
        <v>0</v>
      </c>
      <c r="E1055" s="24">
        <v>1</v>
      </c>
      <c r="F1055" s="24">
        <v>0</v>
      </c>
      <c r="G1055" s="24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 s="23">
        <v>8601.3292999999994</v>
      </c>
    </row>
    <row r="1056" spans="1:17" hidden="1">
      <c r="A1056" s="22">
        <v>49</v>
      </c>
      <c r="B1056" s="22">
        <v>27.1</v>
      </c>
      <c r="C1056" s="24">
        <v>0</v>
      </c>
      <c r="D1056" s="24">
        <v>0</v>
      </c>
      <c r="E1056" s="24">
        <v>1</v>
      </c>
      <c r="F1056" s="24">
        <v>0</v>
      </c>
      <c r="G1056" s="24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 s="23">
        <v>26140.3603</v>
      </c>
    </row>
    <row r="1057" spans="1:17" hidden="1">
      <c r="A1057" s="22">
        <v>50</v>
      </c>
      <c r="B1057" s="22">
        <v>27.83</v>
      </c>
      <c r="C1057" s="24">
        <v>0</v>
      </c>
      <c r="D1057" s="24">
        <v>0</v>
      </c>
      <c r="E1057" s="24">
        <v>1</v>
      </c>
      <c r="F1057" s="24">
        <v>0</v>
      </c>
      <c r="G1057" s="24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 s="23">
        <v>19749.383379999999</v>
      </c>
    </row>
    <row r="1058" spans="1:17" hidden="1">
      <c r="A1058" s="22">
        <v>50</v>
      </c>
      <c r="B1058" s="22">
        <v>25.6</v>
      </c>
      <c r="C1058" s="24">
        <v>0</v>
      </c>
      <c r="D1058" s="24">
        <v>0</v>
      </c>
      <c r="E1058" s="24">
        <v>1</v>
      </c>
      <c r="F1058" s="24">
        <v>0</v>
      </c>
      <c r="G1058" s="24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 s="23">
        <v>8932.0840000000007</v>
      </c>
    </row>
    <row r="1059" spans="1:17" hidden="1">
      <c r="A1059" s="22">
        <v>50</v>
      </c>
      <c r="B1059" s="22">
        <v>27.36</v>
      </c>
      <c r="C1059" s="24">
        <v>0</v>
      </c>
      <c r="D1059" s="24">
        <v>0</v>
      </c>
      <c r="E1059" s="24">
        <v>1</v>
      </c>
      <c r="F1059" s="24">
        <v>0</v>
      </c>
      <c r="G1059" s="24">
        <v>0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1</v>
      </c>
      <c r="P1059">
        <v>0</v>
      </c>
      <c r="Q1059" s="23">
        <v>25656.575260000001</v>
      </c>
    </row>
    <row r="1060" spans="1:17" hidden="1">
      <c r="A1060" s="22">
        <v>50</v>
      </c>
      <c r="B1060" s="22">
        <v>27.074999999999999</v>
      </c>
      <c r="C1060" s="24">
        <v>0</v>
      </c>
      <c r="D1060" s="24">
        <v>0</v>
      </c>
      <c r="E1060" s="24">
        <v>1</v>
      </c>
      <c r="F1060" s="24">
        <v>0</v>
      </c>
      <c r="G1060" s="24">
        <v>0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</v>
      </c>
      <c r="P1060">
        <v>0</v>
      </c>
      <c r="Q1060" s="23">
        <v>10106.134249999999</v>
      </c>
    </row>
    <row r="1061" spans="1:17" hidden="1">
      <c r="A1061" s="22">
        <v>50</v>
      </c>
      <c r="B1061" s="22">
        <v>28.16</v>
      </c>
      <c r="C1061" s="24">
        <v>0</v>
      </c>
      <c r="D1061" s="24">
        <v>0</v>
      </c>
      <c r="E1061" s="24">
        <v>1</v>
      </c>
      <c r="F1061" s="24">
        <v>0</v>
      </c>
      <c r="G1061" s="24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 s="23">
        <v>10702.642400000001</v>
      </c>
    </row>
    <row r="1062" spans="1:17" hidden="1">
      <c r="A1062" s="22">
        <v>50</v>
      </c>
      <c r="B1062" s="22">
        <v>26.22</v>
      </c>
      <c r="C1062" s="24">
        <v>0</v>
      </c>
      <c r="D1062" s="24">
        <v>0</v>
      </c>
      <c r="E1062" s="24">
        <v>1</v>
      </c>
      <c r="F1062" s="24">
        <v>0</v>
      </c>
      <c r="G1062" s="24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1</v>
      </c>
      <c r="P1062">
        <v>0</v>
      </c>
      <c r="Q1062" s="23">
        <v>10493.9458</v>
      </c>
    </row>
    <row r="1063" spans="1:17" hidden="1">
      <c r="A1063" s="22">
        <v>50</v>
      </c>
      <c r="B1063" s="22">
        <v>28.12</v>
      </c>
      <c r="C1063" s="24">
        <v>0</v>
      </c>
      <c r="D1063" s="24">
        <v>0</v>
      </c>
      <c r="E1063" s="24">
        <v>1</v>
      </c>
      <c r="F1063" s="24">
        <v>0</v>
      </c>
      <c r="G1063" s="24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1</v>
      </c>
      <c r="P1063">
        <v>0</v>
      </c>
      <c r="Q1063" s="23">
        <v>11085.586799999999</v>
      </c>
    </row>
    <row r="1064" spans="1:17" hidden="1">
      <c r="A1064" s="22">
        <v>51</v>
      </c>
      <c r="B1064" s="22">
        <v>25.8</v>
      </c>
      <c r="C1064" s="24">
        <v>0</v>
      </c>
      <c r="D1064" s="24">
        <v>0</v>
      </c>
      <c r="E1064" s="24">
        <v>1</v>
      </c>
      <c r="F1064" s="24">
        <v>0</v>
      </c>
      <c r="G1064" s="2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 s="23">
        <v>9861.0249999999996</v>
      </c>
    </row>
    <row r="1065" spans="1:17" hidden="1">
      <c r="A1065" s="22">
        <v>53</v>
      </c>
      <c r="B1065" s="22">
        <v>28.1</v>
      </c>
      <c r="C1065" s="24">
        <v>0</v>
      </c>
      <c r="D1065" s="24">
        <v>0</v>
      </c>
      <c r="E1065" s="24">
        <v>1</v>
      </c>
      <c r="F1065" s="24">
        <v>0</v>
      </c>
      <c r="G1065" s="24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 s="23">
        <v>11741.726000000001</v>
      </c>
    </row>
    <row r="1066" spans="1:17" hidden="1">
      <c r="A1066" s="22">
        <v>53</v>
      </c>
      <c r="B1066" s="22">
        <v>26.6</v>
      </c>
      <c r="C1066" s="24">
        <v>0</v>
      </c>
      <c r="D1066" s="24">
        <v>0</v>
      </c>
      <c r="E1066" s="24">
        <v>1</v>
      </c>
      <c r="F1066" s="24">
        <v>0</v>
      </c>
      <c r="G1066" s="24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1</v>
      </c>
      <c r="P1066">
        <v>0</v>
      </c>
      <c r="Q1066" s="23">
        <v>10355.641</v>
      </c>
    </row>
    <row r="1067" spans="1:17" hidden="1">
      <c r="A1067" s="22">
        <v>53</v>
      </c>
      <c r="B1067" s="22">
        <v>26.7</v>
      </c>
      <c r="C1067" s="24">
        <v>0</v>
      </c>
      <c r="D1067" s="24">
        <v>0</v>
      </c>
      <c r="E1067" s="24">
        <v>1</v>
      </c>
      <c r="F1067" s="24">
        <v>0</v>
      </c>
      <c r="G1067" s="24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 s="23">
        <v>11150.78</v>
      </c>
    </row>
    <row r="1068" spans="1:17" hidden="1">
      <c r="A1068" s="22">
        <v>54</v>
      </c>
      <c r="B1068" s="22">
        <v>28.88</v>
      </c>
      <c r="C1068" s="24">
        <v>0</v>
      </c>
      <c r="D1068" s="24">
        <v>0</v>
      </c>
      <c r="E1068" s="24">
        <v>1</v>
      </c>
      <c r="F1068" s="24">
        <v>0</v>
      </c>
      <c r="G1068" s="24">
        <v>0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1</v>
      </c>
      <c r="P1068">
        <v>0</v>
      </c>
      <c r="Q1068" s="23">
        <v>12096.6512</v>
      </c>
    </row>
    <row r="1069" spans="1:17" hidden="1">
      <c r="A1069" s="22">
        <v>54</v>
      </c>
      <c r="B1069" s="22">
        <v>27.645</v>
      </c>
      <c r="C1069" s="24">
        <v>0</v>
      </c>
      <c r="D1069" s="24">
        <v>0</v>
      </c>
      <c r="E1069" s="24">
        <v>1</v>
      </c>
      <c r="F1069" s="24">
        <v>0</v>
      </c>
      <c r="G1069" s="24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1</v>
      </c>
      <c r="P1069">
        <v>0</v>
      </c>
      <c r="Q1069" s="23">
        <v>11305.93455</v>
      </c>
    </row>
    <row r="1070" spans="1:17" hidden="1">
      <c r="A1070" s="22">
        <v>55</v>
      </c>
      <c r="B1070" s="22">
        <v>26.98</v>
      </c>
      <c r="C1070" s="24">
        <v>0</v>
      </c>
      <c r="D1070" s="24">
        <v>0</v>
      </c>
      <c r="E1070" s="24">
        <v>1</v>
      </c>
      <c r="F1070" s="24">
        <v>0</v>
      </c>
      <c r="G1070" s="24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1</v>
      </c>
      <c r="P1070">
        <v>0</v>
      </c>
      <c r="Q1070" s="23">
        <v>11082.5772</v>
      </c>
    </row>
    <row r="1071" spans="1:17" hidden="1">
      <c r="A1071" s="22">
        <v>55</v>
      </c>
      <c r="B1071" s="22">
        <v>29.7</v>
      </c>
      <c r="C1071" s="24">
        <v>0</v>
      </c>
      <c r="D1071" s="24">
        <v>0</v>
      </c>
      <c r="E1071" s="24">
        <v>1</v>
      </c>
      <c r="F1071" s="24">
        <v>0</v>
      </c>
      <c r="G1071" s="24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0</v>
      </c>
      <c r="Q1071" s="23">
        <v>11881.358</v>
      </c>
    </row>
    <row r="1072" spans="1:17" hidden="1">
      <c r="A1072" s="22">
        <v>55</v>
      </c>
      <c r="B1072" s="22">
        <v>26.8</v>
      </c>
      <c r="C1072" s="24">
        <v>0</v>
      </c>
      <c r="D1072" s="24">
        <v>0</v>
      </c>
      <c r="E1072" s="24">
        <v>1</v>
      </c>
      <c r="F1072" s="24">
        <v>0</v>
      </c>
      <c r="G1072" s="24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 s="23">
        <v>35160.134570000002</v>
      </c>
    </row>
    <row r="1073" spans="1:17" hidden="1">
      <c r="A1073" s="22">
        <v>55</v>
      </c>
      <c r="B1073" s="22">
        <v>25.364999999999998</v>
      </c>
      <c r="C1073" s="24">
        <v>0</v>
      </c>
      <c r="D1073" s="24">
        <v>0</v>
      </c>
      <c r="E1073" s="24">
        <v>1</v>
      </c>
      <c r="F1073" s="24">
        <v>0</v>
      </c>
      <c r="G1073" s="24">
        <v>0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1</v>
      </c>
      <c r="P1073">
        <v>0</v>
      </c>
      <c r="Q1073" s="23">
        <v>13047.332350000001</v>
      </c>
    </row>
    <row r="1074" spans="1:17" hidden="1">
      <c r="A1074" s="22">
        <v>55</v>
      </c>
      <c r="B1074" s="22">
        <v>29.83</v>
      </c>
      <c r="C1074" s="24">
        <v>0</v>
      </c>
      <c r="D1074" s="24">
        <v>0</v>
      </c>
      <c r="E1074" s="24">
        <v>1</v>
      </c>
      <c r="F1074" s="24">
        <v>0</v>
      </c>
      <c r="G1074" s="24">
        <v>0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1</v>
      </c>
      <c r="P1074">
        <v>0</v>
      </c>
      <c r="Q1074" s="23">
        <v>11286.538699999999</v>
      </c>
    </row>
    <row r="1075" spans="1:17" hidden="1">
      <c r="A1075" s="22">
        <v>56</v>
      </c>
      <c r="B1075" s="22">
        <v>27.2</v>
      </c>
      <c r="C1075" s="24">
        <v>0</v>
      </c>
      <c r="D1075" s="24">
        <v>0</v>
      </c>
      <c r="E1075" s="24">
        <v>1</v>
      </c>
      <c r="F1075" s="24">
        <v>0</v>
      </c>
      <c r="G1075" s="24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0</v>
      </c>
      <c r="Q1075" s="23">
        <v>11073.175999999999</v>
      </c>
    </row>
    <row r="1076" spans="1:17" hidden="1">
      <c r="A1076" s="22">
        <v>56</v>
      </c>
      <c r="B1076" s="22">
        <v>26.6</v>
      </c>
      <c r="C1076" s="24">
        <v>0</v>
      </c>
      <c r="D1076" s="24">
        <v>0</v>
      </c>
      <c r="E1076" s="24">
        <v>1</v>
      </c>
      <c r="F1076" s="24">
        <v>0</v>
      </c>
      <c r="G1076" s="24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1</v>
      </c>
      <c r="P1076">
        <v>0</v>
      </c>
      <c r="Q1076" s="23">
        <v>12044.342000000001</v>
      </c>
    </row>
    <row r="1077" spans="1:17" hidden="1">
      <c r="A1077" s="22">
        <v>56</v>
      </c>
      <c r="B1077" s="22">
        <v>28.785</v>
      </c>
      <c r="C1077" s="24">
        <v>0</v>
      </c>
      <c r="D1077" s="24">
        <v>0</v>
      </c>
      <c r="E1077" s="24">
        <v>1</v>
      </c>
      <c r="F1077" s="24">
        <v>0</v>
      </c>
      <c r="G1077" s="24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1</v>
      </c>
      <c r="P1077">
        <v>0</v>
      </c>
      <c r="Q1077" s="23">
        <v>11658.379150000001</v>
      </c>
    </row>
    <row r="1078" spans="1:17" hidden="1">
      <c r="A1078" s="22">
        <v>56</v>
      </c>
      <c r="B1078" s="22">
        <v>25.65</v>
      </c>
      <c r="C1078" s="24">
        <v>0</v>
      </c>
      <c r="D1078" s="24">
        <v>0</v>
      </c>
      <c r="E1078" s="24">
        <v>1</v>
      </c>
      <c r="F1078" s="24">
        <v>0</v>
      </c>
      <c r="G1078" s="24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1</v>
      </c>
      <c r="P1078">
        <v>0</v>
      </c>
      <c r="Q1078" s="23">
        <v>11454.021500000001</v>
      </c>
    </row>
    <row r="1079" spans="1:17" hidden="1">
      <c r="A1079" s="22">
        <v>56</v>
      </c>
      <c r="B1079" s="22">
        <v>25.3</v>
      </c>
      <c r="C1079" s="24">
        <v>0</v>
      </c>
      <c r="D1079" s="24">
        <v>0</v>
      </c>
      <c r="E1079" s="24">
        <v>1</v>
      </c>
      <c r="F1079" s="24">
        <v>0</v>
      </c>
      <c r="G1079" s="24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 s="23">
        <v>11070.535</v>
      </c>
    </row>
    <row r="1080" spans="1:17" hidden="1">
      <c r="A1080" s="22">
        <v>56</v>
      </c>
      <c r="B1080" s="22">
        <v>28.594999999999999</v>
      </c>
      <c r="C1080" s="24">
        <v>0</v>
      </c>
      <c r="D1080" s="24">
        <v>0</v>
      </c>
      <c r="E1080" s="24">
        <v>1</v>
      </c>
      <c r="F1080" s="24">
        <v>0</v>
      </c>
      <c r="G1080" s="24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1</v>
      </c>
      <c r="P1080">
        <v>0</v>
      </c>
      <c r="Q1080" s="23">
        <v>11658.11505</v>
      </c>
    </row>
    <row r="1081" spans="1:17" hidden="1">
      <c r="A1081" s="22">
        <v>56</v>
      </c>
      <c r="B1081" s="22">
        <v>28.31</v>
      </c>
      <c r="C1081" s="24">
        <v>0</v>
      </c>
      <c r="D1081" s="24">
        <v>0</v>
      </c>
      <c r="E1081" s="24">
        <v>1</v>
      </c>
      <c r="F1081" s="24">
        <v>0</v>
      </c>
      <c r="G1081" s="24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1</v>
      </c>
      <c r="P1081">
        <v>0</v>
      </c>
      <c r="Q1081" s="23">
        <v>11657.7189</v>
      </c>
    </row>
    <row r="1082" spans="1:17" hidden="1">
      <c r="A1082" s="22">
        <v>57</v>
      </c>
      <c r="B1082" s="22">
        <v>28.7</v>
      </c>
      <c r="C1082" s="24">
        <v>0</v>
      </c>
      <c r="D1082" s="24">
        <v>0</v>
      </c>
      <c r="E1082" s="24">
        <v>1</v>
      </c>
      <c r="F1082" s="24">
        <v>0</v>
      </c>
      <c r="G1082" s="24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 s="23">
        <v>11455.28</v>
      </c>
    </row>
    <row r="1083" spans="1:17" hidden="1">
      <c r="A1083" s="22">
        <v>57</v>
      </c>
      <c r="B1083" s="22">
        <v>28.785</v>
      </c>
      <c r="C1083" s="24">
        <v>0</v>
      </c>
      <c r="D1083" s="24">
        <v>0</v>
      </c>
      <c r="E1083" s="24">
        <v>1</v>
      </c>
      <c r="F1083" s="24">
        <v>0</v>
      </c>
      <c r="G1083" s="24">
        <v>0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1</v>
      </c>
      <c r="P1083">
        <v>0</v>
      </c>
      <c r="Q1083" s="23">
        <v>14394.398150000001</v>
      </c>
    </row>
    <row r="1084" spans="1:17" hidden="1">
      <c r="A1084" s="22">
        <v>57</v>
      </c>
      <c r="B1084" s="22">
        <v>25.74</v>
      </c>
      <c r="C1084" s="24">
        <v>0</v>
      </c>
      <c r="D1084" s="24">
        <v>0</v>
      </c>
      <c r="E1084" s="24">
        <v>1</v>
      </c>
      <c r="F1084" s="24">
        <v>0</v>
      </c>
      <c r="G1084" s="2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0</v>
      </c>
      <c r="Q1084" s="23">
        <v>12629.1656</v>
      </c>
    </row>
    <row r="1085" spans="1:17" hidden="1">
      <c r="A1085" s="22">
        <v>58</v>
      </c>
      <c r="B1085" s="22">
        <v>25.2</v>
      </c>
      <c r="C1085" s="24">
        <v>0</v>
      </c>
      <c r="D1085" s="24">
        <v>0</v>
      </c>
      <c r="E1085" s="24">
        <v>1</v>
      </c>
      <c r="F1085" s="24">
        <v>0</v>
      </c>
      <c r="G1085" s="24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0</v>
      </c>
      <c r="Q1085" s="23">
        <v>11837.16</v>
      </c>
    </row>
    <row r="1086" spans="1:17" hidden="1">
      <c r="A1086" s="22">
        <v>58</v>
      </c>
      <c r="B1086" s="22">
        <v>27.17</v>
      </c>
      <c r="C1086" s="24">
        <v>0</v>
      </c>
      <c r="D1086" s="24">
        <v>0</v>
      </c>
      <c r="E1086" s="24">
        <v>1</v>
      </c>
      <c r="F1086" s="24">
        <v>0</v>
      </c>
      <c r="G1086" s="24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1</v>
      </c>
      <c r="P1086">
        <v>0</v>
      </c>
      <c r="Q1086" s="23">
        <v>12222.898300000001</v>
      </c>
    </row>
    <row r="1087" spans="1:17" hidden="1">
      <c r="A1087" s="22">
        <v>58</v>
      </c>
      <c r="B1087" s="22">
        <v>29</v>
      </c>
      <c r="C1087" s="24">
        <v>0</v>
      </c>
      <c r="D1087" s="24">
        <v>0</v>
      </c>
      <c r="E1087" s="24">
        <v>1</v>
      </c>
      <c r="F1087" s="24">
        <v>0</v>
      </c>
      <c r="G1087" s="24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 s="23">
        <v>11842.441999999999</v>
      </c>
    </row>
    <row r="1088" spans="1:17" hidden="1">
      <c r="A1088" s="22">
        <v>58</v>
      </c>
      <c r="B1088" s="22">
        <v>28.215</v>
      </c>
      <c r="C1088" s="24">
        <v>0</v>
      </c>
      <c r="D1088" s="24">
        <v>0</v>
      </c>
      <c r="E1088" s="24">
        <v>1</v>
      </c>
      <c r="F1088" s="24">
        <v>0</v>
      </c>
      <c r="G1088" s="24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1</v>
      </c>
      <c r="P1088">
        <v>0</v>
      </c>
      <c r="Q1088" s="23">
        <v>12224.350850000001</v>
      </c>
    </row>
    <row r="1089" spans="1:17" hidden="1">
      <c r="A1089" s="22">
        <v>59</v>
      </c>
      <c r="B1089" s="22">
        <v>27.72</v>
      </c>
      <c r="C1089" s="24">
        <v>0</v>
      </c>
      <c r="D1089" s="24">
        <v>0</v>
      </c>
      <c r="E1089" s="24">
        <v>1</v>
      </c>
      <c r="F1089" s="24">
        <v>0</v>
      </c>
      <c r="G1089" s="24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 s="23">
        <v>14001.1338</v>
      </c>
    </row>
    <row r="1090" spans="1:17" hidden="1">
      <c r="A1090" s="22">
        <v>59</v>
      </c>
      <c r="B1090" s="22">
        <v>26.504999999999999</v>
      </c>
      <c r="C1090" s="24">
        <v>0</v>
      </c>
      <c r="D1090" s="24">
        <v>0</v>
      </c>
      <c r="E1090" s="24">
        <v>1</v>
      </c>
      <c r="F1090" s="24">
        <v>0</v>
      </c>
      <c r="G1090" s="24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0</v>
      </c>
      <c r="Q1090" s="23">
        <v>12815.444949999999</v>
      </c>
    </row>
    <row r="1091" spans="1:17" hidden="1">
      <c r="A1091" s="22">
        <v>59</v>
      </c>
      <c r="B1091" s="22">
        <v>27.83</v>
      </c>
      <c r="C1091" s="24">
        <v>0</v>
      </c>
      <c r="D1091" s="24">
        <v>0</v>
      </c>
      <c r="E1091" s="24">
        <v>1</v>
      </c>
      <c r="F1091" s="24">
        <v>0</v>
      </c>
      <c r="G1091" s="24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 s="23">
        <v>14001.286700000001</v>
      </c>
    </row>
    <row r="1092" spans="1:17" hidden="1">
      <c r="A1092" s="22">
        <v>59</v>
      </c>
      <c r="B1092" s="22">
        <v>26.695</v>
      </c>
      <c r="C1092" s="24">
        <v>0</v>
      </c>
      <c r="D1092" s="24">
        <v>0</v>
      </c>
      <c r="E1092" s="24">
        <v>1</v>
      </c>
      <c r="F1092" s="24">
        <v>0</v>
      </c>
      <c r="G1092" s="24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1</v>
      </c>
      <c r="P1092">
        <v>0</v>
      </c>
      <c r="Q1092" s="23">
        <v>14382.709049999999</v>
      </c>
    </row>
    <row r="1093" spans="1:17" hidden="1">
      <c r="A1093" s="22">
        <v>59</v>
      </c>
      <c r="B1093" s="22">
        <v>27.5</v>
      </c>
      <c r="C1093" s="24">
        <v>0</v>
      </c>
      <c r="D1093" s="24">
        <v>0</v>
      </c>
      <c r="E1093" s="24">
        <v>1</v>
      </c>
      <c r="F1093" s="24">
        <v>0</v>
      </c>
      <c r="G1093" s="24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 s="23">
        <v>12233.828</v>
      </c>
    </row>
    <row r="1094" spans="1:17" hidden="1">
      <c r="A1094" s="22">
        <v>60</v>
      </c>
      <c r="B1094" s="22">
        <v>25.84</v>
      </c>
      <c r="C1094" s="24">
        <v>0</v>
      </c>
      <c r="D1094" s="24">
        <v>0</v>
      </c>
      <c r="E1094" s="24">
        <v>1</v>
      </c>
      <c r="F1094" s="24">
        <v>0</v>
      </c>
      <c r="G1094" s="2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1</v>
      </c>
      <c r="Q1094" s="23">
        <v>28923.136920000001</v>
      </c>
    </row>
    <row r="1095" spans="1:17" hidden="1">
      <c r="A1095" s="22">
        <v>60</v>
      </c>
      <c r="B1095" s="22">
        <v>27.55</v>
      </c>
      <c r="C1095" s="24">
        <v>0</v>
      </c>
      <c r="D1095" s="24">
        <v>0</v>
      </c>
      <c r="E1095" s="24">
        <v>1</v>
      </c>
      <c r="F1095" s="24">
        <v>0</v>
      </c>
      <c r="G1095" s="24">
        <v>0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1</v>
      </c>
      <c r="Q1095" s="23">
        <v>13217.094499999999</v>
      </c>
    </row>
    <row r="1096" spans="1:17" hidden="1">
      <c r="A1096" s="22">
        <v>60</v>
      </c>
      <c r="B1096" s="22">
        <v>28.7</v>
      </c>
      <c r="C1096" s="24">
        <v>0</v>
      </c>
      <c r="D1096" s="24">
        <v>0</v>
      </c>
      <c r="E1096" s="24">
        <v>1</v>
      </c>
      <c r="F1096" s="24">
        <v>0</v>
      </c>
      <c r="G1096" s="24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</v>
      </c>
      <c r="Q1096" s="23">
        <v>13224.692999999999</v>
      </c>
    </row>
    <row r="1097" spans="1:17" hidden="1">
      <c r="A1097" s="22">
        <v>61</v>
      </c>
      <c r="B1097" s="22">
        <v>25.08</v>
      </c>
      <c r="C1097" s="24">
        <v>0</v>
      </c>
      <c r="D1097" s="24">
        <v>0</v>
      </c>
      <c r="E1097" s="24">
        <v>1</v>
      </c>
      <c r="F1097" s="24">
        <v>0</v>
      </c>
      <c r="G1097" s="24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 s="23">
        <v>24513.091260000001</v>
      </c>
    </row>
    <row r="1098" spans="1:17" hidden="1">
      <c r="A1098" s="22">
        <v>61</v>
      </c>
      <c r="B1098" s="22">
        <v>28.2</v>
      </c>
      <c r="C1098" s="24">
        <v>0</v>
      </c>
      <c r="D1098" s="24">
        <v>0</v>
      </c>
      <c r="E1098" s="24">
        <v>1</v>
      </c>
      <c r="F1098" s="24">
        <v>0</v>
      </c>
      <c r="G1098" s="24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</v>
      </c>
      <c r="Q1098" s="23">
        <v>13041.921</v>
      </c>
    </row>
    <row r="1099" spans="1:17" hidden="1">
      <c r="A1099" s="22">
        <v>62</v>
      </c>
      <c r="B1099" s="22">
        <v>25</v>
      </c>
      <c r="C1099" s="24">
        <v>0</v>
      </c>
      <c r="D1099" s="24">
        <v>0</v>
      </c>
      <c r="E1099" s="24">
        <v>1</v>
      </c>
      <c r="F1099" s="24">
        <v>0</v>
      </c>
      <c r="G1099" s="24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 s="23">
        <v>13451.121999999999</v>
      </c>
    </row>
    <row r="1100" spans="1:17" hidden="1">
      <c r="A1100" s="22">
        <v>63</v>
      </c>
      <c r="B1100" s="22">
        <v>26.22</v>
      </c>
      <c r="C1100" s="24">
        <v>0</v>
      </c>
      <c r="D1100" s="24">
        <v>0</v>
      </c>
      <c r="E1100" s="24">
        <v>1</v>
      </c>
      <c r="F1100" s="24">
        <v>0</v>
      </c>
      <c r="G1100" s="24">
        <v>0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1</v>
      </c>
      <c r="Q1100" s="23">
        <v>14256.192800000001</v>
      </c>
    </row>
    <row r="1101" spans="1:17" hidden="1">
      <c r="A1101" s="22">
        <v>63</v>
      </c>
      <c r="B1101" s="22">
        <v>25.08</v>
      </c>
      <c r="C1101" s="24">
        <v>0</v>
      </c>
      <c r="D1101" s="24">
        <v>0</v>
      </c>
      <c r="E1101" s="24">
        <v>1</v>
      </c>
      <c r="F1101" s="24">
        <v>0</v>
      </c>
      <c r="G1101" s="24">
        <v>0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1</v>
      </c>
      <c r="Q1101" s="23">
        <v>14254.608200000001</v>
      </c>
    </row>
    <row r="1102" spans="1:17">
      <c r="A1102" s="22">
        <v>19</v>
      </c>
      <c r="B1102" s="22">
        <v>27.9</v>
      </c>
      <c r="C1102" s="24">
        <v>0</v>
      </c>
      <c r="D1102" s="24">
        <v>0</v>
      </c>
      <c r="E1102" s="24">
        <v>1</v>
      </c>
      <c r="F1102" s="24">
        <v>0</v>
      </c>
      <c r="G1102" s="24">
        <v>0</v>
      </c>
      <c r="H1102">
        <v>1</v>
      </c>
      <c r="I1102">
        <v>0</v>
      </c>
      <c r="J1102">
        <v>1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 s="23">
        <v>16884.923999999999</v>
      </c>
    </row>
    <row r="1103" spans="1:17">
      <c r="A1103" s="22">
        <v>62</v>
      </c>
      <c r="B1103" s="22">
        <v>26.29</v>
      </c>
      <c r="C1103" s="24">
        <v>0</v>
      </c>
      <c r="D1103" s="24">
        <v>0</v>
      </c>
      <c r="E1103" s="24">
        <v>1</v>
      </c>
      <c r="F1103" s="24">
        <v>0</v>
      </c>
      <c r="G1103" s="24">
        <v>0</v>
      </c>
      <c r="H1103">
        <v>1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 s="23">
        <v>27808.7251</v>
      </c>
    </row>
    <row r="1104" spans="1:17">
      <c r="A1104" s="22">
        <v>29</v>
      </c>
      <c r="B1104" s="22">
        <v>27.94</v>
      </c>
      <c r="C1104" s="24">
        <v>0</v>
      </c>
      <c r="D1104" s="24">
        <v>0</v>
      </c>
      <c r="E1104" s="24">
        <v>1</v>
      </c>
      <c r="F1104" s="24">
        <v>0</v>
      </c>
      <c r="G1104" s="24">
        <v>0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 s="23">
        <v>19107.779600000002</v>
      </c>
    </row>
    <row r="1105" spans="1:17">
      <c r="A1105" s="22">
        <v>19</v>
      </c>
      <c r="B1105" s="22">
        <v>28.3</v>
      </c>
      <c r="C1105" s="24">
        <v>0</v>
      </c>
      <c r="D1105" s="24">
        <v>0</v>
      </c>
      <c r="E1105" s="24">
        <v>1</v>
      </c>
      <c r="F1105" s="24">
        <v>0</v>
      </c>
      <c r="G1105" s="24">
        <v>0</v>
      </c>
      <c r="H1105">
        <v>1</v>
      </c>
      <c r="I1105">
        <v>0</v>
      </c>
      <c r="J1105">
        <v>1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 s="23">
        <v>17081.080000000002</v>
      </c>
    </row>
    <row r="1106" spans="1:17">
      <c r="A1106" s="22">
        <v>42</v>
      </c>
      <c r="B1106" s="22">
        <v>26.6</v>
      </c>
      <c r="C1106" s="24">
        <v>0</v>
      </c>
      <c r="D1106" s="24">
        <v>0</v>
      </c>
      <c r="E1106" s="24">
        <v>1</v>
      </c>
      <c r="F1106" s="24">
        <v>0</v>
      </c>
      <c r="G1106" s="24">
        <v>0</v>
      </c>
      <c r="H1106">
        <v>1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1</v>
      </c>
      <c r="P1106">
        <v>0</v>
      </c>
      <c r="Q1106" s="23">
        <v>21348.705999999998</v>
      </c>
    </row>
    <row r="1107" spans="1:17">
      <c r="A1107" s="22">
        <v>63</v>
      </c>
      <c r="B1107" s="22">
        <v>27.74</v>
      </c>
      <c r="C1107" s="24">
        <v>0</v>
      </c>
      <c r="D1107" s="24">
        <v>0</v>
      </c>
      <c r="E1107" s="24">
        <v>1</v>
      </c>
      <c r="F1107" s="24">
        <v>0</v>
      </c>
      <c r="G1107" s="24">
        <v>0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1</v>
      </c>
      <c r="Q1107" s="23">
        <v>29523.1656</v>
      </c>
    </row>
    <row r="1108" spans="1:17">
      <c r="A1108" s="22">
        <v>20</v>
      </c>
      <c r="B1108" s="22">
        <v>26.84</v>
      </c>
      <c r="C1108" s="24">
        <v>0</v>
      </c>
      <c r="D1108" s="24">
        <v>0</v>
      </c>
      <c r="E1108" s="24">
        <v>1</v>
      </c>
      <c r="F1108" s="24">
        <v>0</v>
      </c>
      <c r="G1108" s="24">
        <v>0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0</v>
      </c>
      <c r="Q1108" s="23">
        <v>17085.267599999999</v>
      </c>
    </row>
    <row r="1109" spans="1:17">
      <c r="A1109" s="22">
        <v>40</v>
      </c>
      <c r="B1109" s="22">
        <v>28.12</v>
      </c>
      <c r="C1109" s="24">
        <v>0</v>
      </c>
      <c r="D1109" s="24">
        <v>0</v>
      </c>
      <c r="E1109" s="24">
        <v>1</v>
      </c>
      <c r="F1109" s="24">
        <v>0</v>
      </c>
      <c r="G1109" s="24">
        <v>0</v>
      </c>
      <c r="H1109">
        <v>1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1</v>
      </c>
      <c r="P1109">
        <v>0</v>
      </c>
      <c r="Q1109" s="23">
        <v>22331.566800000001</v>
      </c>
    </row>
    <row r="1110" spans="1:17">
      <c r="A1110" s="22">
        <v>23</v>
      </c>
      <c r="B1110" s="22">
        <v>28.31</v>
      </c>
      <c r="C1110" s="24">
        <v>0</v>
      </c>
      <c r="D1110" s="24">
        <v>0</v>
      </c>
      <c r="E1110" s="24">
        <v>1</v>
      </c>
      <c r="F1110" s="24">
        <v>0</v>
      </c>
      <c r="G1110" s="24">
        <v>0</v>
      </c>
      <c r="H1110">
        <v>1</v>
      </c>
      <c r="I1110">
        <v>0</v>
      </c>
      <c r="J1110">
        <v>0</v>
      </c>
      <c r="K1110">
        <v>1</v>
      </c>
      <c r="L1110">
        <v>0</v>
      </c>
      <c r="M1110">
        <v>1</v>
      </c>
      <c r="N1110">
        <v>0</v>
      </c>
      <c r="O1110">
        <v>0</v>
      </c>
      <c r="P1110">
        <v>0</v>
      </c>
      <c r="Q1110" s="23">
        <v>18033.9679</v>
      </c>
    </row>
    <row r="1111" spans="1:17">
      <c r="A1111" s="22">
        <v>63</v>
      </c>
      <c r="B1111" s="22">
        <v>26.98</v>
      </c>
      <c r="C1111" s="24">
        <v>0</v>
      </c>
      <c r="D1111" s="24">
        <v>0</v>
      </c>
      <c r="E1111" s="24">
        <v>1</v>
      </c>
      <c r="F1111" s="24">
        <v>0</v>
      </c>
      <c r="G1111" s="24">
        <v>0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1</v>
      </c>
      <c r="Q1111" s="23">
        <v>28950.4692</v>
      </c>
    </row>
    <row r="1112" spans="1:17">
      <c r="A1112" s="22">
        <v>30</v>
      </c>
      <c r="B1112" s="22">
        <v>28.38</v>
      </c>
      <c r="C1112" s="24">
        <v>0</v>
      </c>
      <c r="D1112" s="24">
        <v>0</v>
      </c>
      <c r="E1112" s="24">
        <v>1</v>
      </c>
      <c r="F1112" s="24">
        <v>0</v>
      </c>
      <c r="G1112" s="24">
        <v>0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 s="23">
        <v>19521.968199999999</v>
      </c>
    </row>
    <row r="1113" spans="1:17">
      <c r="A1113" s="22">
        <v>19</v>
      </c>
      <c r="B1113" s="22">
        <v>28.31</v>
      </c>
      <c r="C1113" s="24">
        <v>0</v>
      </c>
      <c r="D1113" s="24">
        <v>0</v>
      </c>
      <c r="E1113" s="24">
        <v>1</v>
      </c>
      <c r="F1113" s="24">
        <v>0</v>
      </c>
      <c r="G1113" s="24">
        <v>0</v>
      </c>
      <c r="H1113">
        <v>1</v>
      </c>
      <c r="I1113">
        <v>0</v>
      </c>
      <c r="J1113">
        <v>0</v>
      </c>
      <c r="K1113">
        <v>1</v>
      </c>
      <c r="L1113">
        <v>0</v>
      </c>
      <c r="M1113">
        <v>1</v>
      </c>
      <c r="N1113">
        <v>0</v>
      </c>
      <c r="O1113">
        <v>0</v>
      </c>
      <c r="P1113">
        <v>0</v>
      </c>
      <c r="Q1113" s="23">
        <v>17468.983899999999</v>
      </c>
    </row>
    <row r="1114" spans="1:17">
      <c r="A1114" s="22">
        <v>52</v>
      </c>
      <c r="B1114" s="22">
        <v>25.3</v>
      </c>
      <c r="C1114" s="24">
        <v>0</v>
      </c>
      <c r="D1114" s="24">
        <v>0</v>
      </c>
      <c r="E1114" s="24">
        <v>1</v>
      </c>
      <c r="F1114" s="24">
        <v>0</v>
      </c>
      <c r="G1114" s="24">
        <v>0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 s="23">
        <v>24667.419000000002</v>
      </c>
    </row>
    <row r="1115" spans="1:17">
      <c r="A1115" s="22">
        <v>37</v>
      </c>
      <c r="B1115" s="22">
        <v>26.4</v>
      </c>
      <c r="C1115" s="24">
        <v>0</v>
      </c>
      <c r="D1115" s="24">
        <v>0</v>
      </c>
      <c r="E1115" s="24">
        <v>1</v>
      </c>
      <c r="F1115" s="24">
        <v>0</v>
      </c>
      <c r="G1115" s="24">
        <v>0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 s="23">
        <v>19539.242999999999</v>
      </c>
    </row>
    <row r="1116" spans="1:17">
      <c r="A1116" s="22">
        <v>47</v>
      </c>
      <c r="B1116" s="22">
        <v>27.83</v>
      </c>
      <c r="C1116" s="24">
        <v>0</v>
      </c>
      <c r="D1116" s="24">
        <v>0</v>
      </c>
      <c r="E1116" s="24">
        <v>1</v>
      </c>
      <c r="F1116" s="24">
        <v>0</v>
      </c>
      <c r="G1116" s="24">
        <v>0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 s="23">
        <v>23065.420699999999</v>
      </c>
    </row>
    <row r="1117" spans="1:17">
      <c r="A1117" s="22">
        <v>19</v>
      </c>
      <c r="B1117" s="22">
        <v>28.88</v>
      </c>
      <c r="C1117" s="24">
        <v>0</v>
      </c>
      <c r="D1117" s="24">
        <v>0</v>
      </c>
      <c r="E1117" s="24">
        <v>1</v>
      </c>
      <c r="F1117" s="24">
        <v>0</v>
      </c>
      <c r="G1117" s="24">
        <v>0</v>
      </c>
      <c r="H1117">
        <v>1</v>
      </c>
      <c r="I1117">
        <v>0</v>
      </c>
      <c r="J1117">
        <v>0</v>
      </c>
      <c r="K1117">
        <v>1</v>
      </c>
      <c r="L1117">
        <v>0</v>
      </c>
      <c r="M1117">
        <v>1</v>
      </c>
      <c r="N1117">
        <v>0</v>
      </c>
      <c r="O1117">
        <v>0</v>
      </c>
      <c r="P1117">
        <v>0</v>
      </c>
      <c r="Q1117" s="23">
        <v>17748.5062</v>
      </c>
    </row>
    <row r="1118" spans="1:17">
      <c r="A1118" s="22">
        <v>50</v>
      </c>
      <c r="B1118" s="22">
        <v>27.6</v>
      </c>
      <c r="C1118" s="24">
        <v>0</v>
      </c>
      <c r="D1118" s="24">
        <v>0</v>
      </c>
      <c r="E1118" s="24">
        <v>1</v>
      </c>
      <c r="F1118" s="24">
        <v>0</v>
      </c>
      <c r="G1118" s="24">
        <v>0</v>
      </c>
      <c r="H1118">
        <v>1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 s="23">
        <v>24520.263999999999</v>
      </c>
    </row>
    <row r="1119" spans="1:17">
      <c r="A1119" s="22">
        <v>47</v>
      </c>
      <c r="B1119" s="22">
        <v>26.125</v>
      </c>
      <c r="C1119" s="24">
        <v>0</v>
      </c>
      <c r="D1119" s="24">
        <v>0</v>
      </c>
      <c r="E1119" s="24">
        <v>1</v>
      </c>
      <c r="F1119" s="24">
        <v>0</v>
      </c>
      <c r="G1119" s="24">
        <v>0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1</v>
      </c>
      <c r="P1119">
        <v>0</v>
      </c>
      <c r="Q1119" s="23">
        <v>23401.30575</v>
      </c>
    </row>
    <row r="1120" spans="1:17">
      <c r="A1120" s="22">
        <v>57</v>
      </c>
      <c r="B1120" s="22">
        <v>29.81</v>
      </c>
      <c r="C1120" s="24">
        <v>0</v>
      </c>
      <c r="D1120" s="24">
        <v>0</v>
      </c>
      <c r="E1120" s="24">
        <v>1</v>
      </c>
      <c r="F1120" s="24">
        <v>0</v>
      </c>
      <c r="G1120" s="24">
        <v>0</v>
      </c>
      <c r="H1120">
        <v>1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 s="23">
        <v>27533.912899999999</v>
      </c>
    </row>
    <row r="1121" spans="1:17">
      <c r="A1121" s="22">
        <v>64</v>
      </c>
      <c r="B1121" s="22">
        <v>26.885000000000002</v>
      </c>
      <c r="C1121" s="24">
        <v>0</v>
      </c>
      <c r="D1121" s="24">
        <v>0</v>
      </c>
      <c r="E1121" s="24">
        <v>1</v>
      </c>
      <c r="F1121" s="24">
        <v>0</v>
      </c>
      <c r="G1121" s="24">
        <v>0</v>
      </c>
      <c r="H1121">
        <v>1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1</v>
      </c>
      <c r="Q1121" s="23">
        <v>29330.98315</v>
      </c>
    </row>
    <row r="1122" spans="1:17">
      <c r="A1122" s="22">
        <v>43</v>
      </c>
      <c r="B1122" s="22">
        <v>26.885000000000002</v>
      </c>
      <c r="C1122" s="24">
        <v>0</v>
      </c>
      <c r="D1122" s="24">
        <v>0</v>
      </c>
      <c r="E1122" s="24">
        <v>1</v>
      </c>
      <c r="F1122" s="24">
        <v>0</v>
      </c>
      <c r="G1122" s="24">
        <v>0</v>
      </c>
      <c r="H1122">
        <v>1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1</v>
      </c>
      <c r="P1122">
        <v>0</v>
      </c>
      <c r="Q1122" s="23">
        <v>21774.32215</v>
      </c>
    </row>
    <row r="1123" spans="1:17">
      <c r="A1123" s="22">
        <v>35</v>
      </c>
      <c r="B1123" s="22">
        <v>28.024999999999999</v>
      </c>
      <c r="C1123" s="24">
        <v>0</v>
      </c>
      <c r="D1123" s="24">
        <v>0</v>
      </c>
      <c r="E1123" s="24">
        <v>1</v>
      </c>
      <c r="F1123" s="24">
        <v>0</v>
      </c>
      <c r="G1123" s="24">
        <v>0</v>
      </c>
      <c r="H1123">
        <v>1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1</v>
      </c>
      <c r="O1123">
        <v>0</v>
      </c>
      <c r="P1123">
        <v>0</v>
      </c>
      <c r="Q1123" s="23">
        <v>20234.854749999999</v>
      </c>
    </row>
    <row r="1124" spans="1:17">
      <c r="A1124" s="22">
        <v>48</v>
      </c>
      <c r="B1124" s="22">
        <v>25.85</v>
      </c>
      <c r="C1124" s="24">
        <v>0</v>
      </c>
      <c r="D1124" s="24">
        <v>0</v>
      </c>
      <c r="E1124" s="24">
        <v>1</v>
      </c>
      <c r="F1124" s="24">
        <v>0</v>
      </c>
      <c r="G1124" s="24">
        <v>0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0</v>
      </c>
      <c r="Q1124" s="23">
        <v>24180.933499999999</v>
      </c>
    </row>
    <row r="1125" spans="1:17">
      <c r="A1125" s="22">
        <v>43</v>
      </c>
      <c r="B1125" s="22">
        <v>26.7</v>
      </c>
      <c r="C1125" s="24">
        <v>0</v>
      </c>
      <c r="D1125" s="24">
        <v>0</v>
      </c>
      <c r="E1125" s="24">
        <v>1</v>
      </c>
      <c r="F1125" s="24">
        <v>0</v>
      </c>
      <c r="G1125" s="24">
        <v>0</v>
      </c>
      <c r="H1125">
        <v>1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0</v>
      </c>
      <c r="Q1125" s="23">
        <v>22478.6</v>
      </c>
    </row>
    <row r="1126" spans="1:17">
      <c r="A1126" s="22">
        <v>23</v>
      </c>
      <c r="B1126" s="22">
        <v>28.49</v>
      </c>
      <c r="C1126" s="24">
        <v>0</v>
      </c>
      <c r="D1126" s="24">
        <v>0</v>
      </c>
      <c r="E1126" s="24">
        <v>1</v>
      </c>
      <c r="F1126" s="24">
        <v>0</v>
      </c>
      <c r="G1126" s="24">
        <v>0</v>
      </c>
      <c r="H1126">
        <v>1</v>
      </c>
      <c r="I1126">
        <v>1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 s="23">
        <v>18328.238099999999</v>
      </c>
    </row>
    <row r="1127" spans="1:17">
      <c r="A1127" s="22">
        <v>43</v>
      </c>
      <c r="B1127" s="22">
        <v>25.27</v>
      </c>
      <c r="C1127" s="24">
        <v>0</v>
      </c>
      <c r="D1127" s="24">
        <v>0</v>
      </c>
      <c r="E1127" s="24">
        <v>1</v>
      </c>
      <c r="F1127" s="24">
        <v>0</v>
      </c>
      <c r="G1127" s="24">
        <v>0</v>
      </c>
      <c r="H1127">
        <v>1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1</v>
      </c>
      <c r="P1127">
        <v>0</v>
      </c>
      <c r="Q1127" s="23">
        <v>21771.3423</v>
      </c>
    </row>
    <row r="1128" spans="1:17">
      <c r="A1128" s="22">
        <v>18</v>
      </c>
      <c r="B1128" s="22">
        <v>27.28</v>
      </c>
      <c r="C1128" s="24">
        <v>0</v>
      </c>
      <c r="D1128" s="24">
        <v>0</v>
      </c>
      <c r="E1128" s="24">
        <v>1</v>
      </c>
      <c r="F1128" s="24">
        <v>0</v>
      </c>
      <c r="G1128" s="24">
        <v>0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 s="23">
        <v>18223.4512</v>
      </c>
    </row>
    <row r="1129" spans="1:17">
      <c r="A1129" s="22">
        <v>37</v>
      </c>
      <c r="B1129" s="22">
        <v>25.555</v>
      </c>
      <c r="C1129" s="24">
        <v>0</v>
      </c>
      <c r="D1129" s="24">
        <v>0</v>
      </c>
      <c r="E1129" s="24">
        <v>1</v>
      </c>
      <c r="F1129" s="24">
        <v>0</v>
      </c>
      <c r="G1129" s="24">
        <v>0</v>
      </c>
      <c r="H1129">
        <v>1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1</v>
      </c>
      <c r="P1129">
        <v>0</v>
      </c>
      <c r="Q1129" s="23">
        <v>20296.863450000001</v>
      </c>
    </row>
    <row r="1130" spans="1:17">
      <c r="A1130" s="22">
        <v>47</v>
      </c>
      <c r="B1130" s="22">
        <v>27.645</v>
      </c>
      <c r="C1130" s="24">
        <v>0</v>
      </c>
      <c r="D1130" s="24">
        <v>0</v>
      </c>
      <c r="E1130" s="24">
        <v>1</v>
      </c>
      <c r="F1130" s="24">
        <v>0</v>
      </c>
      <c r="G1130" s="24">
        <v>0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1</v>
      </c>
      <c r="P1130">
        <v>0</v>
      </c>
      <c r="Q1130" s="23">
        <v>24535.698550000001</v>
      </c>
    </row>
    <row r="1131" spans="1:17">
      <c r="A1131" s="22">
        <v>61</v>
      </c>
      <c r="B1131" s="22">
        <v>29.07</v>
      </c>
      <c r="C1131" s="24">
        <v>0</v>
      </c>
      <c r="D1131" s="24">
        <v>0</v>
      </c>
      <c r="E1131" s="24">
        <v>1</v>
      </c>
      <c r="F1131" s="24">
        <v>0</v>
      </c>
      <c r="G1131" s="24">
        <v>0</v>
      </c>
      <c r="H1131">
        <v>1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1</v>
      </c>
      <c r="Q1131" s="23">
        <v>29141.3603</v>
      </c>
    </row>
    <row r="1132" spans="1:17" hidden="1">
      <c r="A1132" s="22">
        <v>18</v>
      </c>
      <c r="B1132" s="22">
        <v>29.37</v>
      </c>
      <c r="C1132" s="24">
        <v>0</v>
      </c>
      <c r="D1132" s="24">
        <v>0</v>
      </c>
      <c r="E1132" s="24">
        <v>1</v>
      </c>
      <c r="F1132" s="24">
        <v>0</v>
      </c>
      <c r="G1132" s="24">
        <v>1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 s="23">
        <v>1719.4363000000001</v>
      </c>
    </row>
    <row r="1133" spans="1:17" hidden="1">
      <c r="A1133" s="22">
        <v>18</v>
      </c>
      <c r="B1133" s="22">
        <v>25.46</v>
      </c>
      <c r="C1133" s="24">
        <v>0</v>
      </c>
      <c r="D1133" s="24">
        <v>0</v>
      </c>
      <c r="E1133" s="24">
        <v>1</v>
      </c>
      <c r="F1133" s="24">
        <v>0</v>
      </c>
      <c r="G1133" s="24">
        <v>1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1</v>
      </c>
      <c r="N1133">
        <v>0</v>
      </c>
      <c r="O1133">
        <v>0</v>
      </c>
      <c r="P1133">
        <v>0</v>
      </c>
      <c r="Q1133" s="23">
        <v>1708.0014000000001</v>
      </c>
    </row>
    <row r="1134" spans="1:17" hidden="1">
      <c r="A1134" s="22">
        <v>18</v>
      </c>
      <c r="B1134" s="22">
        <v>28.5</v>
      </c>
      <c r="C1134" s="24">
        <v>0</v>
      </c>
      <c r="D1134" s="24">
        <v>0</v>
      </c>
      <c r="E1134" s="24">
        <v>1</v>
      </c>
      <c r="F1134" s="24">
        <v>0</v>
      </c>
      <c r="G1134" s="24">
        <v>1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1</v>
      </c>
      <c r="N1134">
        <v>0</v>
      </c>
      <c r="O1134">
        <v>0</v>
      </c>
      <c r="P1134">
        <v>0</v>
      </c>
      <c r="Q1134" s="23">
        <v>1712.2270000000001</v>
      </c>
    </row>
    <row r="1135" spans="1:17" hidden="1">
      <c r="A1135" s="22">
        <v>18</v>
      </c>
      <c r="B1135" s="22">
        <v>26.18</v>
      </c>
      <c r="C1135" s="24">
        <v>0</v>
      </c>
      <c r="D1135" s="24">
        <v>0</v>
      </c>
      <c r="E1135" s="24">
        <v>1</v>
      </c>
      <c r="F1135" s="24">
        <v>0</v>
      </c>
      <c r="G1135" s="24">
        <v>1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 s="23">
        <v>2304.0021999999999</v>
      </c>
    </row>
    <row r="1136" spans="1:17" hidden="1">
      <c r="A1136" s="22">
        <v>18</v>
      </c>
      <c r="B1136" s="22">
        <v>26.125</v>
      </c>
      <c r="C1136" s="24">
        <v>0</v>
      </c>
      <c r="D1136" s="24">
        <v>0</v>
      </c>
      <c r="E1136" s="24">
        <v>1</v>
      </c>
      <c r="F1136" s="24">
        <v>0</v>
      </c>
      <c r="G1136" s="24">
        <v>1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0</v>
      </c>
      <c r="O1136">
        <v>0</v>
      </c>
      <c r="P1136">
        <v>0</v>
      </c>
      <c r="Q1136" s="23">
        <v>1708.9257500000001</v>
      </c>
    </row>
    <row r="1137" spans="1:17" hidden="1">
      <c r="A1137" s="22">
        <v>18</v>
      </c>
      <c r="B1137" s="22">
        <v>28.31</v>
      </c>
      <c r="C1137" s="24">
        <v>0</v>
      </c>
      <c r="D1137" s="24">
        <v>0</v>
      </c>
      <c r="E1137" s="24">
        <v>1</v>
      </c>
      <c r="F1137" s="24">
        <v>0</v>
      </c>
      <c r="G1137" s="24">
        <v>1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0</v>
      </c>
      <c r="O1137">
        <v>0</v>
      </c>
      <c r="P1137">
        <v>0</v>
      </c>
      <c r="Q1137" s="23">
        <v>11272.331389999999</v>
      </c>
    </row>
    <row r="1138" spans="1:17" hidden="1">
      <c r="A1138" s="22">
        <v>19</v>
      </c>
      <c r="B1138" s="22">
        <v>25.555</v>
      </c>
      <c r="C1138" s="24">
        <v>0</v>
      </c>
      <c r="D1138" s="24">
        <v>0</v>
      </c>
      <c r="E1138" s="24">
        <v>1</v>
      </c>
      <c r="F1138" s="24">
        <v>0</v>
      </c>
      <c r="G1138" s="24">
        <v>1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1</v>
      </c>
      <c r="N1138">
        <v>0</v>
      </c>
      <c r="O1138">
        <v>0</v>
      </c>
      <c r="P1138">
        <v>0</v>
      </c>
      <c r="Q1138" s="23">
        <v>1632.5644500000001</v>
      </c>
    </row>
    <row r="1139" spans="1:17" hidden="1">
      <c r="A1139" s="22">
        <v>19</v>
      </c>
      <c r="B1139" s="22">
        <v>28.4</v>
      </c>
      <c r="C1139" s="24">
        <v>0</v>
      </c>
      <c r="D1139" s="24">
        <v>0</v>
      </c>
      <c r="E1139" s="24">
        <v>1</v>
      </c>
      <c r="F1139" s="24">
        <v>0</v>
      </c>
      <c r="G1139" s="24">
        <v>1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 s="23">
        <v>1842.519</v>
      </c>
    </row>
    <row r="1140" spans="1:17" hidden="1">
      <c r="A1140" s="22">
        <v>19</v>
      </c>
      <c r="B1140" s="22">
        <v>27.835000000000001</v>
      </c>
      <c r="C1140" s="24">
        <v>0</v>
      </c>
      <c r="D1140" s="24">
        <v>0</v>
      </c>
      <c r="E1140" s="24">
        <v>1</v>
      </c>
      <c r="F1140" s="24">
        <v>0</v>
      </c>
      <c r="G1140" s="24">
        <v>1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1</v>
      </c>
      <c r="N1140">
        <v>0</v>
      </c>
      <c r="O1140">
        <v>0</v>
      </c>
      <c r="P1140">
        <v>0</v>
      </c>
      <c r="Q1140" s="23">
        <v>1635.7336499999999</v>
      </c>
    </row>
    <row r="1141" spans="1:17" hidden="1">
      <c r="A1141" s="22">
        <v>19</v>
      </c>
      <c r="B1141" s="22">
        <v>25.175000000000001</v>
      </c>
      <c r="C1141" s="24">
        <v>0</v>
      </c>
      <c r="D1141" s="24">
        <v>0</v>
      </c>
      <c r="E1141" s="24">
        <v>1</v>
      </c>
      <c r="F1141" s="24">
        <v>0</v>
      </c>
      <c r="G1141" s="24">
        <v>1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1</v>
      </c>
      <c r="N1141">
        <v>0</v>
      </c>
      <c r="O1141">
        <v>0</v>
      </c>
      <c r="P1141">
        <v>0</v>
      </c>
      <c r="Q1141" s="23">
        <v>1632.0362500000001</v>
      </c>
    </row>
    <row r="1142" spans="1:17" hidden="1">
      <c r="A1142" s="22">
        <v>19</v>
      </c>
      <c r="B1142" s="22">
        <v>28.7</v>
      </c>
      <c r="C1142" s="24">
        <v>0</v>
      </c>
      <c r="D1142" s="24">
        <v>0</v>
      </c>
      <c r="E1142" s="24">
        <v>1</v>
      </c>
      <c r="F1142" s="24">
        <v>0</v>
      </c>
      <c r="G1142" s="24">
        <v>1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 s="23">
        <v>1253.9359999999999</v>
      </c>
    </row>
    <row r="1143" spans="1:17" hidden="1">
      <c r="A1143" s="22">
        <v>19</v>
      </c>
      <c r="B1143" s="22">
        <v>27.6</v>
      </c>
      <c r="C1143" s="24">
        <v>0</v>
      </c>
      <c r="D1143" s="24">
        <v>0</v>
      </c>
      <c r="E1143" s="24">
        <v>1</v>
      </c>
      <c r="F1143" s="24">
        <v>0</v>
      </c>
      <c r="G1143" s="24">
        <v>1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0</v>
      </c>
      <c r="Q1143" s="23">
        <v>1252.4069999999999</v>
      </c>
    </row>
    <row r="1144" spans="1:17" hidden="1">
      <c r="A1144" s="22">
        <v>19</v>
      </c>
      <c r="B1144" s="22">
        <v>25.555</v>
      </c>
      <c r="C1144" s="24">
        <v>0</v>
      </c>
      <c r="D1144" s="24">
        <v>0</v>
      </c>
      <c r="E1144" s="24">
        <v>1</v>
      </c>
      <c r="F1144" s="24">
        <v>0</v>
      </c>
      <c r="G1144" s="24">
        <v>1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1</v>
      </c>
      <c r="N1144">
        <v>0</v>
      </c>
      <c r="O1144">
        <v>0</v>
      </c>
      <c r="P1144">
        <v>0</v>
      </c>
      <c r="Q1144" s="23">
        <v>2221.5644499999999</v>
      </c>
    </row>
    <row r="1145" spans="1:17" hidden="1">
      <c r="A1145" s="22">
        <v>19</v>
      </c>
      <c r="B1145" s="22">
        <v>27.265000000000001</v>
      </c>
      <c r="C1145" s="24">
        <v>0</v>
      </c>
      <c r="D1145" s="24">
        <v>0</v>
      </c>
      <c r="E1145" s="24">
        <v>1</v>
      </c>
      <c r="F1145" s="24">
        <v>0</v>
      </c>
      <c r="G1145" s="24">
        <v>1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1</v>
      </c>
      <c r="N1145">
        <v>0</v>
      </c>
      <c r="O1145">
        <v>0</v>
      </c>
      <c r="P1145">
        <v>0</v>
      </c>
      <c r="Q1145" s="23">
        <v>22493.659640000002</v>
      </c>
    </row>
    <row r="1146" spans="1:17" hidden="1">
      <c r="A1146" s="22">
        <v>20</v>
      </c>
      <c r="B1146" s="22">
        <v>29.734999999999999</v>
      </c>
      <c r="C1146" s="24">
        <v>0</v>
      </c>
      <c r="D1146" s="24">
        <v>0</v>
      </c>
      <c r="E1146" s="24">
        <v>1</v>
      </c>
      <c r="F1146" s="24">
        <v>0</v>
      </c>
      <c r="G1146" s="24">
        <v>1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1</v>
      </c>
      <c r="N1146">
        <v>0</v>
      </c>
      <c r="O1146">
        <v>0</v>
      </c>
      <c r="P1146">
        <v>0</v>
      </c>
      <c r="Q1146" s="23">
        <v>1769.5316499999999</v>
      </c>
    </row>
    <row r="1147" spans="1:17" hidden="1">
      <c r="A1147" s="22">
        <v>20</v>
      </c>
      <c r="B1147" s="22">
        <v>27.93</v>
      </c>
      <c r="C1147" s="24">
        <v>0</v>
      </c>
      <c r="D1147" s="24">
        <v>0</v>
      </c>
      <c r="E1147" s="24">
        <v>1</v>
      </c>
      <c r="F1147" s="24">
        <v>0</v>
      </c>
      <c r="G1147" s="24">
        <v>1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1</v>
      </c>
      <c r="N1147">
        <v>0</v>
      </c>
      <c r="O1147">
        <v>0</v>
      </c>
      <c r="P1147">
        <v>0</v>
      </c>
      <c r="Q1147" s="23">
        <v>1967.0227</v>
      </c>
    </row>
    <row r="1148" spans="1:17" hidden="1">
      <c r="A1148" s="22">
        <v>21</v>
      </c>
      <c r="B1148" s="22">
        <v>27.36</v>
      </c>
      <c r="C1148" s="24">
        <v>0</v>
      </c>
      <c r="D1148" s="24">
        <v>0</v>
      </c>
      <c r="E1148" s="24">
        <v>1</v>
      </c>
      <c r="F1148" s="24">
        <v>0</v>
      </c>
      <c r="G1148" s="24">
        <v>1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1</v>
      </c>
      <c r="N1148">
        <v>0</v>
      </c>
      <c r="O1148">
        <v>0</v>
      </c>
      <c r="P1148">
        <v>0</v>
      </c>
      <c r="Q1148" s="23">
        <v>2104.1134000000002</v>
      </c>
    </row>
    <row r="1149" spans="1:17" hidden="1">
      <c r="A1149" s="22">
        <v>21</v>
      </c>
      <c r="B1149" s="22">
        <v>28.975000000000001</v>
      </c>
      <c r="C1149" s="24">
        <v>0</v>
      </c>
      <c r="D1149" s="24">
        <v>0</v>
      </c>
      <c r="E1149" s="24">
        <v>1</v>
      </c>
      <c r="F1149" s="24">
        <v>0</v>
      </c>
      <c r="G1149" s="24">
        <v>1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1</v>
      </c>
      <c r="N1149">
        <v>0</v>
      </c>
      <c r="O1149">
        <v>0</v>
      </c>
      <c r="P1149">
        <v>0</v>
      </c>
      <c r="Q1149" s="23">
        <v>1906.35825</v>
      </c>
    </row>
    <row r="1150" spans="1:17" hidden="1">
      <c r="A1150" s="22">
        <v>21</v>
      </c>
      <c r="B1150" s="22">
        <v>25.745000000000001</v>
      </c>
      <c r="C1150" s="24">
        <v>0</v>
      </c>
      <c r="D1150" s="24">
        <v>0</v>
      </c>
      <c r="E1150" s="24">
        <v>1</v>
      </c>
      <c r="F1150" s="24">
        <v>0</v>
      </c>
      <c r="G1150" s="24">
        <v>1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1</v>
      </c>
      <c r="N1150">
        <v>0</v>
      </c>
      <c r="O1150">
        <v>0</v>
      </c>
      <c r="P1150">
        <v>0</v>
      </c>
      <c r="Q1150" s="23">
        <v>3279.8685500000001</v>
      </c>
    </row>
    <row r="1151" spans="1:17" hidden="1">
      <c r="A1151" s="22">
        <v>21</v>
      </c>
      <c r="B1151" s="22">
        <v>26.03</v>
      </c>
      <c r="C1151" s="24">
        <v>0</v>
      </c>
      <c r="D1151" s="24">
        <v>0</v>
      </c>
      <c r="E1151" s="24">
        <v>1</v>
      </c>
      <c r="F1151" s="24">
        <v>0</v>
      </c>
      <c r="G1151" s="24">
        <v>1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1</v>
      </c>
      <c r="N1151">
        <v>0</v>
      </c>
      <c r="O1151">
        <v>0</v>
      </c>
      <c r="P1151">
        <v>0</v>
      </c>
      <c r="Q1151" s="23">
        <v>2102.2647000000002</v>
      </c>
    </row>
    <row r="1152" spans="1:17" hidden="1">
      <c r="A1152" s="22">
        <v>22</v>
      </c>
      <c r="B1152" s="22">
        <v>25.175000000000001</v>
      </c>
      <c r="C1152" s="24">
        <v>0</v>
      </c>
      <c r="D1152" s="24">
        <v>0</v>
      </c>
      <c r="E1152" s="24">
        <v>1</v>
      </c>
      <c r="F1152" s="24">
        <v>0</v>
      </c>
      <c r="G1152" s="24">
        <v>1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1</v>
      </c>
      <c r="N1152">
        <v>0</v>
      </c>
      <c r="O1152">
        <v>0</v>
      </c>
      <c r="P1152">
        <v>0</v>
      </c>
      <c r="Q1152" s="23">
        <v>2045.68525</v>
      </c>
    </row>
    <row r="1153" spans="1:17" hidden="1">
      <c r="A1153" s="22">
        <v>22</v>
      </c>
      <c r="B1153" s="22">
        <v>26.84</v>
      </c>
      <c r="C1153" s="24">
        <v>0</v>
      </c>
      <c r="D1153" s="24">
        <v>0</v>
      </c>
      <c r="E1153" s="24">
        <v>1</v>
      </c>
      <c r="F1153" s="24">
        <v>0</v>
      </c>
      <c r="G1153" s="24">
        <v>1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 s="23">
        <v>1664.9996000000001</v>
      </c>
    </row>
    <row r="1154" spans="1:17" hidden="1">
      <c r="A1154" s="22">
        <v>22</v>
      </c>
      <c r="B1154" s="22">
        <v>28.31</v>
      </c>
      <c r="C1154" s="24">
        <v>0</v>
      </c>
      <c r="D1154" s="24">
        <v>0</v>
      </c>
      <c r="E1154" s="24">
        <v>1</v>
      </c>
      <c r="F1154" s="24">
        <v>0</v>
      </c>
      <c r="G1154" s="24">
        <v>1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1</v>
      </c>
      <c r="N1154">
        <v>0</v>
      </c>
      <c r="O1154">
        <v>0</v>
      </c>
      <c r="P1154">
        <v>0</v>
      </c>
      <c r="Q1154" s="23">
        <v>2639.0428999999999</v>
      </c>
    </row>
    <row r="1155" spans="1:17" hidden="1">
      <c r="A1155" s="22">
        <v>22</v>
      </c>
      <c r="B1155" s="22">
        <v>28.88</v>
      </c>
      <c r="C1155" s="24">
        <v>0</v>
      </c>
      <c r="D1155" s="24">
        <v>0</v>
      </c>
      <c r="E1155" s="24">
        <v>1</v>
      </c>
      <c r="F1155" s="24">
        <v>0</v>
      </c>
      <c r="G1155" s="24">
        <v>1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1</v>
      </c>
      <c r="N1155">
        <v>0</v>
      </c>
      <c r="O1155">
        <v>0</v>
      </c>
      <c r="P1155">
        <v>0</v>
      </c>
      <c r="Q1155" s="23">
        <v>2250.8352</v>
      </c>
    </row>
    <row r="1156" spans="1:17" hidden="1">
      <c r="A1156" s="22">
        <v>23</v>
      </c>
      <c r="B1156" s="22">
        <v>26.51</v>
      </c>
      <c r="C1156" s="24">
        <v>0</v>
      </c>
      <c r="D1156" s="24">
        <v>0</v>
      </c>
      <c r="E1156" s="24">
        <v>1</v>
      </c>
      <c r="F1156" s="24">
        <v>0</v>
      </c>
      <c r="G1156" s="24">
        <v>1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</v>
      </c>
      <c r="Q1156" s="23">
        <v>1815.8759</v>
      </c>
    </row>
    <row r="1157" spans="1:17" hidden="1">
      <c r="A1157" s="22">
        <v>23</v>
      </c>
      <c r="B1157" s="22">
        <v>27.36</v>
      </c>
      <c r="C1157" s="24">
        <v>0</v>
      </c>
      <c r="D1157" s="24">
        <v>0</v>
      </c>
      <c r="E1157" s="24">
        <v>1</v>
      </c>
      <c r="F1157" s="24">
        <v>0</v>
      </c>
      <c r="G1157" s="24">
        <v>1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1</v>
      </c>
      <c r="N1157">
        <v>0</v>
      </c>
      <c r="O1157">
        <v>0</v>
      </c>
      <c r="P1157">
        <v>0</v>
      </c>
      <c r="Q1157" s="23">
        <v>2789.0574000000001</v>
      </c>
    </row>
    <row r="1158" spans="1:17" hidden="1">
      <c r="A1158" s="22">
        <v>24</v>
      </c>
      <c r="B1158" s="22">
        <v>28.5</v>
      </c>
      <c r="C1158" s="24">
        <v>0</v>
      </c>
      <c r="D1158" s="24">
        <v>0</v>
      </c>
      <c r="E1158" s="24">
        <v>1</v>
      </c>
      <c r="F1158" s="24">
        <v>0</v>
      </c>
      <c r="G1158" s="24">
        <v>1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1</v>
      </c>
      <c r="N1158">
        <v>0</v>
      </c>
      <c r="O1158">
        <v>0</v>
      </c>
      <c r="P1158">
        <v>0</v>
      </c>
      <c r="Q1158" s="23">
        <v>3537.703</v>
      </c>
    </row>
    <row r="1159" spans="1:17" hidden="1">
      <c r="A1159" s="22">
        <v>24</v>
      </c>
      <c r="B1159" s="22">
        <v>29.3</v>
      </c>
      <c r="C1159" s="24">
        <v>0</v>
      </c>
      <c r="D1159" s="24">
        <v>0</v>
      </c>
      <c r="E1159" s="24">
        <v>1</v>
      </c>
      <c r="F1159" s="24">
        <v>0</v>
      </c>
      <c r="G1159" s="24">
        <v>1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</v>
      </c>
      <c r="Q1159" s="23">
        <v>1977.8150000000001</v>
      </c>
    </row>
    <row r="1160" spans="1:17" hidden="1">
      <c r="A1160" s="22">
        <v>24</v>
      </c>
      <c r="B1160" s="22">
        <v>26.79</v>
      </c>
      <c r="C1160" s="24">
        <v>0</v>
      </c>
      <c r="D1160" s="24">
        <v>0</v>
      </c>
      <c r="E1160" s="24">
        <v>1</v>
      </c>
      <c r="F1160" s="24">
        <v>0</v>
      </c>
      <c r="G1160" s="24">
        <v>1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1</v>
      </c>
      <c r="N1160">
        <v>0</v>
      </c>
      <c r="O1160">
        <v>0</v>
      </c>
      <c r="P1160">
        <v>0</v>
      </c>
      <c r="Q1160" s="23">
        <v>12609.88702</v>
      </c>
    </row>
    <row r="1161" spans="1:17" hidden="1">
      <c r="A1161" s="22">
        <v>24</v>
      </c>
      <c r="B1161" s="22">
        <v>25.8</v>
      </c>
      <c r="C1161" s="24">
        <v>0</v>
      </c>
      <c r="D1161" s="24">
        <v>0</v>
      </c>
      <c r="E1161" s="24">
        <v>1</v>
      </c>
      <c r="F1161" s="24">
        <v>0</v>
      </c>
      <c r="G1161" s="24">
        <v>1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 s="23">
        <v>1972.95</v>
      </c>
    </row>
    <row r="1162" spans="1:17" hidden="1">
      <c r="A1162" s="22">
        <v>25</v>
      </c>
      <c r="B1162" s="22">
        <v>26.22</v>
      </c>
      <c r="C1162" s="24">
        <v>0</v>
      </c>
      <c r="D1162" s="24">
        <v>0</v>
      </c>
      <c r="E1162" s="24">
        <v>1</v>
      </c>
      <c r="F1162" s="24">
        <v>0</v>
      </c>
      <c r="G1162" s="24">
        <v>1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1</v>
      </c>
      <c r="N1162">
        <v>0</v>
      </c>
      <c r="O1162">
        <v>0</v>
      </c>
      <c r="P1162">
        <v>0</v>
      </c>
      <c r="Q1162" s="23">
        <v>2721.3208</v>
      </c>
    </row>
    <row r="1163" spans="1:17" hidden="1">
      <c r="A1163" s="22">
        <v>25</v>
      </c>
      <c r="B1163" s="22">
        <v>25.74</v>
      </c>
      <c r="C1163" s="24">
        <v>0</v>
      </c>
      <c r="D1163" s="24">
        <v>0</v>
      </c>
      <c r="E1163" s="24">
        <v>1</v>
      </c>
      <c r="F1163" s="24">
        <v>0</v>
      </c>
      <c r="G1163" s="24">
        <v>1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 s="23">
        <v>2137.6536000000001</v>
      </c>
    </row>
    <row r="1164" spans="1:17" hidden="1">
      <c r="A1164" s="22">
        <v>25</v>
      </c>
      <c r="B1164" s="22">
        <v>27.55</v>
      </c>
      <c r="C1164" s="24">
        <v>0</v>
      </c>
      <c r="D1164" s="24">
        <v>0</v>
      </c>
      <c r="E1164" s="24">
        <v>1</v>
      </c>
      <c r="F1164" s="24">
        <v>0</v>
      </c>
      <c r="G1164" s="24">
        <v>1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0</v>
      </c>
      <c r="Q1164" s="23">
        <v>2523.1695</v>
      </c>
    </row>
    <row r="1165" spans="1:17" hidden="1">
      <c r="A1165" s="22">
        <v>25</v>
      </c>
      <c r="B1165" s="22">
        <v>26.8</v>
      </c>
      <c r="C1165" s="24">
        <v>0</v>
      </c>
      <c r="D1165" s="24">
        <v>0</v>
      </c>
      <c r="E1165" s="24">
        <v>1</v>
      </c>
      <c r="F1165" s="24">
        <v>0</v>
      </c>
      <c r="G1165" s="24">
        <v>1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 s="23">
        <v>3906.127</v>
      </c>
    </row>
    <row r="1166" spans="1:17" hidden="1">
      <c r="A1166" s="22">
        <v>25</v>
      </c>
      <c r="B1166" s="22">
        <v>25.84</v>
      </c>
      <c r="C1166" s="24">
        <v>0</v>
      </c>
      <c r="D1166" s="24">
        <v>0</v>
      </c>
      <c r="E1166" s="24">
        <v>1</v>
      </c>
      <c r="F1166" s="24">
        <v>0</v>
      </c>
      <c r="G1166" s="24">
        <v>1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1</v>
      </c>
      <c r="N1166">
        <v>0</v>
      </c>
      <c r="O1166">
        <v>0</v>
      </c>
      <c r="P1166">
        <v>0</v>
      </c>
      <c r="Q1166" s="23">
        <v>3309.7926000000002</v>
      </c>
    </row>
    <row r="1167" spans="1:17" hidden="1">
      <c r="A1167" s="22">
        <v>25</v>
      </c>
      <c r="B1167" s="22">
        <v>26.695</v>
      </c>
      <c r="C1167" s="24">
        <v>0</v>
      </c>
      <c r="D1167" s="24">
        <v>0</v>
      </c>
      <c r="E1167" s="24">
        <v>1</v>
      </c>
      <c r="F1167" s="24">
        <v>0</v>
      </c>
      <c r="G1167" s="24">
        <v>1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1</v>
      </c>
      <c r="N1167">
        <v>0</v>
      </c>
      <c r="O1167">
        <v>0</v>
      </c>
      <c r="P1167">
        <v>0</v>
      </c>
      <c r="Q1167" s="23">
        <v>4877.9810500000003</v>
      </c>
    </row>
    <row r="1168" spans="1:17" hidden="1">
      <c r="A1168" s="22">
        <v>25</v>
      </c>
      <c r="B1168" s="22">
        <v>24.984999999999999</v>
      </c>
      <c r="C1168" s="24">
        <v>0</v>
      </c>
      <c r="D1168" s="24">
        <v>0</v>
      </c>
      <c r="E1168" s="24">
        <v>1</v>
      </c>
      <c r="F1168" s="24">
        <v>0</v>
      </c>
      <c r="G1168" s="24">
        <v>1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1</v>
      </c>
      <c r="N1168">
        <v>0</v>
      </c>
      <c r="O1168">
        <v>0</v>
      </c>
      <c r="P1168">
        <v>0</v>
      </c>
      <c r="Q1168" s="23">
        <v>23241.47453</v>
      </c>
    </row>
    <row r="1169" spans="1:17" hidden="1">
      <c r="A1169" s="22">
        <v>26</v>
      </c>
      <c r="B1169" s="22">
        <v>29.45</v>
      </c>
      <c r="C1169" s="24">
        <v>0</v>
      </c>
      <c r="D1169" s="24">
        <v>0</v>
      </c>
      <c r="E1169" s="24">
        <v>1</v>
      </c>
      <c r="F1169" s="24">
        <v>0</v>
      </c>
      <c r="G1169" s="24">
        <v>1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1</v>
      </c>
      <c r="O1169">
        <v>0</v>
      </c>
      <c r="P1169">
        <v>0</v>
      </c>
      <c r="Q1169" s="23">
        <v>2897.3235</v>
      </c>
    </row>
    <row r="1170" spans="1:17" hidden="1">
      <c r="A1170" s="22">
        <v>26</v>
      </c>
      <c r="B1170" s="22">
        <v>27.265000000000001</v>
      </c>
      <c r="C1170" s="24">
        <v>0</v>
      </c>
      <c r="D1170" s="24">
        <v>0</v>
      </c>
      <c r="E1170" s="24">
        <v>1</v>
      </c>
      <c r="F1170" s="24">
        <v>0</v>
      </c>
      <c r="G1170" s="24">
        <v>1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1</v>
      </c>
      <c r="O1170">
        <v>0</v>
      </c>
      <c r="P1170">
        <v>0</v>
      </c>
      <c r="Q1170" s="23">
        <v>4661.2863500000003</v>
      </c>
    </row>
    <row r="1171" spans="1:17" hidden="1">
      <c r="A1171" s="22">
        <v>26</v>
      </c>
      <c r="B1171" s="22">
        <v>29.15</v>
      </c>
      <c r="C1171" s="24">
        <v>0</v>
      </c>
      <c r="D1171" s="24">
        <v>0</v>
      </c>
      <c r="E1171" s="24">
        <v>1</v>
      </c>
      <c r="F1171" s="24">
        <v>0</v>
      </c>
      <c r="G1171" s="24">
        <v>1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 s="23">
        <v>2902.9065000000001</v>
      </c>
    </row>
    <row r="1172" spans="1:17" hidden="1">
      <c r="A1172" s="22">
        <v>27</v>
      </c>
      <c r="B1172" s="22">
        <v>26.03</v>
      </c>
      <c r="C1172" s="24">
        <v>0</v>
      </c>
      <c r="D1172" s="24">
        <v>0</v>
      </c>
      <c r="E1172" s="24">
        <v>1</v>
      </c>
      <c r="F1172" s="24">
        <v>0</v>
      </c>
      <c r="G1172" s="24">
        <v>1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</v>
      </c>
      <c r="O1172">
        <v>0</v>
      </c>
      <c r="P1172">
        <v>0</v>
      </c>
      <c r="Q1172" s="23">
        <v>3070.8087</v>
      </c>
    </row>
    <row r="1173" spans="1:17" hidden="1">
      <c r="A1173" s="22">
        <v>28</v>
      </c>
      <c r="B1173" s="22">
        <v>26.98</v>
      </c>
      <c r="C1173" s="24">
        <v>0</v>
      </c>
      <c r="D1173" s="24">
        <v>0</v>
      </c>
      <c r="E1173" s="24">
        <v>1</v>
      </c>
      <c r="F1173" s="24">
        <v>0</v>
      </c>
      <c r="G1173" s="24">
        <v>1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1</v>
      </c>
      <c r="O1173">
        <v>0</v>
      </c>
      <c r="P1173">
        <v>0</v>
      </c>
      <c r="Q1173" s="23">
        <v>4435.0941999999995</v>
      </c>
    </row>
    <row r="1174" spans="1:17" hidden="1">
      <c r="A1174" s="22">
        <v>28</v>
      </c>
      <c r="B1174" s="22">
        <v>29.26</v>
      </c>
      <c r="C1174" s="24">
        <v>0</v>
      </c>
      <c r="D1174" s="24">
        <v>0</v>
      </c>
      <c r="E1174" s="24">
        <v>1</v>
      </c>
      <c r="F1174" s="24">
        <v>0</v>
      </c>
      <c r="G1174" s="24">
        <v>1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</v>
      </c>
      <c r="O1174">
        <v>0</v>
      </c>
      <c r="P1174">
        <v>0</v>
      </c>
      <c r="Q1174" s="23">
        <v>4438.2633999999998</v>
      </c>
    </row>
    <row r="1175" spans="1:17" hidden="1">
      <c r="A1175" s="22">
        <v>29</v>
      </c>
      <c r="B1175" s="22">
        <v>27.94</v>
      </c>
      <c r="C1175" s="24">
        <v>0</v>
      </c>
      <c r="D1175" s="24">
        <v>0</v>
      </c>
      <c r="E1175" s="24">
        <v>1</v>
      </c>
      <c r="F1175" s="24">
        <v>0</v>
      </c>
      <c r="G1175" s="24">
        <v>1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 s="23">
        <v>2867.1196</v>
      </c>
    </row>
    <row r="1176" spans="1:17" hidden="1">
      <c r="A1176" s="22">
        <v>29</v>
      </c>
      <c r="B1176" s="22">
        <v>29.734999999999999</v>
      </c>
      <c r="C1176" s="24">
        <v>0</v>
      </c>
      <c r="D1176" s="24">
        <v>0</v>
      </c>
      <c r="E1176" s="24">
        <v>1</v>
      </c>
      <c r="F1176" s="24">
        <v>0</v>
      </c>
      <c r="G1176" s="24">
        <v>1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0</v>
      </c>
      <c r="Q1176" s="23">
        <v>18157.876</v>
      </c>
    </row>
    <row r="1177" spans="1:17" hidden="1">
      <c r="A1177" s="22">
        <v>29</v>
      </c>
      <c r="B1177" s="22">
        <v>28.975000000000001</v>
      </c>
      <c r="C1177" s="24">
        <v>0</v>
      </c>
      <c r="D1177" s="24">
        <v>0</v>
      </c>
      <c r="E1177" s="24">
        <v>1</v>
      </c>
      <c r="F1177" s="24">
        <v>0</v>
      </c>
      <c r="G1177" s="24">
        <v>1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0</v>
      </c>
      <c r="P1177">
        <v>0</v>
      </c>
      <c r="Q1177" s="23">
        <v>4040.55825</v>
      </c>
    </row>
    <row r="1178" spans="1:17" hidden="1">
      <c r="A1178" s="22">
        <v>29</v>
      </c>
      <c r="B1178" s="22">
        <v>29.64</v>
      </c>
      <c r="C1178" s="24">
        <v>0</v>
      </c>
      <c r="D1178" s="24">
        <v>0</v>
      </c>
      <c r="E1178" s="24">
        <v>1</v>
      </c>
      <c r="F1178" s="24">
        <v>0</v>
      </c>
      <c r="G1178" s="24">
        <v>1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1</v>
      </c>
      <c r="O1178">
        <v>0</v>
      </c>
      <c r="P1178">
        <v>0</v>
      </c>
      <c r="Q1178" s="23">
        <v>20277.807509999999</v>
      </c>
    </row>
    <row r="1179" spans="1:17" hidden="1">
      <c r="A1179" s="22">
        <v>29</v>
      </c>
      <c r="B1179" s="22">
        <v>27.2</v>
      </c>
      <c r="C1179" s="24">
        <v>0</v>
      </c>
      <c r="D1179" s="24">
        <v>0</v>
      </c>
      <c r="E1179" s="24">
        <v>1</v>
      </c>
      <c r="F1179" s="24">
        <v>0</v>
      </c>
      <c r="G1179" s="24">
        <v>1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 s="23">
        <v>2866.0909999999999</v>
      </c>
    </row>
    <row r="1180" spans="1:17" hidden="1">
      <c r="A1180" s="22">
        <v>30</v>
      </c>
      <c r="B1180" s="22">
        <v>25.46</v>
      </c>
      <c r="C1180" s="24">
        <v>0</v>
      </c>
      <c r="D1180" s="24">
        <v>0</v>
      </c>
      <c r="E1180" s="24">
        <v>1</v>
      </c>
      <c r="F1180" s="24">
        <v>0</v>
      </c>
      <c r="G1180" s="24">
        <v>1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1</v>
      </c>
      <c r="O1180">
        <v>0</v>
      </c>
      <c r="P1180">
        <v>0</v>
      </c>
      <c r="Q1180" s="23">
        <v>3645.0893999999998</v>
      </c>
    </row>
    <row r="1181" spans="1:17" hidden="1">
      <c r="A1181" s="22">
        <v>30</v>
      </c>
      <c r="B1181" s="22">
        <v>27.645</v>
      </c>
      <c r="C1181" s="24">
        <v>0</v>
      </c>
      <c r="D1181" s="24">
        <v>0</v>
      </c>
      <c r="E1181" s="24">
        <v>1</v>
      </c>
      <c r="F1181" s="24">
        <v>0</v>
      </c>
      <c r="G1181" s="24">
        <v>1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0</v>
      </c>
      <c r="P1181">
        <v>0</v>
      </c>
      <c r="Q1181" s="23">
        <v>4237.12655</v>
      </c>
    </row>
    <row r="1182" spans="1:17" hidden="1">
      <c r="A1182" s="22">
        <v>31</v>
      </c>
      <c r="B1182" s="22">
        <v>28.5</v>
      </c>
      <c r="C1182" s="24">
        <v>0</v>
      </c>
      <c r="D1182" s="24">
        <v>0</v>
      </c>
      <c r="E1182" s="24">
        <v>1</v>
      </c>
      <c r="F1182" s="24">
        <v>0</v>
      </c>
      <c r="G1182" s="24">
        <v>1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0</v>
      </c>
      <c r="P1182">
        <v>0</v>
      </c>
      <c r="Q1182" s="23">
        <v>6799.4579999999996</v>
      </c>
    </row>
    <row r="1183" spans="1:17" hidden="1">
      <c r="A1183" s="22">
        <v>31</v>
      </c>
      <c r="B1183" s="22">
        <v>26.885000000000002</v>
      </c>
      <c r="C1183" s="24">
        <v>0</v>
      </c>
      <c r="D1183" s="24">
        <v>0</v>
      </c>
      <c r="E1183" s="24">
        <v>1</v>
      </c>
      <c r="F1183" s="24">
        <v>0</v>
      </c>
      <c r="G1183" s="24">
        <v>1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1</v>
      </c>
      <c r="O1183">
        <v>0</v>
      </c>
      <c r="P1183">
        <v>0</v>
      </c>
      <c r="Q1183" s="23">
        <v>4441.2131499999996</v>
      </c>
    </row>
    <row r="1184" spans="1:17" hidden="1">
      <c r="A1184" s="22">
        <v>31</v>
      </c>
      <c r="B1184" s="22">
        <v>28.594999999999999</v>
      </c>
      <c r="C1184" s="24">
        <v>0</v>
      </c>
      <c r="D1184" s="24">
        <v>0</v>
      </c>
      <c r="E1184" s="24">
        <v>1</v>
      </c>
      <c r="F1184" s="24">
        <v>0</v>
      </c>
      <c r="G1184" s="24">
        <v>1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 s="23">
        <v>4243.5900499999998</v>
      </c>
    </row>
    <row r="1185" spans="1:17" hidden="1">
      <c r="A1185" s="22">
        <v>31</v>
      </c>
      <c r="B1185" s="22">
        <v>27.645</v>
      </c>
      <c r="C1185" s="24">
        <v>0</v>
      </c>
      <c r="D1185" s="24">
        <v>0</v>
      </c>
      <c r="E1185" s="24">
        <v>1</v>
      </c>
      <c r="F1185" s="24">
        <v>0</v>
      </c>
      <c r="G1185" s="24">
        <v>1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1</v>
      </c>
      <c r="O1185">
        <v>0</v>
      </c>
      <c r="P1185">
        <v>0</v>
      </c>
      <c r="Q1185" s="23">
        <v>5031.26955</v>
      </c>
    </row>
    <row r="1186" spans="1:17" hidden="1">
      <c r="A1186" s="22">
        <v>31</v>
      </c>
      <c r="B1186" s="22">
        <v>25.934999999999999</v>
      </c>
      <c r="C1186" s="24">
        <v>0</v>
      </c>
      <c r="D1186" s="24">
        <v>0</v>
      </c>
      <c r="E1186" s="24">
        <v>1</v>
      </c>
      <c r="F1186" s="24">
        <v>0</v>
      </c>
      <c r="G1186" s="24">
        <v>1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0</v>
      </c>
      <c r="Q1186" s="23">
        <v>4239.8926499999998</v>
      </c>
    </row>
    <row r="1187" spans="1:17" hidden="1">
      <c r="A1187" s="22">
        <v>32</v>
      </c>
      <c r="B1187" s="22">
        <v>28.88</v>
      </c>
      <c r="C1187" s="24">
        <v>0</v>
      </c>
      <c r="D1187" s="24">
        <v>0</v>
      </c>
      <c r="E1187" s="24">
        <v>1</v>
      </c>
      <c r="F1187" s="24">
        <v>0</v>
      </c>
      <c r="G1187" s="24">
        <v>1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1</v>
      </c>
      <c r="O1187">
        <v>0</v>
      </c>
      <c r="P1187">
        <v>0</v>
      </c>
      <c r="Q1187" s="23">
        <v>3866.8552</v>
      </c>
    </row>
    <row r="1188" spans="1:17" hidden="1">
      <c r="A1188" s="22">
        <v>32</v>
      </c>
      <c r="B1188" s="22">
        <v>27.835000000000001</v>
      </c>
      <c r="C1188" s="24">
        <v>0</v>
      </c>
      <c r="D1188" s="24">
        <v>0</v>
      </c>
      <c r="E1188" s="24">
        <v>1</v>
      </c>
      <c r="F1188" s="24">
        <v>0</v>
      </c>
      <c r="G1188" s="24">
        <v>1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1</v>
      </c>
      <c r="O1188">
        <v>0</v>
      </c>
      <c r="P1188">
        <v>0</v>
      </c>
      <c r="Q1188" s="23">
        <v>4454.40265</v>
      </c>
    </row>
    <row r="1189" spans="1:17" hidden="1">
      <c r="A1189" s="22">
        <v>33</v>
      </c>
      <c r="B1189" s="22">
        <v>29.4</v>
      </c>
      <c r="C1189" s="24">
        <v>0</v>
      </c>
      <c r="D1189" s="24">
        <v>0</v>
      </c>
      <c r="E1189" s="24">
        <v>1</v>
      </c>
      <c r="F1189" s="24">
        <v>0</v>
      </c>
      <c r="G1189" s="24">
        <v>1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 s="23">
        <v>6059.1729999999998</v>
      </c>
    </row>
    <row r="1190" spans="1:17" hidden="1">
      <c r="A1190" s="22">
        <v>33</v>
      </c>
      <c r="B1190" s="22">
        <v>27.454999999999998</v>
      </c>
      <c r="C1190" s="24">
        <v>0</v>
      </c>
      <c r="D1190" s="24">
        <v>0</v>
      </c>
      <c r="E1190" s="24">
        <v>1</v>
      </c>
      <c r="F1190" s="24">
        <v>0</v>
      </c>
      <c r="G1190" s="24">
        <v>1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 s="23">
        <v>5261.4694499999996</v>
      </c>
    </row>
    <row r="1191" spans="1:17" hidden="1">
      <c r="A1191" s="22">
        <v>34</v>
      </c>
      <c r="B1191" s="22">
        <v>25.27</v>
      </c>
      <c r="C1191" s="24">
        <v>0</v>
      </c>
      <c r="D1191" s="24">
        <v>0</v>
      </c>
      <c r="E1191" s="24">
        <v>1</v>
      </c>
      <c r="F1191" s="24">
        <v>0</v>
      </c>
      <c r="G1191" s="24">
        <v>1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0</v>
      </c>
      <c r="Q1191" s="23">
        <v>4894.7533000000003</v>
      </c>
    </row>
    <row r="1192" spans="1:17" hidden="1">
      <c r="A1192" s="22">
        <v>34</v>
      </c>
      <c r="B1192" s="22">
        <v>27</v>
      </c>
      <c r="C1192" s="24">
        <v>0</v>
      </c>
      <c r="D1192" s="24">
        <v>0</v>
      </c>
      <c r="E1192" s="24">
        <v>1</v>
      </c>
      <c r="F1192" s="24">
        <v>0</v>
      </c>
      <c r="G1192" s="24">
        <v>1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 s="23">
        <v>11737.848840000001</v>
      </c>
    </row>
    <row r="1193" spans="1:17" hidden="1">
      <c r="A1193" s="22">
        <v>35</v>
      </c>
      <c r="B1193" s="22">
        <v>28.9</v>
      </c>
      <c r="C1193" s="24">
        <v>0</v>
      </c>
      <c r="D1193" s="24">
        <v>0</v>
      </c>
      <c r="E1193" s="24">
        <v>1</v>
      </c>
      <c r="F1193" s="24">
        <v>0</v>
      </c>
      <c r="G1193" s="24">
        <v>1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 s="23">
        <v>5926.8459999999995</v>
      </c>
    </row>
    <row r="1194" spans="1:17" hidden="1">
      <c r="A1194" s="22">
        <v>35</v>
      </c>
      <c r="B1194" s="22">
        <v>27.1</v>
      </c>
      <c r="C1194" s="24">
        <v>0</v>
      </c>
      <c r="D1194" s="24">
        <v>0</v>
      </c>
      <c r="E1194" s="24">
        <v>1</v>
      </c>
      <c r="F1194" s="24">
        <v>0</v>
      </c>
      <c r="G1194" s="24">
        <v>1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 s="23">
        <v>4746.3440000000001</v>
      </c>
    </row>
    <row r="1195" spans="1:17" hidden="1">
      <c r="A1195" s="22">
        <v>35</v>
      </c>
      <c r="B1195" s="22">
        <v>27.61</v>
      </c>
      <c r="C1195" s="24">
        <v>0</v>
      </c>
      <c r="D1195" s="24">
        <v>0</v>
      </c>
      <c r="E1195" s="24">
        <v>1</v>
      </c>
      <c r="F1195" s="24">
        <v>0</v>
      </c>
      <c r="G1195" s="24">
        <v>1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 s="23">
        <v>4747.0528999999997</v>
      </c>
    </row>
    <row r="1196" spans="1:17" hidden="1">
      <c r="A1196" s="22">
        <v>36</v>
      </c>
      <c r="B1196" s="22">
        <v>27.55</v>
      </c>
      <c r="C1196" s="24">
        <v>0</v>
      </c>
      <c r="D1196" s="24">
        <v>0</v>
      </c>
      <c r="E1196" s="24">
        <v>1</v>
      </c>
      <c r="F1196" s="24">
        <v>0</v>
      </c>
      <c r="G1196" s="24">
        <v>1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1</v>
      </c>
      <c r="P1196">
        <v>0</v>
      </c>
      <c r="Q1196" s="23">
        <v>6746.7425000000003</v>
      </c>
    </row>
    <row r="1197" spans="1:17" hidden="1">
      <c r="A1197" s="22">
        <v>36</v>
      </c>
      <c r="B1197" s="22">
        <v>28.88</v>
      </c>
      <c r="C1197" s="24">
        <v>0</v>
      </c>
      <c r="D1197" s="24">
        <v>0</v>
      </c>
      <c r="E1197" s="24">
        <v>1</v>
      </c>
      <c r="F1197" s="24">
        <v>0</v>
      </c>
      <c r="G1197" s="24">
        <v>1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1</v>
      </c>
      <c r="P1197">
        <v>0</v>
      </c>
      <c r="Q1197" s="23">
        <v>6748.5911999999998</v>
      </c>
    </row>
    <row r="1198" spans="1:17" hidden="1">
      <c r="A1198" s="22">
        <v>36</v>
      </c>
      <c r="B1198" s="22">
        <v>29.7</v>
      </c>
      <c r="C1198" s="24">
        <v>0</v>
      </c>
      <c r="D1198" s="24">
        <v>0</v>
      </c>
      <c r="E1198" s="24">
        <v>1</v>
      </c>
      <c r="F1198" s="24">
        <v>0</v>
      </c>
      <c r="G1198" s="24">
        <v>1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 s="23">
        <v>4399.7309999999998</v>
      </c>
    </row>
    <row r="1199" spans="1:17" hidden="1">
      <c r="A1199" s="22">
        <v>36</v>
      </c>
      <c r="B1199" s="22">
        <v>28.594999999999999</v>
      </c>
      <c r="C1199" s="24">
        <v>0</v>
      </c>
      <c r="D1199" s="24">
        <v>0</v>
      </c>
      <c r="E1199" s="24">
        <v>1</v>
      </c>
      <c r="F1199" s="24">
        <v>0</v>
      </c>
      <c r="G1199" s="24">
        <v>1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1</v>
      </c>
      <c r="P1199">
        <v>0</v>
      </c>
      <c r="Q1199" s="23">
        <v>6548.1950500000003</v>
      </c>
    </row>
    <row r="1200" spans="1:17" hidden="1">
      <c r="A1200" s="22">
        <v>37</v>
      </c>
      <c r="B1200" s="22">
        <v>29.83</v>
      </c>
      <c r="C1200" s="24">
        <v>0</v>
      </c>
      <c r="D1200" s="24">
        <v>0</v>
      </c>
      <c r="E1200" s="24">
        <v>1</v>
      </c>
      <c r="F1200" s="24">
        <v>0</v>
      </c>
      <c r="G1200" s="24">
        <v>1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1</v>
      </c>
      <c r="P1200">
        <v>0</v>
      </c>
      <c r="Q1200" s="23">
        <v>6406.4107000000004</v>
      </c>
    </row>
    <row r="1201" spans="1:17" hidden="1">
      <c r="A1201" s="22">
        <v>37</v>
      </c>
      <c r="B1201" s="22">
        <v>28.024999999999999</v>
      </c>
      <c r="C1201" s="24">
        <v>0</v>
      </c>
      <c r="D1201" s="24">
        <v>0</v>
      </c>
      <c r="E1201" s="24">
        <v>1</v>
      </c>
      <c r="F1201" s="24">
        <v>0</v>
      </c>
      <c r="G1201" s="24">
        <v>1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1</v>
      </c>
      <c r="P1201">
        <v>0</v>
      </c>
      <c r="Q1201" s="23">
        <v>6203.90175</v>
      </c>
    </row>
    <row r="1202" spans="1:17" hidden="1">
      <c r="A1202" s="22">
        <v>37</v>
      </c>
      <c r="B1202" s="22">
        <v>29.64</v>
      </c>
      <c r="C1202" s="24">
        <v>0</v>
      </c>
      <c r="D1202" s="24">
        <v>0</v>
      </c>
      <c r="E1202" s="24">
        <v>1</v>
      </c>
      <c r="F1202" s="24">
        <v>0</v>
      </c>
      <c r="G1202" s="24">
        <v>1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1</v>
      </c>
      <c r="P1202">
        <v>0</v>
      </c>
      <c r="Q1202" s="23">
        <v>5028.1466</v>
      </c>
    </row>
    <row r="1203" spans="1:17" hidden="1">
      <c r="A1203" s="22">
        <v>37</v>
      </c>
      <c r="B1203" s="22">
        <v>29.8</v>
      </c>
      <c r="C1203" s="24">
        <v>0</v>
      </c>
      <c r="D1203" s="24">
        <v>0</v>
      </c>
      <c r="E1203" s="24">
        <v>1</v>
      </c>
      <c r="F1203" s="24">
        <v>0</v>
      </c>
      <c r="G1203" s="24">
        <v>1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 s="23">
        <v>20420.604650000001</v>
      </c>
    </row>
    <row r="1204" spans="1:17" hidden="1">
      <c r="A1204" s="22">
        <v>38</v>
      </c>
      <c r="B1204" s="22">
        <v>27.835000000000001</v>
      </c>
      <c r="C1204" s="24">
        <v>0</v>
      </c>
      <c r="D1204" s="24">
        <v>0</v>
      </c>
      <c r="E1204" s="24">
        <v>1</v>
      </c>
      <c r="F1204" s="24">
        <v>0</v>
      </c>
      <c r="G1204" s="24">
        <v>1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1</v>
      </c>
      <c r="P1204">
        <v>0</v>
      </c>
      <c r="Q1204" s="23">
        <v>6455.86265</v>
      </c>
    </row>
    <row r="1205" spans="1:17" hidden="1">
      <c r="A1205" s="22">
        <v>38</v>
      </c>
      <c r="B1205" s="22">
        <v>28.024999999999999</v>
      </c>
      <c r="C1205" s="24">
        <v>0</v>
      </c>
      <c r="D1205" s="24">
        <v>0</v>
      </c>
      <c r="E1205" s="24">
        <v>1</v>
      </c>
      <c r="F1205" s="24">
        <v>0</v>
      </c>
      <c r="G1205" s="24">
        <v>1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1</v>
      </c>
      <c r="P1205">
        <v>0</v>
      </c>
      <c r="Q1205" s="23">
        <v>6067.1267500000004</v>
      </c>
    </row>
    <row r="1206" spans="1:17" hidden="1">
      <c r="A1206" s="22">
        <v>38</v>
      </c>
      <c r="B1206" s="22">
        <v>28.27</v>
      </c>
      <c r="C1206" s="24">
        <v>0</v>
      </c>
      <c r="D1206" s="24">
        <v>0</v>
      </c>
      <c r="E1206" s="24">
        <v>1</v>
      </c>
      <c r="F1206" s="24">
        <v>0</v>
      </c>
      <c r="G1206" s="24">
        <v>1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 s="23">
        <v>5484.4673000000003</v>
      </c>
    </row>
    <row r="1207" spans="1:17" hidden="1">
      <c r="A1207" s="22">
        <v>38</v>
      </c>
      <c r="B1207" s="22">
        <v>29.26</v>
      </c>
      <c r="C1207" s="24">
        <v>0</v>
      </c>
      <c r="D1207" s="24">
        <v>0</v>
      </c>
      <c r="E1207" s="24">
        <v>1</v>
      </c>
      <c r="F1207" s="24">
        <v>0</v>
      </c>
      <c r="G1207" s="24">
        <v>1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1</v>
      </c>
      <c r="P1207">
        <v>0</v>
      </c>
      <c r="Q1207" s="23">
        <v>6457.8433999999997</v>
      </c>
    </row>
    <row r="1208" spans="1:17" hidden="1">
      <c r="A1208" s="22">
        <v>39</v>
      </c>
      <c r="B1208" s="22">
        <v>29.6</v>
      </c>
      <c r="C1208" s="24">
        <v>0</v>
      </c>
      <c r="D1208" s="24">
        <v>0</v>
      </c>
      <c r="E1208" s="24">
        <v>1</v>
      </c>
      <c r="F1208" s="24">
        <v>0</v>
      </c>
      <c r="G1208" s="24">
        <v>1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 s="23">
        <v>7512.2669999999998</v>
      </c>
    </row>
    <row r="1209" spans="1:17" hidden="1">
      <c r="A1209" s="22">
        <v>39</v>
      </c>
      <c r="B1209" s="22">
        <v>26.22</v>
      </c>
      <c r="C1209" s="24">
        <v>0</v>
      </c>
      <c r="D1209" s="24">
        <v>0</v>
      </c>
      <c r="E1209" s="24">
        <v>1</v>
      </c>
      <c r="F1209" s="24">
        <v>0</v>
      </c>
      <c r="G1209" s="24">
        <v>1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1</v>
      </c>
      <c r="P1209">
        <v>0</v>
      </c>
      <c r="Q1209" s="23">
        <v>6123.5688</v>
      </c>
    </row>
    <row r="1210" spans="1:17" hidden="1">
      <c r="A1210" s="22">
        <v>40</v>
      </c>
      <c r="B1210" s="22">
        <v>26.315000000000001</v>
      </c>
      <c r="C1210" s="24">
        <v>0</v>
      </c>
      <c r="D1210" s="24">
        <v>0</v>
      </c>
      <c r="E1210" s="24">
        <v>1</v>
      </c>
      <c r="F1210" s="24">
        <v>0</v>
      </c>
      <c r="G1210" s="24">
        <v>1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1</v>
      </c>
      <c r="P1210">
        <v>0</v>
      </c>
      <c r="Q1210" s="23">
        <v>6389.3778499999999</v>
      </c>
    </row>
    <row r="1211" spans="1:17" hidden="1">
      <c r="A1211" s="22">
        <v>40</v>
      </c>
      <c r="B1211" s="22">
        <v>29.355</v>
      </c>
      <c r="C1211" s="24">
        <v>0</v>
      </c>
      <c r="D1211" s="24">
        <v>0</v>
      </c>
      <c r="E1211" s="24">
        <v>1</v>
      </c>
      <c r="F1211" s="24">
        <v>0</v>
      </c>
      <c r="G1211" s="24">
        <v>1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1</v>
      </c>
      <c r="P1211">
        <v>0</v>
      </c>
      <c r="Q1211" s="23">
        <v>6393.6034499999996</v>
      </c>
    </row>
    <row r="1212" spans="1:17" hidden="1">
      <c r="A1212" s="22">
        <v>40</v>
      </c>
      <c r="B1212" s="22">
        <v>25.08</v>
      </c>
      <c r="C1212" s="24">
        <v>0</v>
      </c>
      <c r="D1212" s="24">
        <v>0</v>
      </c>
      <c r="E1212" s="24">
        <v>1</v>
      </c>
      <c r="F1212" s="24">
        <v>0</v>
      </c>
      <c r="G1212" s="24">
        <v>1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 s="23">
        <v>5415.6611999999996</v>
      </c>
    </row>
    <row r="1213" spans="1:17" hidden="1">
      <c r="A1213" s="22">
        <v>40</v>
      </c>
      <c r="B1213" s="22">
        <v>24.97</v>
      </c>
      <c r="C1213" s="24">
        <v>0</v>
      </c>
      <c r="D1213" s="24">
        <v>0</v>
      </c>
      <c r="E1213" s="24">
        <v>1</v>
      </c>
      <c r="F1213" s="24">
        <v>0</v>
      </c>
      <c r="G1213" s="24">
        <v>1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 s="23">
        <v>6593.5083000000004</v>
      </c>
    </row>
    <row r="1214" spans="1:17" hidden="1">
      <c r="A1214" s="22">
        <v>40</v>
      </c>
      <c r="B1214" s="22">
        <v>29.9</v>
      </c>
      <c r="C1214" s="24">
        <v>0</v>
      </c>
      <c r="D1214" s="24">
        <v>0</v>
      </c>
      <c r="E1214" s="24">
        <v>1</v>
      </c>
      <c r="F1214" s="24">
        <v>0</v>
      </c>
      <c r="G1214" s="24">
        <v>1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 s="23">
        <v>6600.3609999999999</v>
      </c>
    </row>
    <row r="1215" spans="1:17" hidden="1">
      <c r="A1215" s="22">
        <v>41</v>
      </c>
      <c r="B1215" s="22">
        <v>28.405000000000001</v>
      </c>
      <c r="C1215" s="24">
        <v>0</v>
      </c>
      <c r="D1215" s="24">
        <v>0</v>
      </c>
      <c r="E1215" s="24">
        <v>1</v>
      </c>
      <c r="F1215" s="24">
        <v>0</v>
      </c>
      <c r="G1215" s="24">
        <v>1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1</v>
      </c>
      <c r="P1215">
        <v>0</v>
      </c>
      <c r="Q1215" s="23">
        <v>6664.68595</v>
      </c>
    </row>
    <row r="1216" spans="1:17" hidden="1">
      <c r="A1216" s="22">
        <v>41</v>
      </c>
      <c r="B1216" s="22">
        <v>28.8</v>
      </c>
      <c r="C1216" s="24">
        <v>0</v>
      </c>
      <c r="D1216" s="24">
        <v>0</v>
      </c>
      <c r="E1216" s="24">
        <v>1</v>
      </c>
      <c r="F1216" s="24">
        <v>0</v>
      </c>
      <c r="G1216" s="24">
        <v>1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 s="23">
        <v>6282.2349999999997</v>
      </c>
    </row>
    <row r="1217" spans="1:17" hidden="1">
      <c r="A1217" s="22">
        <v>41</v>
      </c>
      <c r="B1217" s="22">
        <v>29.64</v>
      </c>
      <c r="C1217" s="24">
        <v>0</v>
      </c>
      <c r="D1217" s="24">
        <v>0</v>
      </c>
      <c r="E1217" s="24">
        <v>1</v>
      </c>
      <c r="F1217" s="24">
        <v>0</v>
      </c>
      <c r="G1217" s="24">
        <v>1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1</v>
      </c>
      <c r="P1217">
        <v>0</v>
      </c>
      <c r="Q1217" s="23">
        <v>9222.4025999999994</v>
      </c>
    </row>
    <row r="1218" spans="1:17" hidden="1">
      <c r="A1218" s="22">
        <v>42</v>
      </c>
      <c r="B1218" s="22">
        <v>26.9</v>
      </c>
      <c r="C1218" s="24">
        <v>0</v>
      </c>
      <c r="D1218" s="24">
        <v>0</v>
      </c>
      <c r="E1218" s="24">
        <v>1</v>
      </c>
      <c r="F1218" s="24">
        <v>0</v>
      </c>
      <c r="G1218" s="24">
        <v>1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 s="23">
        <v>5969.723</v>
      </c>
    </row>
    <row r="1219" spans="1:17" hidden="1">
      <c r="A1219" s="22">
        <v>42</v>
      </c>
      <c r="B1219" s="22">
        <v>26.125</v>
      </c>
      <c r="C1219" s="24">
        <v>0</v>
      </c>
      <c r="D1219" s="24">
        <v>0</v>
      </c>
      <c r="E1219" s="24">
        <v>1</v>
      </c>
      <c r="F1219" s="24">
        <v>0</v>
      </c>
      <c r="G1219" s="24">
        <v>1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1</v>
      </c>
      <c r="P1219">
        <v>0</v>
      </c>
      <c r="Q1219" s="23">
        <v>7729.6457499999997</v>
      </c>
    </row>
    <row r="1220" spans="1:17" hidden="1">
      <c r="A1220" s="22">
        <v>42</v>
      </c>
      <c r="B1220" s="22">
        <v>26.315000000000001</v>
      </c>
      <c r="C1220" s="24">
        <v>0</v>
      </c>
      <c r="D1220" s="24">
        <v>0</v>
      </c>
      <c r="E1220" s="24">
        <v>1</v>
      </c>
      <c r="F1220" s="24">
        <v>0</v>
      </c>
      <c r="G1220" s="24">
        <v>1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1</v>
      </c>
      <c r="P1220">
        <v>0</v>
      </c>
      <c r="Q1220" s="23">
        <v>6940.90985</v>
      </c>
    </row>
    <row r="1221" spans="1:17" hidden="1">
      <c r="A1221" s="22">
        <v>43</v>
      </c>
      <c r="B1221" s="22">
        <v>27.36</v>
      </c>
      <c r="C1221" s="24">
        <v>0</v>
      </c>
      <c r="D1221" s="24">
        <v>0</v>
      </c>
      <c r="E1221" s="24">
        <v>1</v>
      </c>
      <c r="F1221" s="24">
        <v>0</v>
      </c>
      <c r="G1221" s="24">
        <v>1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1</v>
      </c>
      <c r="P1221">
        <v>0</v>
      </c>
      <c r="Q1221" s="23">
        <v>8606.2173999999995</v>
      </c>
    </row>
    <row r="1222" spans="1:17" hidden="1">
      <c r="A1222" s="22">
        <v>43</v>
      </c>
      <c r="B1222" s="22">
        <v>26.03</v>
      </c>
      <c r="C1222" s="24">
        <v>0</v>
      </c>
      <c r="D1222" s="24">
        <v>0</v>
      </c>
      <c r="E1222" s="24">
        <v>1</v>
      </c>
      <c r="F1222" s="24">
        <v>0</v>
      </c>
      <c r="G1222" s="24">
        <v>1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1</v>
      </c>
      <c r="P1222">
        <v>0</v>
      </c>
      <c r="Q1222" s="23">
        <v>6837.3687</v>
      </c>
    </row>
    <row r="1223" spans="1:17" hidden="1">
      <c r="A1223" s="22">
        <v>43</v>
      </c>
      <c r="B1223" s="22">
        <v>25.52</v>
      </c>
      <c r="C1223" s="24">
        <v>0</v>
      </c>
      <c r="D1223" s="24">
        <v>0</v>
      </c>
      <c r="E1223" s="24">
        <v>1</v>
      </c>
      <c r="F1223" s="24">
        <v>0</v>
      </c>
      <c r="G1223" s="24">
        <v>1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0</v>
      </c>
      <c r="Q1223" s="23">
        <v>14478.33015</v>
      </c>
    </row>
    <row r="1224" spans="1:17" hidden="1">
      <c r="A1224" s="22">
        <v>44</v>
      </c>
      <c r="B1224" s="22">
        <v>27.4</v>
      </c>
      <c r="C1224" s="24">
        <v>0</v>
      </c>
      <c r="D1224" s="24">
        <v>0</v>
      </c>
      <c r="E1224" s="24">
        <v>1</v>
      </c>
      <c r="F1224" s="24">
        <v>0</v>
      </c>
      <c r="G1224" s="24">
        <v>1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 s="23">
        <v>7726.8540000000003</v>
      </c>
    </row>
    <row r="1225" spans="1:17" hidden="1">
      <c r="A1225" s="22">
        <v>44</v>
      </c>
      <c r="B1225" s="22">
        <v>29.734999999999999</v>
      </c>
      <c r="C1225" s="24">
        <v>0</v>
      </c>
      <c r="D1225" s="24">
        <v>0</v>
      </c>
      <c r="E1225" s="24">
        <v>1</v>
      </c>
      <c r="F1225" s="24">
        <v>0</v>
      </c>
      <c r="G1225" s="24">
        <v>1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1</v>
      </c>
      <c r="P1225">
        <v>0</v>
      </c>
      <c r="Q1225" s="23">
        <v>32108.662820000001</v>
      </c>
    </row>
    <row r="1226" spans="1:17" hidden="1">
      <c r="A1226" s="22">
        <v>44</v>
      </c>
      <c r="B1226" s="22">
        <v>25.364999999999998</v>
      </c>
      <c r="C1226" s="24">
        <v>0</v>
      </c>
      <c r="D1226" s="24">
        <v>0</v>
      </c>
      <c r="E1226" s="24">
        <v>1</v>
      </c>
      <c r="F1226" s="24">
        <v>0</v>
      </c>
      <c r="G1226" s="24">
        <v>1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1</v>
      </c>
      <c r="P1226">
        <v>0</v>
      </c>
      <c r="Q1226" s="23">
        <v>7518.0253499999999</v>
      </c>
    </row>
    <row r="1227" spans="1:17" hidden="1">
      <c r="A1227" s="22">
        <v>45</v>
      </c>
      <c r="B1227" s="22">
        <v>28.7</v>
      </c>
      <c r="C1227" s="24">
        <v>0</v>
      </c>
      <c r="D1227" s="24">
        <v>0</v>
      </c>
      <c r="E1227" s="24">
        <v>1</v>
      </c>
      <c r="F1227" s="24">
        <v>0</v>
      </c>
      <c r="G1227" s="24">
        <v>1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  <c r="Q1227" s="23">
        <v>8027.9679999999998</v>
      </c>
    </row>
    <row r="1228" spans="1:17" hidden="1">
      <c r="A1228" s="22">
        <v>45</v>
      </c>
      <c r="B1228" s="22">
        <v>27.5</v>
      </c>
      <c r="C1228" s="24">
        <v>0</v>
      </c>
      <c r="D1228" s="24">
        <v>0</v>
      </c>
      <c r="E1228" s="24">
        <v>1</v>
      </c>
      <c r="F1228" s="24">
        <v>0</v>
      </c>
      <c r="G1228" s="24">
        <v>1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 s="23">
        <v>8615.2999999999993</v>
      </c>
    </row>
    <row r="1229" spans="1:17" hidden="1">
      <c r="A1229" s="22">
        <v>46</v>
      </c>
      <c r="B1229" s="22">
        <v>26.62</v>
      </c>
      <c r="C1229" s="24">
        <v>0</v>
      </c>
      <c r="D1229" s="24">
        <v>0</v>
      </c>
      <c r="E1229" s="24">
        <v>1</v>
      </c>
      <c r="F1229" s="24">
        <v>0</v>
      </c>
      <c r="G1229" s="24">
        <v>1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0</v>
      </c>
      <c r="Q1229" s="23">
        <v>7742.1098000000002</v>
      </c>
    </row>
    <row r="1230" spans="1:17" hidden="1">
      <c r="A1230" s="22">
        <v>46</v>
      </c>
      <c r="B1230" s="22">
        <v>27.6</v>
      </c>
      <c r="C1230" s="24">
        <v>0</v>
      </c>
      <c r="D1230" s="24">
        <v>0</v>
      </c>
      <c r="E1230" s="24">
        <v>1</v>
      </c>
      <c r="F1230" s="24">
        <v>0</v>
      </c>
      <c r="G1230" s="24">
        <v>1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1</v>
      </c>
      <c r="P1230">
        <v>0</v>
      </c>
      <c r="Q1230" s="23">
        <v>24603.04837</v>
      </c>
    </row>
    <row r="1231" spans="1:17" hidden="1">
      <c r="A1231" s="22">
        <v>46</v>
      </c>
      <c r="B1231" s="22">
        <v>25.8</v>
      </c>
      <c r="C1231" s="24">
        <v>0</v>
      </c>
      <c r="D1231" s="24">
        <v>0</v>
      </c>
      <c r="E1231" s="24">
        <v>1</v>
      </c>
      <c r="F1231" s="24">
        <v>0</v>
      </c>
      <c r="G1231" s="24">
        <v>1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 s="23">
        <v>10096.969999999999</v>
      </c>
    </row>
    <row r="1232" spans="1:17" hidden="1">
      <c r="A1232" s="22">
        <v>46</v>
      </c>
      <c r="B1232" s="22">
        <v>25.745000000000001</v>
      </c>
      <c r="C1232" s="24">
        <v>0</v>
      </c>
      <c r="D1232" s="24">
        <v>0</v>
      </c>
      <c r="E1232" s="24">
        <v>1</v>
      </c>
      <c r="F1232" s="24">
        <v>0</v>
      </c>
      <c r="G1232" s="24">
        <v>1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</v>
      </c>
      <c r="P1232">
        <v>0</v>
      </c>
      <c r="Q1232" s="23">
        <v>9301.8935500000007</v>
      </c>
    </row>
    <row r="1233" spans="1:17" hidden="1">
      <c r="A1233" s="22">
        <v>47</v>
      </c>
      <c r="B1233" s="22">
        <v>28.215</v>
      </c>
      <c r="C1233" s="24">
        <v>0</v>
      </c>
      <c r="D1233" s="24">
        <v>0</v>
      </c>
      <c r="E1233" s="24">
        <v>1</v>
      </c>
      <c r="F1233" s="24">
        <v>0</v>
      </c>
      <c r="G1233" s="24">
        <v>1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1</v>
      </c>
      <c r="P1233">
        <v>0</v>
      </c>
      <c r="Q1233" s="23">
        <v>10407.085849999999</v>
      </c>
    </row>
    <row r="1234" spans="1:17" hidden="1">
      <c r="A1234" s="22">
        <v>47</v>
      </c>
      <c r="B1234" s="22">
        <v>25.46</v>
      </c>
      <c r="C1234" s="24">
        <v>0</v>
      </c>
      <c r="D1234" s="24">
        <v>0</v>
      </c>
      <c r="E1234" s="24">
        <v>1</v>
      </c>
      <c r="F1234" s="24">
        <v>0</v>
      </c>
      <c r="G1234" s="24">
        <v>1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1</v>
      </c>
      <c r="P1234">
        <v>0</v>
      </c>
      <c r="Q1234" s="23">
        <v>9225.2564000000002</v>
      </c>
    </row>
    <row r="1235" spans="1:17" hidden="1">
      <c r="A1235" s="22">
        <v>47</v>
      </c>
      <c r="B1235" s="22">
        <v>29.83</v>
      </c>
      <c r="C1235" s="24">
        <v>0</v>
      </c>
      <c r="D1235" s="24">
        <v>0</v>
      </c>
      <c r="E1235" s="24">
        <v>1</v>
      </c>
      <c r="F1235" s="24">
        <v>0</v>
      </c>
      <c r="G1235" s="24">
        <v>1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1</v>
      </c>
      <c r="P1235">
        <v>0</v>
      </c>
      <c r="Q1235" s="23">
        <v>9620.3307000000004</v>
      </c>
    </row>
    <row r="1236" spans="1:17" hidden="1">
      <c r="A1236" s="22">
        <v>48</v>
      </c>
      <c r="B1236" s="22">
        <v>29.7</v>
      </c>
      <c r="C1236" s="24">
        <v>0</v>
      </c>
      <c r="D1236" s="24">
        <v>0</v>
      </c>
      <c r="E1236" s="24">
        <v>1</v>
      </c>
      <c r="F1236" s="24">
        <v>0</v>
      </c>
      <c r="G1236" s="24">
        <v>1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 s="23">
        <v>7789.6350000000002</v>
      </c>
    </row>
    <row r="1237" spans="1:17" hidden="1">
      <c r="A1237" s="22">
        <v>48</v>
      </c>
      <c r="B1237" s="22">
        <v>29.6</v>
      </c>
      <c r="C1237" s="24">
        <v>0</v>
      </c>
      <c r="D1237" s="24">
        <v>0</v>
      </c>
      <c r="E1237" s="24">
        <v>1</v>
      </c>
      <c r="F1237" s="24">
        <v>0</v>
      </c>
      <c r="G1237" s="24">
        <v>1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 s="23">
        <v>21232.182260000001</v>
      </c>
    </row>
    <row r="1238" spans="1:17" hidden="1">
      <c r="A1238" s="22">
        <v>49</v>
      </c>
      <c r="B1238" s="22">
        <v>25.84</v>
      </c>
      <c r="C1238" s="24">
        <v>0</v>
      </c>
      <c r="D1238" s="24">
        <v>0</v>
      </c>
      <c r="E1238" s="24">
        <v>1</v>
      </c>
      <c r="F1238" s="24">
        <v>0</v>
      </c>
      <c r="G1238" s="24">
        <v>1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1</v>
      </c>
      <c r="P1238">
        <v>0</v>
      </c>
      <c r="Q1238" s="23">
        <v>9282.4806000000008</v>
      </c>
    </row>
    <row r="1239" spans="1:17" hidden="1">
      <c r="A1239" s="22">
        <v>49</v>
      </c>
      <c r="B1239" s="22">
        <v>28.7</v>
      </c>
      <c r="C1239" s="24">
        <v>0</v>
      </c>
      <c r="D1239" s="24">
        <v>0</v>
      </c>
      <c r="E1239" s="24">
        <v>1</v>
      </c>
      <c r="F1239" s="24">
        <v>0</v>
      </c>
      <c r="G1239" s="24">
        <v>1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0</v>
      </c>
      <c r="Q1239" s="23">
        <v>8703.4560000000001</v>
      </c>
    </row>
    <row r="1240" spans="1:17" hidden="1">
      <c r="A1240" s="22">
        <v>49</v>
      </c>
      <c r="B1240" s="22">
        <v>28.69</v>
      </c>
      <c r="C1240" s="24">
        <v>0</v>
      </c>
      <c r="D1240" s="24">
        <v>0</v>
      </c>
      <c r="E1240" s="24">
        <v>1</v>
      </c>
      <c r="F1240" s="24">
        <v>0</v>
      </c>
      <c r="G1240" s="24">
        <v>1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1</v>
      </c>
      <c r="P1240">
        <v>0</v>
      </c>
      <c r="Q1240" s="23">
        <v>10264.4421</v>
      </c>
    </row>
    <row r="1241" spans="1:17" hidden="1">
      <c r="A1241" s="22">
        <v>49</v>
      </c>
      <c r="B1241" s="22">
        <v>29.83</v>
      </c>
      <c r="C1241" s="24">
        <v>0</v>
      </c>
      <c r="D1241" s="24">
        <v>0</v>
      </c>
      <c r="E1241" s="24">
        <v>1</v>
      </c>
      <c r="F1241" s="24">
        <v>0</v>
      </c>
      <c r="G1241" s="24">
        <v>1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1</v>
      </c>
      <c r="P1241">
        <v>0</v>
      </c>
      <c r="Q1241" s="23">
        <v>9288.0267000000003</v>
      </c>
    </row>
    <row r="1242" spans="1:17" hidden="1">
      <c r="A1242" s="22">
        <v>50</v>
      </c>
      <c r="B1242" s="22">
        <v>27.454999999999998</v>
      </c>
      <c r="C1242" s="24">
        <v>0</v>
      </c>
      <c r="D1242" s="24">
        <v>0</v>
      </c>
      <c r="E1242" s="24">
        <v>1</v>
      </c>
      <c r="F1242" s="24">
        <v>0</v>
      </c>
      <c r="G1242" s="24">
        <v>1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1</v>
      </c>
      <c r="P1242">
        <v>0</v>
      </c>
      <c r="Q1242" s="23">
        <v>9617.6624499999998</v>
      </c>
    </row>
    <row r="1243" spans="1:17" hidden="1">
      <c r="A1243" s="22">
        <v>50</v>
      </c>
      <c r="B1243" s="22">
        <v>26.6</v>
      </c>
      <c r="C1243" s="24">
        <v>0</v>
      </c>
      <c r="D1243" s="24">
        <v>0</v>
      </c>
      <c r="E1243" s="24">
        <v>1</v>
      </c>
      <c r="F1243" s="24">
        <v>0</v>
      </c>
      <c r="G1243" s="24">
        <v>1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 s="23">
        <v>8444.4740000000002</v>
      </c>
    </row>
    <row r="1244" spans="1:17" hidden="1">
      <c r="A1244" s="22">
        <v>50</v>
      </c>
      <c r="B1244" s="22">
        <v>25.364999999999998</v>
      </c>
      <c r="C1244" s="24">
        <v>0</v>
      </c>
      <c r="D1244" s="24">
        <v>0</v>
      </c>
      <c r="E1244" s="24">
        <v>1</v>
      </c>
      <c r="F1244" s="24">
        <v>0</v>
      </c>
      <c r="G1244" s="24">
        <v>1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1</v>
      </c>
      <c r="P1244">
        <v>0</v>
      </c>
      <c r="Q1244" s="23">
        <v>30284.642940000002</v>
      </c>
    </row>
    <row r="1245" spans="1:17" hidden="1">
      <c r="A1245" s="22">
        <v>50</v>
      </c>
      <c r="B1245" s="22">
        <v>26.41</v>
      </c>
      <c r="C1245" s="24">
        <v>0</v>
      </c>
      <c r="D1245" s="24">
        <v>0</v>
      </c>
      <c r="E1245" s="24">
        <v>1</v>
      </c>
      <c r="F1245" s="24">
        <v>0</v>
      </c>
      <c r="G1245" s="24">
        <v>1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1</v>
      </c>
      <c r="P1245">
        <v>0</v>
      </c>
      <c r="Q1245" s="23">
        <v>8827.2098999999998</v>
      </c>
    </row>
    <row r="1246" spans="1:17" hidden="1">
      <c r="A1246" s="22">
        <v>50</v>
      </c>
      <c r="B1246" s="22">
        <v>25.3</v>
      </c>
      <c r="C1246" s="24">
        <v>0</v>
      </c>
      <c r="D1246" s="24">
        <v>0</v>
      </c>
      <c r="E1246" s="24">
        <v>1</v>
      </c>
      <c r="F1246" s="24">
        <v>0</v>
      </c>
      <c r="G1246" s="24">
        <v>1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 s="23">
        <v>8442.6669999999995</v>
      </c>
    </row>
    <row r="1247" spans="1:17" hidden="1">
      <c r="A1247" s="22">
        <v>51</v>
      </c>
      <c r="B1247" s="22">
        <v>25.4</v>
      </c>
      <c r="C1247" s="24">
        <v>0</v>
      </c>
      <c r="D1247" s="24">
        <v>0</v>
      </c>
      <c r="E1247" s="24">
        <v>1</v>
      </c>
      <c r="F1247" s="24">
        <v>0</v>
      </c>
      <c r="G1247" s="24">
        <v>1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 s="23">
        <v>8782.4689999999991</v>
      </c>
    </row>
    <row r="1248" spans="1:17" hidden="1">
      <c r="A1248" s="22">
        <v>51</v>
      </c>
      <c r="B1248" s="22">
        <v>27.74</v>
      </c>
      <c r="C1248" s="24">
        <v>0</v>
      </c>
      <c r="D1248" s="24">
        <v>0</v>
      </c>
      <c r="E1248" s="24">
        <v>1</v>
      </c>
      <c r="F1248" s="24">
        <v>0</v>
      </c>
      <c r="G1248" s="24">
        <v>1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1</v>
      </c>
      <c r="P1248">
        <v>0</v>
      </c>
      <c r="Q1248" s="23">
        <v>9957.7216000000008</v>
      </c>
    </row>
    <row r="1249" spans="1:17" hidden="1">
      <c r="A1249" s="22">
        <v>52</v>
      </c>
      <c r="B1249" s="22">
        <v>26.4</v>
      </c>
      <c r="C1249" s="24">
        <v>0</v>
      </c>
      <c r="D1249" s="24">
        <v>0</v>
      </c>
      <c r="E1249" s="24">
        <v>1</v>
      </c>
      <c r="F1249" s="24">
        <v>0</v>
      </c>
      <c r="G1249" s="24">
        <v>1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 s="23">
        <v>25992.821039999999</v>
      </c>
    </row>
    <row r="1250" spans="1:17" hidden="1">
      <c r="A1250" s="22">
        <v>53</v>
      </c>
      <c r="B1250" s="22">
        <v>26.41</v>
      </c>
      <c r="C1250" s="24">
        <v>0</v>
      </c>
      <c r="D1250" s="24">
        <v>0</v>
      </c>
      <c r="E1250" s="24">
        <v>1</v>
      </c>
      <c r="F1250" s="24">
        <v>0</v>
      </c>
      <c r="G1250" s="24">
        <v>1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1</v>
      </c>
      <c r="P1250">
        <v>0</v>
      </c>
      <c r="Q1250" s="23">
        <v>11244.376899999999</v>
      </c>
    </row>
    <row r="1251" spans="1:17" hidden="1">
      <c r="A1251" s="22">
        <v>53</v>
      </c>
      <c r="B1251" s="22">
        <v>28.88</v>
      </c>
      <c r="C1251" s="24">
        <v>0</v>
      </c>
      <c r="D1251" s="24">
        <v>0</v>
      </c>
      <c r="E1251" s="24">
        <v>1</v>
      </c>
      <c r="F1251" s="24">
        <v>0</v>
      </c>
      <c r="G1251" s="24">
        <v>1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1</v>
      </c>
      <c r="P1251">
        <v>0</v>
      </c>
      <c r="Q1251" s="23">
        <v>9869.8101999999999</v>
      </c>
    </row>
    <row r="1252" spans="1:17" hidden="1">
      <c r="A1252" s="22">
        <v>53</v>
      </c>
      <c r="B1252" s="22">
        <v>29.48</v>
      </c>
      <c r="C1252" s="24">
        <v>0</v>
      </c>
      <c r="D1252" s="24">
        <v>0</v>
      </c>
      <c r="E1252" s="24">
        <v>1</v>
      </c>
      <c r="F1252" s="24">
        <v>0</v>
      </c>
      <c r="G1252" s="24">
        <v>1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 s="23">
        <v>9487.6442000000006</v>
      </c>
    </row>
    <row r="1253" spans="1:17" hidden="1">
      <c r="A1253" s="22">
        <v>53</v>
      </c>
      <c r="B1253" s="22">
        <v>28.6</v>
      </c>
      <c r="C1253" s="24">
        <v>0</v>
      </c>
      <c r="D1253" s="24">
        <v>0</v>
      </c>
      <c r="E1253" s="24">
        <v>1</v>
      </c>
      <c r="F1253" s="24">
        <v>0</v>
      </c>
      <c r="G1253" s="24">
        <v>1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 s="23">
        <v>11253.421</v>
      </c>
    </row>
    <row r="1254" spans="1:17" hidden="1">
      <c r="A1254" s="22">
        <v>54</v>
      </c>
      <c r="B1254" s="22">
        <v>29.2</v>
      </c>
      <c r="C1254" s="24">
        <v>0</v>
      </c>
      <c r="D1254" s="24">
        <v>0</v>
      </c>
      <c r="E1254" s="24">
        <v>1</v>
      </c>
      <c r="F1254" s="24">
        <v>0</v>
      </c>
      <c r="G1254" s="24">
        <v>1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 s="23">
        <v>10436.096</v>
      </c>
    </row>
    <row r="1255" spans="1:17" hidden="1">
      <c r="A1255" s="22">
        <v>54</v>
      </c>
      <c r="B1255" s="22">
        <v>25.46</v>
      </c>
      <c r="C1255" s="24">
        <v>0</v>
      </c>
      <c r="D1255" s="24">
        <v>0</v>
      </c>
      <c r="E1255" s="24">
        <v>1</v>
      </c>
      <c r="F1255" s="24">
        <v>0</v>
      </c>
      <c r="G1255" s="24">
        <v>1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1</v>
      </c>
      <c r="P1255">
        <v>0</v>
      </c>
      <c r="Q1255" s="23">
        <v>25517.11363</v>
      </c>
    </row>
    <row r="1256" spans="1:17" hidden="1">
      <c r="A1256" s="22">
        <v>55</v>
      </c>
      <c r="B1256" s="22">
        <v>27.645</v>
      </c>
      <c r="C1256" s="24">
        <v>0</v>
      </c>
      <c r="D1256" s="24">
        <v>0</v>
      </c>
      <c r="E1256" s="24">
        <v>1</v>
      </c>
      <c r="F1256" s="24">
        <v>0</v>
      </c>
      <c r="G1256" s="24">
        <v>1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1</v>
      </c>
      <c r="P1256">
        <v>0</v>
      </c>
      <c r="Q1256" s="23">
        <v>10594.501550000001</v>
      </c>
    </row>
    <row r="1257" spans="1:17" hidden="1">
      <c r="A1257" s="22">
        <v>55</v>
      </c>
      <c r="B1257" s="22">
        <v>28.975000000000001</v>
      </c>
      <c r="C1257" s="24">
        <v>0</v>
      </c>
      <c r="D1257" s="24">
        <v>0</v>
      </c>
      <c r="E1257" s="24">
        <v>1</v>
      </c>
      <c r="F1257" s="24">
        <v>0</v>
      </c>
      <c r="G1257" s="24">
        <v>1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1</v>
      </c>
      <c r="P1257">
        <v>0</v>
      </c>
      <c r="Q1257" s="23">
        <v>10796.35025</v>
      </c>
    </row>
    <row r="1258" spans="1:17" hidden="1">
      <c r="A1258" s="22">
        <v>55</v>
      </c>
      <c r="B1258" s="22">
        <v>29.9</v>
      </c>
      <c r="C1258" s="24">
        <v>0</v>
      </c>
      <c r="D1258" s="24">
        <v>0</v>
      </c>
      <c r="E1258" s="24">
        <v>1</v>
      </c>
      <c r="F1258" s="24">
        <v>0</v>
      </c>
      <c r="G1258" s="24">
        <v>1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 s="23">
        <v>10214.636</v>
      </c>
    </row>
    <row r="1259" spans="1:17" hidden="1">
      <c r="A1259" s="22">
        <v>56</v>
      </c>
      <c r="B1259" s="22">
        <v>25.934999999999999</v>
      </c>
      <c r="C1259" s="24">
        <v>0</v>
      </c>
      <c r="D1259" s="24">
        <v>0</v>
      </c>
      <c r="E1259" s="24">
        <v>1</v>
      </c>
      <c r="F1259" s="24">
        <v>0</v>
      </c>
      <c r="G1259" s="24">
        <v>1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1</v>
      </c>
      <c r="P1259">
        <v>0</v>
      </c>
      <c r="Q1259" s="23">
        <v>11165.417649999999</v>
      </c>
    </row>
    <row r="1260" spans="1:17" hidden="1">
      <c r="A1260" s="22">
        <v>57</v>
      </c>
      <c r="B1260" s="22">
        <v>28.1</v>
      </c>
      <c r="C1260" s="24">
        <v>0</v>
      </c>
      <c r="D1260" s="24">
        <v>0</v>
      </c>
      <c r="E1260" s="24">
        <v>1</v>
      </c>
      <c r="F1260" s="24">
        <v>0</v>
      </c>
      <c r="G1260" s="24">
        <v>1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 s="23">
        <v>10965.446</v>
      </c>
    </row>
    <row r="1261" spans="1:17" hidden="1">
      <c r="A1261" s="22">
        <v>57</v>
      </c>
      <c r="B1261" s="22">
        <v>27.94</v>
      </c>
      <c r="C1261" s="24">
        <v>0</v>
      </c>
      <c r="D1261" s="24">
        <v>0</v>
      </c>
      <c r="E1261" s="24">
        <v>1</v>
      </c>
      <c r="F1261" s="24">
        <v>0</v>
      </c>
      <c r="G1261" s="24">
        <v>1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 s="23">
        <v>11554.223599999999</v>
      </c>
    </row>
    <row r="1262" spans="1:17" hidden="1">
      <c r="A1262" s="22">
        <v>58</v>
      </c>
      <c r="B1262" s="22">
        <v>28.594999999999999</v>
      </c>
      <c r="C1262" s="24">
        <v>0</v>
      </c>
      <c r="D1262" s="24">
        <v>0</v>
      </c>
      <c r="E1262" s="24">
        <v>1</v>
      </c>
      <c r="F1262" s="24">
        <v>0</v>
      </c>
      <c r="G1262" s="24">
        <v>1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1</v>
      </c>
      <c r="P1262">
        <v>0</v>
      </c>
      <c r="Q1262" s="23">
        <v>11735.87905</v>
      </c>
    </row>
    <row r="1263" spans="1:17" hidden="1">
      <c r="A1263" s="22">
        <v>58</v>
      </c>
      <c r="B1263" s="22">
        <v>25.175000000000001</v>
      </c>
      <c r="C1263" s="24">
        <v>0</v>
      </c>
      <c r="D1263" s="24">
        <v>0</v>
      </c>
      <c r="E1263" s="24">
        <v>1</v>
      </c>
      <c r="F1263" s="24">
        <v>0</v>
      </c>
      <c r="G1263" s="24">
        <v>1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1</v>
      </c>
      <c r="P1263">
        <v>0</v>
      </c>
      <c r="Q1263" s="23">
        <v>11931.125249999999</v>
      </c>
    </row>
    <row r="1264" spans="1:17" hidden="1">
      <c r="A1264" s="22">
        <v>59</v>
      </c>
      <c r="B1264" s="22">
        <v>26.4</v>
      </c>
      <c r="C1264" s="24">
        <v>0</v>
      </c>
      <c r="D1264" s="24">
        <v>0</v>
      </c>
      <c r="E1264" s="24">
        <v>1</v>
      </c>
      <c r="F1264" s="24">
        <v>0</v>
      </c>
      <c r="G1264" s="24">
        <v>1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 s="23">
        <v>11743.299000000001</v>
      </c>
    </row>
    <row r="1265" spans="1:17" hidden="1">
      <c r="A1265" s="22">
        <v>59</v>
      </c>
      <c r="B1265" s="22">
        <v>27.5</v>
      </c>
      <c r="C1265" s="24">
        <v>0</v>
      </c>
      <c r="D1265" s="24">
        <v>0</v>
      </c>
      <c r="E1265" s="24">
        <v>1</v>
      </c>
      <c r="F1265" s="24">
        <v>0</v>
      </c>
      <c r="G1265" s="24">
        <v>1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 s="23">
        <v>12333.828</v>
      </c>
    </row>
    <row r="1266" spans="1:17" hidden="1">
      <c r="A1266" s="22">
        <v>59</v>
      </c>
      <c r="B1266" s="22">
        <v>29.7</v>
      </c>
      <c r="C1266" s="24">
        <v>0</v>
      </c>
      <c r="D1266" s="24">
        <v>0</v>
      </c>
      <c r="E1266" s="24">
        <v>1</v>
      </c>
      <c r="F1266" s="24">
        <v>0</v>
      </c>
      <c r="G1266" s="24">
        <v>1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 s="23">
        <v>12925.886</v>
      </c>
    </row>
    <row r="1267" spans="1:17" hidden="1">
      <c r="A1267" s="22">
        <v>59</v>
      </c>
      <c r="B1267" s="22">
        <v>25.46</v>
      </c>
      <c r="C1267" s="24">
        <v>0</v>
      </c>
      <c r="D1267" s="24">
        <v>0</v>
      </c>
      <c r="E1267" s="24">
        <v>1</v>
      </c>
      <c r="F1267" s="24">
        <v>0</v>
      </c>
      <c r="G1267" s="24">
        <v>1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1</v>
      </c>
      <c r="P1267">
        <v>0</v>
      </c>
      <c r="Q1267" s="23">
        <v>12913.992399999999</v>
      </c>
    </row>
    <row r="1268" spans="1:17" hidden="1">
      <c r="A1268" s="22">
        <v>59</v>
      </c>
      <c r="B1268" s="22">
        <v>28.785</v>
      </c>
      <c r="C1268" s="24">
        <v>0</v>
      </c>
      <c r="D1268" s="24">
        <v>0</v>
      </c>
      <c r="E1268" s="24">
        <v>1</v>
      </c>
      <c r="F1268" s="24">
        <v>0</v>
      </c>
      <c r="G1268" s="24">
        <v>1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1</v>
      </c>
      <c r="P1268">
        <v>0</v>
      </c>
      <c r="Q1268" s="23">
        <v>12129.614149999999</v>
      </c>
    </row>
    <row r="1269" spans="1:17" hidden="1">
      <c r="A1269" s="22">
        <v>59</v>
      </c>
      <c r="B1269" s="22">
        <v>25.46</v>
      </c>
      <c r="C1269" s="24">
        <v>0</v>
      </c>
      <c r="D1269" s="24">
        <v>0</v>
      </c>
      <c r="E1269" s="24">
        <v>1</v>
      </c>
      <c r="F1269" s="24">
        <v>0</v>
      </c>
      <c r="G1269" s="24">
        <v>1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1</v>
      </c>
      <c r="P1269">
        <v>0</v>
      </c>
      <c r="Q1269" s="23">
        <v>12124.992399999999</v>
      </c>
    </row>
    <row r="1270" spans="1:17" hidden="1">
      <c r="A1270" s="22">
        <v>60</v>
      </c>
      <c r="B1270" s="22">
        <v>28.594999999999999</v>
      </c>
      <c r="C1270" s="24">
        <v>0</v>
      </c>
      <c r="D1270" s="24">
        <v>0</v>
      </c>
      <c r="E1270" s="24">
        <v>1</v>
      </c>
      <c r="F1270" s="24">
        <v>0</v>
      </c>
      <c r="G1270" s="24">
        <v>1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1</v>
      </c>
      <c r="Q1270" s="23">
        <v>30259.995559999999</v>
      </c>
    </row>
    <row r="1271" spans="1:17" hidden="1">
      <c r="A1271" s="22">
        <v>60</v>
      </c>
      <c r="B1271" s="22">
        <v>25.74</v>
      </c>
      <c r="C1271" s="24">
        <v>0</v>
      </c>
      <c r="D1271" s="24">
        <v>0</v>
      </c>
      <c r="E1271" s="24">
        <v>1</v>
      </c>
      <c r="F1271" s="24">
        <v>0</v>
      </c>
      <c r="G1271" s="24">
        <v>1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 s="23">
        <v>12142.578600000001</v>
      </c>
    </row>
    <row r="1272" spans="1:17" hidden="1">
      <c r="A1272" s="22">
        <v>60</v>
      </c>
      <c r="B1272" s="22">
        <v>29.64</v>
      </c>
      <c r="C1272" s="24">
        <v>0</v>
      </c>
      <c r="D1272" s="24">
        <v>0</v>
      </c>
      <c r="E1272" s="24">
        <v>1</v>
      </c>
      <c r="F1272" s="24">
        <v>0</v>
      </c>
      <c r="G1272" s="24">
        <v>1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1</v>
      </c>
      <c r="Q1272" s="23">
        <v>12730.999599999999</v>
      </c>
    </row>
    <row r="1273" spans="1:17" hidden="1">
      <c r="A1273" s="22">
        <v>60</v>
      </c>
      <c r="B1273" s="22">
        <v>28.9</v>
      </c>
      <c r="C1273" s="24">
        <v>0</v>
      </c>
      <c r="D1273" s="24">
        <v>0</v>
      </c>
      <c r="E1273" s="24">
        <v>1</v>
      </c>
      <c r="F1273" s="24">
        <v>0</v>
      </c>
      <c r="G1273" s="24">
        <v>1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 s="23">
        <v>12146.971</v>
      </c>
    </row>
    <row r="1274" spans="1:17" hidden="1">
      <c r="A1274" s="22">
        <v>62</v>
      </c>
      <c r="B1274" s="22">
        <v>27.55</v>
      </c>
      <c r="C1274" s="24">
        <v>0</v>
      </c>
      <c r="D1274" s="24">
        <v>0</v>
      </c>
      <c r="E1274" s="24">
        <v>1</v>
      </c>
      <c r="F1274" s="24">
        <v>0</v>
      </c>
      <c r="G1274" s="24">
        <v>1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1</v>
      </c>
      <c r="Q1274" s="23">
        <v>13937.666499999999</v>
      </c>
    </row>
    <row r="1275" spans="1:17" hidden="1">
      <c r="A1275" s="22">
        <v>63</v>
      </c>
      <c r="B1275" s="22">
        <v>28.31</v>
      </c>
      <c r="C1275" s="24">
        <v>0</v>
      </c>
      <c r="D1275" s="24">
        <v>0</v>
      </c>
      <c r="E1275" s="24">
        <v>1</v>
      </c>
      <c r="F1275" s="24">
        <v>0</v>
      </c>
      <c r="G1275" s="24">
        <v>1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1</v>
      </c>
      <c r="Q1275" s="23">
        <v>13770.097900000001</v>
      </c>
    </row>
    <row r="1276" spans="1:17" hidden="1">
      <c r="A1276" s="22">
        <v>64</v>
      </c>
      <c r="B1276" s="22">
        <v>25.6</v>
      </c>
      <c r="C1276" s="24">
        <v>0</v>
      </c>
      <c r="D1276" s="24">
        <v>0</v>
      </c>
      <c r="E1276" s="24">
        <v>1</v>
      </c>
      <c r="F1276" s="24">
        <v>0</v>
      </c>
      <c r="G1276" s="24">
        <v>1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</v>
      </c>
      <c r="Q1276" s="23">
        <v>14988.432000000001</v>
      </c>
    </row>
    <row r="1277" spans="1:17" hidden="1">
      <c r="A1277" s="22">
        <v>64</v>
      </c>
      <c r="B1277" s="22">
        <v>26.41</v>
      </c>
      <c r="C1277" s="24">
        <v>0</v>
      </c>
      <c r="D1277" s="24">
        <v>0</v>
      </c>
      <c r="E1277" s="24">
        <v>1</v>
      </c>
      <c r="F1277" s="24">
        <v>0</v>
      </c>
      <c r="G1277" s="24">
        <v>1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1</v>
      </c>
      <c r="Q1277" s="23">
        <v>14394.5579</v>
      </c>
    </row>
    <row r="1278" spans="1:17">
      <c r="A1278" s="22">
        <v>48</v>
      </c>
      <c r="B1278" s="22">
        <v>28</v>
      </c>
      <c r="C1278" s="24">
        <v>0</v>
      </c>
      <c r="D1278" s="24">
        <v>0</v>
      </c>
      <c r="E1278" s="24">
        <v>1</v>
      </c>
      <c r="F1278" s="24">
        <v>0</v>
      </c>
      <c r="G1278" s="24">
        <v>1</v>
      </c>
      <c r="H1278">
        <v>1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 s="23">
        <v>23568.272000000001</v>
      </c>
    </row>
    <row r="1279" spans="1:17">
      <c r="A1279" s="22">
        <v>59</v>
      </c>
      <c r="B1279" s="22">
        <v>29.83</v>
      </c>
      <c r="C1279" s="24">
        <v>0</v>
      </c>
      <c r="D1279" s="24">
        <v>0</v>
      </c>
      <c r="E1279" s="24">
        <v>1</v>
      </c>
      <c r="F1279" s="24">
        <v>0</v>
      </c>
      <c r="G1279" s="24">
        <v>1</v>
      </c>
      <c r="H1279">
        <v>1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1</v>
      </c>
      <c r="P1279">
        <v>0</v>
      </c>
      <c r="Q1279" s="23">
        <v>30184.936699999998</v>
      </c>
    </row>
    <row r="1280" spans="1:17">
      <c r="A1280" s="22">
        <v>20</v>
      </c>
      <c r="B1280" s="22">
        <v>28.024999999999999</v>
      </c>
      <c r="C1280" s="24">
        <v>0</v>
      </c>
      <c r="D1280" s="24">
        <v>0</v>
      </c>
      <c r="E1280" s="24">
        <v>1</v>
      </c>
      <c r="F1280" s="24">
        <v>0</v>
      </c>
      <c r="G1280" s="24">
        <v>1</v>
      </c>
      <c r="H1280">
        <v>1</v>
      </c>
      <c r="I1280">
        <v>0</v>
      </c>
      <c r="J1280">
        <v>0</v>
      </c>
      <c r="K1280">
        <v>1</v>
      </c>
      <c r="L1280">
        <v>0</v>
      </c>
      <c r="M1280">
        <v>1</v>
      </c>
      <c r="N1280">
        <v>0</v>
      </c>
      <c r="O1280">
        <v>0</v>
      </c>
      <c r="P1280">
        <v>0</v>
      </c>
      <c r="Q1280" s="23">
        <v>17560.37975</v>
      </c>
    </row>
    <row r="1281" spans="1:17">
      <c r="A1281" s="22">
        <v>34</v>
      </c>
      <c r="B1281" s="22">
        <v>25.3</v>
      </c>
      <c r="C1281" s="24">
        <v>0</v>
      </c>
      <c r="D1281" s="24">
        <v>0</v>
      </c>
      <c r="E1281" s="24">
        <v>1</v>
      </c>
      <c r="F1281" s="24">
        <v>0</v>
      </c>
      <c r="G1281" s="24">
        <v>1</v>
      </c>
      <c r="H1281">
        <v>1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 s="23">
        <v>18972.494999999999</v>
      </c>
    </row>
    <row r="1282" spans="1:17">
      <c r="A1282" s="22">
        <v>30</v>
      </c>
      <c r="B1282" s="22">
        <v>28.69</v>
      </c>
      <c r="C1282" s="24">
        <v>0</v>
      </c>
      <c r="D1282" s="24">
        <v>0</v>
      </c>
      <c r="E1282" s="24">
        <v>1</v>
      </c>
      <c r="F1282" s="24">
        <v>0</v>
      </c>
      <c r="G1282" s="24">
        <v>1</v>
      </c>
      <c r="H1282">
        <v>1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0</v>
      </c>
      <c r="Q1282" s="23">
        <v>20745.989099999999</v>
      </c>
    </row>
    <row r="1283" spans="1:17">
      <c r="A1283" s="22">
        <v>18</v>
      </c>
      <c r="B1283" s="22">
        <v>25.175000000000001</v>
      </c>
      <c r="C1283" s="24">
        <v>0</v>
      </c>
      <c r="D1283" s="24">
        <v>0</v>
      </c>
      <c r="E1283" s="24">
        <v>1</v>
      </c>
      <c r="F1283" s="24">
        <v>0</v>
      </c>
      <c r="G1283" s="24">
        <v>1</v>
      </c>
      <c r="H1283">
        <v>1</v>
      </c>
      <c r="I1283">
        <v>0</v>
      </c>
      <c r="J1283">
        <v>0</v>
      </c>
      <c r="K1283">
        <v>0</v>
      </c>
      <c r="L1283">
        <v>1</v>
      </c>
      <c r="M1283">
        <v>1</v>
      </c>
      <c r="N1283">
        <v>0</v>
      </c>
      <c r="O1283">
        <v>0</v>
      </c>
      <c r="P1283">
        <v>0</v>
      </c>
      <c r="Q1283" s="23">
        <v>15518.180249999999</v>
      </c>
    </row>
    <row r="1284" spans="1:17">
      <c r="A1284" s="22">
        <v>35</v>
      </c>
      <c r="B1284" s="22">
        <v>27.74</v>
      </c>
      <c r="C1284" s="24">
        <v>0</v>
      </c>
      <c r="D1284" s="24">
        <v>0</v>
      </c>
      <c r="E1284" s="24">
        <v>1</v>
      </c>
      <c r="F1284" s="24">
        <v>0</v>
      </c>
      <c r="G1284" s="24">
        <v>1</v>
      </c>
      <c r="H1284">
        <v>1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</v>
      </c>
      <c r="O1284">
        <v>0</v>
      </c>
      <c r="P1284">
        <v>0</v>
      </c>
      <c r="Q1284" s="23">
        <v>20984.0936</v>
      </c>
    </row>
    <row r="1285" spans="1:17">
      <c r="A1285" s="22">
        <v>19</v>
      </c>
      <c r="B1285" s="22">
        <v>29.07</v>
      </c>
      <c r="C1285" s="24">
        <v>0</v>
      </c>
      <c r="D1285" s="24">
        <v>0</v>
      </c>
      <c r="E1285" s="24">
        <v>1</v>
      </c>
      <c r="F1285" s="24">
        <v>0</v>
      </c>
      <c r="G1285" s="24">
        <v>1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1</v>
      </c>
      <c r="N1285">
        <v>0</v>
      </c>
      <c r="O1285">
        <v>0</v>
      </c>
      <c r="P1285">
        <v>0</v>
      </c>
      <c r="Q1285" s="23">
        <v>17352.6803</v>
      </c>
    </row>
    <row r="1286" spans="1:17">
      <c r="A1286" s="22">
        <v>19</v>
      </c>
      <c r="B1286" s="22">
        <v>27.7</v>
      </c>
      <c r="C1286" s="24">
        <v>0</v>
      </c>
      <c r="D1286" s="24">
        <v>0</v>
      </c>
      <c r="E1286" s="24">
        <v>1</v>
      </c>
      <c r="F1286" s="24">
        <v>0</v>
      </c>
      <c r="G1286" s="24">
        <v>1</v>
      </c>
      <c r="H1286">
        <v>1</v>
      </c>
      <c r="I1286">
        <v>0</v>
      </c>
      <c r="J1286">
        <v>1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 s="23">
        <v>16297.846</v>
      </c>
    </row>
    <row r="1287" spans="1:17">
      <c r="A1287" s="22">
        <v>47</v>
      </c>
      <c r="B1287" s="22">
        <v>25.41</v>
      </c>
      <c r="C1287" s="24">
        <v>0</v>
      </c>
      <c r="D1287" s="24">
        <v>0</v>
      </c>
      <c r="E1287" s="24">
        <v>1</v>
      </c>
      <c r="F1287" s="24">
        <v>0</v>
      </c>
      <c r="G1287" s="24">
        <v>1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 s="23">
        <v>21978.676899999999</v>
      </c>
    </row>
    <row r="1288" spans="1:17">
      <c r="A1288" s="22">
        <v>52</v>
      </c>
      <c r="B1288" s="22">
        <v>27.36</v>
      </c>
      <c r="C1288" s="24">
        <v>0</v>
      </c>
      <c r="D1288" s="24">
        <v>0</v>
      </c>
      <c r="E1288" s="24">
        <v>1</v>
      </c>
      <c r="F1288" s="24">
        <v>0</v>
      </c>
      <c r="G1288" s="24">
        <v>1</v>
      </c>
      <c r="H1288">
        <v>1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1</v>
      </c>
      <c r="P1288">
        <v>0</v>
      </c>
      <c r="Q1288" s="23">
        <v>24393.6224</v>
      </c>
    </row>
    <row r="1289" spans="1:17">
      <c r="A1289" s="22">
        <v>56</v>
      </c>
      <c r="B1289" s="22">
        <v>26.695</v>
      </c>
      <c r="C1289" s="24">
        <v>0</v>
      </c>
      <c r="D1289" s="24">
        <v>0</v>
      </c>
      <c r="E1289" s="24">
        <v>1</v>
      </c>
      <c r="F1289" s="24">
        <v>0</v>
      </c>
      <c r="G1289" s="24">
        <v>1</v>
      </c>
      <c r="H1289">
        <v>1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1</v>
      </c>
      <c r="P1289">
        <v>0</v>
      </c>
      <c r="Q1289" s="23">
        <v>26109.32905</v>
      </c>
    </row>
    <row r="1290" spans="1:17">
      <c r="A1290" s="22">
        <v>54</v>
      </c>
      <c r="B1290" s="22">
        <v>25.1</v>
      </c>
      <c r="C1290" s="24">
        <v>0</v>
      </c>
      <c r="D1290" s="24">
        <v>0</v>
      </c>
      <c r="E1290" s="24">
        <v>1</v>
      </c>
      <c r="F1290" s="24">
        <v>0</v>
      </c>
      <c r="G1290" s="24">
        <v>1</v>
      </c>
      <c r="H1290">
        <v>1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 s="23">
        <v>25382.296999999999</v>
      </c>
    </row>
    <row r="1291" spans="1:17">
      <c r="A1291" s="22">
        <v>61</v>
      </c>
      <c r="B1291" s="22">
        <v>28.31</v>
      </c>
      <c r="C1291" s="24">
        <v>0</v>
      </c>
      <c r="D1291" s="24">
        <v>0</v>
      </c>
      <c r="E1291" s="24">
        <v>1</v>
      </c>
      <c r="F1291" s="24">
        <v>0</v>
      </c>
      <c r="G1291" s="24">
        <v>1</v>
      </c>
      <c r="H1291">
        <v>1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1</v>
      </c>
      <c r="Q1291" s="23">
        <v>28868.6639</v>
      </c>
    </row>
    <row r="1292" spans="1:17">
      <c r="A1292" s="22">
        <v>24</v>
      </c>
      <c r="B1292" s="22">
        <v>28.5</v>
      </c>
      <c r="C1292" s="24">
        <v>0</v>
      </c>
      <c r="D1292" s="24">
        <v>0</v>
      </c>
      <c r="E1292" s="24">
        <v>1</v>
      </c>
      <c r="F1292" s="24">
        <v>0</v>
      </c>
      <c r="G1292" s="24">
        <v>1</v>
      </c>
      <c r="H1292">
        <v>1</v>
      </c>
      <c r="I1292">
        <v>0</v>
      </c>
      <c r="J1292">
        <v>0</v>
      </c>
      <c r="K1292">
        <v>0</v>
      </c>
      <c r="L1292">
        <v>1</v>
      </c>
      <c r="M1292">
        <v>1</v>
      </c>
      <c r="N1292">
        <v>0</v>
      </c>
      <c r="O1292">
        <v>0</v>
      </c>
      <c r="P1292">
        <v>0</v>
      </c>
      <c r="Q1292" s="23">
        <v>35147.528480000001</v>
      </c>
    </row>
    <row r="1293" spans="1:17">
      <c r="A1293" s="22">
        <v>21</v>
      </c>
      <c r="B1293" s="22">
        <v>25.7</v>
      </c>
      <c r="C1293" s="24">
        <v>0</v>
      </c>
      <c r="D1293" s="24">
        <v>0</v>
      </c>
      <c r="E1293" s="24">
        <v>1</v>
      </c>
      <c r="F1293" s="24">
        <v>0</v>
      </c>
      <c r="G1293" s="24">
        <v>1</v>
      </c>
      <c r="H1293">
        <v>1</v>
      </c>
      <c r="I1293">
        <v>0</v>
      </c>
      <c r="J1293">
        <v>1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 s="23">
        <v>17942.106</v>
      </c>
    </row>
    <row r="1294" spans="1:17">
      <c r="A1294" s="22">
        <v>39</v>
      </c>
      <c r="B1294" s="22">
        <v>28.3</v>
      </c>
      <c r="C1294" s="24">
        <v>0</v>
      </c>
      <c r="D1294" s="24">
        <v>0</v>
      </c>
      <c r="E1294" s="24">
        <v>1</v>
      </c>
      <c r="F1294" s="24">
        <v>0</v>
      </c>
      <c r="G1294" s="24">
        <v>1</v>
      </c>
      <c r="H1294">
        <v>1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 s="23">
        <v>21082.16</v>
      </c>
    </row>
    <row r="1295" spans="1:17">
      <c r="A1295" s="22">
        <v>42</v>
      </c>
      <c r="B1295" s="22">
        <v>26.07</v>
      </c>
      <c r="C1295" s="24">
        <v>0</v>
      </c>
      <c r="D1295" s="24">
        <v>0</v>
      </c>
      <c r="E1295" s="24">
        <v>1</v>
      </c>
      <c r="F1295" s="24">
        <v>0</v>
      </c>
      <c r="G1295" s="24">
        <v>1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 s="23">
        <v>38245.593269999998</v>
      </c>
    </row>
    <row r="1296" spans="1:17">
      <c r="A1296" s="22">
        <v>49</v>
      </c>
      <c r="B1296" s="22">
        <v>25.84</v>
      </c>
      <c r="C1296" s="24">
        <v>0</v>
      </c>
      <c r="D1296" s="24">
        <v>0</v>
      </c>
      <c r="E1296" s="24">
        <v>1</v>
      </c>
      <c r="F1296" s="24">
        <v>0</v>
      </c>
      <c r="G1296" s="24">
        <v>1</v>
      </c>
      <c r="H1296">
        <v>1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1</v>
      </c>
      <c r="P1296">
        <v>0</v>
      </c>
      <c r="Q1296" s="23">
        <v>23807.240600000001</v>
      </c>
    </row>
    <row r="1297" spans="1:17">
      <c r="A1297" s="22">
        <v>49</v>
      </c>
      <c r="B1297" s="22">
        <v>25.6</v>
      </c>
      <c r="C1297" s="24">
        <v>0</v>
      </c>
      <c r="D1297" s="24">
        <v>0</v>
      </c>
      <c r="E1297" s="24">
        <v>1</v>
      </c>
      <c r="F1297" s="24">
        <v>0</v>
      </c>
      <c r="G1297" s="24">
        <v>1</v>
      </c>
      <c r="H1297">
        <v>1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0</v>
      </c>
      <c r="Q1297" s="23">
        <v>23306.546999999999</v>
      </c>
    </row>
    <row r="1298" spans="1:17">
      <c r="A1298" s="22">
        <v>39</v>
      </c>
      <c r="B1298" s="22">
        <v>26.41</v>
      </c>
      <c r="C1298" s="24">
        <v>0</v>
      </c>
      <c r="D1298" s="24">
        <v>0</v>
      </c>
      <c r="E1298" s="24">
        <v>1</v>
      </c>
      <c r="F1298" s="24">
        <v>0</v>
      </c>
      <c r="G1298" s="24">
        <v>1</v>
      </c>
      <c r="H1298">
        <v>1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1</v>
      </c>
      <c r="P1298">
        <v>0</v>
      </c>
      <c r="Q1298" s="23">
        <v>20149.322899999999</v>
      </c>
    </row>
    <row r="1299" spans="1:17">
      <c r="A1299" s="22">
        <v>42</v>
      </c>
      <c r="B1299" s="22">
        <v>28.31</v>
      </c>
      <c r="C1299" s="24">
        <v>0</v>
      </c>
      <c r="D1299" s="24">
        <v>0</v>
      </c>
      <c r="E1299" s="24">
        <v>1</v>
      </c>
      <c r="F1299" s="24">
        <v>0</v>
      </c>
      <c r="G1299" s="24">
        <v>1</v>
      </c>
      <c r="H1299">
        <v>1</v>
      </c>
      <c r="I1299">
        <v>0</v>
      </c>
      <c r="J1299">
        <v>0</v>
      </c>
      <c r="K1299">
        <v>1</v>
      </c>
      <c r="L1299">
        <v>0</v>
      </c>
      <c r="M1299">
        <v>0</v>
      </c>
      <c r="N1299">
        <v>0</v>
      </c>
      <c r="O1299">
        <v>1</v>
      </c>
      <c r="P1299">
        <v>0</v>
      </c>
      <c r="Q1299" s="23">
        <v>32787.458590000002</v>
      </c>
    </row>
    <row r="1300" spans="1:17">
      <c r="A1300" s="22">
        <v>27</v>
      </c>
      <c r="B1300" s="22">
        <v>29.15</v>
      </c>
      <c r="C1300" s="24">
        <v>0</v>
      </c>
      <c r="D1300" s="24">
        <v>0</v>
      </c>
      <c r="E1300" s="24">
        <v>1</v>
      </c>
      <c r="F1300" s="24">
        <v>0</v>
      </c>
      <c r="G1300" s="24">
        <v>1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 s="23">
        <v>18246.495500000001</v>
      </c>
    </row>
    <row r="1301" spans="1:17">
      <c r="A1301" s="22">
        <v>33</v>
      </c>
      <c r="B1301" s="22">
        <v>27.1</v>
      </c>
      <c r="C1301" s="24">
        <v>0</v>
      </c>
      <c r="D1301" s="24">
        <v>0</v>
      </c>
      <c r="E1301" s="24">
        <v>1</v>
      </c>
      <c r="F1301" s="24">
        <v>0</v>
      </c>
      <c r="G1301" s="24">
        <v>1</v>
      </c>
      <c r="H1301">
        <v>1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 s="23">
        <v>19040.876</v>
      </c>
    </row>
    <row r="1302" spans="1:17">
      <c r="A1302" s="22">
        <v>27</v>
      </c>
      <c r="B1302" s="22">
        <v>28.5</v>
      </c>
      <c r="C1302" s="24">
        <v>0</v>
      </c>
      <c r="D1302" s="24">
        <v>0</v>
      </c>
      <c r="E1302" s="24">
        <v>1</v>
      </c>
      <c r="F1302" s="24">
        <v>0</v>
      </c>
      <c r="G1302" s="24">
        <v>1</v>
      </c>
      <c r="H1302">
        <v>1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1</v>
      </c>
      <c r="O1302">
        <v>0</v>
      </c>
      <c r="P1302">
        <v>0</v>
      </c>
      <c r="Q1302" s="23">
        <v>18310.741999999998</v>
      </c>
    </row>
    <row r="1303" spans="1:17">
      <c r="A1303" s="22">
        <v>36</v>
      </c>
      <c r="B1303" s="22">
        <v>28.024999999999999</v>
      </c>
      <c r="C1303" s="24">
        <v>0</v>
      </c>
      <c r="D1303" s="24">
        <v>0</v>
      </c>
      <c r="E1303" s="24">
        <v>1</v>
      </c>
      <c r="F1303" s="24">
        <v>0</v>
      </c>
      <c r="G1303" s="24">
        <v>1</v>
      </c>
      <c r="H1303">
        <v>1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1</v>
      </c>
      <c r="P1303">
        <v>0</v>
      </c>
      <c r="Q1303" s="23">
        <v>20773.62775</v>
      </c>
    </row>
    <row r="1304" spans="1:17">
      <c r="A1304" s="22">
        <v>32</v>
      </c>
      <c r="B1304" s="22">
        <v>28.93</v>
      </c>
      <c r="C1304" s="24">
        <v>0</v>
      </c>
      <c r="D1304" s="24">
        <v>0</v>
      </c>
      <c r="E1304" s="24">
        <v>1</v>
      </c>
      <c r="F1304" s="24">
        <v>0</v>
      </c>
      <c r="G1304" s="24">
        <v>1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 s="23">
        <v>19719.6947</v>
      </c>
    </row>
    <row r="1305" spans="1:17">
      <c r="A1305" s="22">
        <v>57</v>
      </c>
      <c r="B1305" s="22">
        <v>28.975000000000001</v>
      </c>
      <c r="C1305" s="24">
        <v>0</v>
      </c>
      <c r="D1305" s="24">
        <v>0</v>
      </c>
      <c r="E1305" s="24">
        <v>1</v>
      </c>
      <c r="F1305" s="24">
        <v>0</v>
      </c>
      <c r="G1305" s="24">
        <v>1</v>
      </c>
      <c r="H1305">
        <v>1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1</v>
      </c>
      <c r="P1305">
        <v>0</v>
      </c>
      <c r="Q1305" s="23">
        <v>27218.437249999999</v>
      </c>
    </row>
    <row r="1306" spans="1:17">
      <c r="A1306" s="22">
        <v>25</v>
      </c>
      <c r="B1306" s="22">
        <v>29.7</v>
      </c>
      <c r="C1306" s="24">
        <v>0</v>
      </c>
      <c r="D1306" s="24">
        <v>0</v>
      </c>
      <c r="E1306" s="24">
        <v>1</v>
      </c>
      <c r="F1306" s="24">
        <v>0</v>
      </c>
      <c r="G1306" s="24">
        <v>1</v>
      </c>
      <c r="H1306">
        <v>1</v>
      </c>
      <c r="I1306">
        <v>0</v>
      </c>
      <c r="J1306">
        <v>1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0</v>
      </c>
      <c r="Q1306" s="23">
        <v>19933.457999999999</v>
      </c>
    </row>
    <row r="1307" spans="1:17">
      <c r="A1307" s="22">
        <v>34</v>
      </c>
      <c r="B1307" s="22">
        <v>27.835000000000001</v>
      </c>
      <c r="C1307" s="24">
        <v>0</v>
      </c>
      <c r="D1307" s="24">
        <v>0</v>
      </c>
      <c r="E1307" s="24">
        <v>1</v>
      </c>
      <c r="F1307" s="24">
        <v>0</v>
      </c>
      <c r="G1307" s="24">
        <v>1</v>
      </c>
      <c r="H1307">
        <v>1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0</v>
      </c>
      <c r="Q1307" s="23">
        <v>20009.63365</v>
      </c>
    </row>
    <row r="1308" spans="1:17">
      <c r="A1308" s="22">
        <v>31</v>
      </c>
      <c r="B1308" s="22">
        <v>25.9</v>
      </c>
      <c r="C1308" s="24">
        <v>0</v>
      </c>
      <c r="D1308" s="24">
        <v>0</v>
      </c>
      <c r="E1308" s="24">
        <v>1</v>
      </c>
      <c r="F1308" s="24">
        <v>0</v>
      </c>
      <c r="G1308" s="24">
        <v>1</v>
      </c>
      <c r="H1308">
        <v>1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 s="23">
        <v>19199.944</v>
      </c>
    </row>
    <row r="1309" spans="1:17">
      <c r="A1309" s="22">
        <v>47</v>
      </c>
      <c r="B1309" s="22">
        <v>28.215</v>
      </c>
      <c r="C1309" s="24">
        <v>0</v>
      </c>
      <c r="D1309" s="24">
        <v>0</v>
      </c>
      <c r="E1309" s="24">
        <v>1</v>
      </c>
      <c r="F1309" s="24">
        <v>0</v>
      </c>
      <c r="G1309" s="24">
        <v>1</v>
      </c>
      <c r="H1309">
        <v>1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1</v>
      </c>
      <c r="P1309">
        <v>0</v>
      </c>
      <c r="Q1309" s="23">
        <v>24915.220850000002</v>
      </c>
    </row>
    <row r="1310" spans="1:17">
      <c r="A1310" s="22">
        <v>19</v>
      </c>
      <c r="B1310" s="22">
        <v>26.03</v>
      </c>
      <c r="C1310" s="24">
        <v>0</v>
      </c>
      <c r="D1310" s="24">
        <v>0</v>
      </c>
      <c r="E1310" s="24">
        <v>1</v>
      </c>
      <c r="F1310" s="24">
        <v>0</v>
      </c>
      <c r="G1310" s="24">
        <v>1</v>
      </c>
      <c r="H1310">
        <v>1</v>
      </c>
      <c r="I1310">
        <v>0</v>
      </c>
      <c r="J1310">
        <v>0</v>
      </c>
      <c r="K1310">
        <v>1</v>
      </c>
      <c r="L1310">
        <v>0</v>
      </c>
      <c r="M1310">
        <v>1</v>
      </c>
      <c r="N1310">
        <v>0</v>
      </c>
      <c r="O1310">
        <v>0</v>
      </c>
      <c r="P1310">
        <v>0</v>
      </c>
      <c r="Q1310" s="23">
        <v>16450.894700000001</v>
      </c>
    </row>
    <row r="1311" spans="1:17">
      <c r="A1311" s="22">
        <v>47</v>
      </c>
      <c r="B1311" s="22">
        <v>29.8</v>
      </c>
      <c r="C1311" s="24">
        <v>0</v>
      </c>
      <c r="D1311" s="24">
        <v>0</v>
      </c>
      <c r="E1311" s="24">
        <v>1</v>
      </c>
      <c r="F1311" s="24">
        <v>0</v>
      </c>
      <c r="G1311" s="24">
        <v>1</v>
      </c>
      <c r="H1311">
        <v>1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 s="23">
        <v>25309.489000000001</v>
      </c>
    </row>
    <row r="1312" spans="1:17">
      <c r="A1312" s="22">
        <v>18</v>
      </c>
      <c r="B1312" s="22">
        <v>27.36</v>
      </c>
      <c r="C1312" s="24">
        <v>0</v>
      </c>
      <c r="D1312" s="24">
        <v>0</v>
      </c>
      <c r="E1312" s="24">
        <v>1</v>
      </c>
      <c r="F1312" s="24">
        <v>0</v>
      </c>
      <c r="G1312" s="24">
        <v>1</v>
      </c>
      <c r="H1312">
        <v>1</v>
      </c>
      <c r="I1312">
        <v>0</v>
      </c>
      <c r="J1312">
        <v>0</v>
      </c>
      <c r="K1312">
        <v>0</v>
      </c>
      <c r="L1312">
        <v>1</v>
      </c>
      <c r="M1312">
        <v>1</v>
      </c>
      <c r="N1312">
        <v>0</v>
      </c>
      <c r="O1312">
        <v>0</v>
      </c>
      <c r="P1312">
        <v>0</v>
      </c>
      <c r="Q1312" s="23">
        <v>17178.682400000002</v>
      </c>
    </row>
    <row r="1313" spans="1:17">
      <c r="A1313" s="22">
        <v>31</v>
      </c>
      <c r="B1313" s="22">
        <v>29.81</v>
      </c>
      <c r="C1313" s="24">
        <v>0</v>
      </c>
      <c r="D1313" s="24">
        <v>0</v>
      </c>
      <c r="E1313" s="24">
        <v>1</v>
      </c>
      <c r="F1313" s="24">
        <v>0</v>
      </c>
      <c r="G1313" s="24">
        <v>1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 s="23">
        <v>19350.368900000001</v>
      </c>
    </row>
    <row r="1314" spans="1:17">
      <c r="A1314" s="22">
        <v>24</v>
      </c>
      <c r="B1314" s="22">
        <v>29.83</v>
      </c>
      <c r="C1314" s="24">
        <v>0</v>
      </c>
      <c r="D1314" s="24">
        <v>0</v>
      </c>
      <c r="E1314" s="24">
        <v>1</v>
      </c>
      <c r="F1314" s="24">
        <v>0</v>
      </c>
      <c r="G1314" s="24">
        <v>1</v>
      </c>
      <c r="H1314">
        <v>1</v>
      </c>
      <c r="I1314">
        <v>0</v>
      </c>
      <c r="J1314">
        <v>0</v>
      </c>
      <c r="K1314">
        <v>0</v>
      </c>
      <c r="L1314">
        <v>1</v>
      </c>
      <c r="M1314">
        <v>1</v>
      </c>
      <c r="N1314">
        <v>0</v>
      </c>
      <c r="O1314">
        <v>0</v>
      </c>
      <c r="P1314">
        <v>0</v>
      </c>
      <c r="Q1314" s="23">
        <v>18648.421699999999</v>
      </c>
    </row>
    <row r="1315" spans="1:17">
      <c r="A1315" s="22">
        <v>20</v>
      </c>
      <c r="B1315" s="22">
        <v>27.3</v>
      </c>
      <c r="C1315" s="24">
        <v>0</v>
      </c>
      <c r="D1315" s="24">
        <v>0</v>
      </c>
      <c r="E1315" s="24">
        <v>1</v>
      </c>
      <c r="F1315" s="24">
        <v>0</v>
      </c>
      <c r="G1315" s="24">
        <v>1</v>
      </c>
      <c r="H1315">
        <v>1</v>
      </c>
      <c r="I1315">
        <v>0</v>
      </c>
      <c r="J1315">
        <v>1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0</v>
      </c>
      <c r="Q1315" s="23">
        <v>16232.847</v>
      </c>
    </row>
    <row r="1316" spans="1:17">
      <c r="A1316" s="22">
        <v>26</v>
      </c>
      <c r="B1316" s="22">
        <v>27.06</v>
      </c>
      <c r="C1316" s="24">
        <v>0</v>
      </c>
      <c r="D1316" s="24">
        <v>0</v>
      </c>
      <c r="E1316" s="24">
        <v>1</v>
      </c>
      <c r="F1316" s="24">
        <v>0</v>
      </c>
      <c r="G1316" s="24">
        <v>1</v>
      </c>
      <c r="H1316">
        <v>1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 s="23">
        <v>17043.341400000001</v>
      </c>
    </row>
    <row r="1317" spans="1:17">
      <c r="A1317" s="22">
        <v>43</v>
      </c>
      <c r="B1317" s="22">
        <v>27.8</v>
      </c>
      <c r="C1317" s="24">
        <v>0</v>
      </c>
      <c r="D1317" s="24">
        <v>0</v>
      </c>
      <c r="E1317" s="24">
        <v>1</v>
      </c>
      <c r="F1317" s="24">
        <v>0</v>
      </c>
      <c r="G1317" s="24">
        <v>1</v>
      </c>
      <c r="H1317">
        <v>1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 s="23">
        <v>37829.724199999997</v>
      </c>
    </row>
    <row r="1318" spans="1:17">
      <c r="A1318" s="22">
        <v>32</v>
      </c>
      <c r="B1318" s="22">
        <v>28.12</v>
      </c>
      <c r="C1318" s="24">
        <v>0</v>
      </c>
      <c r="D1318" s="24">
        <v>0</v>
      </c>
      <c r="E1318" s="24">
        <v>1</v>
      </c>
      <c r="F1318" s="24">
        <v>0</v>
      </c>
      <c r="G1318" s="24">
        <v>1</v>
      </c>
      <c r="H1318">
        <v>1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0</v>
      </c>
      <c r="Q1318" s="23">
        <v>21472.478800000001</v>
      </c>
    </row>
    <row r="1319" spans="1:17">
      <c r="A1319" s="22">
        <v>62</v>
      </c>
      <c r="B1319" s="22">
        <v>26.695</v>
      </c>
      <c r="C1319" s="24">
        <v>0</v>
      </c>
      <c r="D1319" s="24">
        <v>0</v>
      </c>
      <c r="E1319" s="24">
        <v>1</v>
      </c>
      <c r="F1319" s="24">
        <v>0</v>
      </c>
      <c r="G1319" s="24">
        <v>1</v>
      </c>
      <c r="H1319">
        <v>1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1</v>
      </c>
      <c r="Q1319" s="23">
        <v>28101.333050000001</v>
      </c>
    </row>
    <row r="1320" spans="1:17" hidden="1">
      <c r="A1320" s="22">
        <v>19</v>
      </c>
      <c r="B1320" s="22">
        <v>17.8</v>
      </c>
      <c r="C1320" s="24">
        <v>0</v>
      </c>
      <c r="D1320" s="24">
        <v>0</v>
      </c>
      <c r="E1320" s="24">
        <v>0</v>
      </c>
      <c r="F1320" s="24">
        <v>1</v>
      </c>
      <c r="G1320" s="24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1</v>
      </c>
      <c r="N1320">
        <v>0</v>
      </c>
      <c r="O1320">
        <v>0</v>
      </c>
      <c r="P1320">
        <v>0</v>
      </c>
      <c r="Q1320" s="23">
        <v>1727.7850000000001</v>
      </c>
    </row>
    <row r="1321" spans="1:17" hidden="1">
      <c r="A1321" s="22">
        <v>21</v>
      </c>
      <c r="B1321" s="22">
        <v>16.815000000000001</v>
      </c>
      <c r="C1321" s="24">
        <v>0</v>
      </c>
      <c r="D1321" s="24">
        <v>0</v>
      </c>
      <c r="E1321" s="24">
        <v>0</v>
      </c>
      <c r="F1321" s="24">
        <v>1</v>
      </c>
      <c r="G1321" s="24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1</v>
      </c>
      <c r="N1321">
        <v>0</v>
      </c>
      <c r="O1321">
        <v>0</v>
      </c>
      <c r="P1321">
        <v>0</v>
      </c>
      <c r="Q1321" s="23">
        <v>3167.4558499999998</v>
      </c>
    </row>
    <row r="1322" spans="1:17" hidden="1">
      <c r="A1322" s="22">
        <v>21</v>
      </c>
      <c r="B1322" s="22">
        <v>17.399999999999999</v>
      </c>
      <c r="C1322" s="24">
        <v>0</v>
      </c>
      <c r="D1322" s="24">
        <v>0</v>
      </c>
      <c r="E1322" s="24">
        <v>0</v>
      </c>
      <c r="F1322" s="24">
        <v>1</v>
      </c>
      <c r="G1322" s="24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 s="23">
        <v>2585.2689999999998</v>
      </c>
    </row>
    <row r="1323" spans="1:17" hidden="1">
      <c r="A1323" s="22">
        <v>28</v>
      </c>
      <c r="B1323" s="22">
        <v>17.29</v>
      </c>
      <c r="C1323" s="24">
        <v>0</v>
      </c>
      <c r="D1323" s="24">
        <v>0</v>
      </c>
      <c r="E1323" s="24">
        <v>0</v>
      </c>
      <c r="F1323" s="24">
        <v>1</v>
      </c>
      <c r="G1323" s="24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1</v>
      </c>
      <c r="O1323">
        <v>0</v>
      </c>
      <c r="P1323">
        <v>0</v>
      </c>
      <c r="Q1323" s="23">
        <v>3732.6251000000002</v>
      </c>
    </row>
    <row r="1324" spans="1:17" hidden="1">
      <c r="A1324" s="22">
        <v>37</v>
      </c>
      <c r="B1324" s="22">
        <v>17.29</v>
      </c>
      <c r="C1324" s="24">
        <v>0</v>
      </c>
      <c r="D1324" s="24">
        <v>0</v>
      </c>
      <c r="E1324" s="24">
        <v>0</v>
      </c>
      <c r="F1324" s="24">
        <v>1</v>
      </c>
      <c r="G1324" s="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1</v>
      </c>
      <c r="P1324">
        <v>0</v>
      </c>
      <c r="Q1324" s="23">
        <v>6877.9800999999998</v>
      </c>
    </row>
    <row r="1325" spans="1:17" hidden="1">
      <c r="A1325" s="22">
        <v>51</v>
      </c>
      <c r="B1325" s="22">
        <v>18.05</v>
      </c>
      <c r="C1325" s="24">
        <v>0</v>
      </c>
      <c r="D1325" s="24">
        <v>0</v>
      </c>
      <c r="E1325" s="24">
        <v>0</v>
      </c>
      <c r="F1325" s="24">
        <v>1</v>
      </c>
      <c r="G1325" s="24">
        <v>0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1</v>
      </c>
      <c r="P1325">
        <v>0</v>
      </c>
      <c r="Q1325" s="23">
        <v>9644.2525000000005</v>
      </c>
    </row>
    <row r="1326" spans="1:17" hidden="1">
      <c r="A1326" s="22">
        <v>52</v>
      </c>
      <c r="B1326" s="22">
        <v>18.335000000000001</v>
      </c>
      <c r="C1326" s="24">
        <v>0</v>
      </c>
      <c r="D1326" s="24">
        <v>0</v>
      </c>
      <c r="E1326" s="24">
        <v>0</v>
      </c>
      <c r="F1326" s="24">
        <v>1</v>
      </c>
      <c r="G1326" s="24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1</v>
      </c>
      <c r="P1326">
        <v>0</v>
      </c>
      <c r="Q1326" s="23">
        <v>9991.0376500000002</v>
      </c>
    </row>
    <row r="1327" spans="1:17" hidden="1">
      <c r="A1327" s="22">
        <v>60</v>
      </c>
      <c r="B1327" s="22">
        <v>18.335000000000001</v>
      </c>
      <c r="C1327" s="24">
        <v>0</v>
      </c>
      <c r="D1327" s="24">
        <v>0</v>
      </c>
      <c r="E1327" s="24">
        <v>0</v>
      </c>
      <c r="F1327" s="24">
        <v>1</v>
      </c>
      <c r="G1327" s="24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1</v>
      </c>
      <c r="Q1327" s="23">
        <v>13204.28565</v>
      </c>
    </row>
    <row r="1328" spans="1:17">
      <c r="A1328" s="22">
        <v>32</v>
      </c>
      <c r="B1328" s="22">
        <v>17.765000000000001</v>
      </c>
      <c r="C1328" s="24">
        <v>0</v>
      </c>
      <c r="D1328" s="24">
        <v>0</v>
      </c>
      <c r="E1328" s="24">
        <v>0</v>
      </c>
      <c r="F1328" s="24">
        <v>1</v>
      </c>
      <c r="G1328" s="24">
        <v>0</v>
      </c>
      <c r="H1328">
        <v>1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1</v>
      </c>
      <c r="O1328">
        <v>0</v>
      </c>
      <c r="P1328">
        <v>0</v>
      </c>
      <c r="Q1328" s="23">
        <v>32734.186300000001</v>
      </c>
    </row>
    <row r="1329" spans="1:17">
      <c r="A1329" s="22">
        <v>27</v>
      </c>
      <c r="B1329" s="22">
        <v>17.954999999999998</v>
      </c>
      <c r="C1329" s="24">
        <v>0</v>
      </c>
      <c r="D1329" s="24">
        <v>0</v>
      </c>
      <c r="E1329" s="24">
        <v>0</v>
      </c>
      <c r="F1329" s="24">
        <v>1</v>
      </c>
      <c r="G1329" s="24">
        <v>0</v>
      </c>
      <c r="H1329">
        <v>1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1</v>
      </c>
      <c r="O1329">
        <v>0</v>
      </c>
      <c r="P1329">
        <v>0</v>
      </c>
      <c r="Q1329" s="23">
        <v>15006.579449999999</v>
      </c>
    </row>
    <row r="1330" spans="1:17">
      <c r="A1330" s="22">
        <v>26</v>
      </c>
      <c r="B1330" s="22">
        <v>17.195</v>
      </c>
      <c r="C1330" s="24">
        <v>0</v>
      </c>
      <c r="D1330" s="24">
        <v>0</v>
      </c>
      <c r="E1330" s="24">
        <v>0</v>
      </c>
      <c r="F1330" s="24">
        <v>1</v>
      </c>
      <c r="G1330" s="24">
        <v>0</v>
      </c>
      <c r="H1330">
        <v>1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1</v>
      </c>
      <c r="O1330">
        <v>0</v>
      </c>
      <c r="P1330">
        <v>0</v>
      </c>
      <c r="Q1330" s="23">
        <v>14455.644050000001</v>
      </c>
    </row>
    <row r="1331" spans="1:17">
      <c r="A1331" s="22">
        <v>39</v>
      </c>
      <c r="B1331" s="22">
        <v>18.3</v>
      </c>
      <c r="C1331" s="24">
        <v>0</v>
      </c>
      <c r="D1331" s="24">
        <v>0</v>
      </c>
      <c r="E1331" s="24">
        <v>0</v>
      </c>
      <c r="F1331" s="24">
        <v>1</v>
      </c>
      <c r="G1331" s="24">
        <v>0</v>
      </c>
      <c r="H1331">
        <v>1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 s="23">
        <v>19023.259999999998</v>
      </c>
    </row>
    <row r="1332" spans="1:17" hidden="1">
      <c r="A1332" s="22">
        <v>18</v>
      </c>
      <c r="B1332" s="22">
        <v>15.96</v>
      </c>
      <c r="C1332" s="24">
        <v>0</v>
      </c>
      <c r="D1332" s="24">
        <v>0</v>
      </c>
      <c r="E1332" s="24">
        <v>0</v>
      </c>
      <c r="F1332" s="24">
        <v>1</v>
      </c>
      <c r="G1332" s="24">
        <v>1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1</v>
      </c>
      <c r="N1332">
        <v>0</v>
      </c>
      <c r="O1332">
        <v>0</v>
      </c>
      <c r="P1332">
        <v>0</v>
      </c>
      <c r="Q1332" s="23">
        <v>1694.7963999999999</v>
      </c>
    </row>
    <row r="1333" spans="1:17" hidden="1">
      <c r="A1333" s="22">
        <v>19</v>
      </c>
      <c r="B1333" s="22">
        <v>17.48</v>
      </c>
      <c r="C1333" s="24">
        <v>0</v>
      </c>
      <c r="D1333" s="24">
        <v>0</v>
      </c>
      <c r="E1333" s="24">
        <v>0</v>
      </c>
      <c r="F1333" s="24">
        <v>1</v>
      </c>
      <c r="G1333" s="24">
        <v>1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0</v>
      </c>
      <c r="P1333">
        <v>0</v>
      </c>
      <c r="Q1333" s="23">
        <v>1621.3402000000001</v>
      </c>
    </row>
    <row r="1334" spans="1:17" hidden="1">
      <c r="A1334" s="22">
        <v>23</v>
      </c>
      <c r="B1334" s="22">
        <v>17.385000000000002</v>
      </c>
      <c r="C1334" s="24">
        <v>0</v>
      </c>
      <c r="D1334" s="24">
        <v>0</v>
      </c>
      <c r="E1334" s="24">
        <v>0</v>
      </c>
      <c r="F1334" s="24">
        <v>1</v>
      </c>
      <c r="G1334" s="24">
        <v>1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1</v>
      </c>
      <c r="N1334">
        <v>0</v>
      </c>
      <c r="O1334">
        <v>0</v>
      </c>
      <c r="P1334">
        <v>0</v>
      </c>
      <c r="Q1334" s="23">
        <v>2775.1921499999999</v>
      </c>
    </row>
    <row r="1335" spans="1:17" hidden="1">
      <c r="A1335" s="22">
        <v>26</v>
      </c>
      <c r="B1335" s="22">
        <v>17.670000000000002</v>
      </c>
      <c r="C1335" s="24">
        <v>0</v>
      </c>
      <c r="D1335" s="24">
        <v>0</v>
      </c>
      <c r="E1335" s="24">
        <v>0</v>
      </c>
      <c r="F1335" s="24">
        <v>1</v>
      </c>
      <c r="G1335" s="24">
        <v>1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0</v>
      </c>
      <c r="Q1335" s="23">
        <v>2680.9493000000002</v>
      </c>
    </row>
    <row r="1336" spans="1:17" hidden="1">
      <c r="A1336" s="22">
        <v>35</v>
      </c>
      <c r="B1336" s="22">
        <v>17.86</v>
      </c>
      <c r="C1336" s="24">
        <v>0</v>
      </c>
      <c r="D1336" s="24">
        <v>0</v>
      </c>
      <c r="E1336" s="24">
        <v>0</v>
      </c>
      <c r="F1336" s="24">
        <v>1</v>
      </c>
      <c r="G1336" s="24">
        <v>1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1</v>
      </c>
      <c r="O1336">
        <v>0</v>
      </c>
      <c r="P1336">
        <v>0</v>
      </c>
      <c r="Q1336" s="23">
        <v>5116.5003999999999</v>
      </c>
    </row>
    <row r="1337" spans="1:17" hidden="1">
      <c r="A1337" s="22">
        <v>38</v>
      </c>
      <c r="B1337" s="22">
        <v>16.815000000000001</v>
      </c>
      <c r="C1337" s="24">
        <v>0</v>
      </c>
      <c r="D1337" s="24">
        <v>0</v>
      </c>
      <c r="E1337" s="24">
        <v>0</v>
      </c>
      <c r="F1337" s="24">
        <v>1</v>
      </c>
      <c r="G1337" s="24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1</v>
      </c>
      <c r="P1337">
        <v>0</v>
      </c>
      <c r="Q1337" s="23">
        <v>6640.5448500000002</v>
      </c>
    </row>
    <row r="1338" spans="1:17" hidden="1">
      <c r="A1338" s="22">
        <v>57</v>
      </c>
      <c r="B1338" s="22">
        <v>18.335000000000001</v>
      </c>
      <c r="C1338" s="24">
        <v>0</v>
      </c>
      <c r="D1338" s="24">
        <v>0</v>
      </c>
      <c r="E1338" s="24">
        <v>0</v>
      </c>
      <c r="F1338" s="24">
        <v>1</v>
      </c>
      <c r="G1338" s="24">
        <v>1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1</v>
      </c>
      <c r="P1338">
        <v>0</v>
      </c>
      <c r="Q1338" s="23">
        <v>11534.872649999999</v>
      </c>
    </row>
    <row r="1339" spans="1:17">
      <c r="A1339" s="22">
        <v>18</v>
      </c>
      <c r="B1339" s="22">
        <v>17.29</v>
      </c>
      <c r="C1339" s="24">
        <v>0</v>
      </c>
      <c r="D1339" s="24">
        <v>0</v>
      </c>
      <c r="E1339" s="24">
        <v>0</v>
      </c>
      <c r="F1339" s="24">
        <v>1</v>
      </c>
      <c r="G1339" s="24">
        <v>1</v>
      </c>
      <c r="H1339">
        <v>1</v>
      </c>
      <c r="I1339">
        <v>0</v>
      </c>
      <c r="J1339">
        <v>0</v>
      </c>
      <c r="K1339">
        <v>0</v>
      </c>
      <c r="L1339">
        <v>1</v>
      </c>
      <c r="M1339">
        <v>1</v>
      </c>
      <c r="N1339">
        <v>0</v>
      </c>
      <c r="O1339">
        <v>0</v>
      </c>
      <c r="P1339">
        <v>0</v>
      </c>
      <c r="Q1339" s="23">
        <v>12829.455099999999</v>
      </c>
    </row>
  </sheetData>
  <autoFilter ref="A1:Q1339" xr:uid="{FCF4D806-BBFE-46A9-8410-C8AE3FFE07BD}">
    <filterColumn colId="7">
      <filters>
        <filter val="1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CA06-DD6F-4413-BE05-D0C57820F74D}">
  <dimension ref="A1:G33"/>
  <sheetViews>
    <sheetView workbookViewId="0">
      <selection activeCell="A16" sqref="A16:E33"/>
    </sheetView>
  </sheetViews>
  <sheetFormatPr defaultColWidth="8.85546875" defaultRowHeight="15"/>
  <cols>
    <col min="1" max="1" width="23.85546875" bestFit="1" customWidth="1"/>
    <col min="2" max="2" width="12.7109375" bestFit="1" customWidth="1"/>
    <col min="3" max="3" width="14.42578125" bestFit="1" customWidth="1"/>
    <col min="4" max="4" width="12.7109375" bestFit="1" customWidth="1"/>
    <col min="5" max="5" width="12" bestFit="1" customWidth="1"/>
    <col min="6" max="6" width="13.42578125" bestFit="1" customWidth="1"/>
    <col min="7" max="7" width="12.7109375" bestFit="1" customWidth="1"/>
  </cols>
  <sheetData>
    <row r="1" spans="1:7">
      <c r="A1" t="s">
        <v>45</v>
      </c>
    </row>
    <row r="2" spans="1:7" ht="15.95" thickBot="1"/>
    <row r="3" spans="1:7">
      <c r="A3" s="28" t="s">
        <v>46</v>
      </c>
      <c r="B3" s="28"/>
    </row>
    <row r="4" spans="1:7">
      <c r="A4" t="s">
        <v>47</v>
      </c>
      <c r="B4">
        <v>0.86882817115720123</v>
      </c>
    </row>
    <row r="5" spans="1:7">
      <c r="A5" t="s">
        <v>48</v>
      </c>
      <c r="B5">
        <v>0.75486239099636698</v>
      </c>
    </row>
    <row r="6" spans="1:7">
      <c r="A6" t="s">
        <v>49</v>
      </c>
      <c r="B6">
        <v>0.75018958969950345</v>
      </c>
    </row>
    <row r="7" spans="1:7">
      <c r="A7" t="s">
        <v>50</v>
      </c>
      <c r="B7">
        <v>6025.1967075307675</v>
      </c>
    </row>
    <row r="8" spans="1:7" ht="15.95" thickBot="1">
      <c r="A8" s="26" t="s">
        <v>51</v>
      </c>
      <c r="B8" s="26">
        <v>1338</v>
      </c>
    </row>
    <row r="10" spans="1:7" ht="15.95" thickBot="1">
      <c r="A10" t="s">
        <v>52</v>
      </c>
    </row>
    <row r="11" spans="1:7">
      <c r="A11" s="27"/>
      <c r="B11" s="27" t="s">
        <v>53</v>
      </c>
      <c r="C11" s="27" t="s">
        <v>54</v>
      </c>
      <c r="D11" s="27" t="s">
        <v>55</v>
      </c>
      <c r="E11" s="27" t="s">
        <v>56</v>
      </c>
      <c r="F11" s="27" t="s">
        <v>57</v>
      </c>
    </row>
    <row r="12" spans="1:7">
      <c r="A12" t="s">
        <v>58</v>
      </c>
      <c r="B12">
        <v>16</v>
      </c>
      <c r="C12">
        <v>148009055705.84885</v>
      </c>
      <c r="D12">
        <v>9250565981.6155529</v>
      </c>
      <c r="E12">
        <v>313.6190791717811</v>
      </c>
      <c r="F12">
        <v>0</v>
      </c>
    </row>
    <row r="13" spans="1:7">
      <c r="A13" t="s">
        <v>59</v>
      </c>
      <c r="B13">
        <v>1324</v>
      </c>
      <c r="C13">
        <v>48065165862.518044</v>
      </c>
      <c r="D13">
        <v>36302995.364439607</v>
      </c>
    </row>
    <row r="14" spans="1:7" ht="15.95" thickBot="1">
      <c r="A14" s="26" t="s">
        <v>60</v>
      </c>
      <c r="B14" s="26">
        <v>1340</v>
      </c>
      <c r="C14" s="26">
        <v>196074221568.36688</v>
      </c>
      <c r="D14" s="26"/>
      <c r="E14" s="26"/>
      <c r="F14" s="26"/>
    </row>
    <row r="15" spans="1:7" ht="15.95" thickBot="1"/>
    <row r="16" spans="1:7">
      <c r="A16" s="27"/>
      <c r="B16" s="27" t="s">
        <v>61</v>
      </c>
      <c r="C16" s="27" t="s">
        <v>50</v>
      </c>
      <c r="D16" s="27" t="s">
        <v>62</v>
      </c>
      <c r="E16" s="27" t="s">
        <v>63</v>
      </c>
      <c r="F16" s="27" t="s">
        <v>64</v>
      </c>
      <c r="G16" s="27" t="s">
        <v>65</v>
      </c>
    </row>
    <row r="17" spans="1:7">
      <c r="A17" t="s">
        <v>66</v>
      </c>
      <c r="B17">
        <v>-5419.1366000141934</v>
      </c>
      <c r="C17">
        <v>1997.8219383856283</v>
      </c>
      <c r="D17">
        <v>-2.7125223203791688</v>
      </c>
      <c r="E17">
        <v>6.7638254554271129E-3</v>
      </c>
      <c r="F17">
        <v>-9338.378454456586</v>
      </c>
      <c r="G17">
        <v>-1499.8947455718016</v>
      </c>
    </row>
    <row r="18" spans="1:7">
      <c r="A18" t="s">
        <v>23</v>
      </c>
      <c r="B18">
        <v>314.35098610048988</v>
      </c>
      <c r="C18">
        <v>32.910136610168507</v>
      </c>
      <c r="D18">
        <v>9.5517982749230619</v>
      </c>
      <c r="E18">
        <v>5.9234823282628468E-21</v>
      </c>
      <c r="F18">
        <v>249.78928399894232</v>
      </c>
      <c r="G18">
        <v>378.91268820203743</v>
      </c>
    </row>
    <row r="19" spans="1:7">
      <c r="A19" t="s">
        <v>25</v>
      </c>
      <c r="B19">
        <v>150.93021504180552</v>
      </c>
      <c r="C19">
        <v>53.724421037434993</v>
      </c>
      <c r="D19">
        <v>2.809340931503717</v>
      </c>
      <c r="E19">
        <v>5.0373057353646994E-3</v>
      </c>
      <c r="F19">
        <v>45.535937659034317</v>
      </c>
      <c r="G19">
        <v>256.32449242457676</v>
      </c>
    </row>
    <row r="20" spans="1:7">
      <c r="A20" t="s">
        <v>37</v>
      </c>
      <c r="B20">
        <v>-2875.51807134206</v>
      </c>
      <c r="C20">
        <v>810.83118688710863</v>
      </c>
      <c r="D20">
        <v>-3.5463831656273181</v>
      </c>
      <c r="E20">
        <v>4.0418376342626287E-4</v>
      </c>
      <c r="F20">
        <v>-4466.1721048557092</v>
      </c>
      <c r="G20">
        <v>-1284.8640378284108</v>
      </c>
    </row>
    <row r="21" spans="1:7">
      <c r="A21" t="s">
        <v>38</v>
      </c>
      <c r="B21">
        <v>0</v>
      </c>
      <c r="C21">
        <v>0</v>
      </c>
      <c r="D21">
        <v>65535</v>
      </c>
      <c r="E21" t="e">
        <v>#NUM!</v>
      </c>
      <c r="F21">
        <v>0</v>
      </c>
      <c r="G21">
        <v>0</v>
      </c>
    </row>
    <row r="22" spans="1:7">
      <c r="A22" t="s">
        <v>39</v>
      </c>
      <c r="B22">
        <v>-2592.2955964161069</v>
      </c>
      <c r="C22">
        <v>555.5917699180726</v>
      </c>
      <c r="D22">
        <v>-4.6658279275777721</v>
      </c>
      <c r="E22" t="e">
        <v>#NUM!</v>
      </c>
      <c r="F22">
        <v>-3682.2318298755308</v>
      </c>
      <c r="G22">
        <v>-1502.3593629566828</v>
      </c>
    </row>
    <row r="23" spans="1:7">
      <c r="A23" t="s">
        <v>40</v>
      </c>
      <c r="B23">
        <v>-3294.8152877745383</v>
      </c>
      <c r="C23">
        <v>1652.8406915967093</v>
      </c>
      <c r="D23">
        <v>-1.993425805962955</v>
      </c>
      <c r="E23">
        <v>4.6419738539392796E-2</v>
      </c>
      <c r="F23">
        <v>-6537.2876486826826</v>
      </c>
      <c r="G23">
        <v>-52.342926866394464</v>
      </c>
    </row>
    <row r="24" spans="1:7">
      <c r="A24" t="s">
        <v>67</v>
      </c>
      <c r="B24">
        <v>-113.82488816678678</v>
      </c>
      <c r="C24">
        <v>330.91809142076721</v>
      </c>
      <c r="D24">
        <v>-0.34396695471707156</v>
      </c>
      <c r="E24">
        <v>0.73092575576974794</v>
      </c>
      <c r="F24">
        <v>-763.00588341428318</v>
      </c>
      <c r="G24">
        <v>535.35610708070965</v>
      </c>
    </row>
    <row r="25" spans="1:7">
      <c r="A25" t="s">
        <v>17</v>
      </c>
      <c r="B25">
        <v>23881.961815846109</v>
      </c>
      <c r="C25">
        <v>411.59303520174655</v>
      </c>
      <c r="D25">
        <v>58.023240855230021</v>
      </c>
      <c r="E25">
        <v>0</v>
      </c>
      <c r="F25">
        <v>23074.516157369068</v>
      </c>
      <c r="G25">
        <v>24689.40747432315</v>
      </c>
    </row>
    <row r="26" spans="1:7">
      <c r="A26" t="s">
        <v>31</v>
      </c>
      <c r="B26">
        <v>-546.82116978683337</v>
      </c>
      <c r="C26">
        <v>478.67283704989688</v>
      </c>
      <c r="D26">
        <v>-1.1423693334197542</v>
      </c>
      <c r="E26">
        <v>0.25350707290290625</v>
      </c>
      <c r="F26">
        <v>-1485.8611219992904</v>
      </c>
      <c r="G26">
        <v>392.21878242562366</v>
      </c>
    </row>
    <row r="27" spans="1:7">
      <c r="A27" t="s">
        <v>32</v>
      </c>
      <c r="B27">
        <v>-549.43005604835184</v>
      </c>
      <c r="C27">
        <v>474.50851563681283</v>
      </c>
      <c r="D27">
        <v>-1.1578929311963786</v>
      </c>
      <c r="E27">
        <v>0.24711656046741728</v>
      </c>
      <c r="F27">
        <v>-1480.3006201567327</v>
      </c>
      <c r="G27">
        <v>381.44050806002906</v>
      </c>
    </row>
    <row r="28" spans="1:7">
      <c r="A28" t="s">
        <v>33</v>
      </c>
      <c r="B28">
        <v>0</v>
      </c>
      <c r="C28">
        <v>0</v>
      </c>
      <c r="D28">
        <v>65535</v>
      </c>
      <c r="E28" t="e">
        <v>#NUM!</v>
      </c>
      <c r="F28">
        <v>0</v>
      </c>
      <c r="G28">
        <v>0</v>
      </c>
    </row>
    <row r="29" spans="1:7">
      <c r="A29" t="s">
        <v>34</v>
      </c>
      <c r="B29">
        <v>374.6216288519343</v>
      </c>
      <c r="C29">
        <v>473.96148706863306</v>
      </c>
      <c r="D29">
        <v>0.79040521028175093</v>
      </c>
      <c r="E29" t="e">
        <v>#NUM!</v>
      </c>
      <c r="F29">
        <v>-555.17579794686321</v>
      </c>
      <c r="G29">
        <v>1304.4190556507319</v>
      </c>
    </row>
    <row r="30" spans="1:7">
      <c r="A30" t="s">
        <v>41</v>
      </c>
      <c r="B30">
        <v>0</v>
      </c>
      <c r="C30">
        <v>0</v>
      </c>
      <c r="D30">
        <v>65535</v>
      </c>
      <c r="E30" t="e">
        <v>#NUM!</v>
      </c>
      <c r="F30">
        <v>0</v>
      </c>
      <c r="G30">
        <v>0</v>
      </c>
    </row>
    <row r="31" spans="1:7">
      <c r="A31" t="s">
        <v>42</v>
      </c>
      <c r="B31">
        <v>-1563.6895489102039</v>
      </c>
      <c r="C31">
        <v>596.53695432907455</v>
      </c>
      <c r="D31">
        <v>-2.6212785939957173</v>
      </c>
      <c r="E31" t="e">
        <v>#NUM!</v>
      </c>
      <c r="F31">
        <v>-2733.9502984829783</v>
      </c>
      <c r="G31">
        <v>-393.42879933742961</v>
      </c>
    </row>
    <row r="32" spans="1:7">
      <c r="A32" t="s">
        <v>43</v>
      </c>
      <c r="B32">
        <v>-2358.8165170678503</v>
      </c>
      <c r="C32">
        <v>975.87568146785134</v>
      </c>
      <c r="D32">
        <v>-2.4171280849214991</v>
      </c>
      <c r="E32">
        <v>1.5777934558109229E-2</v>
      </c>
      <c r="F32">
        <v>-4273.247799483288</v>
      </c>
      <c r="G32">
        <v>-444.38523465241246</v>
      </c>
    </row>
    <row r="33" spans="1:7" ht="15.95" thickBot="1">
      <c r="A33" s="26" t="s">
        <v>44</v>
      </c>
      <c r="B33" s="26">
        <v>-2149.6960492065887</v>
      </c>
      <c r="C33" s="26">
        <v>1508.64845294875</v>
      </c>
      <c r="D33" s="26">
        <v>-1.4249151583358404</v>
      </c>
      <c r="E33" s="26">
        <v>0.15441740058406694</v>
      </c>
      <c r="F33" s="26">
        <v>-5109.2982273738799</v>
      </c>
      <c r="G33" s="26">
        <v>809.90612896070206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6CF7-D9D4-450E-9ACD-DA5504EA5CBD}">
  <sheetPr>
    <tabColor rgb="FF00705B"/>
  </sheetPr>
  <dimension ref="A1:XFD154"/>
  <sheetViews>
    <sheetView showGridLines="0" tabSelected="1" zoomScaleNormal="100" workbookViewId="0">
      <selection activeCell="N135" sqref="N135"/>
    </sheetView>
  </sheetViews>
  <sheetFormatPr defaultColWidth="8.85546875" defaultRowHeight="15"/>
  <cols>
    <col min="2" max="2" width="22.42578125" customWidth="1"/>
    <col min="3" max="3" width="18.28515625" style="1" customWidth="1"/>
    <col min="4" max="4" width="15.85546875" style="1" customWidth="1"/>
    <col min="5" max="5" width="22.85546875" style="1" customWidth="1"/>
    <col min="6" max="7" width="16.42578125" style="1" customWidth="1"/>
    <col min="8" max="8" width="13.140625" bestFit="1" customWidth="1"/>
    <col min="17" max="17" width="10" bestFit="1" customWidth="1"/>
  </cols>
  <sheetData>
    <row r="1" spans="1:27" s="36" customFormat="1" ht="26.1">
      <c r="A1" s="34" t="s">
        <v>68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>
      <c r="A2" s="4" t="s">
        <v>69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4" t="s">
        <v>70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4" t="s">
        <v>71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00" t="s">
        <v>72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4" t="s">
        <v>73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1" t="s">
        <v>74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5" t="s">
        <v>75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s="38" customFormat="1">
      <c r="A12" s="31" t="s">
        <v>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s="38" customFormat="1">
      <c r="A13" s="31" t="s">
        <v>77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s="38" customFormat="1">
      <c r="A14" s="31" t="s">
        <v>78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s="38" customFormat="1">
      <c r="A15" s="31" t="s">
        <v>79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s="44" customFormat="1">
      <c r="A16" s="37" t="s">
        <v>80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spans="1:27" s="44" customFormat="1">
      <c r="A17" s="37" t="s">
        <v>81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spans="1:27" s="46" customFormat="1">
      <c r="A18" s="43" t="s">
        <v>82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>
      <c r="A19" s="5"/>
      <c r="B19" s="47" t="s">
        <v>83</v>
      </c>
      <c r="C19" s="47">
        <v>25</v>
      </c>
      <c r="D19" s="47">
        <v>50</v>
      </c>
      <c r="E19" s="47">
        <v>75</v>
      </c>
      <c r="F19" s="47">
        <v>100</v>
      </c>
      <c r="G19" s="4"/>
      <c r="H19" s="4"/>
      <c r="I19" s="4"/>
      <c r="J19" s="4"/>
      <c r="K19" s="4"/>
      <c r="L19" s="4"/>
      <c r="M19" s="4"/>
      <c r="N19" s="4"/>
      <c r="O19" s="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5"/>
      <c r="B20" s="4"/>
      <c r="C20" s="45">
        <f>_xlfn.QUARTILE.INC('FamInsureCo Desc. Stats Data'!$F$2:$F$1339,1)</f>
        <v>4740.2871500000001</v>
      </c>
      <c r="D20" s="45">
        <f>_xlfn.QUARTILE.INC('FamInsureCo Desc. Stats Data'!$F$2:$F$1339,2)</f>
        <v>9382.0329999999994</v>
      </c>
      <c r="E20" s="45">
        <f>_xlfn.QUARTILE.INC('FamInsureCo Desc. Stats Data'!$F$2:$F$1339,3)</f>
        <v>16639.912515</v>
      </c>
      <c r="F20" s="45">
        <f>_xlfn.QUARTILE.INC('FamInsureCo Desc. Stats Data'!$F$2:$F$1339,4)</f>
        <v>63770.428010000003</v>
      </c>
      <c r="G20" s="4"/>
      <c r="H20" s="4"/>
      <c r="I20" s="4"/>
      <c r="J20" s="4"/>
      <c r="K20" s="4"/>
      <c r="L20" s="4"/>
      <c r="M20" s="4"/>
      <c r="N20" s="4"/>
      <c r="O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5"/>
      <c r="B22" s="47" t="s">
        <v>84</v>
      </c>
      <c r="C22" s="45">
        <f>E20-C20</f>
        <v>11899.625365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s="38" customFormat="1">
      <c r="A25" s="31" t="s">
        <v>85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s="38" customFormat="1">
      <c r="A26" s="31" t="s">
        <v>86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s="38" customFormat="1">
      <c r="A27" s="31" t="s">
        <v>87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s="38" customFormat="1">
      <c r="A28" s="31" t="s">
        <v>88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s="38" customFormat="1">
      <c r="A29" s="37" t="s">
        <v>89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s="39" customFormat="1">
      <c r="A30" s="43" t="s">
        <v>90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spans="1:27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50" spans="1:11" s="31" customFormat="1" ht="14.1">
      <c r="A50" s="31" t="s">
        <v>91</v>
      </c>
    </row>
    <row r="51" spans="1:11" s="31" customFormat="1" ht="14.1">
      <c r="A51" s="31" t="s">
        <v>92</v>
      </c>
    </row>
    <row r="52" spans="1:11" s="37" customFormat="1" ht="14.1">
      <c r="A52" s="37" t="s">
        <v>93</v>
      </c>
    </row>
    <row r="53" spans="1:11" s="46" customFormat="1">
      <c r="A53" s="43" t="s">
        <v>94</v>
      </c>
      <c r="C53" s="43"/>
      <c r="D53" s="43"/>
      <c r="E53" s="43"/>
      <c r="F53" s="43"/>
      <c r="G53" s="43"/>
    </row>
    <row r="54" spans="1:11">
      <c r="B54" s="7" t="s">
        <v>95</v>
      </c>
      <c r="C54" s="7"/>
      <c r="D54" s="7"/>
      <c r="F54" s="7" t="s">
        <v>96</v>
      </c>
      <c r="G54" s="7"/>
      <c r="H54" s="7"/>
      <c r="I54" s="7"/>
      <c r="J54" s="6"/>
      <c r="K54" s="6"/>
    </row>
    <row r="72" spans="1:11" s="31" customFormat="1" ht="14.1">
      <c r="A72" s="31" t="s">
        <v>97</v>
      </c>
    </row>
    <row r="73" spans="1:11" s="31" customFormat="1" ht="14.1">
      <c r="A73" s="31" t="s">
        <v>98</v>
      </c>
    </row>
    <row r="74" spans="1:11" s="31" customFormat="1" ht="14.1">
      <c r="A74" s="37" t="s">
        <v>99</v>
      </c>
    </row>
    <row r="75" spans="1:11" s="46" customFormat="1">
      <c r="A75" s="43" t="s">
        <v>94</v>
      </c>
      <c r="C75" s="43"/>
      <c r="D75" s="43"/>
      <c r="E75" s="43"/>
      <c r="F75" s="43"/>
      <c r="G75" s="43"/>
    </row>
    <row r="76" spans="1:11">
      <c r="B76" s="7" t="s">
        <v>95</v>
      </c>
      <c r="C76" s="7"/>
      <c r="D76" s="7"/>
      <c r="F76" s="7" t="s">
        <v>96</v>
      </c>
      <c r="G76" s="7"/>
      <c r="H76" s="7"/>
      <c r="I76" s="7"/>
      <c r="J76" s="6"/>
      <c r="K76" s="6"/>
    </row>
    <row r="98" spans="1:16383" s="31" customFormat="1" ht="14.1">
      <c r="A98" s="31" t="s">
        <v>100</v>
      </c>
    </row>
    <row r="99" spans="1:16383" s="31" customFormat="1" ht="14.1">
      <c r="A99" s="31" t="s">
        <v>101</v>
      </c>
    </row>
    <row r="100" spans="1:16383" s="31" customFormat="1" ht="14.1">
      <c r="A100" s="31" t="s">
        <v>102</v>
      </c>
    </row>
    <row r="101" spans="1:16383" s="37" customFormat="1" ht="14.1">
      <c r="A101" s="37" t="s">
        <v>103</v>
      </c>
    </row>
    <row r="102" spans="1:16383" s="48" customFormat="1" ht="15.95">
      <c r="A102" s="93" t="s">
        <v>104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42"/>
      <c r="W102" s="42"/>
      <c r="X102" s="42"/>
      <c r="Y102" s="42"/>
      <c r="Z102" s="42"/>
    </row>
    <row r="103" spans="1:16383" s="38" customFormat="1">
      <c r="A103" s="37" t="s">
        <v>105</v>
      </c>
      <c r="C103" s="31"/>
      <c r="D103" s="31"/>
      <c r="E103" s="31"/>
      <c r="F103" s="31"/>
      <c r="G103" s="31"/>
    </row>
    <row r="104" spans="1:16383" s="38" customFormat="1" ht="17.100000000000001" thickBot="1">
      <c r="A104" s="41" t="s">
        <v>106</v>
      </c>
      <c r="C104" s="31"/>
      <c r="D104" s="31"/>
      <c r="E104" s="31"/>
      <c r="F104" s="31"/>
      <c r="G104" s="31"/>
    </row>
    <row r="105" spans="1:16383" ht="18" thickTop="1" thickBot="1">
      <c r="B105" s="10"/>
      <c r="C105" s="50" t="s">
        <v>15</v>
      </c>
    </row>
    <row r="106" spans="1:16383" ht="36" thickTop="1" thickBot="1">
      <c r="B106" s="49" t="s">
        <v>107</v>
      </c>
      <c r="C106" s="16">
        <f>CORREL('FamInsureCo Int. Stats Data'!B1:B1339,'FamInsureCo Int. Stats Data'!$Q$1:$Q$1339)</f>
        <v>0.19834096883362876</v>
      </c>
    </row>
    <row r="107" spans="1:16383" ht="15.95" thickTop="1">
      <c r="B107" s="11"/>
      <c r="C107" s="12"/>
    </row>
    <row r="109" spans="1:16383" s="33" customFormat="1" ht="15.95">
      <c r="A109" s="91" t="s">
        <v>108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32"/>
      <c r="W109" s="32"/>
      <c r="X109" s="32"/>
      <c r="Y109" s="32"/>
      <c r="Z109" s="32"/>
    </row>
    <row r="110" spans="1:16383" s="38" customFormat="1" ht="15.95">
      <c r="A110" s="91" t="s">
        <v>109</v>
      </c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1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1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  <c r="BM110" s="92"/>
      <c r="BN110" s="91"/>
      <c r="BO110" s="92"/>
      <c r="BP110" s="92"/>
      <c r="BQ110" s="92"/>
      <c r="BR110" s="92"/>
      <c r="BS110" s="92"/>
      <c r="BT110" s="92"/>
      <c r="BU110" s="92"/>
      <c r="BV110" s="92"/>
      <c r="BW110" s="92"/>
      <c r="BX110" s="92"/>
      <c r="BY110" s="92"/>
      <c r="BZ110" s="92"/>
      <c r="CA110" s="92"/>
      <c r="CB110" s="92"/>
      <c r="CC110" s="92"/>
      <c r="CD110" s="92"/>
      <c r="CE110" s="92"/>
      <c r="CF110" s="92"/>
      <c r="CG110" s="92"/>
      <c r="CH110" s="92"/>
      <c r="CI110" s="92"/>
      <c r="CJ110" s="91"/>
      <c r="CK110" s="92"/>
      <c r="CL110" s="92"/>
      <c r="CM110" s="92"/>
      <c r="CN110" s="92"/>
      <c r="CO110" s="92"/>
      <c r="CP110" s="92"/>
      <c r="CQ110" s="92"/>
      <c r="CR110" s="92"/>
      <c r="CS110" s="92"/>
      <c r="CT110" s="92"/>
      <c r="CU110" s="92"/>
      <c r="CV110" s="92"/>
      <c r="CW110" s="92"/>
      <c r="CX110" s="92"/>
      <c r="CY110" s="92"/>
      <c r="CZ110" s="92"/>
      <c r="DA110" s="92"/>
      <c r="DB110" s="92"/>
      <c r="DC110" s="92"/>
      <c r="DD110" s="92"/>
      <c r="DE110" s="92"/>
      <c r="DF110" s="91"/>
      <c r="DG110" s="92"/>
      <c r="DH110" s="92"/>
      <c r="DI110" s="92"/>
      <c r="DJ110" s="92"/>
      <c r="DK110" s="92"/>
      <c r="DL110" s="92"/>
      <c r="DM110" s="92"/>
      <c r="DN110" s="92"/>
      <c r="DO110" s="92"/>
      <c r="DP110" s="92"/>
      <c r="DQ110" s="92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1"/>
      <c r="EC110" s="92"/>
      <c r="ED110" s="92"/>
      <c r="EE110" s="92"/>
      <c r="EF110" s="92"/>
      <c r="EG110" s="92"/>
      <c r="EH110" s="92"/>
      <c r="EI110" s="92"/>
      <c r="EJ110" s="92"/>
      <c r="EK110" s="92"/>
      <c r="EL110" s="92"/>
      <c r="EM110" s="92"/>
      <c r="EN110" s="92"/>
      <c r="EO110" s="92"/>
      <c r="EP110" s="92"/>
      <c r="EQ110" s="92"/>
      <c r="ER110" s="92"/>
      <c r="ES110" s="92"/>
      <c r="ET110" s="92"/>
      <c r="EU110" s="92"/>
      <c r="EV110" s="92"/>
      <c r="EW110" s="92"/>
      <c r="EX110" s="91"/>
      <c r="EY110" s="92"/>
      <c r="EZ110" s="92"/>
      <c r="FA110" s="92"/>
      <c r="FB110" s="92"/>
      <c r="FC110" s="92"/>
      <c r="FD110" s="92"/>
      <c r="FE110" s="92"/>
      <c r="FF110" s="92"/>
      <c r="FG110" s="92"/>
      <c r="FH110" s="92"/>
      <c r="FI110" s="92"/>
      <c r="FJ110" s="92"/>
      <c r="FK110" s="92"/>
      <c r="FL110" s="92"/>
      <c r="FM110" s="92"/>
      <c r="FN110" s="92"/>
      <c r="FO110" s="92"/>
      <c r="FP110" s="92"/>
      <c r="FQ110" s="92"/>
      <c r="FR110" s="92"/>
      <c r="FS110" s="92"/>
      <c r="FT110" s="91"/>
      <c r="FU110" s="92"/>
      <c r="FV110" s="92"/>
      <c r="FW110" s="92"/>
      <c r="FX110" s="92"/>
      <c r="FY110" s="92"/>
      <c r="FZ110" s="92"/>
      <c r="GA110" s="92"/>
      <c r="GB110" s="92"/>
      <c r="GC110" s="92"/>
      <c r="GD110" s="92"/>
      <c r="GE110" s="92"/>
      <c r="GF110" s="92"/>
      <c r="GG110" s="92"/>
      <c r="GH110" s="92"/>
      <c r="GI110" s="92"/>
      <c r="GJ110" s="92"/>
      <c r="GK110" s="92"/>
      <c r="GL110" s="92"/>
      <c r="GM110" s="92"/>
      <c r="GN110" s="92"/>
      <c r="GO110" s="92"/>
      <c r="GP110" s="91"/>
      <c r="GQ110" s="92"/>
      <c r="GR110" s="92"/>
      <c r="GS110" s="92"/>
      <c r="GT110" s="92"/>
      <c r="GU110" s="92"/>
      <c r="GV110" s="92"/>
      <c r="GW110" s="92"/>
      <c r="GX110" s="92"/>
      <c r="GY110" s="92"/>
      <c r="GZ110" s="92"/>
      <c r="HA110" s="92"/>
      <c r="HB110" s="92"/>
      <c r="HC110" s="92"/>
      <c r="HD110" s="92"/>
      <c r="HE110" s="92"/>
      <c r="HF110" s="92"/>
      <c r="HG110" s="92"/>
      <c r="HH110" s="92"/>
      <c r="HI110" s="92"/>
      <c r="HJ110" s="92"/>
      <c r="HK110" s="92"/>
      <c r="HL110" s="91"/>
      <c r="HM110" s="92"/>
      <c r="HN110" s="92"/>
      <c r="HO110" s="92"/>
      <c r="HP110" s="92"/>
      <c r="HQ110" s="92"/>
      <c r="HR110" s="92"/>
      <c r="HS110" s="92"/>
      <c r="HT110" s="92"/>
      <c r="HU110" s="92"/>
      <c r="HV110" s="92"/>
      <c r="HW110" s="92"/>
      <c r="HX110" s="92"/>
      <c r="HY110" s="92"/>
      <c r="HZ110" s="92"/>
      <c r="IA110" s="92"/>
      <c r="IB110" s="92"/>
      <c r="IC110" s="92"/>
      <c r="ID110" s="92"/>
      <c r="IE110" s="92"/>
      <c r="IF110" s="92"/>
      <c r="IG110" s="92"/>
      <c r="IH110" s="91"/>
      <c r="II110" s="92"/>
      <c r="IJ110" s="92"/>
      <c r="IK110" s="92"/>
      <c r="IL110" s="92"/>
      <c r="IM110" s="92"/>
      <c r="IN110" s="92"/>
      <c r="IO110" s="92"/>
      <c r="IP110" s="92"/>
      <c r="IQ110" s="92"/>
      <c r="IR110" s="92"/>
      <c r="IS110" s="92"/>
      <c r="IT110" s="92"/>
      <c r="IU110" s="92"/>
      <c r="IV110" s="92"/>
      <c r="IW110" s="92"/>
      <c r="IX110" s="92"/>
      <c r="IY110" s="92"/>
      <c r="IZ110" s="92"/>
      <c r="JA110" s="92"/>
      <c r="JB110" s="92"/>
      <c r="JC110" s="92"/>
      <c r="JD110" s="91"/>
      <c r="JE110" s="92"/>
      <c r="JF110" s="92"/>
      <c r="JG110" s="92"/>
      <c r="JH110" s="92"/>
      <c r="JI110" s="92"/>
      <c r="JJ110" s="92"/>
      <c r="JK110" s="92"/>
      <c r="JL110" s="92"/>
      <c r="JM110" s="92"/>
      <c r="JN110" s="92"/>
      <c r="JO110" s="92"/>
      <c r="JP110" s="92"/>
      <c r="JQ110" s="92"/>
      <c r="JR110" s="92"/>
      <c r="JS110" s="92"/>
      <c r="JT110" s="92"/>
      <c r="JU110" s="92"/>
      <c r="JV110" s="92"/>
      <c r="JW110" s="92"/>
      <c r="JX110" s="92"/>
      <c r="JY110" s="92"/>
      <c r="JZ110" s="91"/>
      <c r="KA110" s="92"/>
      <c r="KB110" s="92"/>
      <c r="KC110" s="92"/>
      <c r="KD110" s="92"/>
      <c r="KE110" s="92"/>
      <c r="KF110" s="92"/>
      <c r="KG110" s="92"/>
      <c r="KH110" s="92"/>
      <c r="KI110" s="92"/>
      <c r="KJ110" s="92"/>
      <c r="KK110" s="92"/>
      <c r="KL110" s="92"/>
      <c r="KM110" s="92"/>
      <c r="KN110" s="92"/>
      <c r="KO110" s="92"/>
      <c r="KP110" s="92"/>
      <c r="KQ110" s="92"/>
      <c r="KR110" s="92"/>
      <c r="KS110" s="92"/>
      <c r="KT110" s="92"/>
      <c r="KU110" s="92"/>
      <c r="KV110" s="91"/>
      <c r="KW110" s="92"/>
      <c r="KX110" s="92"/>
      <c r="KY110" s="92"/>
      <c r="KZ110" s="92"/>
      <c r="LA110" s="92"/>
      <c r="LB110" s="92"/>
      <c r="LC110" s="92"/>
      <c r="LD110" s="92"/>
      <c r="LE110" s="92"/>
      <c r="LF110" s="92"/>
      <c r="LG110" s="92"/>
      <c r="LH110" s="92"/>
      <c r="LI110" s="92"/>
      <c r="LJ110" s="92"/>
      <c r="LK110" s="92"/>
      <c r="LL110" s="92"/>
      <c r="LM110" s="92"/>
      <c r="LN110" s="92"/>
      <c r="LO110" s="92"/>
      <c r="LP110" s="92"/>
      <c r="LQ110" s="92"/>
      <c r="LR110" s="91"/>
      <c r="LS110" s="92"/>
      <c r="LT110" s="92"/>
      <c r="LU110" s="92"/>
      <c r="LV110" s="92"/>
      <c r="LW110" s="92"/>
      <c r="LX110" s="92"/>
      <c r="LY110" s="92"/>
      <c r="LZ110" s="92"/>
      <c r="MA110" s="92"/>
      <c r="MB110" s="92"/>
      <c r="MC110" s="92"/>
      <c r="MD110" s="92"/>
      <c r="ME110" s="92"/>
      <c r="MF110" s="92"/>
      <c r="MG110" s="92"/>
      <c r="MH110" s="92"/>
      <c r="MI110" s="92"/>
      <c r="MJ110" s="92"/>
      <c r="MK110" s="92"/>
      <c r="ML110" s="92"/>
      <c r="MM110" s="92"/>
      <c r="MN110" s="91"/>
      <c r="MO110" s="92"/>
      <c r="MP110" s="92"/>
      <c r="MQ110" s="92"/>
      <c r="MR110" s="92"/>
      <c r="MS110" s="92"/>
      <c r="MT110" s="92"/>
      <c r="MU110" s="92"/>
      <c r="MV110" s="92"/>
      <c r="MW110" s="92"/>
      <c r="MX110" s="92"/>
      <c r="MY110" s="92"/>
      <c r="MZ110" s="92"/>
      <c r="NA110" s="92"/>
      <c r="NB110" s="92"/>
      <c r="NC110" s="92"/>
      <c r="ND110" s="92"/>
      <c r="NE110" s="92"/>
      <c r="NF110" s="92"/>
      <c r="NG110" s="92"/>
      <c r="NH110" s="92"/>
      <c r="NI110" s="92"/>
      <c r="NJ110" s="91"/>
      <c r="NK110" s="92"/>
      <c r="NL110" s="92"/>
      <c r="NM110" s="92"/>
      <c r="NN110" s="92"/>
      <c r="NO110" s="92"/>
      <c r="NP110" s="92"/>
      <c r="NQ110" s="92"/>
      <c r="NR110" s="92"/>
      <c r="NS110" s="92"/>
      <c r="NT110" s="92"/>
      <c r="NU110" s="92"/>
      <c r="NV110" s="92"/>
      <c r="NW110" s="92"/>
      <c r="NX110" s="92"/>
      <c r="NY110" s="92"/>
      <c r="NZ110" s="92"/>
      <c r="OA110" s="92"/>
      <c r="OB110" s="92"/>
      <c r="OC110" s="92"/>
      <c r="OD110" s="92"/>
      <c r="OE110" s="92"/>
      <c r="OF110" s="91"/>
      <c r="OG110" s="92"/>
      <c r="OH110" s="92"/>
      <c r="OI110" s="92"/>
      <c r="OJ110" s="92"/>
      <c r="OK110" s="92"/>
      <c r="OL110" s="92"/>
      <c r="OM110" s="92"/>
      <c r="ON110" s="92"/>
      <c r="OO110" s="92"/>
      <c r="OP110" s="92"/>
      <c r="OQ110" s="92"/>
      <c r="OR110" s="92"/>
      <c r="OS110" s="92"/>
      <c r="OT110" s="92"/>
      <c r="OU110" s="92"/>
      <c r="OV110" s="92"/>
      <c r="OW110" s="92"/>
      <c r="OX110" s="92"/>
      <c r="OY110" s="92"/>
      <c r="OZ110" s="92"/>
      <c r="PA110" s="92"/>
      <c r="PB110" s="91"/>
      <c r="PC110" s="92"/>
      <c r="PD110" s="92"/>
      <c r="PE110" s="92"/>
      <c r="PF110" s="92"/>
      <c r="PG110" s="92"/>
      <c r="PH110" s="92"/>
      <c r="PI110" s="92"/>
      <c r="PJ110" s="92"/>
      <c r="PK110" s="92"/>
      <c r="PL110" s="92"/>
      <c r="PM110" s="92"/>
      <c r="PN110" s="92"/>
      <c r="PO110" s="92"/>
      <c r="PP110" s="92"/>
      <c r="PQ110" s="92"/>
      <c r="PR110" s="92"/>
      <c r="PS110" s="92"/>
      <c r="PT110" s="92"/>
      <c r="PU110" s="92"/>
      <c r="PV110" s="92"/>
      <c r="PW110" s="92"/>
      <c r="PX110" s="91"/>
      <c r="PY110" s="92"/>
      <c r="PZ110" s="92"/>
      <c r="QA110" s="92"/>
      <c r="QB110" s="92"/>
      <c r="QC110" s="92"/>
      <c r="QD110" s="92"/>
      <c r="QE110" s="92"/>
      <c r="QF110" s="92"/>
      <c r="QG110" s="92"/>
      <c r="QH110" s="92"/>
      <c r="QI110" s="92"/>
      <c r="QJ110" s="92"/>
      <c r="QK110" s="92"/>
      <c r="QL110" s="92"/>
      <c r="QM110" s="92"/>
      <c r="QN110" s="92"/>
      <c r="QO110" s="92"/>
      <c r="QP110" s="92"/>
      <c r="QQ110" s="92"/>
      <c r="QR110" s="92"/>
      <c r="QS110" s="92"/>
      <c r="QT110" s="91"/>
      <c r="QU110" s="92"/>
      <c r="QV110" s="92"/>
      <c r="QW110" s="92"/>
      <c r="QX110" s="92"/>
      <c r="QY110" s="92"/>
      <c r="QZ110" s="92"/>
      <c r="RA110" s="92"/>
      <c r="RB110" s="92"/>
      <c r="RC110" s="92"/>
      <c r="RD110" s="92"/>
      <c r="RE110" s="92"/>
      <c r="RF110" s="92"/>
      <c r="RG110" s="92"/>
      <c r="RH110" s="92"/>
      <c r="RI110" s="92"/>
      <c r="RJ110" s="92"/>
      <c r="RK110" s="92"/>
      <c r="RL110" s="92"/>
      <c r="RM110" s="92"/>
      <c r="RN110" s="92"/>
      <c r="RO110" s="92"/>
      <c r="RP110" s="91"/>
      <c r="RQ110" s="92"/>
      <c r="RR110" s="92"/>
      <c r="RS110" s="92"/>
      <c r="RT110" s="92"/>
      <c r="RU110" s="92"/>
      <c r="RV110" s="92"/>
      <c r="RW110" s="92"/>
      <c r="RX110" s="92"/>
      <c r="RY110" s="92"/>
      <c r="RZ110" s="92"/>
      <c r="SA110" s="92"/>
      <c r="SB110" s="92"/>
      <c r="SC110" s="92"/>
      <c r="SD110" s="92"/>
      <c r="SE110" s="92"/>
      <c r="SF110" s="92"/>
      <c r="SG110" s="92"/>
      <c r="SH110" s="92"/>
      <c r="SI110" s="92"/>
      <c r="SJ110" s="92"/>
      <c r="SK110" s="92"/>
      <c r="SL110" s="91"/>
      <c r="SM110" s="92"/>
      <c r="SN110" s="92"/>
      <c r="SO110" s="92"/>
      <c r="SP110" s="92"/>
      <c r="SQ110" s="92"/>
      <c r="SR110" s="92"/>
      <c r="SS110" s="92"/>
      <c r="ST110" s="92"/>
      <c r="SU110" s="92"/>
      <c r="SV110" s="92"/>
      <c r="SW110" s="92"/>
      <c r="SX110" s="92"/>
      <c r="SY110" s="92"/>
      <c r="SZ110" s="92"/>
      <c r="TA110" s="92"/>
      <c r="TB110" s="92"/>
      <c r="TC110" s="92"/>
      <c r="TD110" s="92"/>
      <c r="TE110" s="92"/>
      <c r="TF110" s="92"/>
      <c r="TG110" s="92"/>
      <c r="TH110" s="91"/>
      <c r="TI110" s="92"/>
      <c r="TJ110" s="92"/>
      <c r="TK110" s="92"/>
      <c r="TL110" s="92"/>
      <c r="TM110" s="92"/>
      <c r="TN110" s="92"/>
      <c r="TO110" s="92"/>
      <c r="TP110" s="92"/>
      <c r="TQ110" s="92"/>
      <c r="TR110" s="92"/>
      <c r="TS110" s="92"/>
      <c r="TT110" s="92"/>
      <c r="TU110" s="92"/>
      <c r="TV110" s="92"/>
      <c r="TW110" s="92"/>
      <c r="TX110" s="92"/>
      <c r="TY110" s="92"/>
      <c r="TZ110" s="92"/>
      <c r="UA110" s="92"/>
      <c r="UB110" s="92"/>
      <c r="UC110" s="92"/>
      <c r="UD110" s="91"/>
      <c r="UE110" s="92"/>
      <c r="UF110" s="92"/>
      <c r="UG110" s="92"/>
      <c r="UH110" s="92"/>
      <c r="UI110" s="92"/>
      <c r="UJ110" s="92"/>
      <c r="UK110" s="92"/>
      <c r="UL110" s="92"/>
      <c r="UM110" s="92"/>
      <c r="UN110" s="92"/>
      <c r="UO110" s="92"/>
      <c r="UP110" s="92"/>
      <c r="UQ110" s="92"/>
      <c r="UR110" s="92"/>
      <c r="US110" s="92"/>
      <c r="UT110" s="92"/>
      <c r="UU110" s="92"/>
      <c r="UV110" s="92"/>
      <c r="UW110" s="92"/>
      <c r="UX110" s="92"/>
      <c r="UY110" s="92"/>
      <c r="UZ110" s="91"/>
      <c r="VA110" s="92"/>
      <c r="VB110" s="92"/>
      <c r="VC110" s="92"/>
      <c r="VD110" s="92"/>
      <c r="VE110" s="92"/>
      <c r="VF110" s="92"/>
      <c r="VG110" s="92"/>
      <c r="VH110" s="92"/>
      <c r="VI110" s="92"/>
      <c r="VJ110" s="92"/>
      <c r="VK110" s="92"/>
      <c r="VL110" s="92"/>
      <c r="VM110" s="92"/>
      <c r="VN110" s="92"/>
      <c r="VO110" s="92"/>
      <c r="VP110" s="92"/>
      <c r="VQ110" s="92"/>
      <c r="VR110" s="92"/>
      <c r="VS110" s="92"/>
      <c r="VT110" s="92"/>
      <c r="VU110" s="92"/>
      <c r="VV110" s="91"/>
      <c r="VW110" s="92"/>
      <c r="VX110" s="92"/>
      <c r="VY110" s="92"/>
      <c r="VZ110" s="92"/>
      <c r="WA110" s="92"/>
      <c r="WB110" s="92"/>
      <c r="WC110" s="92"/>
      <c r="WD110" s="92"/>
      <c r="WE110" s="92"/>
      <c r="WF110" s="92"/>
      <c r="WG110" s="92"/>
      <c r="WH110" s="92"/>
      <c r="WI110" s="92"/>
      <c r="WJ110" s="92"/>
      <c r="WK110" s="92"/>
      <c r="WL110" s="92"/>
      <c r="WM110" s="92"/>
      <c r="WN110" s="92"/>
      <c r="WO110" s="92"/>
      <c r="WP110" s="92"/>
      <c r="WQ110" s="92"/>
      <c r="WR110" s="91"/>
      <c r="WS110" s="92"/>
      <c r="WT110" s="92"/>
      <c r="WU110" s="92"/>
      <c r="WV110" s="92"/>
      <c r="WW110" s="92"/>
      <c r="WX110" s="92"/>
      <c r="WY110" s="92"/>
      <c r="WZ110" s="92"/>
      <c r="XA110" s="92"/>
      <c r="XB110" s="92"/>
      <c r="XC110" s="92"/>
      <c r="XD110" s="92"/>
      <c r="XE110" s="92"/>
      <c r="XF110" s="92"/>
      <c r="XG110" s="92"/>
      <c r="XH110" s="92"/>
      <c r="XI110" s="92"/>
      <c r="XJ110" s="92"/>
      <c r="XK110" s="92"/>
      <c r="XL110" s="92"/>
      <c r="XM110" s="92"/>
      <c r="XN110" s="91"/>
      <c r="XO110" s="92"/>
      <c r="XP110" s="92"/>
      <c r="XQ110" s="92"/>
      <c r="XR110" s="92"/>
      <c r="XS110" s="92"/>
      <c r="XT110" s="92"/>
      <c r="XU110" s="92"/>
      <c r="XV110" s="92"/>
      <c r="XW110" s="92"/>
      <c r="XX110" s="92"/>
      <c r="XY110" s="92"/>
      <c r="XZ110" s="92"/>
      <c r="YA110" s="92"/>
      <c r="YB110" s="92"/>
      <c r="YC110" s="92"/>
      <c r="YD110" s="92"/>
      <c r="YE110" s="92"/>
      <c r="YF110" s="92"/>
      <c r="YG110" s="92"/>
      <c r="YH110" s="92"/>
      <c r="YI110" s="92"/>
      <c r="YJ110" s="91"/>
      <c r="YK110" s="92"/>
      <c r="YL110" s="92"/>
      <c r="YM110" s="92"/>
      <c r="YN110" s="92"/>
      <c r="YO110" s="92"/>
      <c r="YP110" s="92"/>
      <c r="YQ110" s="92"/>
      <c r="YR110" s="92"/>
      <c r="YS110" s="92"/>
      <c r="YT110" s="92"/>
      <c r="YU110" s="92"/>
      <c r="YV110" s="92"/>
      <c r="YW110" s="92"/>
      <c r="YX110" s="92"/>
      <c r="YY110" s="92"/>
      <c r="YZ110" s="92"/>
      <c r="ZA110" s="92"/>
      <c r="ZB110" s="92"/>
      <c r="ZC110" s="92"/>
      <c r="ZD110" s="92"/>
      <c r="ZE110" s="92"/>
      <c r="ZF110" s="91"/>
      <c r="ZG110" s="92"/>
      <c r="ZH110" s="92"/>
      <c r="ZI110" s="92"/>
      <c r="ZJ110" s="92"/>
      <c r="ZK110" s="92"/>
      <c r="ZL110" s="92"/>
      <c r="ZM110" s="92"/>
      <c r="ZN110" s="92"/>
      <c r="ZO110" s="92"/>
      <c r="ZP110" s="92"/>
      <c r="ZQ110" s="92"/>
      <c r="ZR110" s="92"/>
      <c r="ZS110" s="92"/>
      <c r="ZT110" s="92"/>
      <c r="ZU110" s="92"/>
      <c r="ZV110" s="92"/>
      <c r="ZW110" s="92"/>
      <c r="ZX110" s="92"/>
      <c r="ZY110" s="92"/>
      <c r="ZZ110" s="92"/>
      <c r="AAA110" s="92"/>
      <c r="AAB110" s="91"/>
      <c r="AAC110" s="92"/>
      <c r="AAD110" s="92"/>
      <c r="AAE110" s="92"/>
      <c r="AAF110" s="92"/>
      <c r="AAG110" s="92"/>
      <c r="AAH110" s="92"/>
      <c r="AAI110" s="92"/>
      <c r="AAJ110" s="92"/>
      <c r="AAK110" s="92"/>
      <c r="AAL110" s="92"/>
      <c r="AAM110" s="92"/>
      <c r="AAN110" s="92"/>
      <c r="AAO110" s="92"/>
      <c r="AAP110" s="92"/>
      <c r="AAQ110" s="92"/>
      <c r="AAR110" s="92"/>
      <c r="AAS110" s="92"/>
      <c r="AAT110" s="92"/>
      <c r="AAU110" s="92"/>
      <c r="AAV110" s="92"/>
      <c r="AAW110" s="92"/>
      <c r="AAX110" s="91"/>
      <c r="AAY110" s="92"/>
      <c r="AAZ110" s="92"/>
      <c r="ABA110" s="92"/>
      <c r="ABB110" s="92"/>
      <c r="ABC110" s="92"/>
      <c r="ABD110" s="92"/>
      <c r="ABE110" s="92"/>
      <c r="ABF110" s="92"/>
      <c r="ABG110" s="92"/>
      <c r="ABH110" s="92"/>
      <c r="ABI110" s="92"/>
      <c r="ABJ110" s="92"/>
      <c r="ABK110" s="92"/>
      <c r="ABL110" s="92"/>
      <c r="ABM110" s="92"/>
      <c r="ABN110" s="92"/>
      <c r="ABO110" s="92"/>
      <c r="ABP110" s="92"/>
      <c r="ABQ110" s="92"/>
      <c r="ABR110" s="92"/>
      <c r="ABS110" s="92"/>
      <c r="ABT110" s="91"/>
      <c r="ABU110" s="92"/>
      <c r="ABV110" s="92"/>
      <c r="ABW110" s="92"/>
      <c r="ABX110" s="92"/>
      <c r="ABY110" s="92"/>
      <c r="ABZ110" s="92"/>
      <c r="ACA110" s="92"/>
      <c r="ACB110" s="92"/>
      <c r="ACC110" s="92"/>
      <c r="ACD110" s="92"/>
      <c r="ACE110" s="92"/>
      <c r="ACF110" s="92"/>
      <c r="ACG110" s="92"/>
      <c r="ACH110" s="92"/>
      <c r="ACI110" s="92"/>
      <c r="ACJ110" s="92"/>
      <c r="ACK110" s="92"/>
      <c r="ACL110" s="92"/>
      <c r="ACM110" s="92"/>
      <c r="ACN110" s="92"/>
      <c r="ACO110" s="92"/>
      <c r="ACP110" s="91"/>
      <c r="ACQ110" s="92"/>
      <c r="ACR110" s="92"/>
      <c r="ACS110" s="92"/>
      <c r="ACT110" s="92"/>
      <c r="ACU110" s="92"/>
      <c r="ACV110" s="92"/>
      <c r="ACW110" s="92"/>
      <c r="ACX110" s="92"/>
      <c r="ACY110" s="92"/>
      <c r="ACZ110" s="92"/>
      <c r="ADA110" s="92"/>
      <c r="ADB110" s="92"/>
      <c r="ADC110" s="92"/>
      <c r="ADD110" s="92"/>
      <c r="ADE110" s="92"/>
      <c r="ADF110" s="92"/>
      <c r="ADG110" s="92"/>
      <c r="ADH110" s="92"/>
      <c r="ADI110" s="92"/>
      <c r="ADJ110" s="92"/>
      <c r="ADK110" s="92"/>
      <c r="ADL110" s="91"/>
      <c r="ADM110" s="92"/>
      <c r="ADN110" s="92"/>
      <c r="ADO110" s="92"/>
      <c r="ADP110" s="92"/>
      <c r="ADQ110" s="92"/>
      <c r="ADR110" s="92"/>
      <c r="ADS110" s="92"/>
      <c r="ADT110" s="92"/>
      <c r="ADU110" s="92"/>
      <c r="ADV110" s="92"/>
      <c r="ADW110" s="92"/>
      <c r="ADX110" s="92"/>
      <c r="ADY110" s="92"/>
      <c r="ADZ110" s="92"/>
      <c r="AEA110" s="92"/>
      <c r="AEB110" s="92"/>
      <c r="AEC110" s="92"/>
      <c r="AED110" s="92"/>
      <c r="AEE110" s="92"/>
      <c r="AEF110" s="92"/>
      <c r="AEG110" s="92"/>
      <c r="AEH110" s="91"/>
      <c r="AEI110" s="92"/>
      <c r="AEJ110" s="92"/>
      <c r="AEK110" s="92"/>
      <c r="AEL110" s="92"/>
      <c r="AEM110" s="92"/>
      <c r="AEN110" s="92"/>
      <c r="AEO110" s="92"/>
      <c r="AEP110" s="92"/>
      <c r="AEQ110" s="92"/>
      <c r="AER110" s="92"/>
      <c r="AES110" s="92"/>
      <c r="AET110" s="92"/>
      <c r="AEU110" s="92"/>
      <c r="AEV110" s="92"/>
      <c r="AEW110" s="92"/>
      <c r="AEX110" s="92"/>
      <c r="AEY110" s="92"/>
      <c r="AEZ110" s="92"/>
      <c r="AFA110" s="92"/>
      <c r="AFB110" s="92"/>
      <c r="AFC110" s="92"/>
      <c r="AFD110" s="91"/>
      <c r="AFE110" s="92"/>
      <c r="AFF110" s="92"/>
      <c r="AFG110" s="92"/>
      <c r="AFH110" s="92"/>
      <c r="AFI110" s="92"/>
      <c r="AFJ110" s="92"/>
      <c r="AFK110" s="92"/>
      <c r="AFL110" s="92"/>
      <c r="AFM110" s="92"/>
      <c r="AFN110" s="92"/>
      <c r="AFO110" s="92"/>
      <c r="AFP110" s="92"/>
      <c r="AFQ110" s="92"/>
      <c r="AFR110" s="92"/>
      <c r="AFS110" s="92"/>
      <c r="AFT110" s="92"/>
      <c r="AFU110" s="92"/>
      <c r="AFV110" s="92"/>
      <c r="AFW110" s="92"/>
      <c r="AFX110" s="92"/>
      <c r="AFY110" s="92"/>
      <c r="AFZ110" s="91"/>
      <c r="AGA110" s="92"/>
      <c r="AGB110" s="92"/>
      <c r="AGC110" s="92"/>
      <c r="AGD110" s="92"/>
      <c r="AGE110" s="92"/>
      <c r="AGF110" s="92"/>
      <c r="AGG110" s="92"/>
      <c r="AGH110" s="92"/>
      <c r="AGI110" s="92"/>
      <c r="AGJ110" s="92"/>
      <c r="AGK110" s="92"/>
      <c r="AGL110" s="92"/>
      <c r="AGM110" s="92"/>
      <c r="AGN110" s="92"/>
      <c r="AGO110" s="92"/>
      <c r="AGP110" s="92"/>
      <c r="AGQ110" s="92"/>
      <c r="AGR110" s="92"/>
      <c r="AGS110" s="92"/>
      <c r="AGT110" s="92"/>
      <c r="AGU110" s="92"/>
      <c r="AGV110" s="91"/>
      <c r="AGW110" s="92"/>
      <c r="AGX110" s="92"/>
      <c r="AGY110" s="92"/>
      <c r="AGZ110" s="92"/>
      <c r="AHA110" s="92"/>
      <c r="AHB110" s="92"/>
      <c r="AHC110" s="92"/>
      <c r="AHD110" s="92"/>
      <c r="AHE110" s="92"/>
      <c r="AHF110" s="92"/>
      <c r="AHG110" s="92"/>
      <c r="AHH110" s="92"/>
      <c r="AHI110" s="92"/>
      <c r="AHJ110" s="92"/>
      <c r="AHK110" s="92"/>
      <c r="AHL110" s="92"/>
      <c r="AHM110" s="92"/>
      <c r="AHN110" s="92"/>
      <c r="AHO110" s="92"/>
      <c r="AHP110" s="92"/>
      <c r="AHQ110" s="92"/>
      <c r="AHR110" s="91"/>
      <c r="AHS110" s="92"/>
      <c r="AHT110" s="92"/>
      <c r="AHU110" s="92"/>
      <c r="AHV110" s="92"/>
      <c r="AHW110" s="92"/>
      <c r="AHX110" s="92"/>
      <c r="AHY110" s="92"/>
      <c r="AHZ110" s="92"/>
      <c r="AIA110" s="92"/>
      <c r="AIB110" s="92"/>
      <c r="AIC110" s="92"/>
      <c r="AID110" s="92"/>
      <c r="AIE110" s="92"/>
      <c r="AIF110" s="92"/>
      <c r="AIG110" s="92"/>
      <c r="AIH110" s="92"/>
      <c r="AII110" s="92"/>
      <c r="AIJ110" s="92"/>
      <c r="AIK110" s="92"/>
      <c r="AIL110" s="92"/>
      <c r="AIM110" s="92"/>
      <c r="AIN110" s="91"/>
      <c r="AIO110" s="92"/>
      <c r="AIP110" s="92"/>
      <c r="AIQ110" s="92"/>
      <c r="AIR110" s="92"/>
      <c r="AIS110" s="92"/>
      <c r="AIT110" s="92"/>
      <c r="AIU110" s="92"/>
      <c r="AIV110" s="92"/>
      <c r="AIW110" s="92"/>
      <c r="AIX110" s="92"/>
      <c r="AIY110" s="92"/>
      <c r="AIZ110" s="92"/>
      <c r="AJA110" s="92"/>
      <c r="AJB110" s="92"/>
      <c r="AJC110" s="92"/>
      <c r="AJD110" s="92"/>
      <c r="AJE110" s="92"/>
      <c r="AJF110" s="92"/>
      <c r="AJG110" s="92"/>
      <c r="AJH110" s="92"/>
      <c r="AJI110" s="92"/>
      <c r="AJJ110" s="91"/>
      <c r="AJK110" s="92"/>
      <c r="AJL110" s="92"/>
      <c r="AJM110" s="92"/>
      <c r="AJN110" s="92"/>
      <c r="AJO110" s="92"/>
      <c r="AJP110" s="92"/>
      <c r="AJQ110" s="92"/>
      <c r="AJR110" s="92"/>
      <c r="AJS110" s="92"/>
      <c r="AJT110" s="92"/>
      <c r="AJU110" s="92"/>
      <c r="AJV110" s="92"/>
      <c r="AJW110" s="92"/>
      <c r="AJX110" s="92"/>
      <c r="AJY110" s="92"/>
      <c r="AJZ110" s="92"/>
      <c r="AKA110" s="92"/>
      <c r="AKB110" s="92"/>
      <c r="AKC110" s="92"/>
      <c r="AKD110" s="92"/>
      <c r="AKE110" s="92"/>
      <c r="AKF110" s="91"/>
      <c r="AKG110" s="92"/>
      <c r="AKH110" s="92"/>
      <c r="AKI110" s="92"/>
      <c r="AKJ110" s="92"/>
      <c r="AKK110" s="92"/>
      <c r="AKL110" s="92"/>
      <c r="AKM110" s="92"/>
      <c r="AKN110" s="92"/>
      <c r="AKO110" s="92"/>
      <c r="AKP110" s="92"/>
      <c r="AKQ110" s="92"/>
      <c r="AKR110" s="92"/>
      <c r="AKS110" s="92"/>
      <c r="AKT110" s="92"/>
      <c r="AKU110" s="92"/>
      <c r="AKV110" s="92"/>
      <c r="AKW110" s="92"/>
      <c r="AKX110" s="92"/>
      <c r="AKY110" s="92"/>
      <c r="AKZ110" s="92"/>
      <c r="ALA110" s="92"/>
      <c r="ALB110" s="91"/>
      <c r="ALC110" s="92"/>
      <c r="ALD110" s="92"/>
      <c r="ALE110" s="92"/>
      <c r="ALF110" s="92"/>
      <c r="ALG110" s="92"/>
      <c r="ALH110" s="92"/>
      <c r="ALI110" s="92"/>
      <c r="ALJ110" s="92"/>
      <c r="ALK110" s="92"/>
      <c r="ALL110" s="92"/>
      <c r="ALM110" s="92"/>
      <c r="ALN110" s="92"/>
      <c r="ALO110" s="92"/>
      <c r="ALP110" s="92"/>
      <c r="ALQ110" s="92"/>
      <c r="ALR110" s="92"/>
      <c r="ALS110" s="92"/>
      <c r="ALT110" s="92"/>
      <c r="ALU110" s="92"/>
      <c r="ALV110" s="92"/>
      <c r="ALW110" s="92"/>
      <c r="ALX110" s="91"/>
      <c r="ALY110" s="92"/>
      <c r="ALZ110" s="92"/>
      <c r="AMA110" s="92"/>
      <c r="AMB110" s="92"/>
      <c r="AMC110" s="92"/>
      <c r="AMD110" s="92"/>
      <c r="AME110" s="92"/>
      <c r="AMF110" s="92"/>
      <c r="AMG110" s="92"/>
      <c r="AMH110" s="92"/>
      <c r="AMI110" s="92"/>
      <c r="AMJ110" s="92"/>
      <c r="AMK110" s="92"/>
      <c r="AML110" s="92"/>
      <c r="AMM110" s="92"/>
      <c r="AMN110" s="92"/>
      <c r="AMO110" s="92"/>
      <c r="AMP110" s="92"/>
      <c r="AMQ110" s="92"/>
      <c r="AMR110" s="92"/>
      <c r="AMS110" s="92"/>
      <c r="AMT110" s="91"/>
      <c r="AMU110" s="92"/>
      <c r="AMV110" s="92"/>
      <c r="AMW110" s="92"/>
      <c r="AMX110" s="92"/>
      <c r="AMY110" s="92"/>
      <c r="AMZ110" s="92"/>
      <c r="ANA110" s="92"/>
      <c r="ANB110" s="92"/>
      <c r="ANC110" s="92"/>
      <c r="AND110" s="92"/>
      <c r="ANE110" s="92"/>
      <c r="ANF110" s="92"/>
      <c r="ANG110" s="92"/>
      <c r="ANH110" s="92"/>
      <c r="ANI110" s="92"/>
      <c r="ANJ110" s="92"/>
      <c r="ANK110" s="92"/>
      <c r="ANL110" s="92"/>
      <c r="ANM110" s="92"/>
      <c r="ANN110" s="92"/>
      <c r="ANO110" s="92"/>
      <c r="ANP110" s="91"/>
      <c r="ANQ110" s="92"/>
      <c r="ANR110" s="92"/>
      <c r="ANS110" s="92"/>
      <c r="ANT110" s="92"/>
      <c r="ANU110" s="92"/>
      <c r="ANV110" s="92"/>
      <c r="ANW110" s="92"/>
      <c r="ANX110" s="92"/>
      <c r="ANY110" s="92"/>
      <c r="ANZ110" s="92"/>
      <c r="AOA110" s="92"/>
      <c r="AOB110" s="92"/>
      <c r="AOC110" s="92"/>
      <c r="AOD110" s="92"/>
      <c r="AOE110" s="92"/>
      <c r="AOF110" s="92"/>
      <c r="AOG110" s="92"/>
      <c r="AOH110" s="92"/>
      <c r="AOI110" s="92"/>
      <c r="AOJ110" s="92"/>
      <c r="AOK110" s="92"/>
      <c r="AOL110" s="91"/>
      <c r="AOM110" s="92"/>
      <c r="AON110" s="92"/>
      <c r="AOO110" s="92"/>
      <c r="AOP110" s="92"/>
      <c r="AOQ110" s="92"/>
      <c r="AOR110" s="92"/>
      <c r="AOS110" s="92"/>
      <c r="AOT110" s="92"/>
      <c r="AOU110" s="92"/>
      <c r="AOV110" s="92"/>
      <c r="AOW110" s="92"/>
      <c r="AOX110" s="92"/>
      <c r="AOY110" s="92"/>
      <c r="AOZ110" s="92"/>
      <c r="APA110" s="92"/>
      <c r="APB110" s="92"/>
      <c r="APC110" s="92"/>
      <c r="APD110" s="92"/>
      <c r="APE110" s="92"/>
      <c r="APF110" s="92"/>
      <c r="APG110" s="92"/>
      <c r="APH110" s="91"/>
      <c r="API110" s="92"/>
      <c r="APJ110" s="92"/>
      <c r="APK110" s="92"/>
      <c r="APL110" s="92"/>
      <c r="APM110" s="92"/>
      <c r="APN110" s="92"/>
      <c r="APO110" s="92"/>
      <c r="APP110" s="92"/>
      <c r="APQ110" s="92"/>
      <c r="APR110" s="92"/>
      <c r="APS110" s="92"/>
      <c r="APT110" s="92"/>
      <c r="APU110" s="92"/>
      <c r="APV110" s="92"/>
      <c r="APW110" s="92"/>
      <c r="APX110" s="92"/>
      <c r="APY110" s="92"/>
      <c r="APZ110" s="92"/>
      <c r="AQA110" s="92"/>
      <c r="AQB110" s="92"/>
      <c r="AQC110" s="92"/>
      <c r="AQD110" s="91"/>
      <c r="AQE110" s="92"/>
      <c r="AQF110" s="92"/>
      <c r="AQG110" s="92"/>
      <c r="AQH110" s="92"/>
      <c r="AQI110" s="92"/>
      <c r="AQJ110" s="92"/>
      <c r="AQK110" s="92"/>
      <c r="AQL110" s="92"/>
      <c r="AQM110" s="92"/>
      <c r="AQN110" s="92"/>
      <c r="AQO110" s="92"/>
      <c r="AQP110" s="92"/>
      <c r="AQQ110" s="92"/>
      <c r="AQR110" s="92"/>
      <c r="AQS110" s="92"/>
      <c r="AQT110" s="92"/>
      <c r="AQU110" s="92"/>
      <c r="AQV110" s="92"/>
      <c r="AQW110" s="92"/>
      <c r="AQX110" s="92"/>
      <c r="AQY110" s="92"/>
      <c r="AQZ110" s="91"/>
      <c r="ARA110" s="92"/>
      <c r="ARB110" s="92"/>
      <c r="ARC110" s="92"/>
      <c r="ARD110" s="92"/>
      <c r="ARE110" s="92"/>
      <c r="ARF110" s="92"/>
      <c r="ARG110" s="92"/>
      <c r="ARH110" s="92"/>
      <c r="ARI110" s="92"/>
      <c r="ARJ110" s="92"/>
      <c r="ARK110" s="92"/>
      <c r="ARL110" s="92"/>
      <c r="ARM110" s="92"/>
      <c r="ARN110" s="92"/>
      <c r="ARO110" s="92"/>
      <c r="ARP110" s="92"/>
      <c r="ARQ110" s="92"/>
      <c r="ARR110" s="92"/>
      <c r="ARS110" s="92"/>
      <c r="ART110" s="92"/>
      <c r="ARU110" s="92"/>
      <c r="ARV110" s="91"/>
      <c r="ARW110" s="92"/>
      <c r="ARX110" s="92"/>
      <c r="ARY110" s="92"/>
      <c r="ARZ110" s="92"/>
      <c r="ASA110" s="92"/>
      <c r="ASB110" s="92"/>
      <c r="ASC110" s="92"/>
      <c r="ASD110" s="92"/>
      <c r="ASE110" s="92"/>
      <c r="ASF110" s="92"/>
      <c r="ASG110" s="92"/>
      <c r="ASH110" s="92"/>
      <c r="ASI110" s="92"/>
      <c r="ASJ110" s="92"/>
      <c r="ASK110" s="92"/>
      <c r="ASL110" s="92"/>
      <c r="ASM110" s="92"/>
      <c r="ASN110" s="92"/>
      <c r="ASO110" s="92"/>
      <c r="ASP110" s="92"/>
      <c r="ASQ110" s="92"/>
      <c r="ASR110" s="91"/>
      <c r="ASS110" s="92"/>
      <c r="AST110" s="92"/>
      <c r="ASU110" s="92"/>
      <c r="ASV110" s="92"/>
      <c r="ASW110" s="92"/>
      <c r="ASX110" s="92"/>
      <c r="ASY110" s="92"/>
      <c r="ASZ110" s="92"/>
      <c r="ATA110" s="92"/>
      <c r="ATB110" s="92"/>
      <c r="ATC110" s="92"/>
      <c r="ATD110" s="92"/>
      <c r="ATE110" s="92"/>
      <c r="ATF110" s="92"/>
      <c r="ATG110" s="92"/>
      <c r="ATH110" s="92"/>
      <c r="ATI110" s="92"/>
      <c r="ATJ110" s="92"/>
      <c r="ATK110" s="92"/>
      <c r="ATL110" s="92"/>
      <c r="ATM110" s="92"/>
      <c r="ATN110" s="91"/>
      <c r="ATO110" s="92"/>
      <c r="ATP110" s="92"/>
      <c r="ATQ110" s="92"/>
      <c r="ATR110" s="92"/>
      <c r="ATS110" s="92"/>
      <c r="ATT110" s="92"/>
      <c r="ATU110" s="92"/>
      <c r="ATV110" s="92"/>
      <c r="ATW110" s="92"/>
      <c r="ATX110" s="92"/>
      <c r="ATY110" s="92"/>
      <c r="ATZ110" s="92"/>
      <c r="AUA110" s="92"/>
      <c r="AUB110" s="92"/>
      <c r="AUC110" s="92"/>
      <c r="AUD110" s="92"/>
      <c r="AUE110" s="92"/>
      <c r="AUF110" s="92"/>
      <c r="AUG110" s="92"/>
      <c r="AUH110" s="92"/>
      <c r="AUI110" s="92"/>
      <c r="AUJ110" s="91"/>
      <c r="AUK110" s="92"/>
      <c r="AUL110" s="92"/>
      <c r="AUM110" s="92"/>
      <c r="AUN110" s="92"/>
      <c r="AUO110" s="92"/>
      <c r="AUP110" s="92"/>
      <c r="AUQ110" s="92"/>
      <c r="AUR110" s="92"/>
      <c r="AUS110" s="92"/>
      <c r="AUT110" s="92"/>
      <c r="AUU110" s="92"/>
      <c r="AUV110" s="92"/>
      <c r="AUW110" s="92"/>
      <c r="AUX110" s="92"/>
      <c r="AUY110" s="92"/>
      <c r="AUZ110" s="92"/>
      <c r="AVA110" s="92"/>
      <c r="AVB110" s="92"/>
      <c r="AVC110" s="92"/>
      <c r="AVD110" s="92"/>
      <c r="AVE110" s="92"/>
      <c r="AVF110" s="91"/>
      <c r="AVG110" s="92"/>
      <c r="AVH110" s="92"/>
      <c r="AVI110" s="92"/>
      <c r="AVJ110" s="92"/>
      <c r="AVK110" s="92"/>
      <c r="AVL110" s="92"/>
      <c r="AVM110" s="92"/>
      <c r="AVN110" s="92"/>
      <c r="AVO110" s="92"/>
      <c r="AVP110" s="92"/>
      <c r="AVQ110" s="92"/>
      <c r="AVR110" s="92"/>
      <c r="AVS110" s="92"/>
      <c r="AVT110" s="92"/>
      <c r="AVU110" s="92"/>
      <c r="AVV110" s="92"/>
      <c r="AVW110" s="92"/>
      <c r="AVX110" s="92"/>
      <c r="AVY110" s="92"/>
      <c r="AVZ110" s="92"/>
      <c r="AWA110" s="92"/>
      <c r="AWB110" s="91"/>
      <c r="AWC110" s="92"/>
      <c r="AWD110" s="92"/>
      <c r="AWE110" s="92"/>
      <c r="AWF110" s="92"/>
      <c r="AWG110" s="92"/>
      <c r="AWH110" s="92"/>
      <c r="AWI110" s="92"/>
      <c r="AWJ110" s="92"/>
      <c r="AWK110" s="92"/>
      <c r="AWL110" s="92"/>
      <c r="AWM110" s="92"/>
      <c r="AWN110" s="92"/>
      <c r="AWO110" s="92"/>
      <c r="AWP110" s="92"/>
      <c r="AWQ110" s="92"/>
      <c r="AWR110" s="92"/>
      <c r="AWS110" s="92"/>
      <c r="AWT110" s="92"/>
      <c r="AWU110" s="92"/>
      <c r="AWV110" s="92"/>
      <c r="AWW110" s="92"/>
      <c r="AWX110" s="91"/>
      <c r="AWY110" s="92"/>
      <c r="AWZ110" s="92"/>
      <c r="AXA110" s="92"/>
      <c r="AXB110" s="92"/>
      <c r="AXC110" s="92"/>
      <c r="AXD110" s="92"/>
      <c r="AXE110" s="92"/>
      <c r="AXF110" s="92"/>
      <c r="AXG110" s="92"/>
      <c r="AXH110" s="92"/>
      <c r="AXI110" s="92"/>
      <c r="AXJ110" s="92"/>
      <c r="AXK110" s="92"/>
      <c r="AXL110" s="92"/>
      <c r="AXM110" s="92"/>
      <c r="AXN110" s="92"/>
      <c r="AXO110" s="92"/>
      <c r="AXP110" s="92"/>
      <c r="AXQ110" s="92"/>
      <c r="AXR110" s="92"/>
      <c r="AXS110" s="92"/>
      <c r="AXT110" s="91"/>
      <c r="AXU110" s="92"/>
      <c r="AXV110" s="92"/>
      <c r="AXW110" s="92"/>
      <c r="AXX110" s="92"/>
      <c r="AXY110" s="92"/>
      <c r="AXZ110" s="92"/>
      <c r="AYA110" s="92"/>
      <c r="AYB110" s="92"/>
      <c r="AYC110" s="92"/>
      <c r="AYD110" s="92"/>
      <c r="AYE110" s="92"/>
      <c r="AYF110" s="92"/>
      <c r="AYG110" s="92"/>
      <c r="AYH110" s="92"/>
      <c r="AYI110" s="92"/>
      <c r="AYJ110" s="92"/>
      <c r="AYK110" s="92"/>
      <c r="AYL110" s="92"/>
      <c r="AYM110" s="92"/>
      <c r="AYN110" s="92"/>
      <c r="AYO110" s="92"/>
      <c r="AYP110" s="91"/>
      <c r="AYQ110" s="92"/>
      <c r="AYR110" s="92"/>
      <c r="AYS110" s="92"/>
      <c r="AYT110" s="92"/>
      <c r="AYU110" s="92"/>
      <c r="AYV110" s="92"/>
      <c r="AYW110" s="92"/>
      <c r="AYX110" s="92"/>
      <c r="AYY110" s="92"/>
      <c r="AYZ110" s="92"/>
      <c r="AZA110" s="92"/>
      <c r="AZB110" s="92"/>
      <c r="AZC110" s="92"/>
      <c r="AZD110" s="92"/>
      <c r="AZE110" s="92"/>
      <c r="AZF110" s="92"/>
      <c r="AZG110" s="92"/>
      <c r="AZH110" s="92"/>
      <c r="AZI110" s="92"/>
      <c r="AZJ110" s="92"/>
      <c r="AZK110" s="92"/>
      <c r="AZL110" s="91"/>
      <c r="AZM110" s="92"/>
      <c r="AZN110" s="92"/>
      <c r="AZO110" s="92"/>
      <c r="AZP110" s="92"/>
      <c r="AZQ110" s="92"/>
      <c r="AZR110" s="92"/>
      <c r="AZS110" s="92"/>
      <c r="AZT110" s="92"/>
      <c r="AZU110" s="92"/>
      <c r="AZV110" s="92"/>
      <c r="AZW110" s="92"/>
      <c r="AZX110" s="92"/>
      <c r="AZY110" s="92"/>
      <c r="AZZ110" s="92"/>
      <c r="BAA110" s="92"/>
      <c r="BAB110" s="92"/>
      <c r="BAC110" s="92"/>
      <c r="BAD110" s="92"/>
      <c r="BAE110" s="92"/>
      <c r="BAF110" s="92"/>
      <c r="BAG110" s="92"/>
      <c r="BAH110" s="91"/>
      <c r="BAI110" s="92"/>
      <c r="BAJ110" s="92"/>
      <c r="BAK110" s="92"/>
      <c r="BAL110" s="92"/>
      <c r="BAM110" s="92"/>
      <c r="BAN110" s="92"/>
      <c r="BAO110" s="92"/>
      <c r="BAP110" s="92"/>
      <c r="BAQ110" s="92"/>
      <c r="BAR110" s="92"/>
      <c r="BAS110" s="92"/>
      <c r="BAT110" s="92"/>
      <c r="BAU110" s="92"/>
      <c r="BAV110" s="92"/>
      <c r="BAW110" s="92"/>
      <c r="BAX110" s="92"/>
      <c r="BAY110" s="92"/>
      <c r="BAZ110" s="92"/>
      <c r="BBA110" s="92"/>
      <c r="BBB110" s="92"/>
      <c r="BBC110" s="92"/>
      <c r="BBD110" s="91"/>
      <c r="BBE110" s="92"/>
      <c r="BBF110" s="92"/>
      <c r="BBG110" s="92"/>
      <c r="BBH110" s="92"/>
      <c r="BBI110" s="92"/>
      <c r="BBJ110" s="92"/>
      <c r="BBK110" s="92"/>
      <c r="BBL110" s="92"/>
      <c r="BBM110" s="92"/>
      <c r="BBN110" s="92"/>
      <c r="BBO110" s="92"/>
      <c r="BBP110" s="92"/>
      <c r="BBQ110" s="92"/>
      <c r="BBR110" s="92"/>
      <c r="BBS110" s="92"/>
      <c r="BBT110" s="92"/>
      <c r="BBU110" s="92"/>
      <c r="BBV110" s="92"/>
      <c r="BBW110" s="92"/>
      <c r="BBX110" s="92"/>
      <c r="BBY110" s="92"/>
      <c r="BBZ110" s="91"/>
      <c r="BCA110" s="92"/>
      <c r="BCB110" s="92"/>
      <c r="BCC110" s="92"/>
      <c r="BCD110" s="92"/>
      <c r="BCE110" s="92"/>
      <c r="BCF110" s="92"/>
      <c r="BCG110" s="92"/>
      <c r="BCH110" s="92"/>
      <c r="BCI110" s="92"/>
      <c r="BCJ110" s="92"/>
      <c r="BCK110" s="92"/>
      <c r="BCL110" s="92"/>
      <c r="BCM110" s="92"/>
      <c r="BCN110" s="92"/>
      <c r="BCO110" s="92"/>
      <c r="BCP110" s="92"/>
      <c r="BCQ110" s="92"/>
      <c r="BCR110" s="92"/>
      <c r="BCS110" s="92"/>
      <c r="BCT110" s="92"/>
      <c r="BCU110" s="92"/>
      <c r="BCV110" s="91"/>
      <c r="BCW110" s="92"/>
      <c r="BCX110" s="92"/>
      <c r="BCY110" s="92"/>
      <c r="BCZ110" s="92"/>
      <c r="BDA110" s="92"/>
      <c r="BDB110" s="92"/>
      <c r="BDC110" s="92"/>
      <c r="BDD110" s="92"/>
      <c r="BDE110" s="92"/>
      <c r="BDF110" s="92"/>
      <c r="BDG110" s="92"/>
      <c r="BDH110" s="92"/>
      <c r="BDI110" s="92"/>
      <c r="BDJ110" s="92"/>
      <c r="BDK110" s="92"/>
      <c r="BDL110" s="92"/>
      <c r="BDM110" s="92"/>
      <c r="BDN110" s="92"/>
      <c r="BDO110" s="92"/>
      <c r="BDP110" s="92"/>
      <c r="BDQ110" s="92"/>
      <c r="BDR110" s="91"/>
      <c r="BDS110" s="92"/>
      <c r="BDT110" s="92"/>
      <c r="BDU110" s="92"/>
      <c r="BDV110" s="92"/>
      <c r="BDW110" s="92"/>
      <c r="BDX110" s="92"/>
      <c r="BDY110" s="92"/>
      <c r="BDZ110" s="92"/>
      <c r="BEA110" s="92"/>
      <c r="BEB110" s="92"/>
      <c r="BEC110" s="92"/>
      <c r="BED110" s="92"/>
      <c r="BEE110" s="92"/>
      <c r="BEF110" s="92"/>
      <c r="BEG110" s="92"/>
      <c r="BEH110" s="92"/>
      <c r="BEI110" s="92"/>
      <c r="BEJ110" s="92"/>
      <c r="BEK110" s="92"/>
      <c r="BEL110" s="92"/>
      <c r="BEM110" s="92"/>
      <c r="BEN110" s="91"/>
      <c r="BEO110" s="92"/>
      <c r="BEP110" s="92"/>
      <c r="BEQ110" s="92"/>
      <c r="BER110" s="92"/>
      <c r="BES110" s="92"/>
      <c r="BET110" s="92"/>
      <c r="BEU110" s="92"/>
      <c r="BEV110" s="92"/>
      <c r="BEW110" s="92"/>
      <c r="BEX110" s="92"/>
      <c r="BEY110" s="92"/>
      <c r="BEZ110" s="92"/>
      <c r="BFA110" s="92"/>
      <c r="BFB110" s="92"/>
      <c r="BFC110" s="92"/>
      <c r="BFD110" s="92"/>
      <c r="BFE110" s="92"/>
      <c r="BFF110" s="92"/>
      <c r="BFG110" s="92"/>
      <c r="BFH110" s="92"/>
      <c r="BFI110" s="92"/>
      <c r="BFJ110" s="91"/>
      <c r="BFK110" s="92"/>
      <c r="BFL110" s="92"/>
      <c r="BFM110" s="92"/>
      <c r="BFN110" s="92"/>
      <c r="BFO110" s="92"/>
      <c r="BFP110" s="92"/>
      <c r="BFQ110" s="92"/>
      <c r="BFR110" s="92"/>
      <c r="BFS110" s="92"/>
      <c r="BFT110" s="92"/>
      <c r="BFU110" s="92"/>
      <c r="BFV110" s="92"/>
      <c r="BFW110" s="92"/>
      <c r="BFX110" s="92"/>
      <c r="BFY110" s="92"/>
      <c r="BFZ110" s="92"/>
      <c r="BGA110" s="92"/>
      <c r="BGB110" s="92"/>
      <c r="BGC110" s="92"/>
      <c r="BGD110" s="92"/>
      <c r="BGE110" s="92"/>
      <c r="BGF110" s="91"/>
      <c r="BGG110" s="92"/>
      <c r="BGH110" s="92"/>
      <c r="BGI110" s="92"/>
      <c r="BGJ110" s="92"/>
      <c r="BGK110" s="92"/>
      <c r="BGL110" s="92"/>
      <c r="BGM110" s="92"/>
      <c r="BGN110" s="92"/>
      <c r="BGO110" s="92"/>
      <c r="BGP110" s="92"/>
      <c r="BGQ110" s="92"/>
      <c r="BGR110" s="92"/>
      <c r="BGS110" s="92"/>
      <c r="BGT110" s="92"/>
      <c r="BGU110" s="92"/>
      <c r="BGV110" s="92"/>
      <c r="BGW110" s="92"/>
      <c r="BGX110" s="92"/>
      <c r="BGY110" s="92"/>
      <c r="BGZ110" s="92"/>
      <c r="BHA110" s="92"/>
      <c r="BHB110" s="91"/>
      <c r="BHC110" s="92"/>
      <c r="BHD110" s="92"/>
      <c r="BHE110" s="92"/>
      <c r="BHF110" s="92"/>
      <c r="BHG110" s="92"/>
      <c r="BHH110" s="92"/>
      <c r="BHI110" s="92"/>
      <c r="BHJ110" s="92"/>
      <c r="BHK110" s="92"/>
      <c r="BHL110" s="92"/>
      <c r="BHM110" s="92"/>
      <c r="BHN110" s="92"/>
      <c r="BHO110" s="92"/>
      <c r="BHP110" s="92"/>
      <c r="BHQ110" s="92"/>
      <c r="BHR110" s="92"/>
      <c r="BHS110" s="92"/>
      <c r="BHT110" s="92"/>
      <c r="BHU110" s="92"/>
      <c r="BHV110" s="92"/>
      <c r="BHW110" s="92"/>
      <c r="BHX110" s="91"/>
      <c r="BHY110" s="92"/>
      <c r="BHZ110" s="92"/>
      <c r="BIA110" s="92"/>
      <c r="BIB110" s="92"/>
      <c r="BIC110" s="92"/>
      <c r="BID110" s="92"/>
      <c r="BIE110" s="92"/>
      <c r="BIF110" s="92"/>
      <c r="BIG110" s="92"/>
      <c r="BIH110" s="92"/>
      <c r="BII110" s="92"/>
      <c r="BIJ110" s="92"/>
      <c r="BIK110" s="92"/>
      <c r="BIL110" s="92"/>
      <c r="BIM110" s="92"/>
      <c r="BIN110" s="92"/>
      <c r="BIO110" s="92"/>
      <c r="BIP110" s="92"/>
      <c r="BIQ110" s="92"/>
      <c r="BIR110" s="92"/>
      <c r="BIS110" s="92"/>
      <c r="BIT110" s="91"/>
      <c r="BIU110" s="92"/>
      <c r="BIV110" s="92"/>
      <c r="BIW110" s="92"/>
      <c r="BIX110" s="92"/>
      <c r="BIY110" s="92"/>
      <c r="BIZ110" s="92"/>
      <c r="BJA110" s="92"/>
      <c r="BJB110" s="92"/>
      <c r="BJC110" s="92"/>
      <c r="BJD110" s="92"/>
      <c r="BJE110" s="92"/>
      <c r="BJF110" s="92"/>
      <c r="BJG110" s="92"/>
      <c r="BJH110" s="92"/>
      <c r="BJI110" s="92"/>
      <c r="BJJ110" s="92"/>
      <c r="BJK110" s="92"/>
      <c r="BJL110" s="92"/>
      <c r="BJM110" s="92"/>
      <c r="BJN110" s="92"/>
      <c r="BJO110" s="92"/>
      <c r="BJP110" s="91"/>
      <c r="BJQ110" s="92"/>
      <c r="BJR110" s="92"/>
      <c r="BJS110" s="92"/>
      <c r="BJT110" s="92"/>
      <c r="BJU110" s="92"/>
      <c r="BJV110" s="92"/>
      <c r="BJW110" s="92"/>
      <c r="BJX110" s="92"/>
      <c r="BJY110" s="92"/>
      <c r="BJZ110" s="92"/>
      <c r="BKA110" s="92"/>
      <c r="BKB110" s="92"/>
      <c r="BKC110" s="92"/>
      <c r="BKD110" s="92"/>
      <c r="BKE110" s="92"/>
      <c r="BKF110" s="92"/>
      <c r="BKG110" s="92"/>
      <c r="BKH110" s="92"/>
      <c r="BKI110" s="92"/>
      <c r="BKJ110" s="92"/>
      <c r="BKK110" s="92"/>
      <c r="BKL110" s="91"/>
      <c r="BKM110" s="92"/>
      <c r="BKN110" s="92"/>
      <c r="BKO110" s="92"/>
      <c r="BKP110" s="92"/>
      <c r="BKQ110" s="92"/>
      <c r="BKR110" s="92"/>
      <c r="BKS110" s="92"/>
      <c r="BKT110" s="92"/>
      <c r="BKU110" s="92"/>
      <c r="BKV110" s="92"/>
      <c r="BKW110" s="92"/>
      <c r="BKX110" s="92"/>
      <c r="BKY110" s="92"/>
      <c r="BKZ110" s="92"/>
      <c r="BLA110" s="92"/>
      <c r="BLB110" s="92"/>
      <c r="BLC110" s="92"/>
      <c r="BLD110" s="92"/>
      <c r="BLE110" s="92"/>
      <c r="BLF110" s="92"/>
      <c r="BLG110" s="92"/>
      <c r="BLH110" s="91"/>
      <c r="BLI110" s="92"/>
      <c r="BLJ110" s="92"/>
      <c r="BLK110" s="92"/>
      <c r="BLL110" s="92"/>
      <c r="BLM110" s="92"/>
      <c r="BLN110" s="92"/>
      <c r="BLO110" s="92"/>
      <c r="BLP110" s="92"/>
      <c r="BLQ110" s="92"/>
      <c r="BLR110" s="92"/>
      <c r="BLS110" s="92"/>
      <c r="BLT110" s="92"/>
      <c r="BLU110" s="92"/>
      <c r="BLV110" s="92"/>
      <c r="BLW110" s="92"/>
      <c r="BLX110" s="92"/>
      <c r="BLY110" s="92"/>
      <c r="BLZ110" s="92"/>
      <c r="BMA110" s="92"/>
      <c r="BMB110" s="92"/>
      <c r="BMC110" s="92"/>
      <c r="BMD110" s="91"/>
      <c r="BME110" s="92"/>
      <c r="BMF110" s="92"/>
      <c r="BMG110" s="92"/>
      <c r="BMH110" s="92"/>
      <c r="BMI110" s="92"/>
      <c r="BMJ110" s="92"/>
      <c r="BMK110" s="92"/>
      <c r="BML110" s="92"/>
      <c r="BMM110" s="92"/>
      <c r="BMN110" s="92"/>
      <c r="BMO110" s="92"/>
      <c r="BMP110" s="92"/>
      <c r="BMQ110" s="92"/>
      <c r="BMR110" s="92"/>
      <c r="BMS110" s="92"/>
      <c r="BMT110" s="92"/>
      <c r="BMU110" s="92"/>
      <c r="BMV110" s="92"/>
      <c r="BMW110" s="92"/>
      <c r="BMX110" s="92"/>
      <c r="BMY110" s="92"/>
      <c r="BMZ110" s="91"/>
      <c r="BNA110" s="92"/>
      <c r="BNB110" s="92"/>
      <c r="BNC110" s="92"/>
      <c r="BND110" s="92"/>
      <c r="BNE110" s="92"/>
      <c r="BNF110" s="92"/>
      <c r="BNG110" s="92"/>
      <c r="BNH110" s="92"/>
      <c r="BNI110" s="92"/>
      <c r="BNJ110" s="92"/>
      <c r="BNK110" s="92"/>
      <c r="BNL110" s="92"/>
      <c r="BNM110" s="92"/>
      <c r="BNN110" s="92"/>
      <c r="BNO110" s="92"/>
      <c r="BNP110" s="92"/>
      <c r="BNQ110" s="92"/>
      <c r="BNR110" s="92"/>
      <c r="BNS110" s="92"/>
      <c r="BNT110" s="92"/>
      <c r="BNU110" s="92"/>
      <c r="BNV110" s="91"/>
      <c r="BNW110" s="92"/>
      <c r="BNX110" s="92"/>
      <c r="BNY110" s="92"/>
      <c r="BNZ110" s="92"/>
      <c r="BOA110" s="92"/>
      <c r="BOB110" s="92"/>
      <c r="BOC110" s="92"/>
      <c r="BOD110" s="92"/>
      <c r="BOE110" s="92"/>
      <c r="BOF110" s="92"/>
      <c r="BOG110" s="92"/>
      <c r="BOH110" s="92"/>
      <c r="BOI110" s="92"/>
      <c r="BOJ110" s="92"/>
      <c r="BOK110" s="92"/>
      <c r="BOL110" s="92"/>
      <c r="BOM110" s="92"/>
      <c r="BON110" s="92"/>
      <c r="BOO110" s="92"/>
      <c r="BOP110" s="92"/>
      <c r="BOQ110" s="92"/>
      <c r="BOR110" s="91"/>
      <c r="BOS110" s="92"/>
      <c r="BOT110" s="92"/>
      <c r="BOU110" s="92"/>
      <c r="BOV110" s="92"/>
      <c r="BOW110" s="92"/>
      <c r="BOX110" s="92"/>
      <c r="BOY110" s="92"/>
      <c r="BOZ110" s="92"/>
      <c r="BPA110" s="92"/>
      <c r="BPB110" s="92"/>
      <c r="BPC110" s="92"/>
      <c r="BPD110" s="92"/>
      <c r="BPE110" s="92"/>
      <c r="BPF110" s="92"/>
      <c r="BPG110" s="92"/>
      <c r="BPH110" s="92"/>
      <c r="BPI110" s="92"/>
      <c r="BPJ110" s="92"/>
      <c r="BPK110" s="92"/>
      <c r="BPL110" s="92"/>
      <c r="BPM110" s="92"/>
      <c r="BPN110" s="91"/>
      <c r="BPO110" s="92"/>
      <c r="BPP110" s="92"/>
      <c r="BPQ110" s="92"/>
      <c r="BPR110" s="92"/>
      <c r="BPS110" s="92"/>
      <c r="BPT110" s="92"/>
      <c r="BPU110" s="92"/>
      <c r="BPV110" s="92"/>
      <c r="BPW110" s="92"/>
      <c r="BPX110" s="92"/>
      <c r="BPY110" s="92"/>
      <c r="BPZ110" s="92"/>
      <c r="BQA110" s="92"/>
      <c r="BQB110" s="92"/>
      <c r="BQC110" s="92"/>
      <c r="BQD110" s="92"/>
      <c r="BQE110" s="92"/>
      <c r="BQF110" s="92"/>
      <c r="BQG110" s="92"/>
      <c r="BQH110" s="92"/>
      <c r="BQI110" s="92"/>
      <c r="BQJ110" s="91"/>
      <c r="BQK110" s="92"/>
      <c r="BQL110" s="92"/>
      <c r="BQM110" s="92"/>
      <c r="BQN110" s="92"/>
      <c r="BQO110" s="92"/>
      <c r="BQP110" s="92"/>
      <c r="BQQ110" s="92"/>
      <c r="BQR110" s="92"/>
      <c r="BQS110" s="92"/>
      <c r="BQT110" s="92"/>
      <c r="BQU110" s="92"/>
      <c r="BQV110" s="92"/>
      <c r="BQW110" s="92"/>
      <c r="BQX110" s="92"/>
      <c r="BQY110" s="92"/>
      <c r="BQZ110" s="92"/>
      <c r="BRA110" s="92"/>
      <c r="BRB110" s="92"/>
      <c r="BRC110" s="92"/>
      <c r="BRD110" s="92"/>
      <c r="BRE110" s="92"/>
      <c r="BRF110" s="91"/>
      <c r="BRG110" s="92"/>
      <c r="BRH110" s="92"/>
      <c r="BRI110" s="92"/>
      <c r="BRJ110" s="92"/>
      <c r="BRK110" s="92"/>
      <c r="BRL110" s="92"/>
      <c r="BRM110" s="92"/>
      <c r="BRN110" s="92"/>
      <c r="BRO110" s="92"/>
      <c r="BRP110" s="92"/>
      <c r="BRQ110" s="92"/>
      <c r="BRR110" s="92"/>
      <c r="BRS110" s="92"/>
      <c r="BRT110" s="92"/>
      <c r="BRU110" s="92"/>
      <c r="BRV110" s="92"/>
      <c r="BRW110" s="92"/>
      <c r="BRX110" s="92"/>
      <c r="BRY110" s="92"/>
      <c r="BRZ110" s="92"/>
      <c r="BSA110" s="92"/>
      <c r="BSB110" s="91"/>
      <c r="BSC110" s="92"/>
      <c r="BSD110" s="92"/>
      <c r="BSE110" s="92"/>
      <c r="BSF110" s="92"/>
      <c r="BSG110" s="92"/>
      <c r="BSH110" s="92"/>
      <c r="BSI110" s="92"/>
      <c r="BSJ110" s="92"/>
      <c r="BSK110" s="92"/>
      <c r="BSL110" s="92"/>
      <c r="BSM110" s="92"/>
      <c r="BSN110" s="92"/>
      <c r="BSO110" s="92"/>
      <c r="BSP110" s="92"/>
      <c r="BSQ110" s="92"/>
      <c r="BSR110" s="92"/>
      <c r="BSS110" s="92"/>
      <c r="BST110" s="92"/>
      <c r="BSU110" s="92"/>
      <c r="BSV110" s="92"/>
      <c r="BSW110" s="92"/>
      <c r="BSX110" s="91"/>
      <c r="BSY110" s="92"/>
      <c r="BSZ110" s="92"/>
      <c r="BTA110" s="92"/>
      <c r="BTB110" s="92"/>
      <c r="BTC110" s="92"/>
      <c r="BTD110" s="92"/>
      <c r="BTE110" s="92"/>
      <c r="BTF110" s="92"/>
      <c r="BTG110" s="92"/>
      <c r="BTH110" s="92"/>
      <c r="BTI110" s="92"/>
      <c r="BTJ110" s="92"/>
      <c r="BTK110" s="92"/>
      <c r="BTL110" s="92"/>
      <c r="BTM110" s="92"/>
      <c r="BTN110" s="92"/>
      <c r="BTO110" s="92"/>
      <c r="BTP110" s="92"/>
      <c r="BTQ110" s="92"/>
      <c r="BTR110" s="92"/>
      <c r="BTS110" s="92"/>
      <c r="BTT110" s="91"/>
      <c r="BTU110" s="92"/>
      <c r="BTV110" s="92"/>
      <c r="BTW110" s="92"/>
      <c r="BTX110" s="92"/>
      <c r="BTY110" s="92"/>
      <c r="BTZ110" s="92"/>
      <c r="BUA110" s="92"/>
      <c r="BUB110" s="92"/>
      <c r="BUC110" s="92"/>
      <c r="BUD110" s="92"/>
      <c r="BUE110" s="92"/>
      <c r="BUF110" s="92"/>
      <c r="BUG110" s="92"/>
      <c r="BUH110" s="92"/>
      <c r="BUI110" s="92"/>
      <c r="BUJ110" s="92"/>
      <c r="BUK110" s="92"/>
      <c r="BUL110" s="92"/>
      <c r="BUM110" s="92"/>
      <c r="BUN110" s="92"/>
      <c r="BUO110" s="92"/>
      <c r="BUP110" s="91"/>
      <c r="BUQ110" s="92"/>
      <c r="BUR110" s="92"/>
      <c r="BUS110" s="92"/>
      <c r="BUT110" s="92"/>
      <c r="BUU110" s="92"/>
      <c r="BUV110" s="92"/>
      <c r="BUW110" s="92"/>
      <c r="BUX110" s="92"/>
      <c r="BUY110" s="92"/>
      <c r="BUZ110" s="92"/>
      <c r="BVA110" s="92"/>
      <c r="BVB110" s="92"/>
      <c r="BVC110" s="92"/>
      <c r="BVD110" s="92"/>
      <c r="BVE110" s="92"/>
      <c r="BVF110" s="92"/>
      <c r="BVG110" s="92"/>
      <c r="BVH110" s="92"/>
      <c r="BVI110" s="92"/>
      <c r="BVJ110" s="92"/>
      <c r="BVK110" s="92"/>
      <c r="BVL110" s="91"/>
      <c r="BVM110" s="92"/>
      <c r="BVN110" s="92"/>
      <c r="BVO110" s="92"/>
      <c r="BVP110" s="92"/>
      <c r="BVQ110" s="92"/>
      <c r="BVR110" s="92"/>
      <c r="BVS110" s="92"/>
      <c r="BVT110" s="92"/>
      <c r="BVU110" s="92"/>
      <c r="BVV110" s="92"/>
      <c r="BVW110" s="92"/>
      <c r="BVX110" s="92"/>
      <c r="BVY110" s="92"/>
      <c r="BVZ110" s="92"/>
      <c r="BWA110" s="92"/>
      <c r="BWB110" s="92"/>
      <c r="BWC110" s="92"/>
      <c r="BWD110" s="92"/>
      <c r="BWE110" s="92"/>
      <c r="BWF110" s="92"/>
      <c r="BWG110" s="92"/>
      <c r="BWH110" s="91"/>
      <c r="BWI110" s="92"/>
      <c r="BWJ110" s="92"/>
      <c r="BWK110" s="92"/>
      <c r="BWL110" s="92"/>
      <c r="BWM110" s="92"/>
      <c r="BWN110" s="92"/>
      <c r="BWO110" s="92"/>
      <c r="BWP110" s="92"/>
      <c r="BWQ110" s="92"/>
      <c r="BWR110" s="92"/>
      <c r="BWS110" s="92"/>
      <c r="BWT110" s="92"/>
      <c r="BWU110" s="92"/>
      <c r="BWV110" s="92"/>
      <c r="BWW110" s="92"/>
      <c r="BWX110" s="92"/>
      <c r="BWY110" s="92"/>
      <c r="BWZ110" s="92"/>
      <c r="BXA110" s="92"/>
      <c r="BXB110" s="92"/>
      <c r="BXC110" s="92"/>
      <c r="BXD110" s="91"/>
      <c r="BXE110" s="92"/>
      <c r="BXF110" s="92"/>
      <c r="BXG110" s="92"/>
      <c r="BXH110" s="92"/>
      <c r="BXI110" s="92"/>
      <c r="BXJ110" s="92"/>
      <c r="BXK110" s="92"/>
      <c r="BXL110" s="92"/>
      <c r="BXM110" s="92"/>
      <c r="BXN110" s="92"/>
      <c r="BXO110" s="92"/>
      <c r="BXP110" s="92"/>
      <c r="BXQ110" s="92"/>
      <c r="BXR110" s="92"/>
      <c r="BXS110" s="92"/>
      <c r="BXT110" s="92"/>
      <c r="BXU110" s="92"/>
      <c r="BXV110" s="92"/>
      <c r="BXW110" s="92"/>
      <c r="BXX110" s="92"/>
      <c r="BXY110" s="92"/>
      <c r="BXZ110" s="91"/>
      <c r="BYA110" s="92"/>
      <c r="BYB110" s="92"/>
      <c r="BYC110" s="92"/>
      <c r="BYD110" s="92"/>
      <c r="BYE110" s="92"/>
      <c r="BYF110" s="92"/>
      <c r="BYG110" s="92"/>
      <c r="BYH110" s="92"/>
      <c r="BYI110" s="92"/>
      <c r="BYJ110" s="92"/>
      <c r="BYK110" s="92"/>
      <c r="BYL110" s="92"/>
      <c r="BYM110" s="92"/>
      <c r="BYN110" s="92"/>
      <c r="BYO110" s="92"/>
      <c r="BYP110" s="92"/>
      <c r="BYQ110" s="92"/>
      <c r="BYR110" s="92"/>
      <c r="BYS110" s="92"/>
      <c r="BYT110" s="92"/>
      <c r="BYU110" s="92"/>
      <c r="BYV110" s="91"/>
      <c r="BYW110" s="92"/>
      <c r="BYX110" s="92"/>
      <c r="BYY110" s="92"/>
      <c r="BYZ110" s="92"/>
      <c r="BZA110" s="92"/>
      <c r="BZB110" s="92"/>
      <c r="BZC110" s="92"/>
      <c r="BZD110" s="92"/>
      <c r="BZE110" s="92"/>
      <c r="BZF110" s="92"/>
      <c r="BZG110" s="92"/>
      <c r="BZH110" s="92"/>
      <c r="BZI110" s="92"/>
      <c r="BZJ110" s="92"/>
      <c r="BZK110" s="92"/>
      <c r="BZL110" s="92"/>
      <c r="BZM110" s="92"/>
      <c r="BZN110" s="92"/>
      <c r="BZO110" s="92"/>
      <c r="BZP110" s="92"/>
      <c r="BZQ110" s="92"/>
      <c r="BZR110" s="91"/>
      <c r="BZS110" s="92"/>
      <c r="BZT110" s="92"/>
      <c r="BZU110" s="92"/>
      <c r="BZV110" s="92"/>
      <c r="BZW110" s="92"/>
      <c r="BZX110" s="92"/>
      <c r="BZY110" s="92"/>
      <c r="BZZ110" s="92"/>
      <c r="CAA110" s="92"/>
      <c r="CAB110" s="92"/>
      <c r="CAC110" s="92"/>
      <c r="CAD110" s="92"/>
      <c r="CAE110" s="92"/>
      <c r="CAF110" s="92"/>
      <c r="CAG110" s="92"/>
      <c r="CAH110" s="92"/>
      <c r="CAI110" s="92"/>
      <c r="CAJ110" s="92"/>
      <c r="CAK110" s="92"/>
      <c r="CAL110" s="92"/>
      <c r="CAM110" s="92"/>
      <c r="CAN110" s="91"/>
      <c r="CAO110" s="92"/>
      <c r="CAP110" s="92"/>
      <c r="CAQ110" s="92"/>
      <c r="CAR110" s="92"/>
      <c r="CAS110" s="92"/>
      <c r="CAT110" s="92"/>
      <c r="CAU110" s="92"/>
      <c r="CAV110" s="92"/>
      <c r="CAW110" s="92"/>
      <c r="CAX110" s="92"/>
      <c r="CAY110" s="92"/>
      <c r="CAZ110" s="92"/>
      <c r="CBA110" s="92"/>
      <c r="CBB110" s="92"/>
      <c r="CBC110" s="92"/>
      <c r="CBD110" s="92"/>
      <c r="CBE110" s="92"/>
      <c r="CBF110" s="92"/>
      <c r="CBG110" s="92"/>
      <c r="CBH110" s="92"/>
      <c r="CBI110" s="92"/>
      <c r="CBJ110" s="91"/>
      <c r="CBK110" s="92"/>
      <c r="CBL110" s="92"/>
      <c r="CBM110" s="92"/>
      <c r="CBN110" s="92"/>
      <c r="CBO110" s="92"/>
      <c r="CBP110" s="92"/>
      <c r="CBQ110" s="92"/>
      <c r="CBR110" s="92"/>
      <c r="CBS110" s="92"/>
      <c r="CBT110" s="92"/>
      <c r="CBU110" s="92"/>
      <c r="CBV110" s="92"/>
      <c r="CBW110" s="92"/>
      <c r="CBX110" s="92"/>
      <c r="CBY110" s="92"/>
      <c r="CBZ110" s="92"/>
      <c r="CCA110" s="92"/>
      <c r="CCB110" s="92"/>
      <c r="CCC110" s="92"/>
      <c r="CCD110" s="92"/>
      <c r="CCE110" s="92"/>
      <c r="CCF110" s="91"/>
      <c r="CCG110" s="92"/>
      <c r="CCH110" s="92"/>
      <c r="CCI110" s="92"/>
      <c r="CCJ110" s="92"/>
      <c r="CCK110" s="92"/>
      <c r="CCL110" s="92"/>
      <c r="CCM110" s="92"/>
      <c r="CCN110" s="92"/>
      <c r="CCO110" s="92"/>
      <c r="CCP110" s="92"/>
      <c r="CCQ110" s="92"/>
      <c r="CCR110" s="92"/>
      <c r="CCS110" s="92"/>
      <c r="CCT110" s="92"/>
      <c r="CCU110" s="92"/>
      <c r="CCV110" s="92"/>
      <c r="CCW110" s="92"/>
      <c r="CCX110" s="92"/>
      <c r="CCY110" s="92"/>
      <c r="CCZ110" s="92"/>
      <c r="CDA110" s="92"/>
      <c r="CDB110" s="91"/>
      <c r="CDC110" s="92"/>
      <c r="CDD110" s="92"/>
      <c r="CDE110" s="92"/>
      <c r="CDF110" s="92"/>
      <c r="CDG110" s="92"/>
      <c r="CDH110" s="92"/>
      <c r="CDI110" s="92"/>
      <c r="CDJ110" s="92"/>
      <c r="CDK110" s="92"/>
      <c r="CDL110" s="92"/>
      <c r="CDM110" s="92"/>
      <c r="CDN110" s="92"/>
      <c r="CDO110" s="92"/>
      <c r="CDP110" s="92"/>
      <c r="CDQ110" s="92"/>
      <c r="CDR110" s="92"/>
      <c r="CDS110" s="92"/>
      <c r="CDT110" s="92"/>
      <c r="CDU110" s="92"/>
      <c r="CDV110" s="92"/>
      <c r="CDW110" s="92"/>
      <c r="CDX110" s="91"/>
      <c r="CDY110" s="92"/>
      <c r="CDZ110" s="92"/>
      <c r="CEA110" s="92"/>
      <c r="CEB110" s="92"/>
      <c r="CEC110" s="92"/>
      <c r="CED110" s="92"/>
      <c r="CEE110" s="92"/>
      <c r="CEF110" s="92"/>
      <c r="CEG110" s="92"/>
      <c r="CEH110" s="92"/>
      <c r="CEI110" s="92"/>
      <c r="CEJ110" s="92"/>
      <c r="CEK110" s="92"/>
      <c r="CEL110" s="92"/>
      <c r="CEM110" s="92"/>
      <c r="CEN110" s="92"/>
      <c r="CEO110" s="92"/>
      <c r="CEP110" s="92"/>
      <c r="CEQ110" s="92"/>
      <c r="CER110" s="92"/>
      <c r="CES110" s="92"/>
      <c r="CET110" s="91"/>
      <c r="CEU110" s="92"/>
      <c r="CEV110" s="92"/>
      <c r="CEW110" s="92"/>
      <c r="CEX110" s="92"/>
      <c r="CEY110" s="92"/>
      <c r="CEZ110" s="92"/>
      <c r="CFA110" s="92"/>
      <c r="CFB110" s="92"/>
      <c r="CFC110" s="92"/>
      <c r="CFD110" s="92"/>
      <c r="CFE110" s="92"/>
      <c r="CFF110" s="92"/>
      <c r="CFG110" s="92"/>
      <c r="CFH110" s="92"/>
      <c r="CFI110" s="92"/>
      <c r="CFJ110" s="92"/>
      <c r="CFK110" s="92"/>
      <c r="CFL110" s="92"/>
      <c r="CFM110" s="92"/>
      <c r="CFN110" s="92"/>
      <c r="CFO110" s="92"/>
      <c r="CFP110" s="91"/>
      <c r="CFQ110" s="92"/>
      <c r="CFR110" s="92"/>
      <c r="CFS110" s="92"/>
      <c r="CFT110" s="92"/>
      <c r="CFU110" s="92"/>
      <c r="CFV110" s="92"/>
      <c r="CFW110" s="92"/>
      <c r="CFX110" s="92"/>
      <c r="CFY110" s="92"/>
      <c r="CFZ110" s="92"/>
      <c r="CGA110" s="92"/>
      <c r="CGB110" s="92"/>
      <c r="CGC110" s="92"/>
      <c r="CGD110" s="92"/>
      <c r="CGE110" s="92"/>
      <c r="CGF110" s="92"/>
      <c r="CGG110" s="92"/>
      <c r="CGH110" s="92"/>
      <c r="CGI110" s="92"/>
      <c r="CGJ110" s="92"/>
      <c r="CGK110" s="92"/>
      <c r="CGL110" s="91"/>
      <c r="CGM110" s="92"/>
      <c r="CGN110" s="92"/>
      <c r="CGO110" s="92"/>
      <c r="CGP110" s="92"/>
      <c r="CGQ110" s="92"/>
      <c r="CGR110" s="92"/>
      <c r="CGS110" s="92"/>
      <c r="CGT110" s="92"/>
      <c r="CGU110" s="92"/>
      <c r="CGV110" s="92"/>
      <c r="CGW110" s="92"/>
      <c r="CGX110" s="92"/>
      <c r="CGY110" s="92"/>
      <c r="CGZ110" s="92"/>
      <c r="CHA110" s="92"/>
      <c r="CHB110" s="92"/>
      <c r="CHC110" s="92"/>
      <c r="CHD110" s="92"/>
      <c r="CHE110" s="92"/>
      <c r="CHF110" s="92"/>
      <c r="CHG110" s="92"/>
      <c r="CHH110" s="91"/>
      <c r="CHI110" s="92"/>
      <c r="CHJ110" s="92"/>
      <c r="CHK110" s="92"/>
      <c r="CHL110" s="92"/>
      <c r="CHM110" s="92"/>
      <c r="CHN110" s="92"/>
      <c r="CHO110" s="92"/>
      <c r="CHP110" s="92"/>
      <c r="CHQ110" s="92"/>
      <c r="CHR110" s="92"/>
      <c r="CHS110" s="92"/>
      <c r="CHT110" s="92"/>
      <c r="CHU110" s="92"/>
      <c r="CHV110" s="92"/>
      <c r="CHW110" s="92"/>
      <c r="CHX110" s="92"/>
      <c r="CHY110" s="92"/>
      <c r="CHZ110" s="92"/>
      <c r="CIA110" s="92"/>
      <c r="CIB110" s="92"/>
      <c r="CIC110" s="92"/>
      <c r="CID110" s="91"/>
      <c r="CIE110" s="92"/>
      <c r="CIF110" s="92"/>
      <c r="CIG110" s="92"/>
      <c r="CIH110" s="92"/>
      <c r="CII110" s="92"/>
      <c r="CIJ110" s="92"/>
      <c r="CIK110" s="92"/>
      <c r="CIL110" s="92"/>
      <c r="CIM110" s="92"/>
      <c r="CIN110" s="92"/>
      <c r="CIO110" s="92"/>
      <c r="CIP110" s="92"/>
      <c r="CIQ110" s="92"/>
      <c r="CIR110" s="92"/>
      <c r="CIS110" s="92"/>
      <c r="CIT110" s="92"/>
      <c r="CIU110" s="92"/>
      <c r="CIV110" s="92"/>
      <c r="CIW110" s="92"/>
      <c r="CIX110" s="92"/>
      <c r="CIY110" s="92"/>
      <c r="CIZ110" s="91"/>
      <c r="CJA110" s="92"/>
      <c r="CJB110" s="92"/>
      <c r="CJC110" s="92"/>
      <c r="CJD110" s="92"/>
      <c r="CJE110" s="92"/>
      <c r="CJF110" s="92"/>
      <c r="CJG110" s="92"/>
      <c r="CJH110" s="92"/>
      <c r="CJI110" s="92"/>
      <c r="CJJ110" s="92"/>
      <c r="CJK110" s="92"/>
      <c r="CJL110" s="92"/>
      <c r="CJM110" s="92"/>
      <c r="CJN110" s="92"/>
      <c r="CJO110" s="92"/>
      <c r="CJP110" s="92"/>
      <c r="CJQ110" s="92"/>
      <c r="CJR110" s="92"/>
      <c r="CJS110" s="92"/>
      <c r="CJT110" s="92"/>
      <c r="CJU110" s="92"/>
      <c r="CJV110" s="91"/>
      <c r="CJW110" s="92"/>
      <c r="CJX110" s="92"/>
      <c r="CJY110" s="92"/>
      <c r="CJZ110" s="92"/>
      <c r="CKA110" s="92"/>
      <c r="CKB110" s="92"/>
      <c r="CKC110" s="92"/>
      <c r="CKD110" s="92"/>
      <c r="CKE110" s="92"/>
      <c r="CKF110" s="92"/>
      <c r="CKG110" s="92"/>
      <c r="CKH110" s="92"/>
      <c r="CKI110" s="92"/>
      <c r="CKJ110" s="92"/>
      <c r="CKK110" s="92"/>
      <c r="CKL110" s="92"/>
      <c r="CKM110" s="92"/>
      <c r="CKN110" s="92"/>
      <c r="CKO110" s="92"/>
      <c r="CKP110" s="92"/>
      <c r="CKQ110" s="92"/>
      <c r="CKR110" s="91"/>
      <c r="CKS110" s="92"/>
      <c r="CKT110" s="92"/>
      <c r="CKU110" s="92"/>
      <c r="CKV110" s="92"/>
      <c r="CKW110" s="92"/>
      <c r="CKX110" s="92"/>
      <c r="CKY110" s="92"/>
      <c r="CKZ110" s="92"/>
      <c r="CLA110" s="92"/>
      <c r="CLB110" s="92"/>
      <c r="CLC110" s="92"/>
      <c r="CLD110" s="92"/>
      <c r="CLE110" s="92"/>
      <c r="CLF110" s="92"/>
      <c r="CLG110" s="92"/>
      <c r="CLH110" s="92"/>
      <c r="CLI110" s="92"/>
      <c r="CLJ110" s="92"/>
      <c r="CLK110" s="92"/>
      <c r="CLL110" s="92"/>
      <c r="CLM110" s="92"/>
      <c r="CLN110" s="91"/>
      <c r="CLO110" s="92"/>
      <c r="CLP110" s="92"/>
      <c r="CLQ110" s="92"/>
      <c r="CLR110" s="92"/>
      <c r="CLS110" s="92"/>
      <c r="CLT110" s="92"/>
      <c r="CLU110" s="92"/>
      <c r="CLV110" s="92"/>
      <c r="CLW110" s="92"/>
      <c r="CLX110" s="92"/>
      <c r="CLY110" s="92"/>
      <c r="CLZ110" s="92"/>
      <c r="CMA110" s="92"/>
      <c r="CMB110" s="92"/>
      <c r="CMC110" s="92"/>
      <c r="CMD110" s="92"/>
      <c r="CME110" s="92"/>
      <c r="CMF110" s="92"/>
      <c r="CMG110" s="92"/>
      <c r="CMH110" s="92"/>
      <c r="CMI110" s="92"/>
      <c r="CMJ110" s="91"/>
      <c r="CMK110" s="92"/>
      <c r="CML110" s="92"/>
      <c r="CMM110" s="92"/>
      <c r="CMN110" s="92"/>
      <c r="CMO110" s="92"/>
      <c r="CMP110" s="92"/>
      <c r="CMQ110" s="92"/>
      <c r="CMR110" s="92"/>
      <c r="CMS110" s="92"/>
      <c r="CMT110" s="92"/>
      <c r="CMU110" s="92"/>
      <c r="CMV110" s="92"/>
      <c r="CMW110" s="92"/>
      <c r="CMX110" s="92"/>
      <c r="CMY110" s="92"/>
      <c r="CMZ110" s="92"/>
      <c r="CNA110" s="92"/>
      <c r="CNB110" s="92"/>
      <c r="CNC110" s="92"/>
      <c r="CND110" s="92"/>
      <c r="CNE110" s="92"/>
      <c r="CNF110" s="91"/>
      <c r="CNG110" s="92"/>
      <c r="CNH110" s="92"/>
      <c r="CNI110" s="92"/>
      <c r="CNJ110" s="92"/>
      <c r="CNK110" s="92"/>
      <c r="CNL110" s="92"/>
      <c r="CNM110" s="92"/>
      <c r="CNN110" s="92"/>
      <c r="CNO110" s="92"/>
      <c r="CNP110" s="92"/>
      <c r="CNQ110" s="92"/>
      <c r="CNR110" s="92"/>
      <c r="CNS110" s="92"/>
      <c r="CNT110" s="92"/>
      <c r="CNU110" s="92"/>
      <c r="CNV110" s="92"/>
      <c r="CNW110" s="92"/>
      <c r="CNX110" s="92"/>
      <c r="CNY110" s="92"/>
      <c r="CNZ110" s="92"/>
      <c r="COA110" s="92"/>
      <c r="COB110" s="91"/>
      <c r="COC110" s="92"/>
      <c r="COD110" s="92"/>
      <c r="COE110" s="92"/>
      <c r="COF110" s="92"/>
      <c r="COG110" s="92"/>
      <c r="COH110" s="92"/>
      <c r="COI110" s="92"/>
      <c r="COJ110" s="92"/>
      <c r="COK110" s="92"/>
      <c r="COL110" s="92"/>
      <c r="COM110" s="92"/>
      <c r="CON110" s="92"/>
      <c r="COO110" s="92"/>
      <c r="COP110" s="92"/>
      <c r="COQ110" s="92"/>
      <c r="COR110" s="92"/>
      <c r="COS110" s="92"/>
      <c r="COT110" s="92"/>
      <c r="COU110" s="92"/>
      <c r="COV110" s="92"/>
      <c r="COW110" s="92"/>
      <c r="COX110" s="91"/>
      <c r="COY110" s="92"/>
      <c r="COZ110" s="92"/>
      <c r="CPA110" s="92"/>
      <c r="CPB110" s="92"/>
      <c r="CPC110" s="92"/>
      <c r="CPD110" s="92"/>
      <c r="CPE110" s="92"/>
      <c r="CPF110" s="92"/>
      <c r="CPG110" s="92"/>
      <c r="CPH110" s="92"/>
      <c r="CPI110" s="92"/>
      <c r="CPJ110" s="92"/>
      <c r="CPK110" s="92"/>
      <c r="CPL110" s="92"/>
      <c r="CPM110" s="92"/>
      <c r="CPN110" s="92"/>
      <c r="CPO110" s="92"/>
      <c r="CPP110" s="92"/>
      <c r="CPQ110" s="92"/>
      <c r="CPR110" s="92"/>
      <c r="CPS110" s="92"/>
      <c r="CPT110" s="91"/>
      <c r="CPU110" s="92"/>
      <c r="CPV110" s="92"/>
      <c r="CPW110" s="92"/>
      <c r="CPX110" s="92"/>
      <c r="CPY110" s="92"/>
      <c r="CPZ110" s="92"/>
      <c r="CQA110" s="92"/>
      <c r="CQB110" s="92"/>
      <c r="CQC110" s="92"/>
      <c r="CQD110" s="92"/>
      <c r="CQE110" s="92"/>
      <c r="CQF110" s="92"/>
      <c r="CQG110" s="92"/>
      <c r="CQH110" s="92"/>
      <c r="CQI110" s="92"/>
      <c r="CQJ110" s="92"/>
      <c r="CQK110" s="92"/>
      <c r="CQL110" s="92"/>
      <c r="CQM110" s="92"/>
      <c r="CQN110" s="92"/>
      <c r="CQO110" s="92"/>
      <c r="CQP110" s="91"/>
      <c r="CQQ110" s="92"/>
      <c r="CQR110" s="92"/>
      <c r="CQS110" s="92"/>
      <c r="CQT110" s="92"/>
      <c r="CQU110" s="92"/>
      <c r="CQV110" s="92"/>
      <c r="CQW110" s="92"/>
      <c r="CQX110" s="92"/>
      <c r="CQY110" s="92"/>
      <c r="CQZ110" s="92"/>
      <c r="CRA110" s="92"/>
      <c r="CRB110" s="92"/>
      <c r="CRC110" s="92"/>
      <c r="CRD110" s="92"/>
      <c r="CRE110" s="92"/>
      <c r="CRF110" s="92"/>
      <c r="CRG110" s="92"/>
      <c r="CRH110" s="92"/>
      <c r="CRI110" s="92"/>
      <c r="CRJ110" s="92"/>
      <c r="CRK110" s="92"/>
      <c r="CRL110" s="91"/>
      <c r="CRM110" s="92"/>
      <c r="CRN110" s="92"/>
      <c r="CRO110" s="92"/>
      <c r="CRP110" s="92"/>
      <c r="CRQ110" s="92"/>
      <c r="CRR110" s="92"/>
      <c r="CRS110" s="92"/>
      <c r="CRT110" s="92"/>
      <c r="CRU110" s="92"/>
      <c r="CRV110" s="92"/>
      <c r="CRW110" s="92"/>
      <c r="CRX110" s="92"/>
      <c r="CRY110" s="92"/>
      <c r="CRZ110" s="92"/>
      <c r="CSA110" s="92"/>
      <c r="CSB110" s="92"/>
      <c r="CSC110" s="92"/>
      <c r="CSD110" s="92"/>
      <c r="CSE110" s="92"/>
      <c r="CSF110" s="92"/>
      <c r="CSG110" s="92"/>
      <c r="CSH110" s="91"/>
      <c r="CSI110" s="92"/>
      <c r="CSJ110" s="92"/>
      <c r="CSK110" s="92"/>
      <c r="CSL110" s="92"/>
      <c r="CSM110" s="92"/>
      <c r="CSN110" s="92"/>
      <c r="CSO110" s="92"/>
      <c r="CSP110" s="92"/>
      <c r="CSQ110" s="92"/>
      <c r="CSR110" s="92"/>
      <c r="CSS110" s="92"/>
      <c r="CST110" s="92"/>
      <c r="CSU110" s="92"/>
      <c r="CSV110" s="92"/>
      <c r="CSW110" s="92"/>
      <c r="CSX110" s="92"/>
      <c r="CSY110" s="92"/>
      <c r="CSZ110" s="92"/>
      <c r="CTA110" s="92"/>
      <c r="CTB110" s="92"/>
      <c r="CTC110" s="92"/>
      <c r="CTD110" s="91"/>
      <c r="CTE110" s="92"/>
      <c r="CTF110" s="92"/>
      <c r="CTG110" s="92"/>
      <c r="CTH110" s="92"/>
      <c r="CTI110" s="92"/>
      <c r="CTJ110" s="92"/>
      <c r="CTK110" s="92"/>
      <c r="CTL110" s="92"/>
      <c r="CTM110" s="92"/>
      <c r="CTN110" s="92"/>
      <c r="CTO110" s="92"/>
      <c r="CTP110" s="92"/>
      <c r="CTQ110" s="92"/>
      <c r="CTR110" s="92"/>
      <c r="CTS110" s="92"/>
      <c r="CTT110" s="92"/>
      <c r="CTU110" s="92"/>
      <c r="CTV110" s="92"/>
      <c r="CTW110" s="92"/>
      <c r="CTX110" s="92"/>
      <c r="CTY110" s="92"/>
      <c r="CTZ110" s="91"/>
      <c r="CUA110" s="92"/>
      <c r="CUB110" s="92"/>
      <c r="CUC110" s="92"/>
      <c r="CUD110" s="92"/>
      <c r="CUE110" s="92"/>
      <c r="CUF110" s="92"/>
      <c r="CUG110" s="92"/>
      <c r="CUH110" s="92"/>
      <c r="CUI110" s="92"/>
      <c r="CUJ110" s="92"/>
      <c r="CUK110" s="92"/>
      <c r="CUL110" s="92"/>
      <c r="CUM110" s="92"/>
      <c r="CUN110" s="92"/>
      <c r="CUO110" s="92"/>
      <c r="CUP110" s="92"/>
      <c r="CUQ110" s="92"/>
      <c r="CUR110" s="92"/>
      <c r="CUS110" s="92"/>
      <c r="CUT110" s="92"/>
      <c r="CUU110" s="92"/>
      <c r="CUV110" s="91"/>
      <c r="CUW110" s="92"/>
      <c r="CUX110" s="92"/>
      <c r="CUY110" s="92"/>
      <c r="CUZ110" s="92"/>
      <c r="CVA110" s="92"/>
      <c r="CVB110" s="92"/>
      <c r="CVC110" s="92"/>
      <c r="CVD110" s="92"/>
      <c r="CVE110" s="92"/>
      <c r="CVF110" s="92"/>
      <c r="CVG110" s="92"/>
      <c r="CVH110" s="92"/>
      <c r="CVI110" s="92"/>
      <c r="CVJ110" s="92"/>
      <c r="CVK110" s="92"/>
      <c r="CVL110" s="92"/>
      <c r="CVM110" s="92"/>
      <c r="CVN110" s="92"/>
      <c r="CVO110" s="92"/>
      <c r="CVP110" s="92"/>
      <c r="CVQ110" s="92"/>
      <c r="CVR110" s="91"/>
      <c r="CVS110" s="92"/>
      <c r="CVT110" s="92"/>
      <c r="CVU110" s="92"/>
      <c r="CVV110" s="92"/>
      <c r="CVW110" s="92"/>
      <c r="CVX110" s="92"/>
      <c r="CVY110" s="92"/>
      <c r="CVZ110" s="92"/>
      <c r="CWA110" s="92"/>
      <c r="CWB110" s="92"/>
      <c r="CWC110" s="92"/>
      <c r="CWD110" s="92"/>
      <c r="CWE110" s="92"/>
      <c r="CWF110" s="92"/>
      <c r="CWG110" s="92"/>
      <c r="CWH110" s="92"/>
      <c r="CWI110" s="92"/>
      <c r="CWJ110" s="92"/>
      <c r="CWK110" s="92"/>
      <c r="CWL110" s="92"/>
      <c r="CWM110" s="92"/>
      <c r="CWN110" s="91"/>
      <c r="CWO110" s="92"/>
      <c r="CWP110" s="92"/>
      <c r="CWQ110" s="92"/>
      <c r="CWR110" s="92"/>
      <c r="CWS110" s="92"/>
      <c r="CWT110" s="92"/>
      <c r="CWU110" s="92"/>
      <c r="CWV110" s="92"/>
      <c r="CWW110" s="92"/>
      <c r="CWX110" s="92"/>
      <c r="CWY110" s="92"/>
      <c r="CWZ110" s="92"/>
      <c r="CXA110" s="92"/>
      <c r="CXB110" s="92"/>
      <c r="CXC110" s="92"/>
      <c r="CXD110" s="92"/>
      <c r="CXE110" s="92"/>
      <c r="CXF110" s="92"/>
      <c r="CXG110" s="92"/>
      <c r="CXH110" s="92"/>
      <c r="CXI110" s="92"/>
      <c r="CXJ110" s="91"/>
      <c r="CXK110" s="92"/>
      <c r="CXL110" s="92"/>
      <c r="CXM110" s="92"/>
      <c r="CXN110" s="92"/>
      <c r="CXO110" s="92"/>
      <c r="CXP110" s="92"/>
      <c r="CXQ110" s="92"/>
      <c r="CXR110" s="92"/>
      <c r="CXS110" s="92"/>
      <c r="CXT110" s="92"/>
      <c r="CXU110" s="92"/>
      <c r="CXV110" s="92"/>
      <c r="CXW110" s="92"/>
      <c r="CXX110" s="92"/>
      <c r="CXY110" s="92"/>
      <c r="CXZ110" s="92"/>
      <c r="CYA110" s="92"/>
      <c r="CYB110" s="92"/>
      <c r="CYC110" s="92"/>
      <c r="CYD110" s="92"/>
      <c r="CYE110" s="92"/>
      <c r="CYF110" s="91"/>
      <c r="CYG110" s="92"/>
      <c r="CYH110" s="92"/>
      <c r="CYI110" s="92"/>
      <c r="CYJ110" s="92"/>
      <c r="CYK110" s="92"/>
      <c r="CYL110" s="92"/>
      <c r="CYM110" s="92"/>
      <c r="CYN110" s="92"/>
      <c r="CYO110" s="92"/>
      <c r="CYP110" s="92"/>
      <c r="CYQ110" s="92"/>
      <c r="CYR110" s="92"/>
      <c r="CYS110" s="92"/>
      <c r="CYT110" s="92"/>
      <c r="CYU110" s="92"/>
      <c r="CYV110" s="92"/>
      <c r="CYW110" s="92"/>
      <c r="CYX110" s="92"/>
      <c r="CYY110" s="92"/>
      <c r="CYZ110" s="92"/>
      <c r="CZA110" s="92"/>
      <c r="CZB110" s="91"/>
      <c r="CZC110" s="92"/>
      <c r="CZD110" s="92"/>
      <c r="CZE110" s="92"/>
      <c r="CZF110" s="92"/>
      <c r="CZG110" s="92"/>
      <c r="CZH110" s="92"/>
      <c r="CZI110" s="92"/>
      <c r="CZJ110" s="92"/>
      <c r="CZK110" s="92"/>
      <c r="CZL110" s="92"/>
      <c r="CZM110" s="92"/>
      <c r="CZN110" s="92"/>
      <c r="CZO110" s="92"/>
      <c r="CZP110" s="92"/>
      <c r="CZQ110" s="92"/>
      <c r="CZR110" s="92"/>
      <c r="CZS110" s="92"/>
      <c r="CZT110" s="92"/>
      <c r="CZU110" s="92"/>
      <c r="CZV110" s="92"/>
      <c r="CZW110" s="92"/>
      <c r="CZX110" s="91"/>
      <c r="CZY110" s="92"/>
      <c r="CZZ110" s="92"/>
      <c r="DAA110" s="92"/>
      <c r="DAB110" s="92"/>
      <c r="DAC110" s="92"/>
      <c r="DAD110" s="92"/>
      <c r="DAE110" s="92"/>
      <c r="DAF110" s="92"/>
      <c r="DAG110" s="92"/>
      <c r="DAH110" s="92"/>
      <c r="DAI110" s="92"/>
      <c r="DAJ110" s="92"/>
      <c r="DAK110" s="92"/>
      <c r="DAL110" s="92"/>
      <c r="DAM110" s="92"/>
      <c r="DAN110" s="92"/>
      <c r="DAO110" s="92"/>
      <c r="DAP110" s="92"/>
      <c r="DAQ110" s="92"/>
      <c r="DAR110" s="92"/>
      <c r="DAS110" s="92"/>
      <c r="DAT110" s="91"/>
      <c r="DAU110" s="92"/>
      <c r="DAV110" s="92"/>
      <c r="DAW110" s="92"/>
      <c r="DAX110" s="92"/>
      <c r="DAY110" s="92"/>
      <c r="DAZ110" s="92"/>
      <c r="DBA110" s="92"/>
      <c r="DBB110" s="92"/>
      <c r="DBC110" s="92"/>
      <c r="DBD110" s="92"/>
      <c r="DBE110" s="92"/>
      <c r="DBF110" s="92"/>
      <c r="DBG110" s="92"/>
      <c r="DBH110" s="92"/>
      <c r="DBI110" s="92"/>
      <c r="DBJ110" s="92"/>
      <c r="DBK110" s="92"/>
      <c r="DBL110" s="92"/>
      <c r="DBM110" s="92"/>
      <c r="DBN110" s="92"/>
      <c r="DBO110" s="92"/>
      <c r="DBP110" s="91"/>
      <c r="DBQ110" s="92"/>
      <c r="DBR110" s="92"/>
      <c r="DBS110" s="92"/>
      <c r="DBT110" s="92"/>
      <c r="DBU110" s="92"/>
      <c r="DBV110" s="92"/>
      <c r="DBW110" s="92"/>
      <c r="DBX110" s="92"/>
      <c r="DBY110" s="92"/>
      <c r="DBZ110" s="92"/>
      <c r="DCA110" s="92"/>
      <c r="DCB110" s="92"/>
      <c r="DCC110" s="92"/>
      <c r="DCD110" s="92"/>
      <c r="DCE110" s="92"/>
      <c r="DCF110" s="92"/>
      <c r="DCG110" s="92"/>
      <c r="DCH110" s="92"/>
      <c r="DCI110" s="92"/>
      <c r="DCJ110" s="92"/>
      <c r="DCK110" s="92"/>
      <c r="DCL110" s="91"/>
      <c r="DCM110" s="92"/>
      <c r="DCN110" s="92"/>
      <c r="DCO110" s="92"/>
      <c r="DCP110" s="92"/>
      <c r="DCQ110" s="92"/>
      <c r="DCR110" s="92"/>
      <c r="DCS110" s="92"/>
      <c r="DCT110" s="92"/>
      <c r="DCU110" s="92"/>
      <c r="DCV110" s="92"/>
      <c r="DCW110" s="92"/>
      <c r="DCX110" s="92"/>
      <c r="DCY110" s="92"/>
      <c r="DCZ110" s="92"/>
      <c r="DDA110" s="92"/>
      <c r="DDB110" s="92"/>
      <c r="DDC110" s="92"/>
      <c r="DDD110" s="92"/>
      <c r="DDE110" s="92"/>
      <c r="DDF110" s="92"/>
      <c r="DDG110" s="92"/>
      <c r="DDH110" s="91"/>
      <c r="DDI110" s="92"/>
      <c r="DDJ110" s="92"/>
      <c r="DDK110" s="92"/>
      <c r="DDL110" s="92"/>
      <c r="DDM110" s="92"/>
      <c r="DDN110" s="92"/>
      <c r="DDO110" s="92"/>
      <c r="DDP110" s="92"/>
      <c r="DDQ110" s="92"/>
      <c r="DDR110" s="92"/>
      <c r="DDS110" s="92"/>
      <c r="DDT110" s="92"/>
      <c r="DDU110" s="92"/>
      <c r="DDV110" s="92"/>
      <c r="DDW110" s="92"/>
      <c r="DDX110" s="92"/>
      <c r="DDY110" s="92"/>
      <c r="DDZ110" s="92"/>
      <c r="DEA110" s="92"/>
      <c r="DEB110" s="92"/>
      <c r="DEC110" s="92"/>
      <c r="DED110" s="91"/>
      <c r="DEE110" s="92"/>
      <c r="DEF110" s="92"/>
      <c r="DEG110" s="92"/>
      <c r="DEH110" s="92"/>
      <c r="DEI110" s="92"/>
      <c r="DEJ110" s="92"/>
      <c r="DEK110" s="92"/>
      <c r="DEL110" s="92"/>
      <c r="DEM110" s="92"/>
      <c r="DEN110" s="92"/>
      <c r="DEO110" s="92"/>
      <c r="DEP110" s="92"/>
      <c r="DEQ110" s="92"/>
      <c r="DER110" s="92"/>
      <c r="DES110" s="92"/>
      <c r="DET110" s="92"/>
      <c r="DEU110" s="92"/>
      <c r="DEV110" s="92"/>
      <c r="DEW110" s="92"/>
      <c r="DEX110" s="92"/>
      <c r="DEY110" s="92"/>
      <c r="DEZ110" s="91"/>
      <c r="DFA110" s="92"/>
      <c r="DFB110" s="92"/>
      <c r="DFC110" s="92"/>
      <c r="DFD110" s="92"/>
      <c r="DFE110" s="92"/>
      <c r="DFF110" s="92"/>
      <c r="DFG110" s="92"/>
      <c r="DFH110" s="92"/>
      <c r="DFI110" s="92"/>
      <c r="DFJ110" s="92"/>
      <c r="DFK110" s="92"/>
      <c r="DFL110" s="92"/>
      <c r="DFM110" s="92"/>
      <c r="DFN110" s="92"/>
      <c r="DFO110" s="92"/>
      <c r="DFP110" s="92"/>
      <c r="DFQ110" s="92"/>
      <c r="DFR110" s="92"/>
      <c r="DFS110" s="92"/>
      <c r="DFT110" s="92"/>
      <c r="DFU110" s="92"/>
      <c r="DFV110" s="91"/>
      <c r="DFW110" s="92"/>
      <c r="DFX110" s="92"/>
      <c r="DFY110" s="92"/>
      <c r="DFZ110" s="92"/>
      <c r="DGA110" s="92"/>
      <c r="DGB110" s="92"/>
      <c r="DGC110" s="92"/>
      <c r="DGD110" s="92"/>
      <c r="DGE110" s="92"/>
      <c r="DGF110" s="92"/>
      <c r="DGG110" s="92"/>
      <c r="DGH110" s="92"/>
      <c r="DGI110" s="92"/>
      <c r="DGJ110" s="92"/>
      <c r="DGK110" s="92"/>
      <c r="DGL110" s="92"/>
      <c r="DGM110" s="92"/>
      <c r="DGN110" s="92"/>
      <c r="DGO110" s="92"/>
      <c r="DGP110" s="92"/>
      <c r="DGQ110" s="92"/>
      <c r="DGR110" s="91"/>
      <c r="DGS110" s="92"/>
      <c r="DGT110" s="92"/>
      <c r="DGU110" s="92"/>
      <c r="DGV110" s="92"/>
      <c r="DGW110" s="92"/>
      <c r="DGX110" s="92"/>
      <c r="DGY110" s="92"/>
      <c r="DGZ110" s="92"/>
      <c r="DHA110" s="92"/>
      <c r="DHB110" s="92"/>
      <c r="DHC110" s="92"/>
      <c r="DHD110" s="92"/>
      <c r="DHE110" s="92"/>
      <c r="DHF110" s="92"/>
      <c r="DHG110" s="92"/>
      <c r="DHH110" s="92"/>
      <c r="DHI110" s="92"/>
      <c r="DHJ110" s="92"/>
      <c r="DHK110" s="92"/>
      <c r="DHL110" s="92"/>
      <c r="DHM110" s="92"/>
      <c r="DHN110" s="91"/>
      <c r="DHO110" s="92"/>
      <c r="DHP110" s="92"/>
      <c r="DHQ110" s="92"/>
      <c r="DHR110" s="92"/>
      <c r="DHS110" s="92"/>
      <c r="DHT110" s="92"/>
      <c r="DHU110" s="92"/>
      <c r="DHV110" s="92"/>
      <c r="DHW110" s="92"/>
      <c r="DHX110" s="92"/>
      <c r="DHY110" s="92"/>
      <c r="DHZ110" s="92"/>
      <c r="DIA110" s="92"/>
      <c r="DIB110" s="92"/>
      <c r="DIC110" s="92"/>
      <c r="DID110" s="92"/>
      <c r="DIE110" s="92"/>
      <c r="DIF110" s="92"/>
      <c r="DIG110" s="92"/>
      <c r="DIH110" s="92"/>
      <c r="DII110" s="92"/>
      <c r="DIJ110" s="91"/>
      <c r="DIK110" s="92"/>
      <c r="DIL110" s="92"/>
      <c r="DIM110" s="92"/>
      <c r="DIN110" s="92"/>
      <c r="DIO110" s="92"/>
      <c r="DIP110" s="92"/>
      <c r="DIQ110" s="92"/>
      <c r="DIR110" s="92"/>
      <c r="DIS110" s="92"/>
      <c r="DIT110" s="92"/>
      <c r="DIU110" s="92"/>
      <c r="DIV110" s="92"/>
      <c r="DIW110" s="92"/>
      <c r="DIX110" s="92"/>
      <c r="DIY110" s="92"/>
      <c r="DIZ110" s="92"/>
      <c r="DJA110" s="92"/>
      <c r="DJB110" s="92"/>
      <c r="DJC110" s="92"/>
      <c r="DJD110" s="92"/>
      <c r="DJE110" s="92"/>
      <c r="DJF110" s="91"/>
      <c r="DJG110" s="92"/>
      <c r="DJH110" s="92"/>
      <c r="DJI110" s="92"/>
      <c r="DJJ110" s="92"/>
      <c r="DJK110" s="92"/>
      <c r="DJL110" s="92"/>
      <c r="DJM110" s="92"/>
      <c r="DJN110" s="92"/>
      <c r="DJO110" s="92"/>
      <c r="DJP110" s="92"/>
      <c r="DJQ110" s="92"/>
      <c r="DJR110" s="92"/>
      <c r="DJS110" s="92"/>
      <c r="DJT110" s="92"/>
      <c r="DJU110" s="92"/>
      <c r="DJV110" s="92"/>
      <c r="DJW110" s="92"/>
      <c r="DJX110" s="92"/>
      <c r="DJY110" s="92"/>
      <c r="DJZ110" s="92"/>
      <c r="DKA110" s="92"/>
      <c r="DKB110" s="91"/>
      <c r="DKC110" s="92"/>
      <c r="DKD110" s="92"/>
      <c r="DKE110" s="92"/>
      <c r="DKF110" s="92"/>
      <c r="DKG110" s="92"/>
      <c r="DKH110" s="92"/>
      <c r="DKI110" s="92"/>
      <c r="DKJ110" s="92"/>
      <c r="DKK110" s="92"/>
      <c r="DKL110" s="92"/>
      <c r="DKM110" s="92"/>
      <c r="DKN110" s="92"/>
      <c r="DKO110" s="92"/>
      <c r="DKP110" s="92"/>
      <c r="DKQ110" s="92"/>
      <c r="DKR110" s="92"/>
      <c r="DKS110" s="92"/>
      <c r="DKT110" s="92"/>
      <c r="DKU110" s="92"/>
      <c r="DKV110" s="92"/>
      <c r="DKW110" s="92"/>
      <c r="DKX110" s="91"/>
      <c r="DKY110" s="92"/>
      <c r="DKZ110" s="92"/>
      <c r="DLA110" s="92"/>
      <c r="DLB110" s="92"/>
      <c r="DLC110" s="92"/>
      <c r="DLD110" s="92"/>
      <c r="DLE110" s="92"/>
      <c r="DLF110" s="92"/>
      <c r="DLG110" s="92"/>
      <c r="DLH110" s="92"/>
      <c r="DLI110" s="92"/>
      <c r="DLJ110" s="92"/>
      <c r="DLK110" s="92"/>
      <c r="DLL110" s="92"/>
      <c r="DLM110" s="92"/>
      <c r="DLN110" s="92"/>
      <c r="DLO110" s="92"/>
      <c r="DLP110" s="92"/>
      <c r="DLQ110" s="92"/>
      <c r="DLR110" s="92"/>
      <c r="DLS110" s="92"/>
      <c r="DLT110" s="91"/>
      <c r="DLU110" s="92"/>
      <c r="DLV110" s="92"/>
      <c r="DLW110" s="92"/>
      <c r="DLX110" s="92"/>
      <c r="DLY110" s="92"/>
      <c r="DLZ110" s="92"/>
      <c r="DMA110" s="92"/>
      <c r="DMB110" s="92"/>
      <c r="DMC110" s="92"/>
      <c r="DMD110" s="92"/>
      <c r="DME110" s="92"/>
      <c r="DMF110" s="92"/>
      <c r="DMG110" s="92"/>
      <c r="DMH110" s="92"/>
      <c r="DMI110" s="92"/>
      <c r="DMJ110" s="92"/>
      <c r="DMK110" s="92"/>
      <c r="DML110" s="92"/>
      <c r="DMM110" s="92"/>
      <c r="DMN110" s="92"/>
      <c r="DMO110" s="92"/>
      <c r="DMP110" s="91"/>
      <c r="DMQ110" s="92"/>
      <c r="DMR110" s="92"/>
      <c r="DMS110" s="92"/>
      <c r="DMT110" s="92"/>
      <c r="DMU110" s="92"/>
      <c r="DMV110" s="92"/>
      <c r="DMW110" s="92"/>
      <c r="DMX110" s="92"/>
      <c r="DMY110" s="92"/>
      <c r="DMZ110" s="92"/>
      <c r="DNA110" s="92"/>
      <c r="DNB110" s="92"/>
      <c r="DNC110" s="92"/>
      <c r="DND110" s="92"/>
      <c r="DNE110" s="92"/>
      <c r="DNF110" s="92"/>
      <c r="DNG110" s="92"/>
      <c r="DNH110" s="92"/>
      <c r="DNI110" s="92"/>
      <c r="DNJ110" s="92"/>
      <c r="DNK110" s="92"/>
      <c r="DNL110" s="91"/>
      <c r="DNM110" s="92"/>
      <c r="DNN110" s="92"/>
      <c r="DNO110" s="92"/>
      <c r="DNP110" s="92"/>
      <c r="DNQ110" s="92"/>
      <c r="DNR110" s="92"/>
      <c r="DNS110" s="92"/>
      <c r="DNT110" s="92"/>
      <c r="DNU110" s="92"/>
      <c r="DNV110" s="92"/>
      <c r="DNW110" s="92"/>
      <c r="DNX110" s="92"/>
      <c r="DNY110" s="92"/>
      <c r="DNZ110" s="92"/>
      <c r="DOA110" s="92"/>
      <c r="DOB110" s="92"/>
      <c r="DOC110" s="92"/>
      <c r="DOD110" s="92"/>
      <c r="DOE110" s="92"/>
      <c r="DOF110" s="92"/>
      <c r="DOG110" s="92"/>
      <c r="DOH110" s="91"/>
      <c r="DOI110" s="92"/>
      <c r="DOJ110" s="92"/>
      <c r="DOK110" s="92"/>
      <c r="DOL110" s="92"/>
      <c r="DOM110" s="92"/>
      <c r="DON110" s="92"/>
      <c r="DOO110" s="92"/>
      <c r="DOP110" s="92"/>
      <c r="DOQ110" s="92"/>
      <c r="DOR110" s="92"/>
      <c r="DOS110" s="92"/>
      <c r="DOT110" s="92"/>
      <c r="DOU110" s="92"/>
      <c r="DOV110" s="92"/>
      <c r="DOW110" s="92"/>
      <c r="DOX110" s="92"/>
      <c r="DOY110" s="92"/>
      <c r="DOZ110" s="92"/>
      <c r="DPA110" s="92"/>
      <c r="DPB110" s="92"/>
      <c r="DPC110" s="92"/>
      <c r="DPD110" s="91"/>
      <c r="DPE110" s="92"/>
      <c r="DPF110" s="92"/>
      <c r="DPG110" s="92"/>
      <c r="DPH110" s="92"/>
      <c r="DPI110" s="92"/>
      <c r="DPJ110" s="92"/>
      <c r="DPK110" s="92"/>
      <c r="DPL110" s="92"/>
      <c r="DPM110" s="92"/>
      <c r="DPN110" s="92"/>
      <c r="DPO110" s="92"/>
      <c r="DPP110" s="92"/>
      <c r="DPQ110" s="92"/>
      <c r="DPR110" s="92"/>
      <c r="DPS110" s="92"/>
      <c r="DPT110" s="92"/>
      <c r="DPU110" s="92"/>
      <c r="DPV110" s="92"/>
      <c r="DPW110" s="92"/>
      <c r="DPX110" s="92"/>
      <c r="DPY110" s="92"/>
      <c r="DPZ110" s="91"/>
      <c r="DQA110" s="92"/>
      <c r="DQB110" s="92"/>
      <c r="DQC110" s="92"/>
      <c r="DQD110" s="92"/>
      <c r="DQE110" s="92"/>
      <c r="DQF110" s="92"/>
      <c r="DQG110" s="92"/>
      <c r="DQH110" s="92"/>
      <c r="DQI110" s="92"/>
      <c r="DQJ110" s="92"/>
      <c r="DQK110" s="92"/>
      <c r="DQL110" s="92"/>
      <c r="DQM110" s="92"/>
      <c r="DQN110" s="92"/>
      <c r="DQO110" s="92"/>
      <c r="DQP110" s="92"/>
      <c r="DQQ110" s="92"/>
      <c r="DQR110" s="92"/>
      <c r="DQS110" s="92"/>
      <c r="DQT110" s="92"/>
      <c r="DQU110" s="92"/>
      <c r="DQV110" s="91"/>
      <c r="DQW110" s="92"/>
      <c r="DQX110" s="92"/>
      <c r="DQY110" s="92"/>
      <c r="DQZ110" s="92"/>
      <c r="DRA110" s="92"/>
      <c r="DRB110" s="92"/>
      <c r="DRC110" s="92"/>
      <c r="DRD110" s="92"/>
      <c r="DRE110" s="92"/>
      <c r="DRF110" s="92"/>
      <c r="DRG110" s="92"/>
      <c r="DRH110" s="92"/>
      <c r="DRI110" s="92"/>
      <c r="DRJ110" s="92"/>
      <c r="DRK110" s="92"/>
      <c r="DRL110" s="92"/>
      <c r="DRM110" s="92"/>
      <c r="DRN110" s="92"/>
      <c r="DRO110" s="92"/>
      <c r="DRP110" s="92"/>
      <c r="DRQ110" s="92"/>
      <c r="DRR110" s="91"/>
      <c r="DRS110" s="92"/>
      <c r="DRT110" s="92"/>
      <c r="DRU110" s="92"/>
      <c r="DRV110" s="92"/>
      <c r="DRW110" s="92"/>
      <c r="DRX110" s="92"/>
      <c r="DRY110" s="92"/>
      <c r="DRZ110" s="92"/>
      <c r="DSA110" s="92"/>
      <c r="DSB110" s="92"/>
      <c r="DSC110" s="92"/>
      <c r="DSD110" s="92"/>
      <c r="DSE110" s="92"/>
      <c r="DSF110" s="92"/>
      <c r="DSG110" s="92"/>
      <c r="DSH110" s="92"/>
      <c r="DSI110" s="92"/>
      <c r="DSJ110" s="92"/>
      <c r="DSK110" s="92"/>
      <c r="DSL110" s="92"/>
      <c r="DSM110" s="92"/>
      <c r="DSN110" s="91"/>
      <c r="DSO110" s="92"/>
      <c r="DSP110" s="92"/>
      <c r="DSQ110" s="92"/>
      <c r="DSR110" s="92"/>
      <c r="DSS110" s="92"/>
      <c r="DST110" s="92"/>
      <c r="DSU110" s="92"/>
      <c r="DSV110" s="92"/>
      <c r="DSW110" s="92"/>
      <c r="DSX110" s="92"/>
      <c r="DSY110" s="92"/>
      <c r="DSZ110" s="92"/>
      <c r="DTA110" s="92"/>
      <c r="DTB110" s="92"/>
      <c r="DTC110" s="92"/>
      <c r="DTD110" s="92"/>
      <c r="DTE110" s="92"/>
      <c r="DTF110" s="92"/>
      <c r="DTG110" s="92"/>
      <c r="DTH110" s="92"/>
      <c r="DTI110" s="92"/>
      <c r="DTJ110" s="91"/>
      <c r="DTK110" s="92"/>
      <c r="DTL110" s="92"/>
      <c r="DTM110" s="92"/>
      <c r="DTN110" s="92"/>
      <c r="DTO110" s="92"/>
      <c r="DTP110" s="92"/>
      <c r="DTQ110" s="92"/>
      <c r="DTR110" s="92"/>
      <c r="DTS110" s="92"/>
      <c r="DTT110" s="92"/>
      <c r="DTU110" s="92"/>
      <c r="DTV110" s="92"/>
      <c r="DTW110" s="92"/>
      <c r="DTX110" s="92"/>
      <c r="DTY110" s="92"/>
      <c r="DTZ110" s="92"/>
      <c r="DUA110" s="92"/>
      <c r="DUB110" s="92"/>
      <c r="DUC110" s="92"/>
      <c r="DUD110" s="92"/>
      <c r="DUE110" s="92"/>
      <c r="DUF110" s="91"/>
      <c r="DUG110" s="92"/>
      <c r="DUH110" s="92"/>
      <c r="DUI110" s="92"/>
      <c r="DUJ110" s="92"/>
      <c r="DUK110" s="92"/>
      <c r="DUL110" s="92"/>
      <c r="DUM110" s="92"/>
      <c r="DUN110" s="92"/>
      <c r="DUO110" s="92"/>
      <c r="DUP110" s="92"/>
      <c r="DUQ110" s="92"/>
      <c r="DUR110" s="92"/>
      <c r="DUS110" s="92"/>
      <c r="DUT110" s="92"/>
      <c r="DUU110" s="92"/>
      <c r="DUV110" s="92"/>
      <c r="DUW110" s="92"/>
      <c r="DUX110" s="92"/>
      <c r="DUY110" s="92"/>
      <c r="DUZ110" s="92"/>
      <c r="DVA110" s="92"/>
      <c r="DVB110" s="91"/>
      <c r="DVC110" s="92"/>
      <c r="DVD110" s="92"/>
      <c r="DVE110" s="92"/>
      <c r="DVF110" s="92"/>
      <c r="DVG110" s="92"/>
      <c r="DVH110" s="92"/>
      <c r="DVI110" s="92"/>
      <c r="DVJ110" s="92"/>
      <c r="DVK110" s="92"/>
      <c r="DVL110" s="92"/>
      <c r="DVM110" s="92"/>
      <c r="DVN110" s="92"/>
      <c r="DVO110" s="92"/>
      <c r="DVP110" s="92"/>
      <c r="DVQ110" s="92"/>
      <c r="DVR110" s="92"/>
      <c r="DVS110" s="92"/>
      <c r="DVT110" s="92"/>
      <c r="DVU110" s="92"/>
      <c r="DVV110" s="92"/>
      <c r="DVW110" s="92"/>
      <c r="DVX110" s="91"/>
      <c r="DVY110" s="92"/>
      <c r="DVZ110" s="92"/>
      <c r="DWA110" s="92"/>
      <c r="DWB110" s="92"/>
      <c r="DWC110" s="92"/>
      <c r="DWD110" s="92"/>
      <c r="DWE110" s="92"/>
      <c r="DWF110" s="92"/>
      <c r="DWG110" s="92"/>
      <c r="DWH110" s="92"/>
      <c r="DWI110" s="92"/>
      <c r="DWJ110" s="92"/>
      <c r="DWK110" s="92"/>
      <c r="DWL110" s="92"/>
      <c r="DWM110" s="92"/>
      <c r="DWN110" s="92"/>
      <c r="DWO110" s="92"/>
      <c r="DWP110" s="92"/>
      <c r="DWQ110" s="92"/>
      <c r="DWR110" s="92"/>
      <c r="DWS110" s="92"/>
      <c r="DWT110" s="91"/>
      <c r="DWU110" s="92"/>
      <c r="DWV110" s="92"/>
      <c r="DWW110" s="92"/>
      <c r="DWX110" s="92"/>
      <c r="DWY110" s="92"/>
      <c r="DWZ110" s="92"/>
      <c r="DXA110" s="92"/>
      <c r="DXB110" s="92"/>
      <c r="DXC110" s="92"/>
      <c r="DXD110" s="92"/>
      <c r="DXE110" s="92"/>
      <c r="DXF110" s="92"/>
      <c r="DXG110" s="92"/>
      <c r="DXH110" s="92"/>
      <c r="DXI110" s="92"/>
      <c r="DXJ110" s="92"/>
      <c r="DXK110" s="92"/>
      <c r="DXL110" s="92"/>
      <c r="DXM110" s="92"/>
      <c r="DXN110" s="92"/>
      <c r="DXO110" s="92"/>
      <c r="DXP110" s="91"/>
      <c r="DXQ110" s="92"/>
      <c r="DXR110" s="92"/>
      <c r="DXS110" s="92"/>
      <c r="DXT110" s="92"/>
      <c r="DXU110" s="92"/>
      <c r="DXV110" s="92"/>
      <c r="DXW110" s="92"/>
      <c r="DXX110" s="92"/>
      <c r="DXY110" s="92"/>
      <c r="DXZ110" s="92"/>
      <c r="DYA110" s="92"/>
      <c r="DYB110" s="92"/>
      <c r="DYC110" s="92"/>
      <c r="DYD110" s="92"/>
      <c r="DYE110" s="92"/>
      <c r="DYF110" s="92"/>
      <c r="DYG110" s="92"/>
      <c r="DYH110" s="92"/>
      <c r="DYI110" s="92"/>
      <c r="DYJ110" s="92"/>
      <c r="DYK110" s="92"/>
      <c r="DYL110" s="91"/>
      <c r="DYM110" s="92"/>
      <c r="DYN110" s="92"/>
      <c r="DYO110" s="92"/>
      <c r="DYP110" s="92"/>
      <c r="DYQ110" s="92"/>
      <c r="DYR110" s="92"/>
      <c r="DYS110" s="92"/>
      <c r="DYT110" s="92"/>
      <c r="DYU110" s="92"/>
      <c r="DYV110" s="92"/>
      <c r="DYW110" s="92"/>
      <c r="DYX110" s="92"/>
      <c r="DYY110" s="92"/>
      <c r="DYZ110" s="92"/>
      <c r="DZA110" s="92"/>
      <c r="DZB110" s="92"/>
      <c r="DZC110" s="92"/>
      <c r="DZD110" s="92"/>
      <c r="DZE110" s="92"/>
      <c r="DZF110" s="92"/>
      <c r="DZG110" s="92"/>
      <c r="DZH110" s="91"/>
      <c r="DZI110" s="92"/>
      <c r="DZJ110" s="92"/>
      <c r="DZK110" s="92"/>
      <c r="DZL110" s="92"/>
      <c r="DZM110" s="92"/>
      <c r="DZN110" s="92"/>
      <c r="DZO110" s="92"/>
      <c r="DZP110" s="92"/>
      <c r="DZQ110" s="92"/>
      <c r="DZR110" s="92"/>
      <c r="DZS110" s="92"/>
      <c r="DZT110" s="92"/>
      <c r="DZU110" s="92"/>
      <c r="DZV110" s="92"/>
      <c r="DZW110" s="92"/>
      <c r="DZX110" s="92"/>
      <c r="DZY110" s="92"/>
      <c r="DZZ110" s="92"/>
      <c r="EAA110" s="92"/>
      <c r="EAB110" s="92"/>
      <c r="EAC110" s="92"/>
      <c r="EAD110" s="91"/>
      <c r="EAE110" s="92"/>
      <c r="EAF110" s="92"/>
      <c r="EAG110" s="92"/>
      <c r="EAH110" s="92"/>
      <c r="EAI110" s="92"/>
      <c r="EAJ110" s="92"/>
      <c r="EAK110" s="92"/>
      <c r="EAL110" s="92"/>
      <c r="EAM110" s="92"/>
      <c r="EAN110" s="92"/>
      <c r="EAO110" s="92"/>
      <c r="EAP110" s="92"/>
      <c r="EAQ110" s="92"/>
      <c r="EAR110" s="92"/>
      <c r="EAS110" s="92"/>
      <c r="EAT110" s="92"/>
      <c r="EAU110" s="92"/>
      <c r="EAV110" s="92"/>
      <c r="EAW110" s="92"/>
      <c r="EAX110" s="92"/>
      <c r="EAY110" s="92"/>
      <c r="EAZ110" s="91"/>
      <c r="EBA110" s="92"/>
      <c r="EBB110" s="92"/>
      <c r="EBC110" s="92"/>
      <c r="EBD110" s="92"/>
      <c r="EBE110" s="92"/>
      <c r="EBF110" s="92"/>
      <c r="EBG110" s="92"/>
      <c r="EBH110" s="92"/>
      <c r="EBI110" s="92"/>
      <c r="EBJ110" s="92"/>
      <c r="EBK110" s="92"/>
      <c r="EBL110" s="92"/>
      <c r="EBM110" s="92"/>
      <c r="EBN110" s="92"/>
      <c r="EBO110" s="92"/>
      <c r="EBP110" s="92"/>
      <c r="EBQ110" s="92"/>
      <c r="EBR110" s="92"/>
      <c r="EBS110" s="92"/>
      <c r="EBT110" s="92"/>
      <c r="EBU110" s="92"/>
      <c r="EBV110" s="91"/>
      <c r="EBW110" s="92"/>
      <c r="EBX110" s="92"/>
      <c r="EBY110" s="92"/>
      <c r="EBZ110" s="92"/>
      <c r="ECA110" s="92"/>
      <c r="ECB110" s="92"/>
      <c r="ECC110" s="92"/>
      <c r="ECD110" s="92"/>
      <c r="ECE110" s="92"/>
      <c r="ECF110" s="92"/>
      <c r="ECG110" s="92"/>
      <c r="ECH110" s="92"/>
      <c r="ECI110" s="92"/>
      <c r="ECJ110" s="92"/>
      <c r="ECK110" s="92"/>
      <c r="ECL110" s="92"/>
      <c r="ECM110" s="92"/>
      <c r="ECN110" s="92"/>
      <c r="ECO110" s="92"/>
      <c r="ECP110" s="92"/>
      <c r="ECQ110" s="92"/>
      <c r="ECR110" s="91"/>
      <c r="ECS110" s="92"/>
      <c r="ECT110" s="92"/>
      <c r="ECU110" s="92"/>
      <c r="ECV110" s="92"/>
      <c r="ECW110" s="92"/>
      <c r="ECX110" s="92"/>
      <c r="ECY110" s="92"/>
      <c r="ECZ110" s="92"/>
      <c r="EDA110" s="92"/>
      <c r="EDB110" s="92"/>
      <c r="EDC110" s="92"/>
      <c r="EDD110" s="92"/>
      <c r="EDE110" s="92"/>
      <c r="EDF110" s="92"/>
      <c r="EDG110" s="92"/>
      <c r="EDH110" s="92"/>
      <c r="EDI110" s="92"/>
      <c r="EDJ110" s="92"/>
      <c r="EDK110" s="92"/>
      <c r="EDL110" s="92"/>
      <c r="EDM110" s="92"/>
      <c r="EDN110" s="91"/>
      <c r="EDO110" s="92"/>
      <c r="EDP110" s="92"/>
      <c r="EDQ110" s="92"/>
      <c r="EDR110" s="92"/>
      <c r="EDS110" s="92"/>
      <c r="EDT110" s="92"/>
      <c r="EDU110" s="92"/>
      <c r="EDV110" s="92"/>
      <c r="EDW110" s="92"/>
      <c r="EDX110" s="92"/>
      <c r="EDY110" s="92"/>
      <c r="EDZ110" s="92"/>
      <c r="EEA110" s="92"/>
      <c r="EEB110" s="92"/>
      <c r="EEC110" s="92"/>
      <c r="EED110" s="92"/>
      <c r="EEE110" s="92"/>
      <c r="EEF110" s="92"/>
      <c r="EEG110" s="92"/>
      <c r="EEH110" s="92"/>
      <c r="EEI110" s="92"/>
      <c r="EEJ110" s="91"/>
      <c r="EEK110" s="92"/>
      <c r="EEL110" s="92"/>
      <c r="EEM110" s="92"/>
      <c r="EEN110" s="92"/>
      <c r="EEO110" s="92"/>
      <c r="EEP110" s="92"/>
      <c r="EEQ110" s="92"/>
      <c r="EER110" s="92"/>
      <c r="EES110" s="92"/>
      <c r="EET110" s="92"/>
      <c r="EEU110" s="92"/>
      <c r="EEV110" s="92"/>
      <c r="EEW110" s="92"/>
      <c r="EEX110" s="92"/>
      <c r="EEY110" s="92"/>
      <c r="EEZ110" s="92"/>
      <c r="EFA110" s="92"/>
      <c r="EFB110" s="92"/>
      <c r="EFC110" s="92"/>
      <c r="EFD110" s="92"/>
      <c r="EFE110" s="92"/>
      <c r="EFF110" s="91"/>
      <c r="EFG110" s="92"/>
      <c r="EFH110" s="92"/>
      <c r="EFI110" s="92"/>
      <c r="EFJ110" s="92"/>
      <c r="EFK110" s="92"/>
      <c r="EFL110" s="92"/>
      <c r="EFM110" s="92"/>
      <c r="EFN110" s="92"/>
      <c r="EFO110" s="92"/>
      <c r="EFP110" s="92"/>
      <c r="EFQ110" s="92"/>
      <c r="EFR110" s="92"/>
      <c r="EFS110" s="92"/>
      <c r="EFT110" s="92"/>
      <c r="EFU110" s="92"/>
      <c r="EFV110" s="92"/>
      <c r="EFW110" s="92"/>
      <c r="EFX110" s="92"/>
      <c r="EFY110" s="92"/>
      <c r="EFZ110" s="92"/>
      <c r="EGA110" s="92"/>
      <c r="EGB110" s="91"/>
      <c r="EGC110" s="92"/>
      <c r="EGD110" s="92"/>
      <c r="EGE110" s="92"/>
      <c r="EGF110" s="92"/>
      <c r="EGG110" s="92"/>
      <c r="EGH110" s="92"/>
      <c r="EGI110" s="92"/>
      <c r="EGJ110" s="92"/>
      <c r="EGK110" s="92"/>
      <c r="EGL110" s="92"/>
      <c r="EGM110" s="92"/>
      <c r="EGN110" s="92"/>
      <c r="EGO110" s="92"/>
      <c r="EGP110" s="92"/>
      <c r="EGQ110" s="92"/>
      <c r="EGR110" s="92"/>
      <c r="EGS110" s="92"/>
      <c r="EGT110" s="92"/>
      <c r="EGU110" s="92"/>
      <c r="EGV110" s="92"/>
      <c r="EGW110" s="92"/>
      <c r="EGX110" s="91"/>
      <c r="EGY110" s="92"/>
      <c r="EGZ110" s="92"/>
      <c r="EHA110" s="92"/>
      <c r="EHB110" s="92"/>
      <c r="EHC110" s="92"/>
      <c r="EHD110" s="92"/>
      <c r="EHE110" s="92"/>
      <c r="EHF110" s="92"/>
      <c r="EHG110" s="92"/>
      <c r="EHH110" s="92"/>
      <c r="EHI110" s="92"/>
      <c r="EHJ110" s="92"/>
      <c r="EHK110" s="92"/>
      <c r="EHL110" s="92"/>
      <c r="EHM110" s="92"/>
      <c r="EHN110" s="92"/>
      <c r="EHO110" s="92"/>
      <c r="EHP110" s="92"/>
      <c r="EHQ110" s="92"/>
      <c r="EHR110" s="92"/>
      <c r="EHS110" s="92"/>
      <c r="EHT110" s="91"/>
      <c r="EHU110" s="92"/>
      <c r="EHV110" s="92"/>
      <c r="EHW110" s="92"/>
      <c r="EHX110" s="92"/>
      <c r="EHY110" s="92"/>
      <c r="EHZ110" s="92"/>
      <c r="EIA110" s="92"/>
      <c r="EIB110" s="92"/>
      <c r="EIC110" s="92"/>
      <c r="EID110" s="92"/>
      <c r="EIE110" s="92"/>
      <c r="EIF110" s="92"/>
      <c r="EIG110" s="92"/>
      <c r="EIH110" s="92"/>
      <c r="EII110" s="92"/>
      <c r="EIJ110" s="92"/>
      <c r="EIK110" s="92"/>
      <c r="EIL110" s="92"/>
      <c r="EIM110" s="92"/>
      <c r="EIN110" s="92"/>
      <c r="EIO110" s="92"/>
      <c r="EIP110" s="91"/>
      <c r="EIQ110" s="92"/>
      <c r="EIR110" s="92"/>
      <c r="EIS110" s="92"/>
      <c r="EIT110" s="92"/>
      <c r="EIU110" s="92"/>
      <c r="EIV110" s="92"/>
      <c r="EIW110" s="92"/>
      <c r="EIX110" s="92"/>
      <c r="EIY110" s="92"/>
      <c r="EIZ110" s="92"/>
      <c r="EJA110" s="92"/>
      <c r="EJB110" s="92"/>
      <c r="EJC110" s="92"/>
      <c r="EJD110" s="92"/>
      <c r="EJE110" s="92"/>
      <c r="EJF110" s="92"/>
      <c r="EJG110" s="92"/>
      <c r="EJH110" s="92"/>
      <c r="EJI110" s="92"/>
      <c r="EJJ110" s="92"/>
      <c r="EJK110" s="92"/>
      <c r="EJL110" s="91"/>
      <c r="EJM110" s="92"/>
      <c r="EJN110" s="92"/>
      <c r="EJO110" s="92"/>
      <c r="EJP110" s="92"/>
      <c r="EJQ110" s="92"/>
      <c r="EJR110" s="92"/>
      <c r="EJS110" s="92"/>
      <c r="EJT110" s="92"/>
      <c r="EJU110" s="92"/>
      <c r="EJV110" s="92"/>
      <c r="EJW110" s="92"/>
      <c r="EJX110" s="92"/>
      <c r="EJY110" s="92"/>
      <c r="EJZ110" s="92"/>
      <c r="EKA110" s="92"/>
      <c r="EKB110" s="92"/>
      <c r="EKC110" s="92"/>
      <c r="EKD110" s="92"/>
      <c r="EKE110" s="92"/>
      <c r="EKF110" s="92"/>
      <c r="EKG110" s="92"/>
      <c r="EKH110" s="91"/>
      <c r="EKI110" s="92"/>
      <c r="EKJ110" s="92"/>
      <c r="EKK110" s="92"/>
      <c r="EKL110" s="92"/>
      <c r="EKM110" s="92"/>
      <c r="EKN110" s="92"/>
      <c r="EKO110" s="92"/>
      <c r="EKP110" s="92"/>
      <c r="EKQ110" s="92"/>
      <c r="EKR110" s="92"/>
      <c r="EKS110" s="92"/>
      <c r="EKT110" s="92"/>
      <c r="EKU110" s="92"/>
      <c r="EKV110" s="92"/>
      <c r="EKW110" s="92"/>
      <c r="EKX110" s="92"/>
      <c r="EKY110" s="92"/>
      <c r="EKZ110" s="92"/>
      <c r="ELA110" s="92"/>
      <c r="ELB110" s="92"/>
      <c r="ELC110" s="92"/>
      <c r="ELD110" s="91"/>
      <c r="ELE110" s="92"/>
      <c r="ELF110" s="92"/>
      <c r="ELG110" s="92"/>
      <c r="ELH110" s="92"/>
      <c r="ELI110" s="92"/>
      <c r="ELJ110" s="92"/>
      <c r="ELK110" s="92"/>
      <c r="ELL110" s="92"/>
      <c r="ELM110" s="92"/>
      <c r="ELN110" s="92"/>
      <c r="ELO110" s="92"/>
      <c r="ELP110" s="92"/>
      <c r="ELQ110" s="92"/>
      <c r="ELR110" s="92"/>
      <c r="ELS110" s="92"/>
      <c r="ELT110" s="92"/>
      <c r="ELU110" s="92"/>
      <c r="ELV110" s="92"/>
      <c r="ELW110" s="92"/>
      <c r="ELX110" s="92"/>
      <c r="ELY110" s="92"/>
      <c r="ELZ110" s="91"/>
      <c r="EMA110" s="92"/>
      <c r="EMB110" s="92"/>
      <c r="EMC110" s="92"/>
      <c r="EMD110" s="92"/>
      <c r="EME110" s="92"/>
      <c r="EMF110" s="92"/>
      <c r="EMG110" s="92"/>
      <c r="EMH110" s="92"/>
      <c r="EMI110" s="92"/>
      <c r="EMJ110" s="92"/>
      <c r="EMK110" s="92"/>
      <c r="EML110" s="92"/>
      <c r="EMM110" s="92"/>
      <c r="EMN110" s="92"/>
      <c r="EMO110" s="92"/>
      <c r="EMP110" s="92"/>
      <c r="EMQ110" s="92"/>
      <c r="EMR110" s="92"/>
      <c r="EMS110" s="92"/>
      <c r="EMT110" s="92"/>
      <c r="EMU110" s="92"/>
      <c r="EMV110" s="91"/>
      <c r="EMW110" s="92"/>
      <c r="EMX110" s="92"/>
      <c r="EMY110" s="92"/>
      <c r="EMZ110" s="92"/>
      <c r="ENA110" s="92"/>
      <c r="ENB110" s="92"/>
      <c r="ENC110" s="92"/>
      <c r="END110" s="92"/>
      <c r="ENE110" s="92"/>
      <c r="ENF110" s="92"/>
      <c r="ENG110" s="92"/>
      <c r="ENH110" s="92"/>
      <c r="ENI110" s="92"/>
      <c r="ENJ110" s="92"/>
      <c r="ENK110" s="92"/>
      <c r="ENL110" s="92"/>
      <c r="ENM110" s="92"/>
      <c r="ENN110" s="92"/>
      <c r="ENO110" s="92"/>
      <c r="ENP110" s="92"/>
      <c r="ENQ110" s="92"/>
      <c r="ENR110" s="91"/>
      <c r="ENS110" s="92"/>
      <c r="ENT110" s="92"/>
      <c r="ENU110" s="92"/>
      <c r="ENV110" s="92"/>
      <c r="ENW110" s="92"/>
      <c r="ENX110" s="92"/>
      <c r="ENY110" s="92"/>
      <c r="ENZ110" s="92"/>
      <c r="EOA110" s="92"/>
      <c r="EOB110" s="92"/>
      <c r="EOC110" s="92"/>
      <c r="EOD110" s="92"/>
      <c r="EOE110" s="92"/>
      <c r="EOF110" s="92"/>
      <c r="EOG110" s="92"/>
      <c r="EOH110" s="92"/>
      <c r="EOI110" s="92"/>
      <c r="EOJ110" s="92"/>
      <c r="EOK110" s="92"/>
      <c r="EOL110" s="92"/>
      <c r="EOM110" s="92"/>
      <c r="EON110" s="91"/>
      <c r="EOO110" s="92"/>
      <c r="EOP110" s="92"/>
      <c r="EOQ110" s="92"/>
      <c r="EOR110" s="92"/>
      <c r="EOS110" s="92"/>
      <c r="EOT110" s="92"/>
      <c r="EOU110" s="92"/>
      <c r="EOV110" s="92"/>
      <c r="EOW110" s="92"/>
      <c r="EOX110" s="92"/>
      <c r="EOY110" s="92"/>
      <c r="EOZ110" s="92"/>
      <c r="EPA110" s="92"/>
      <c r="EPB110" s="92"/>
      <c r="EPC110" s="92"/>
      <c r="EPD110" s="92"/>
      <c r="EPE110" s="92"/>
      <c r="EPF110" s="92"/>
      <c r="EPG110" s="92"/>
      <c r="EPH110" s="92"/>
      <c r="EPI110" s="92"/>
      <c r="EPJ110" s="91"/>
      <c r="EPK110" s="92"/>
      <c r="EPL110" s="92"/>
      <c r="EPM110" s="92"/>
      <c r="EPN110" s="92"/>
      <c r="EPO110" s="92"/>
      <c r="EPP110" s="92"/>
      <c r="EPQ110" s="92"/>
      <c r="EPR110" s="92"/>
      <c r="EPS110" s="92"/>
      <c r="EPT110" s="92"/>
      <c r="EPU110" s="92"/>
      <c r="EPV110" s="92"/>
      <c r="EPW110" s="92"/>
      <c r="EPX110" s="92"/>
      <c r="EPY110" s="92"/>
      <c r="EPZ110" s="92"/>
      <c r="EQA110" s="92"/>
      <c r="EQB110" s="92"/>
      <c r="EQC110" s="92"/>
      <c r="EQD110" s="92"/>
      <c r="EQE110" s="92"/>
      <c r="EQF110" s="91"/>
      <c r="EQG110" s="92"/>
      <c r="EQH110" s="92"/>
      <c r="EQI110" s="92"/>
      <c r="EQJ110" s="92"/>
      <c r="EQK110" s="92"/>
      <c r="EQL110" s="92"/>
      <c r="EQM110" s="92"/>
      <c r="EQN110" s="92"/>
      <c r="EQO110" s="92"/>
      <c r="EQP110" s="92"/>
      <c r="EQQ110" s="92"/>
      <c r="EQR110" s="92"/>
      <c r="EQS110" s="92"/>
      <c r="EQT110" s="92"/>
      <c r="EQU110" s="92"/>
      <c r="EQV110" s="92"/>
      <c r="EQW110" s="92"/>
      <c r="EQX110" s="92"/>
      <c r="EQY110" s="92"/>
      <c r="EQZ110" s="92"/>
      <c r="ERA110" s="92"/>
      <c r="ERB110" s="91"/>
      <c r="ERC110" s="92"/>
      <c r="ERD110" s="92"/>
      <c r="ERE110" s="92"/>
      <c r="ERF110" s="92"/>
      <c r="ERG110" s="92"/>
      <c r="ERH110" s="92"/>
      <c r="ERI110" s="92"/>
      <c r="ERJ110" s="92"/>
      <c r="ERK110" s="92"/>
      <c r="ERL110" s="92"/>
      <c r="ERM110" s="92"/>
      <c r="ERN110" s="92"/>
      <c r="ERO110" s="92"/>
      <c r="ERP110" s="92"/>
      <c r="ERQ110" s="92"/>
      <c r="ERR110" s="92"/>
      <c r="ERS110" s="92"/>
      <c r="ERT110" s="92"/>
      <c r="ERU110" s="92"/>
      <c r="ERV110" s="92"/>
      <c r="ERW110" s="92"/>
      <c r="ERX110" s="91"/>
      <c r="ERY110" s="92"/>
      <c r="ERZ110" s="92"/>
      <c r="ESA110" s="92"/>
      <c r="ESB110" s="92"/>
      <c r="ESC110" s="92"/>
      <c r="ESD110" s="92"/>
      <c r="ESE110" s="92"/>
      <c r="ESF110" s="92"/>
      <c r="ESG110" s="92"/>
      <c r="ESH110" s="92"/>
      <c r="ESI110" s="92"/>
      <c r="ESJ110" s="92"/>
      <c r="ESK110" s="92"/>
      <c r="ESL110" s="92"/>
      <c r="ESM110" s="92"/>
      <c r="ESN110" s="92"/>
      <c r="ESO110" s="92"/>
      <c r="ESP110" s="92"/>
      <c r="ESQ110" s="92"/>
      <c r="ESR110" s="92"/>
      <c r="ESS110" s="92"/>
      <c r="EST110" s="91"/>
      <c r="ESU110" s="92"/>
      <c r="ESV110" s="92"/>
      <c r="ESW110" s="92"/>
      <c r="ESX110" s="92"/>
      <c r="ESY110" s="92"/>
      <c r="ESZ110" s="92"/>
      <c r="ETA110" s="92"/>
      <c r="ETB110" s="92"/>
      <c r="ETC110" s="92"/>
      <c r="ETD110" s="92"/>
      <c r="ETE110" s="92"/>
      <c r="ETF110" s="92"/>
      <c r="ETG110" s="92"/>
      <c r="ETH110" s="92"/>
      <c r="ETI110" s="92"/>
      <c r="ETJ110" s="92"/>
      <c r="ETK110" s="92"/>
      <c r="ETL110" s="92"/>
      <c r="ETM110" s="92"/>
      <c r="ETN110" s="92"/>
      <c r="ETO110" s="92"/>
      <c r="ETP110" s="91"/>
      <c r="ETQ110" s="92"/>
      <c r="ETR110" s="92"/>
      <c r="ETS110" s="92"/>
      <c r="ETT110" s="92"/>
      <c r="ETU110" s="92"/>
      <c r="ETV110" s="92"/>
      <c r="ETW110" s="92"/>
      <c r="ETX110" s="92"/>
      <c r="ETY110" s="92"/>
      <c r="ETZ110" s="92"/>
      <c r="EUA110" s="92"/>
      <c r="EUB110" s="92"/>
      <c r="EUC110" s="92"/>
      <c r="EUD110" s="92"/>
      <c r="EUE110" s="92"/>
      <c r="EUF110" s="92"/>
      <c r="EUG110" s="92"/>
      <c r="EUH110" s="92"/>
      <c r="EUI110" s="92"/>
      <c r="EUJ110" s="92"/>
      <c r="EUK110" s="92"/>
      <c r="EUL110" s="91"/>
      <c r="EUM110" s="92"/>
      <c r="EUN110" s="92"/>
      <c r="EUO110" s="92"/>
      <c r="EUP110" s="92"/>
      <c r="EUQ110" s="92"/>
      <c r="EUR110" s="92"/>
      <c r="EUS110" s="92"/>
      <c r="EUT110" s="92"/>
      <c r="EUU110" s="92"/>
      <c r="EUV110" s="92"/>
      <c r="EUW110" s="92"/>
      <c r="EUX110" s="92"/>
      <c r="EUY110" s="92"/>
      <c r="EUZ110" s="92"/>
      <c r="EVA110" s="92"/>
      <c r="EVB110" s="92"/>
      <c r="EVC110" s="92"/>
      <c r="EVD110" s="92"/>
      <c r="EVE110" s="92"/>
      <c r="EVF110" s="92"/>
      <c r="EVG110" s="92"/>
      <c r="EVH110" s="91"/>
      <c r="EVI110" s="92"/>
      <c r="EVJ110" s="92"/>
      <c r="EVK110" s="92"/>
      <c r="EVL110" s="92"/>
      <c r="EVM110" s="92"/>
      <c r="EVN110" s="92"/>
      <c r="EVO110" s="92"/>
      <c r="EVP110" s="92"/>
      <c r="EVQ110" s="92"/>
      <c r="EVR110" s="92"/>
      <c r="EVS110" s="92"/>
      <c r="EVT110" s="92"/>
      <c r="EVU110" s="92"/>
      <c r="EVV110" s="92"/>
      <c r="EVW110" s="92"/>
      <c r="EVX110" s="92"/>
      <c r="EVY110" s="92"/>
      <c r="EVZ110" s="92"/>
      <c r="EWA110" s="92"/>
      <c r="EWB110" s="92"/>
      <c r="EWC110" s="92"/>
      <c r="EWD110" s="91"/>
      <c r="EWE110" s="92"/>
      <c r="EWF110" s="92"/>
      <c r="EWG110" s="92"/>
      <c r="EWH110" s="92"/>
      <c r="EWI110" s="92"/>
      <c r="EWJ110" s="92"/>
      <c r="EWK110" s="92"/>
      <c r="EWL110" s="92"/>
      <c r="EWM110" s="92"/>
      <c r="EWN110" s="92"/>
      <c r="EWO110" s="92"/>
      <c r="EWP110" s="92"/>
      <c r="EWQ110" s="92"/>
      <c r="EWR110" s="92"/>
      <c r="EWS110" s="92"/>
      <c r="EWT110" s="92"/>
      <c r="EWU110" s="92"/>
      <c r="EWV110" s="92"/>
      <c r="EWW110" s="92"/>
      <c r="EWX110" s="92"/>
      <c r="EWY110" s="92"/>
      <c r="EWZ110" s="91"/>
      <c r="EXA110" s="92"/>
      <c r="EXB110" s="92"/>
      <c r="EXC110" s="92"/>
      <c r="EXD110" s="92"/>
      <c r="EXE110" s="92"/>
      <c r="EXF110" s="92"/>
      <c r="EXG110" s="92"/>
      <c r="EXH110" s="92"/>
      <c r="EXI110" s="92"/>
      <c r="EXJ110" s="92"/>
      <c r="EXK110" s="92"/>
      <c r="EXL110" s="92"/>
      <c r="EXM110" s="92"/>
      <c r="EXN110" s="92"/>
      <c r="EXO110" s="92"/>
      <c r="EXP110" s="92"/>
      <c r="EXQ110" s="92"/>
      <c r="EXR110" s="92"/>
      <c r="EXS110" s="92"/>
      <c r="EXT110" s="92"/>
      <c r="EXU110" s="92"/>
      <c r="EXV110" s="91"/>
      <c r="EXW110" s="92"/>
      <c r="EXX110" s="92"/>
      <c r="EXY110" s="92"/>
      <c r="EXZ110" s="92"/>
      <c r="EYA110" s="92"/>
      <c r="EYB110" s="92"/>
      <c r="EYC110" s="92"/>
      <c r="EYD110" s="92"/>
      <c r="EYE110" s="92"/>
      <c r="EYF110" s="92"/>
      <c r="EYG110" s="92"/>
      <c r="EYH110" s="92"/>
      <c r="EYI110" s="92"/>
      <c r="EYJ110" s="92"/>
      <c r="EYK110" s="92"/>
      <c r="EYL110" s="92"/>
      <c r="EYM110" s="92"/>
      <c r="EYN110" s="92"/>
      <c r="EYO110" s="92"/>
      <c r="EYP110" s="92"/>
      <c r="EYQ110" s="92"/>
      <c r="EYR110" s="91"/>
      <c r="EYS110" s="92"/>
      <c r="EYT110" s="92"/>
      <c r="EYU110" s="92"/>
      <c r="EYV110" s="92"/>
      <c r="EYW110" s="92"/>
      <c r="EYX110" s="92"/>
      <c r="EYY110" s="92"/>
      <c r="EYZ110" s="92"/>
      <c r="EZA110" s="92"/>
      <c r="EZB110" s="92"/>
      <c r="EZC110" s="92"/>
      <c r="EZD110" s="92"/>
      <c r="EZE110" s="92"/>
      <c r="EZF110" s="92"/>
      <c r="EZG110" s="92"/>
      <c r="EZH110" s="92"/>
      <c r="EZI110" s="92"/>
      <c r="EZJ110" s="92"/>
      <c r="EZK110" s="92"/>
      <c r="EZL110" s="92"/>
      <c r="EZM110" s="92"/>
      <c r="EZN110" s="91"/>
      <c r="EZO110" s="92"/>
      <c r="EZP110" s="92"/>
      <c r="EZQ110" s="92"/>
      <c r="EZR110" s="92"/>
      <c r="EZS110" s="92"/>
      <c r="EZT110" s="92"/>
      <c r="EZU110" s="92"/>
      <c r="EZV110" s="92"/>
      <c r="EZW110" s="92"/>
      <c r="EZX110" s="92"/>
      <c r="EZY110" s="92"/>
      <c r="EZZ110" s="92"/>
      <c r="FAA110" s="92"/>
      <c r="FAB110" s="92"/>
      <c r="FAC110" s="92"/>
      <c r="FAD110" s="92"/>
      <c r="FAE110" s="92"/>
      <c r="FAF110" s="92"/>
      <c r="FAG110" s="92"/>
      <c r="FAH110" s="92"/>
      <c r="FAI110" s="92"/>
      <c r="FAJ110" s="91"/>
      <c r="FAK110" s="92"/>
      <c r="FAL110" s="92"/>
      <c r="FAM110" s="92"/>
      <c r="FAN110" s="92"/>
      <c r="FAO110" s="92"/>
      <c r="FAP110" s="92"/>
      <c r="FAQ110" s="92"/>
      <c r="FAR110" s="92"/>
      <c r="FAS110" s="92"/>
      <c r="FAT110" s="92"/>
      <c r="FAU110" s="92"/>
      <c r="FAV110" s="92"/>
      <c r="FAW110" s="92"/>
      <c r="FAX110" s="92"/>
      <c r="FAY110" s="92"/>
      <c r="FAZ110" s="92"/>
      <c r="FBA110" s="92"/>
      <c r="FBB110" s="92"/>
      <c r="FBC110" s="92"/>
      <c r="FBD110" s="92"/>
      <c r="FBE110" s="92"/>
      <c r="FBF110" s="91"/>
      <c r="FBG110" s="92"/>
      <c r="FBH110" s="92"/>
      <c r="FBI110" s="92"/>
      <c r="FBJ110" s="92"/>
      <c r="FBK110" s="92"/>
      <c r="FBL110" s="92"/>
      <c r="FBM110" s="92"/>
      <c r="FBN110" s="92"/>
      <c r="FBO110" s="92"/>
      <c r="FBP110" s="92"/>
      <c r="FBQ110" s="92"/>
      <c r="FBR110" s="92"/>
      <c r="FBS110" s="92"/>
      <c r="FBT110" s="92"/>
      <c r="FBU110" s="92"/>
      <c r="FBV110" s="92"/>
      <c r="FBW110" s="92"/>
      <c r="FBX110" s="92"/>
      <c r="FBY110" s="92"/>
      <c r="FBZ110" s="92"/>
      <c r="FCA110" s="92"/>
      <c r="FCB110" s="91"/>
      <c r="FCC110" s="92"/>
      <c r="FCD110" s="92"/>
      <c r="FCE110" s="92"/>
      <c r="FCF110" s="92"/>
      <c r="FCG110" s="92"/>
      <c r="FCH110" s="92"/>
      <c r="FCI110" s="92"/>
      <c r="FCJ110" s="92"/>
      <c r="FCK110" s="92"/>
      <c r="FCL110" s="92"/>
      <c r="FCM110" s="92"/>
      <c r="FCN110" s="92"/>
      <c r="FCO110" s="92"/>
      <c r="FCP110" s="92"/>
      <c r="FCQ110" s="92"/>
      <c r="FCR110" s="92"/>
      <c r="FCS110" s="92"/>
      <c r="FCT110" s="92"/>
      <c r="FCU110" s="92"/>
      <c r="FCV110" s="92"/>
      <c r="FCW110" s="92"/>
      <c r="FCX110" s="91"/>
      <c r="FCY110" s="92"/>
      <c r="FCZ110" s="92"/>
      <c r="FDA110" s="92"/>
      <c r="FDB110" s="92"/>
      <c r="FDC110" s="92"/>
      <c r="FDD110" s="92"/>
      <c r="FDE110" s="92"/>
      <c r="FDF110" s="92"/>
      <c r="FDG110" s="92"/>
      <c r="FDH110" s="92"/>
      <c r="FDI110" s="92"/>
      <c r="FDJ110" s="92"/>
      <c r="FDK110" s="92"/>
      <c r="FDL110" s="92"/>
      <c r="FDM110" s="92"/>
      <c r="FDN110" s="92"/>
      <c r="FDO110" s="92"/>
      <c r="FDP110" s="92"/>
      <c r="FDQ110" s="92"/>
      <c r="FDR110" s="92"/>
      <c r="FDS110" s="92"/>
      <c r="FDT110" s="91"/>
      <c r="FDU110" s="92"/>
      <c r="FDV110" s="92"/>
      <c r="FDW110" s="92"/>
      <c r="FDX110" s="92"/>
      <c r="FDY110" s="92"/>
      <c r="FDZ110" s="92"/>
      <c r="FEA110" s="92"/>
      <c r="FEB110" s="92"/>
      <c r="FEC110" s="92"/>
      <c r="FED110" s="92"/>
      <c r="FEE110" s="92"/>
      <c r="FEF110" s="92"/>
      <c r="FEG110" s="92"/>
      <c r="FEH110" s="92"/>
      <c r="FEI110" s="92"/>
      <c r="FEJ110" s="92"/>
      <c r="FEK110" s="92"/>
      <c r="FEL110" s="92"/>
      <c r="FEM110" s="92"/>
      <c r="FEN110" s="92"/>
      <c r="FEO110" s="92"/>
      <c r="FEP110" s="91"/>
      <c r="FEQ110" s="92"/>
      <c r="FER110" s="92"/>
      <c r="FES110" s="92"/>
      <c r="FET110" s="92"/>
      <c r="FEU110" s="92"/>
      <c r="FEV110" s="92"/>
      <c r="FEW110" s="92"/>
      <c r="FEX110" s="92"/>
      <c r="FEY110" s="92"/>
      <c r="FEZ110" s="92"/>
      <c r="FFA110" s="92"/>
      <c r="FFB110" s="92"/>
      <c r="FFC110" s="92"/>
      <c r="FFD110" s="92"/>
      <c r="FFE110" s="92"/>
      <c r="FFF110" s="92"/>
      <c r="FFG110" s="92"/>
      <c r="FFH110" s="92"/>
      <c r="FFI110" s="92"/>
      <c r="FFJ110" s="92"/>
      <c r="FFK110" s="92"/>
      <c r="FFL110" s="91"/>
      <c r="FFM110" s="92"/>
      <c r="FFN110" s="92"/>
      <c r="FFO110" s="92"/>
      <c r="FFP110" s="92"/>
      <c r="FFQ110" s="92"/>
      <c r="FFR110" s="92"/>
      <c r="FFS110" s="92"/>
      <c r="FFT110" s="92"/>
      <c r="FFU110" s="92"/>
      <c r="FFV110" s="92"/>
      <c r="FFW110" s="92"/>
      <c r="FFX110" s="92"/>
      <c r="FFY110" s="92"/>
      <c r="FFZ110" s="92"/>
      <c r="FGA110" s="92"/>
      <c r="FGB110" s="92"/>
      <c r="FGC110" s="92"/>
      <c r="FGD110" s="92"/>
      <c r="FGE110" s="92"/>
      <c r="FGF110" s="92"/>
      <c r="FGG110" s="92"/>
      <c r="FGH110" s="91"/>
      <c r="FGI110" s="92"/>
      <c r="FGJ110" s="92"/>
      <c r="FGK110" s="92"/>
      <c r="FGL110" s="92"/>
      <c r="FGM110" s="92"/>
      <c r="FGN110" s="92"/>
      <c r="FGO110" s="92"/>
      <c r="FGP110" s="92"/>
      <c r="FGQ110" s="92"/>
      <c r="FGR110" s="92"/>
      <c r="FGS110" s="92"/>
      <c r="FGT110" s="92"/>
      <c r="FGU110" s="92"/>
      <c r="FGV110" s="92"/>
      <c r="FGW110" s="92"/>
      <c r="FGX110" s="92"/>
      <c r="FGY110" s="92"/>
      <c r="FGZ110" s="92"/>
      <c r="FHA110" s="92"/>
      <c r="FHB110" s="92"/>
      <c r="FHC110" s="92"/>
      <c r="FHD110" s="91"/>
      <c r="FHE110" s="92"/>
      <c r="FHF110" s="92"/>
      <c r="FHG110" s="92"/>
      <c r="FHH110" s="92"/>
      <c r="FHI110" s="92"/>
      <c r="FHJ110" s="92"/>
      <c r="FHK110" s="92"/>
      <c r="FHL110" s="92"/>
      <c r="FHM110" s="92"/>
      <c r="FHN110" s="92"/>
      <c r="FHO110" s="92"/>
      <c r="FHP110" s="92"/>
      <c r="FHQ110" s="92"/>
      <c r="FHR110" s="92"/>
      <c r="FHS110" s="92"/>
      <c r="FHT110" s="92"/>
      <c r="FHU110" s="92"/>
      <c r="FHV110" s="92"/>
      <c r="FHW110" s="92"/>
      <c r="FHX110" s="92"/>
      <c r="FHY110" s="92"/>
      <c r="FHZ110" s="91"/>
      <c r="FIA110" s="92"/>
      <c r="FIB110" s="92"/>
      <c r="FIC110" s="92"/>
      <c r="FID110" s="92"/>
      <c r="FIE110" s="92"/>
      <c r="FIF110" s="92"/>
      <c r="FIG110" s="92"/>
      <c r="FIH110" s="92"/>
      <c r="FII110" s="92"/>
      <c r="FIJ110" s="92"/>
      <c r="FIK110" s="92"/>
      <c r="FIL110" s="92"/>
      <c r="FIM110" s="92"/>
      <c r="FIN110" s="92"/>
      <c r="FIO110" s="92"/>
      <c r="FIP110" s="92"/>
      <c r="FIQ110" s="92"/>
      <c r="FIR110" s="92"/>
      <c r="FIS110" s="92"/>
      <c r="FIT110" s="92"/>
      <c r="FIU110" s="92"/>
      <c r="FIV110" s="91"/>
      <c r="FIW110" s="92"/>
      <c r="FIX110" s="92"/>
      <c r="FIY110" s="92"/>
      <c r="FIZ110" s="92"/>
      <c r="FJA110" s="92"/>
      <c r="FJB110" s="92"/>
      <c r="FJC110" s="92"/>
      <c r="FJD110" s="92"/>
      <c r="FJE110" s="92"/>
      <c r="FJF110" s="92"/>
      <c r="FJG110" s="92"/>
      <c r="FJH110" s="92"/>
      <c r="FJI110" s="92"/>
      <c r="FJJ110" s="92"/>
      <c r="FJK110" s="92"/>
      <c r="FJL110" s="92"/>
      <c r="FJM110" s="92"/>
      <c r="FJN110" s="92"/>
      <c r="FJO110" s="92"/>
      <c r="FJP110" s="92"/>
      <c r="FJQ110" s="92"/>
      <c r="FJR110" s="91"/>
      <c r="FJS110" s="92"/>
      <c r="FJT110" s="92"/>
      <c r="FJU110" s="92"/>
      <c r="FJV110" s="92"/>
      <c r="FJW110" s="92"/>
      <c r="FJX110" s="92"/>
      <c r="FJY110" s="92"/>
      <c r="FJZ110" s="92"/>
      <c r="FKA110" s="92"/>
      <c r="FKB110" s="92"/>
      <c r="FKC110" s="92"/>
      <c r="FKD110" s="92"/>
      <c r="FKE110" s="92"/>
      <c r="FKF110" s="92"/>
      <c r="FKG110" s="92"/>
      <c r="FKH110" s="92"/>
      <c r="FKI110" s="92"/>
      <c r="FKJ110" s="92"/>
      <c r="FKK110" s="92"/>
      <c r="FKL110" s="92"/>
      <c r="FKM110" s="92"/>
      <c r="FKN110" s="91"/>
      <c r="FKO110" s="92"/>
      <c r="FKP110" s="92"/>
      <c r="FKQ110" s="92"/>
      <c r="FKR110" s="92"/>
      <c r="FKS110" s="92"/>
      <c r="FKT110" s="92"/>
      <c r="FKU110" s="92"/>
      <c r="FKV110" s="92"/>
      <c r="FKW110" s="92"/>
      <c r="FKX110" s="92"/>
      <c r="FKY110" s="92"/>
      <c r="FKZ110" s="92"/>
      <c r="FLA110" s="92"/>
      <c r="FLB110" s="92"/>
      <c r="FLC110" s="92"/>
      <c r="FLD110" s="92"/>
      <c r="FLE110" s="92"/>
      <c r="FLF110" s="92"/>
      <c r="FLG110" s="92"/>
      <c r="FLH110" s="92"/>
      <c r="FLI110" s="92"/>
      <c r="FLJ110" s="91"/>
      <c r="FLK110" s="92"/>
      <c r="FLL110" s="92"/>
      <c r="FLM110" s="92"/>
      <c r="FLN110" s="92"/>
      <c r="FLO110" s="92"/>
      <c r="FLP110" s="92"/>
      <c r="FLQ110" s="92"/>
      <c r="FLR110" s="92"/>
      <c r="FLS110" s="92"/>
      <c r="FLT110" s="92"/>
      <c r="FLU110" s="92"/>
      <c r="FLV110" s="92"/>
      <c r="FLW110" s="92"/>
      <c r="FLX110" s="92"/>
      <c r="FLY110" s="92"/>
      <c r="FLZ110" s="92"/>
      <c r="FMA110" s="92"/>
      <c r="FMB110" s="92"/>
      <c r="FMC110" s="92"/>
      <c r="FMD110" s="92"/>
      <c r="FME110" s="92"/>
      <c r="FMF110" s="91"/>
      <c r="FMG110" s="92"/>
      <c r="FMH110" s="92"/>
      <c r="FMI110" s="92"/>
      <c r="FMJ110" s="92"/>
      <c r="FMK110" s="92"/>
      <c r="FML110" s="92"/>
      <c r="FMM110" s="92"/>
      <c r="FMN110" s="92"/>
      <c r="FMO110" s="92"/>
      <c r="FMP110" s="92"/>
      <c r="FMQ110" s="92"/>
      <c r="FMR110" s="92"/>
      <c r="FMS110" s="92"/>
      <c r="FMT110" s="92"/>
      <c r="FMU110" s="92"/>
      <c r="FMV110" s="92"/>
      <c r="FMW110" s="92"/>
      <c r="FMX110" s="92"/>
      <c r="FMY110" s="92"/>
      <c r="FMZ110" s="92"/>
      <c r="FNA110" s="92"/>
      <c r="FNB110" s="91"/>
      <c r="FNC110" s="92"/>
      <c r="FND110" s="92"/>
      <c r="FNE110" s="92"/>
      <c r="FNF110" s="92"/>
      <c r="FNG110" s="92"/>
      <c r="FNH110" s="92"/>
      <c r="FNI110" s="92"/>
      <c r="FNJ110" s="92"/>
      <c r="FNK110" s="92"/>
      <c r="FNL110" s="92"/>
      <c r="FNM110" s="92"/>
      <c r="FNN110" s="92"/>
      <c r="FNO110" s="92"/>
      <c r="FNP110" s="92"/>
      <c r="FNQ110" s="92"/>
      <c r="FNR110" s="92"/>
      <c r="FNS110" s="92"/>
      <c r="FNT110" s="92"/>
      <c r="FNU110" s="92"/>
      <c r="FNV110" s="92"/>
      <c r="FNW110" s="92"/>
      <c r="FNX110" s="91"/>
      <c r="FNY110" s="92"/>
      <c r="FNZ110" s="92"/>
      <c r="FOA110" s="92"/>
      <c r="FOB110" s="92"/>
      <c r="FOC110" s="92"/>
      <c r="FOD110" s="92"/>
      <c r="FOE110" s="92"/>
      <c r="FOF110" s="92"/>
      <c r="FOG110" s="92"/>
      <c r="FOH110" s="92"/>
      <c r="FOI110" s="92"/>
      <c r="FOJ110" s="92"/>
      <c r="FOK110" s="92"/>
      <c r="FOL110" s="92"/>
      <c r="FOM110" s="92"/>
      <c r="FON110" s="92"/>
      <c r="FOO110" s="92"/>
      <c r="FOP110" s="92"/>
      <c r="FOQ110" s="92"/>
      <c r="FOR110" s="92"/>
      <c r="FOS110" s="92"/>
      <c r="FOT110" s="91"/>
      <c r="FOU110" s="92"/>
      <c r="FOV110" s="92"/>
      <c r="FOW110" s="92"/>
      <c r="FOX110" s="92"/>
      <c r="FOY110" s="92"/>
      <c r="FOZ110" s="92"/>
      <c r="FPA110" s="92"/>
      <c r="FPB110" s="92"/>
      <c r="FPC110" s="92"/>
      <c r="FPD110" s="92"/>
      <c r="FPE110" s="92"/>
      <c r="FPF110" s="92"/>
      <c r="FPG110" s="92"/>
      <c r="FPH110" s="92"/>
      <c r="FPI110" s="92"/>
      <c r="FPJ110" s="92"/>
      <c r="FPK110" s="92"/>
      <c r="FPL110" s="92"/>
      <c r="FPM110" s="92"/>
      <c r="FPN110" s="92"/>
      <c r="FPO110" s="92"/>
      <c r="FPP110" s="91"/>
      <c r="FPQ110" s="92"/>
      <c r="FPR110" s="92"/>
      <c r="FPS110" s="92"/>
      <c r="FPT110" s="92"/>
      <c r="FPU110" s="92"/>
      <c r="FPV110" s="92"/>
      <c r="FPW110" s="92"/>
      <c r="FPX110" s="92"/>
      <c r="FPY110" s="92"/>
      <c r="FPZ110" s="92"/>
      <c r="FQA110" s="92"/>
      <c r="FQB110" s="92"/>
      <c r="FQC110" s="92"/>
      <c r="FQD110" s="92"/>
      <c r="FQE110" s="92"/>
      <c r="FQF110" s="92"/>
      <c r="FQG110" s="92"/>
      <c r="FQH110" s="92"/>
      <c r="FQI110" s="92"/>
      <c r="FQJ110" s="92"/>
      <c r="FQK110" s="92"/>
      <c r="FQL110" s="91"/>
      <c r="FQM110" s="92"/>
      <c r="FQN110" s="92"/>
      <c r="FQO110" s="92"/>
      <c r="FQP110" s="92"/>
      <c r="FQQ110" s="92"/>
      <c r="FQR110" s="92"/>
      <c r="FQS110" s="92"/>
      <c r="FQT110" s="92"/>
      <c r="FQU110" s="92"/>
      <c r="FQV110" s="92"/>
      <c r="FQW110" s="92"/>
      <c r="FQX110" s="92"/>
      <c r="FQY110" s="92"/>
      <c r="FQZ110" s="92"/>
      <c r="FRA110" s="92"/>
      <c r="FRB110" s="92"/>
      <c r="FRC110" s="92"/>
      <c r="FRD110" s="92"/>
      <c r="FRE110" s="92"/>
      <c r="FRF110" s="92"/>
      <c r="FRG110" s="92"/>
      <c r="FRH110" s="91"/>
      <c r="FRI110" s="92"/>
      <c r="FRJ110" s="92"/>
      <c r="FRK110" s="92"/>
      <c r="FRL110" s="92"/>
      <c r="FRM110" s="92"/>
      <c r="FRN110" s="92"/>
      <c r="FRO110" s="92"/>
      <c r="FRP110" s="92"/>
      <c r="FRQ110" s="92"/>
      <c r="FRR110" s="92"/>
      <c r="FRS110" s="92"/>
      <c r="FRT110" s="92"/>
      <c r="FRU110" s="92"/>
      <c r="FRV110" s="92"/>
      <c r="FRW110" s="92"/>
      <c r="FRX110" s="92"/>
      <c r="FRY110" s="92"/>
      <c r="FRZ110" s="92"/>
      <c r="FSA110" s="92"/>
      <c r="FSB110" s="92"/>
      <c r="FSC110" s="92"/>
      <c r="FSD110" s="91"/>
      <c r="FSE110" s="92"/>
      <c r="FSF110" s="92"/>
      <c r="FSG110" s="92"/>
      <c r="FSH110" s="92"/>
      <c r="FSI110" s="92"/>
      <c r="FSJ110" s="92"/>
      <c r="FSK110" s="92"/>
      <c r="FSL110" s="92"/>
      <c r="FSM110" s="92"/>
      <c r="FSN110" s="92"/>
      <c r="FSO110" s="92"/>
      <c r="FSP110" s="92"/>
      <c r="FSQ110" s="92"/>
      <c r="FSR110" s="92"/>
      <c r="FSS110" s="92"/>
      <c r="FST110" s="92"/>
      <c r="FSU110" s="92"/>
      <c r="FSV110" s="92"/>
      <c r="FSW110" s="92"/>
      <c r="FSX110" s="92"/>
      <c r="FSY110" s="92"/>
      <c r="FSZ110" s="91"/>
      <c r="FTA110" s="92"/>
      <c r="FTB110" s="92"/>
      <c r="FTC110" s="92"/>
      <c r="FTD110" s="92"/>
      <c r="FTE110" s="92"/>
      <c r="FTF110" s="92"/>
      <c r="FTG110" s="92"/>
      <c r="FTH110" s="92"/>
      <c r="FTI110" s="92"/>
      <c r="FTJ110" s="92"/>
      <c r="FTK110" s="92"/>
      <c r="FTL110" s="92"/>
      <c r="FTM110" s="92"/>
      <c r="FTN110" s="92"/>
      <c r="FTO110" s="92"/>
      <c r="FTP110" s="92"/>
      <c r="FTQ110" s="92"/>
      <c r="FTR110" s="92"/>
      <c r="FTS110" s="92"/>
      <c r="FTT110" s="92"/>
      <c r="FTU110" s="92"/>
      <c r="FTV110" s="91"/>
      <c r="FTW110" s="92"/>
      <c r="FTX110" s="92"/>
      <c r="FTY110" s="92"/>
      <c r="FTZ110" s="92"/>
      <c r="FUA110" s="92"/>
      <c r="FUB110" s="92"/>
      <c r="FUC110" s="92"/>
      <c r="FUD110" s="92"/>
      <c r="FUE110" s="92"/>
      <c r="FUF110" s="92"/>
      <c r="FUG110" s="92"/>
      <c r="FUH110" s="92"/>
      <c r="FUI110" s="92"/>
      <c r="FUJ110" s="92"/>
      <c r="FUK110" s="92"/>
      <c r="FUL110" s="92"/>
      <c r="FUM110" s="92"/>
      <c r="FUN110" s="92"/>
      <c r="FUO110" s="92"/>
      <c r="FUP110" s="92"/>
      <c r="FUQ110" s="92"/>
      <c r="FUR110" s="91"/>
      <c r="FUS110" s="92"/>
      <c r="FUT110" s="92"/>
      <c r="FUU110" s="92"/>
      <c r="FUV110" s="92"/>
      <c r="FUW110" s="92"/>
      <c r="FUX110" s="92"/>
      <c r="FUY110" s="92"/>
      <c r="FUZ110" s="92"/>
      <c r="FVA110" s="92"/>
      <c r="FVB110" s="92"/>
      <c r="FVC110" s="92"/>
      <c r="FVD110" s="92"/>
      <c r="FVE110" s="92"/>
      <c r="FVF110" s="92"/>
      <c r="FVG110" s="92"/>
      <c r="FVH110" s="92"/>
      <c r="FVI110" s="92"/>
      <c r="FVJ110" s="92"/>
      <c r="FVK110" s="92"/>
      <c r="FVL110" s="92"/>
      <c r="FVM110" s="92"/>
      <c r="FVN110" s="91"/>
      <c r="FVO110" s="92"/>
      <c r="FVP110" s="92"/>
      <c r="FVQ110" s="92"/>
      <c r="FVR110" s="92"/>
      <c r="FVS110" s="92"/>
      <c r="FVT110" s="92"/>
      <c r="FVU110" s="92"/>
      <c r="FVV110" s="92"/>
      <c r="FVW110" s="92"/>
      <c r="FVX110" s="92"/>
      <c r="FVY110" s="92"/>
      <c r="FVZ110" s="92"/>
      <c r="FWA110" s="92"/>
      <c r="FWB110" s="92"/>
      <c r="FWC110" s="92"/>
      <c r="FWD110" s="92"/>
      <c r="FWE110" s="92"/>
      <c r="FWF110" s="92"/>
      <c r="FWG110" s="92"/>
      <c r="FWH110" s="92"/>
      <c r="FWI110" s="92"/>
      <c r="FWJ110" s="91"/>
      <c r="FWK110" s="92"/>
      <c r="FWL110" s="92"/>
      <c r="FWM110" s="92"/>
      <c r="FWN110" s="92"/>
      <c r="FWO110" s="92"/>
      <c r="FWP110" s="92"/>
      <c r="FWQ110" s="92"/>
      <c r="FWR110" s="92"/>
      <c r="FWS110" s="92"/>
      <c r="FWT110" s="92"/>
      <c r="FWU110" s="92"/>
      <c r="FWV110" s="92"/>
      <c r="FWW110" s="92"/>
      <c r="FWX110" s="92"/>
      <c r="FWY110" s="92"/>
      <c r="FWZ110" s="92"/>
      <c r="FXA110" s="92"/>
      <c r="FXB110" s="92"/>
      <c r="FXC110" s="92"/>
      <c r="FXD110" s="92"/>
      <c r="FXE110" s="92"/>
      <c r="FXF110" s="91"/>
      <c r="FXG110" s="92"/>
      <c r="FXH110" s="92"/>
      <c r="FXI110" s="92"/>
      <c r="FXJ110" s="92"/>
      <c r="FXK110" s="92"/>
      <c r="FXL110" s="92"/>
      <c r="FXM110" s="92"/>
      <c r="FXN110" s="92"/>
      <c r="FXO110" s="92"/>
      <c r="FXP110" s="92"/>
      <c r="FXQ110" s="92"/>
      <c r="FXR110" s="92"/>
      <c r="FXS110" s="92"/>
      <c r="FXT110" s="92"/>
      <c r="FXU110" s="92"/>
      <c r="FXV110" s="92"/>
      <c r="FXW110" s="92"/>
      <c r="FXX110" s="92"/>
      <c r="FXY110" s="92"/>
      <c r="FXZ110" s="92"/>
      <c r="FYA110" s="92"/>
      <c r="FYB110" s="91"/>
      <c r="FYC110" s="92"/>
      <c r="FYD110" s="92"/>
      <c r="FYE110" s="92"/>
      <c r="FYF110" s="92"/>
      <c r="FYG110" s="92"/>
      <c r="FYH110" s="92"/>
      <c r="FYI110" s="92"/>
      <c r="FYJ110" s="92"/>
      <c r="FYK110" s="92"/>
      <c r="FYL110" s="92"/>
      <c r="FYM110" s="92"/>
      <c r="FYN110" s="92"/>
      <c r="FYO110" s="92"/>
      <c r="FYP110" s="92"/>
      <c r="FYQ110" s="92"/>
      <c r="FYR110" s="92"/>
      <c r="FYS110" s="92"/>
      <c r="FYT110" s="92"/>
      <c r="FYU110" s="92"/>
      <c r="FYV110" s="92"/>
      <c r="FYW110" s="92"/>
      <c r="FYX110" s="91"/>
      <c r="FYY110" s="92"/>
      <c r="FYZ110" s="92"/>
      <c r="FZA110" s="92"/>
      <c r="FZB110" s="92"/>
      <c r="FZC110" s="92"/>
      <c r="FZD110" s="92"/>
      <c r="FZE110" s="92"/>
      <c r="FZF110" s="92"/>
      <c r="FZG110" s="92"/>
      <c r="FZH110" s="92"/>
      <c r="FZI110" s="92"/>
      <c r="FZJ110" s="92"/>
      <c r="FZK110" s="92"/>
      <c r="FZL110" s="92"/>
      <c r="FZM110" s="92"/>
      <c r="FZN110" s="92"/>
      <c r="FZO110" s="92"/>
      <c r="FZP110" s="92"/>
      <c r="FZQ110" s="92"/>
      <c r="FZR110" s="92"/>
      <c r="FZS110" s="92"/>
      <c r="FZT110" s="91"/>
      <c r="FZU110" s="92"/>
      <c r="FZV110" s="92"/>
      <c r="FZW110" s="92"/>
      <c r="FZX110" s="92"/>
      <c r="FZY110" s="92"/>
      <c r="FZZ110" s="92"/>
      <c r="GAA110" s="92"/>
      <c r="GAB110" s="92"/>
      <c r="GAC110" s="92"/>
      <c r="GAD110" s="92"/>
      <c r="GAE110" s="92"/>
      <c r="GAF110" s="92"/>
      <c r="GAG110" s="92"/>
      <c r="GAH110" s="92"/>
      <c r="GAI110" s="92"/>
      <c r="GAJ110" s="92"/>
      <c r="GAK110" s="92"/>
      <c r="GAL110" s="92"/>
      <c r="GAM110" s="92"/>
      <c r="GAN110" s="92"/>
      <c r="GAO110" s="92"/>
      <c r="GAP110" s="91"/>
      <c r="GAQ110" s="92"/>
      <c r="GAR110" s="92"/>
      <c r="GAS110" s="92"/>
      <c r="GAT110" s="92"/>
      <c r="GAU110" s="92"/>
      <c r="GAV110" s="92"/>
      <c r="GAW110" s="92"/>
      <c r="GAX110" s="92"/>
      <c r="GAY110" s="92"/>
      <c r="GAZ110" s="92"/>
      <c r="GBA110" s="92"/>
      <c r="GBB110" s="92"/>
      <c r="GBC110" s="92"/>
      <c r="GBD110" s="92"/>
      <c r="GBE110" s="92"/>
      <c r="GBF110" s="92"/>
      <c r="GBG110" s="92"/>
      <c r="GBH110" s="92"/>
      <c r="GBI110" s="92"/>
      <c r="GBJ110" s="92"/>
      <c r="GBK110" s="92"/>
      <c r="GBL110" s="91"/>
      <c r="GBM110" s="92"/>
      <c r="GBN110" s="92"/>
      <c r="GBO110" s="92"/>
      <c r="GBP110" s="92"/>
      <c r="GBQ110" s="92"/>
      <c r="GBR110" s="92"/>
      <c r="GBS110" s="92"/>
      <c r="GBT110" s="92"/>
      <c r="GBU110" s="92"/>
      <c r="GBV110" s="92"/>
      <c r="GBW110" s="92"/>
      <c r="GBX110" s="92"/>
      <c r="GBY110" s="92"/>
      <c r="GBZ110" s="92"/>
      <c r="GCA110" s="92"/>
      <c r="GCB110" s="92"/>
      <c r="GCC110" s="92"/>
      <c r="GCD110" s="92"/>
      <c r="GCE110" s="92"/>
      <c r="GCF110" s="92"/>
      <c r="GCG110" s="92"/>
      <c r="GCH110" s="91"/>
      <c r="GCI110" s="92"/>
      <c r="GCJ110" s="92"/>
      <c r="GCK110" s="92"/>
      <c r="GCL110" s="92"/>
      <c r="GCM110" s="92"/>
      <c r="GCN110" s="92"/>
      <c r="GCO110" s="92"/>
      <c r="GCP110" s="92"/>
      <c r="GCQ110" s="92"/>
      <c r="GCR110" s="92"/>
      <c r="GCS110" s="92"/>
      <c r="GCT110" s="92"/>
      <c r="GCU110" s="92"/>
      <c r="GCV110" s="92"/>
      <c r="GCW110" s="92"/>
      <c r="GCX110" s="92"/>
      <c r="GCY110" s="92"/>
      <c r="GCZ110" s="92"/>
      <c r="GDA110" s="92"/>
      <c r="GDB110" s="92"/>
      <c r="GDC110" s="92"/>
      <c r="GDD110" s="91"/>
      <c r="GDE110" s="92"/>
      <c r="GDF110" s="92"/>
      <c r="GDG110" s="92"/>
      <c r="GDH110" s="92"/>
      <c r="GDI110" s="92"/>
      <c r="GDJ110" s="92"/>
      <c r="GDK110" s="92"/>
      <c r="GDL110" s="92"/>
      <c r="GDM110" s="92"/>
      <c r="GDN110" s="92"/>
      <c r="GDO110" s="92"/>
      <c r="GDP110" s="92"/>
      <c r="GDQ110" s="92"/>
      <c r="GDR110" s="92"/>
      <c r="GDS110" s="92"/>
      <c r="GDT110" s="92"/>
      <c r="GDU110" s="92"/>
      <c r="GDV110" s="92"/>
      <c r="GDW110" s="92"/>
      <c r="GDX110" s="92"/>
      <c r="GDY110" s="92"/>
      <c r="GDZ110" s="91"/>
      <c r="GEA110" s="92"/>
      <c r="GEB110" s="92"/>
      <c r="GEC110" s="92"/>
      <c r="GED110" s="92"/>
      <c r="GEE110" s="92"/>
      <c r="GEF110" s="92"/>
      <c r="GEG110" s="92"/>
      <c r="GEH110" s="92"/>
      <c r="GEI110" s="92"/>
      <c r="GEJ110" s="92"/>
      <c r="GEK110" s="92"/>
      <c r="GEL110" s="92"/>
      <c r="GEM110" s="92"/>
      <c r="GEN110" s="92"/>
      <c r="GEO110" s="92"/>
      <c r="GEP110" s="92"/>
      <c r="GEQ110" s="92"/>
      <c r="GER110" s="92"/>
      <c r="GES110" s="92"/>
      <c r="GET110" s="92"/>
      <c r="GEU110" s="92"/>
      <c r="GEV110" s="91"/>
      <c r="GEW110" s="92"/>
      <c r="GEX110" s="92"/>
      <c r="GEY110" s="92"/>
      <c r="GEZ110" s="92"/>
      <c r="GFA110" s="92"/>
      <c r="GFB110" s="92"/>
      <c r="GFC110" s="92"/>
      <c r="GFD110" s="92"/>
      <c r="GFE110" s="92"/>
      <c r="GFF110" s="92"/>
      <c r="GFG110" s="92"/>
      <c r="GFH110" s="92"/>
      <c r="GFI110" s="92"/>
      <c r="GFJ110" s="92"/>
      <c r="GFK110" s="92"/>
      <c r="GFL110" s="92"/>
      <c r="GFM110" s="92"/>
      <c r="GFN110" s="92"/>
      <c r="GFO110" s="92"/>
      <c r="GFP110" s="92"/>
      <c r="GFQ110" s="92"/>
      <c r="GFR110" s="91"/>
      <c r="GFS110" s="92"/>
      <c r="GFT110" s="92"/>
      <c r="GFU110" s="92"/>
      <c r="GFV110" s="92"/>
      <c r="GFW110" s="92"/>
      <c r="GFX110" s="92"/>
      <c r="GFY110" s="92"/>
      <c r="GFZ110" s="92"/>
      <c r="GGA110" s="92"/>
      <c r="GGB110" s="92"/>
      <c r="GGC110" s="92"/>
      <c r="GGD110" s="92"/>
      <c r="GGE110" s="92"/>
      <c r="GGF110" s="92"/>
      <c r="GGG110" s="92"/>
      <c r="GGH110" s="92"/>
      <c r="GGI110" s="92"/>
      <c r="GGJ110" s="92"/>
      <c r="GGK110" s="92"/>
      <c r="GGL110" s="92"/>
      <c r="GGM110" s="92"/>
      <c r="GGN110" s="91"/>
      <c r="GGO110" s="92"/>
      <c r="GGP110" s="92"/>
      <c r="GGQ110" s="92"/>
      <c r="GGR110" s="92"/>
      <c r="GGS110" s="92"/>
      <c r="GGT110" s="92"/>
      <c r="GGU110" s="92"/>
      <c r="GGV110" s="92"/>
      <c r="GGW110" s="92"/>
      <c r="GGX110" s="92"/>
      <c r="GGY110" s="92"/>
      <c r="GGZ110" s="92"/>
      <c r="GHA110" s="92"/>
      <c r="GHB110" s="92"/>
      <c r="GHC110" s="92"/>
      <c r="GHD110" s="92"/>
      <c r="GHE110" s="92"/>
      <c r="GHF110" s="92"/>
      <c r="GHG110" s="92"/>
      <c r="GHH110" s="92"/>
      <c r="GHI110" s="92"/>
      <c r="GHJ110" s="91"/>
      <c r="GHK110" s="92"/>
      <c r="GHL110" s="92"/>
      <c r="GHM110" s="92"/>
      <c r="GHN110" s="92"/>
      <c r="GHO110" s="92"/>
      <c r="GHP110" s="92"/>
      <c r="GHQ110" s="92"/>
      <c r="GHR110" s="92"/>
      <c r="GHS110" s="92"/>
      <c r="GHT110" s="92"/>
      <c r="GHU110" s="92"/>
      <c r="GHV110" s="92"/>
      <c r="GHW110" s="92"/>
      <c r="GHX110" s="92"/>
      <c r="GHY110" s="92"/>
      <c r="GHZ110" s="92"/>
      <c r="GIA110" s="92"/>
      <c r="GIB110" s="92"/>
      <c r="GIC110" s="92"/>
      <c r="GID110" s="92"/>
      <c r="GIE110" s="92"/>
      <c r="GIF110" s="91"/>
      <c r="GIG110" s="92"/>
      <c r="GIH110" s="92"/>
      <c r="GII110" s="92"/>
      <c r="GIJ110" s="92"/>
      <c r="GIK110" s="92"/>
      <c r="GIL110" s="92"/>
      <c r="GIM110" s="92"/>
      <c r="GIN110" s="92"/>
      <c r="GIO110" s="92"/>
      <c r="GIP110" s="92"/>
      <c r="GIQ110" s="92"/>
      <c r="GIR110" s="92"/>
      <c r="GIS110" s="92"/>
      <c r="GIT110" s="92"/>
      <c r="GIU110" s="92"/>
      <c r="GIV110" s="92"/>
      <c r="GIW110" s="92"/>
      <c r="GIX110" s="92"/>
      <c r="GIY110" s="92"/>
      <c r="GIZ110" s="92"/>
      <c r="GJA110" s="92"/>
      <c r="GJB110" s="91"/>
      <c r="GJC110" s="92"/>
      <c r="GJD110" s="92"/>
      <c r="GJE110" s="92"/>
      <c r="GJF110" s="92"/>
      <c r="GJG110" s="92"/>
      <c r="GJH110" s="92"/>
      <c r="GJI110" s="92"/>
      <c r="GJJ110" s="92"/>
      <c r="GJK110" s="92"/>
      <c r="GJL110" s="92"/>
      <c r="GJM110" s="92"/>
      <c r="GJN110" s="92"/>
      <c r="GJO110" s="92"/>
      <c r="GJP110" s="92"/>
      <c r="GJQ110" s="92"/>
      <c r="GJR110" s="92"/>
      <c r="GJS110" s="92"/>
      <c r="GJT110" s="92"/>
      <c r="GJU110" s="92"/>
      <c r="GJV110" s="92"/>
      <c r="GJW110" s="92"/>
      <c r="GJX110" s="91"/>
      <c r="GJY110" s="92"/>
      <c r="GJZ110" s="92"/>
      <c r="GKA110" s="92"/>
      <c r="GKB110" s="92"/>
      <c r="GKC110" s="92"/>
      <c r="GKD110" s="92"/>
      <c r="GKE110" s="92"/>
      <c r="GKF110" s="92"/>
      <c r="GKG110" s="92"/>
      <c r="GKH110" s="92"/>
      <c r="GKI110" s="92"/>
      <c r="GKJ110" s="92"/>
      <c r="GKK110" s="92"/>
      <c r="GKL110" s="92"/>
      <c r="GKM110" s="92"/>
      <c r="GKN110" s="92"/>
      <c r="GKO110" s="92"/>
      <c r="GKP110" s="92"/>
      <c r="GKQ110" s="92"/>
      <c r="GKR110" s="92"/>
      <c r="GKS110" s="92"/>
      <c r="GKT110" s="91"/>
      <c r="GKU110" s="92"/>
      <c r="GKV110" s="92"/>
      <c r="GKW110" s="92"/>
      <c r="GKX110" s="92"/>
      <c r="GKY110" s="92"/>
      <c r="GKZ110" s="92"/>
      <c r="GLA110" s="92"/>
      <c r="GLB110" s="92"/>
      <c r="GLC110" s="92"/>
      <c r="GLD110" s="92"/>
      <c r="GLE110" s="92"/>
      <c r="GLF110" s="92"/>
      <c r="GLG110" s="92"/>
      <c r="GLH110" s="92"/>
      <c r="GLI110" s="92"/>
      <c r="GLJ110" s="92"/>
      <c r="GLK110" s="92"/>
      <c r="GLL110" s="92"/>
      <c r="GLM110" s="92"/>
      <c r="GLN110" s="92"/>
      <c r="GLO110" s="92"/>
      <c r="GLP110" s="91"/>
      <c r="GLQ110" s="92"/>
      <c r="GLR110" s="92"/>
      <c r="GLS110" s="92"/>
      <c r="GLT110" s="92"/>
      <c r="GLU110" s="92"/>
      <c r="GLV110" s="92"/>
      <c r="GLW110" s="92"/>
      <c r="GLX110" s="92"/>
      <c r="GLY110" s="92"/>
      <c r="GLZ110" s="92"/>
      <c r="GMA110" s="92"/>
      <c r="GMB110" s="92"/>
      <c r="GMC110" s="92"/>
      <c r="GMD110" s="92"/>
      <c r="GME110" s="92"/>
      <c r="GMF110" s="92"/>
      <c r="GMG110" s="92"/>
      <c r="GMH110" s="92"/>
      <c r="GMI110" s="92"/>
      <c r="GMJ110" s="92"/>
      <c r="GMK110" s="92"/>
      <c r="GML110" s="91"/>
      <c r="GMM110" s="92"/>
      <c r="GMN110" s="92"/>
      <c r="GMO110" s="92"/>
      <c r="GMP110" s="92"/>
      <c r="GMQ110" s="92"/>
      <c r="GMR110" s="92"/>
      <c r="GMS110" s="92"/>
      <c r="GMT110" s="92"/>
      <c r="GMU110" s="92"/>
      <c r="GMV110" s="92"/>
      <c r="GMW110" s="92"/>
      <c r="GMX110" s="92"/>
      <c r="GMY110" s="92"/>
      <c r="GMZ110" s="92"/>
      <c r="GNA110" s="92"/>
      <c r="GNB110" s="92"/>
      <c r="GNC110" s="92"/>
      <c r="GND110" s="92"/>
      <c r="GNE110" s="92"/>
      <c r="GNF110" s="92"/>
      <c r="GNG110" s="92"/>
      <c r="GNH110" s="91"/>
      <c r="GNI110" s="92"/>
      <c r="GNJ110" s="92"/>
      <c r="GNK110" s="92"/>
      <c r="GNL110" s="92"/>
      <c r="GNM110" s="92"/>
      <c r="GNN110" s="92"/>
      <c r="GNO110" s="92"/>
      <c r="GNP110" s="92"/>
      <c r="GNQ110" s="92"/>
      <c r="GNR110" s="92"/>
      <c r="GNS110" s="92"/>
      <c r="GNT110" s="92"/>
      <c r="GNU110" s="92"/>
      <c r="GNV110" s="92"/>
      <c r="GNW110" s="92"/>
      <c r="GNX110" s="92"/>
      <c r="GNY110" s="92"/>
      <c r="GNZ110" s="92"/>
      <c r="GOA110" s="92"/>
      <c r="GOB110" s="92"/>
      <c r="GOC110" s="92"/>
      <c r="GOD110" s="91"/>
      <c r="GOE110" s="92"/>
      <c r="GOF110" s="92"/>
      <c r="GOG110" s="92"/>
      <c r="GOH110" s="92"/>
      <c r="GOI110" s="92"/>
      <c r="GOJ110" s="92"/>
      <c r="GOK110" s="92"/>
      <c r="GOL110" s="92"/>
      <c r="GOM110" s="92"/>
      <c r="GON110" s="92"/>
      <c r="GOO110" s="92"/>
      <c r="GOP110" s="92"/>
      <c r="GOQ110" s="92"/>
      <c r="GOR110" s="92"/>
      <c r="GOS110" s="92"/>
      <c r="GOT110" s="92"/>
      <c r="GOU110" s="92"/>
      <c r="GOV110" s="92"/>
      <c r="GOW110" s="92"/>
      <c r="GOX110" s="92"/>
      <c r="GOY110" s="92"/>
      <c r="GOZ110" s="91"/>
      <c r="GPA110" s="92"/>
      <c r="GPB110" s="92"/>
      <c r="GPC110" s="92"/>
      <c r="GPD110" s="92"/>
      <c r="GPE110" s="92"/>
      <c r="GPF110" s="92"/>
      <c r="GPG110" s="92"/>
      <c r="GPH110" s="92"/>
      <c r="GPI110" s="92"/>
      <c r="GPJ110" s="92"/>
      <c r="GPK110" s="92"/>
      <c r="GPL110" s="92"/>
      <c r="GPM110" s="92"/>
      <c r="GPN110" s="92"/>
      <c r="GPO110" s="92"/>
      <c r="GPP110" s="92"/>
      <c r="GPQ110" s="92"/>
      <c r="GPR110" s="92"/>
      <c r="GPS110" s="92"/>
      <c r="GPT110" s="92"/>
      <c r="GPU110" s="92"/>
      <c r="GPV110" s="91"/>
      <c r="GPW110" s="92"/>
      <c r="GPX110" s="92"/>
      <c r="GPY110" s="92"/>
      <c r="GPZ110" s="92"/>
      <c r="GQA110" s="92"/>
      <c r="GQB110" s="92"/>
      <c r="GQC110" s="92"/>
      <c r="GQD110" s="92"/>
      <c r="GQE110" s="92"/>
      <c r="GQF110" s="92"/>
      <c r="GQG110" s="92"/>
      <c r="GQH110" s="92"/>
      <c r="GQI110" s="92"/>
      <c r="GQJ110" s="92"/>
      <c r="GQK110" s="92"/>
      <c r="GQL110" s="92"/>
      <c r="GQM110" s="92"/>
      <c r="GQN110" s="92"/>
      <c r="GQO110" s="92"/>
      <c r="GQP110" s="92"/>
      <c r="GQQ110" s="92"/>
      <c r="GQR110" s="91"/>
      <c r="GQS110" s="92"/>
      <c r="GQT110" s="92"/>
      <c r="GQU110" s="92"/>
      <c r="GQV110" s="92"/>
      <c r="GQW110" s="92"/>
      <c r="GQX110" s="92"/>
      <c r="GQY110" s="92"/>
      <c r="GQZ110" s="92"/>
      <c r="GRA110" s="92"/>
      <c r="GRB110" s="92"/>
      <c r="GRC110" s="92"/>
      <c r="GRD110" s="92"/>
      <c r="GRE110" s="92"/>
      <c r="GRF110" s="92"/>
      <c r="GRG110" s="92"/>
      <c r="GRH110" s="92"/>
      <c r="GRI110" s="92"/>
      <c r="GRJ110" s="92"/>
      <c r="GRK110" s="92"/>
      <c r="GRL110" s="92"/>
      <c r="GRM110" s="92"/>
      <c r="GRN110" s="91"/>
      <c r="GRO110" s="92"/>
      <c r="GRP110" s="92"/>
      <c r="GRQ110" s="92"/>
      <c r="GRR110" s="92"/>
      <c r="GRS110" s="92"/>
      <c r="GRT110" s="92"/>
      <c r="GRU110" s="92"/>
      <c r="GRV110" s="92"/>
      <c r="GRW110" s="92"/>
      <c r="GRX110" s="92"/>
      <c r="GRY110" s="92"/>
      <c r="GRZ110" s="92"/>
      <c r="GSA110" s="92"/>
      <c r="GSB110" s="92"/>
      <c r="GSC110" s="92"/>
      <c r="GSD110" s="92"/>
      <c r="GSE110" s="92"/>
      <c r="GSF110" s="92"/>
      <c r="GSG110" s="92"/>
      <c r="GSH110" s="92"/>
      <c r="GSI110" s="92"/>
      <c r="GSJ110" s="91"/>
      <c r="GSK110" s="92"/>
      <c r="GSL110" s="92"/>
      <c r="GSM110" s="92"/>
      <c r="GSN110" s="92"/>
      <c r="GSO110" s="92"/>
      <c r="GSP110" s="92"/>
      <c r="GSQ110" s="92"/>
      <c r="GSR110" s="92"/>
      <c r="GSS110" s="92"/>
      <c r="GST110" s="92"/>
      <c r="GSU110" s="92"/>
      <c r="GSV110" s="92"/>
      <c r="GSW110" s="92"/>
      <c r="GSX110" s="92"/>
      <c r="GSY110" s="92"/>
      <c r="GSZ110" s="92"/>
      <c r="GTA110" s="92"/>
      <c r="GTB110" s="92"/>
      <c r="GTC110" s="92"/>
      <c r="GTD110" s="92"/>
      <c r="GTE110" s="92"/>
      <c r="GTF110" s="91"/>
      <c r="GTG110" s="92"/>
      <c r="GTH110" s="92"/>
      <c r="GTI110" s="92"/>
      <c r="GTJ110" s="92"/>
      <c r="GTK110" s="92"/>
      <c r="GTL110" s="92"/>
      <c r="GTM110" s="92"/>
      <c r="GTN110" s="92"/>
      <c r="GTO110" s="92"/>
      <c r="GTP110" s="92"/>
      <c r="GTQ110" s="92"/>
      <c r="GTR110" s="92"/>
      <c r="GTS110" s="92"/>
      <c r="GTT110" s="92"/>
      <c r="GTU110" s="92"/>
      <c r="GTV110" s="92"/>
      <c r="GTW110" s="92"/>
      <c r="GTX110" s="92"/>
      <c r="GTY110" s="92"/>
      <c r="GTZ110" s="92"/>
      <c r="GUA110" s="92"/>
      <c r="GUB110" s="91"/>
      <c r="GUC110" s="92"/>
      <c r="GUD110" s="92"/>
      <c r="GUE110" s="92"/>
      <c r="GUF110" s="92"/>
      <c r="GUG110" s="92"/>
      <c r="GUH110" s="92"/>
      <c r="GUI110" s="92"/>
      <c r="GUJ110" s="92"/>
      <c r="GUK110" s="92"/>
      <c r="GUL110" s="92"/>
      <c r="GUM110" s="92"/>
      <c r="GUN110" s="92"/>
      <c r="GUO110" s="92"/>
      <c r="GUP110" s="92"/>
      <c r="GUQ110" s="92"/>
      <c r="GUR110" s="92"/>
      <c r="GUS110" s="92"/>
      <c r="GUT110" s="92"/>
      <c r="GUU110" s="92"/>
      <c r="GUV110" s="92"/>
      <c r="GUW110" s="92"/>
      <c r="GUX110" s="91"/>
      <c r="GUY110" s="92"/>
      <c r="GUZ110" s="92"/>
      <c r="GVA110" s="92"/>
      <c r="GVB110" s="92"/>
      <c r="GVC110" s="92"/>
      <c r="GVD110" s="92"/>
      <c r="GVE110" s="92"/>
      <c r="GVF110" s="92"/>
      <c r="GVG110" s="92"/>
      <c r="GVH110" s="92"/>
      <c r="GVI110" s="92"/>
      <c r="GVJ110" s="92"/>
      <c r="GVK110" s="92"/>
      <c r="GVL110" s="92"/>
      <c r="GVM110" s="92"/>
      <c r="GVN110" s="92"/>
      <c r="GVO110" s="92"/>
      <c r="GVP110" s="92"/>
      <c r="GVQ110" s="92"/>
      <c r="GVR110" s="92"/>
      <c r="GVS110" s="92"/>
      <c r="GVT110" s="91"/>
      <c r="GVU110" s="92"/>
      <c r="GVV110" s="92"/>
      <c r="GVW110" s="92"/>
      <c r="GVX110" s="92"/>
      <c r="GVY110" s="92"/>
      <c r="GVZ110" s="92"/>
      <c r="GWA110" s="92"/>
      <c r="GWB110" s="92"/>
      <c r="GWC110" s="92"/>
      <c r="GWD110" s="92"/>
      <c r="GWE110" s="92"/>
      <c r="GWF110" s="92"/>
      <c r="GWG110" s="92"/>
      <c r="GWH110" s="92"/>
      <c r="GWI110" s="92"/>
      <c r="GWJ110" s="92"/>
      <c r="GWK110" s="92"/>
      <c r="GWL110" s="92"/>
      <c r="GWM110" s="92"/>
      <c r="GWN110" s="92"/>
      <c r="GWO110" s="92"/>
      <c r="GWP110" s="91"/>
      <c r="GWQ110" s="92"/>
      <c r="GWR110" s="92"/>
      <c r="GWS110" s="92"/>
      <c r="GWT110" s="92"/>
      <c r="GWU110" s="92"/>
      <c r="GWV110" s="92"/>
      <c r="GWW110" s="92"/>
      <c r="GWX110" s="92"/>
      <c r="GWY110" s="92"/>
      <c r="GWZ110" s="92"/>
      <c r="GXA110" s="92"/>
      <c r="GXB110" s="92"/>
      <c r="GXC110" s="92"/>
      <c r="GXD110" s="92"/>
      <c r="GXE110" s="92"/>
      <c r="GXF110" s="92"/>
      <c r="GXG110" s="92"/>
      <c r="GXH110" s="92"/>
      <c r="GXI110" s="92"/>
      <c r="GXJ110" s="92"/>
      <c r="GXK110" s="92"/>
      <c r="GXL110" s="91"/>
      <c r="GXM110" s="92"/>
      <c r="GXN110" s="92"/>
      <c r="GXO110" s="92"/>
      <c r="GXP110" s="92"/>
      <c r="GXQ110" s="92"/>
      <c r="GXR110" s="92"/>
      <c r="GXS110" s="92"/>
      <c r="GXT110" s="92"/>
      <c r="GXU110" s="92"/>
      <c r="GXV110" s="92"/>
      <c r="GXW110" s="92"/>
      <c r="GXX110" s="92"/>
      <c r="GXY110" s="92"/>
      <c r="GXZ110" s="92"/>
      <c r="GYA110" s="92"/>
      <c r="GYB110" s="92"/>
      <c r="GYC110" s="92"/>
      <c r="GYD110" s="92"/>
      <c r="GYE110" s="92"/>
      <c r="GYF110" s="92"/>
      <c r="GYG110" s="92"/>
      <c r="GYH110" s="91"/>
      <c r="GYI110" s="92"/>
      <c r="GYJ110" s="92"/>
      <c r="GYK110" s="92"/>
      <c r="GYL110" s="92"/>
      <c r="GYM110" s="92"/>
      <c r="GYN110" s="92"/>
      <c r="GYO110" s="92"/>
      <c r="GYP110" s="92"/>
      <c r="GYQ110" s="92"/>
      <c r="GYR110" s="92"/>
      <c r="GYS110" s="92"/>
      <c r="GYT110" s="92"/>
      <c r="GYU110" s="92"/>
      <c r="GYV110" s="92"/>
      <c r="GYW110" s="92"/>
      <c r="GYX110" s="92"/>
      <c r="GYY110" s="92"/>
      <c r="GYZ110" s="92"/>
      <c r="GZA110" s="92"/>
      <c r="GZB110" s="92"/>
      <c r="GZC110" s="92"/>
      <c r="GZD110" s="91"/>
      <c r="GZE110" s="92"/>
      <c r="GZF110" s="92"/>
      <c r="GZG110" s="92"/>
      <c r="GZH110" s="92"/>
      <c r="GZI110" s="92"/>
      <c r="GZJ110" s="92"/>
      <c r="GZK110" s="92"/>
      <c r="GZL110" s="92"/>
      <c r="GZM110" s="92"/>
      <c r="GZN110" s="92"/>
      <c r="GZO110" s="92"/>
      <c r="GZP110" s="92"/>
      <c r="GZQ110" s="92"/>
      <c r="GZR110" s="92"/>
      <c r="GZS110" s="92"/>
      <c r="GZT110" s="92"/>
      <c r="GZU110" s="92"/>
      <c r="GZV110" s="92"/>
      <c r="GZW110" s="92"/>
      <c r="GZX110" s="92"/>
      <c r="GZY110" s="92"/>
      <c r="GZZ110" s="91"/>
      <c r="HAA110" s="92"/>
      <c r="HAB110" s="92"/>
      <c r="HAC110" s="92"/>
      <c r="HAD110" s="92"/>
      <c r="HAE110" s="92"/>
      <c r="HAF110" s="92"/>
      <c r="HAG110" s="92"/>
      <c r="HAH110" s="92"/>
      <c r="HAI110" s="92"/>
      <c r="HAJ110" s="92"/>
      <c r="HAK110" s="92"/>
      <c r="HAL110" s="92"/>
      <c r="HAM110" s="92"/>
      <c r="HAN110" s="92"/>
      <c r="HAO110" s="92"/>
      <c r="HAP110" s="92"/>
      <c r="HAQ110" s="92"/>
      <c r="HAR110" s="92"/>
      <c r="HAS110" s="92"/>
      <c r="HAT110" s="92"/>
      <c r="HAU110" s="92"/>
      <c r="HAV110" s="91"/>
      <c r="HAW110" s="92"/>
      <c r="HAX110" s="92"/>
      <c r="HAY110" s="92"/>
      <c r="HAZ110" s="92"/>
      <c r="HBA110" s="92"/>
      <c r="HBB110" s="92"/>
      <c r="HBC110" s="92"/>
      <c r="HBD110" s="92"/>
      <c r="HBE110" s="92"/>
      <c r="HBF110" s="92"/>
      <c r="HBG110" s="92"/>
      <c r="HBH110" s="92"/>
      <c r="HBI110" s="92"/>
      <c r="HBJ110" s="92"/>
      <c r="HBK110" s="92"/>
      <c r="HBL110" s="92"/>
      <c r="HBM110" s="92"/>
      <c r="HBN110" s="92"/>
      <c r="HBO110" s="92"/>
      <c r="HBP110" s="92"/>
      <c r="HBQ110" s="92"/>
      <c r="HBR110" s="91"/>
      <c r="HBS110" s="92"/>
      <c r="HBT110" s="92"/>
      <c r="HBU110" s="92"/>
      <c r="HBV110" s="92"/>
      <c r="HBW110" s="92"/>
      <c r="HBX110" s="92"/>
      <c r="HBY110" s="92"/>
      <c r="HBZ110" s="92"/>
      <c r="HCA110" s="92"/>
      <c r="HCB110" s="92"/>
      <c r="HCC110" s="92"/>
      <c r="HCD110" s="92"/>
      <c r="HCE110" s="92"/>
      <c r="HCF110" s="92"/>
      <c r="HCG110" s="92"/>
      <c r="HCH110" s="92"/>
      <c r="HCI110" s="92"/>
      <c r="HCJ110" s="92"/>
      <c r="HCK110" s="92"/>
      <c r="HCL110" s="92"/>
      <c r="HCM110" s="92"/>
      <c r="HCN110" s="91"/>
      <c r="HCO110" s="92"/>
      <c r="HCP110" s="92"/>
      <c r="HCQ110" s="92"/>
      <c r="HCR110" s="92"/>
      <c r="HCS110" s="92"/>
      <c r="HCT110" s="92"/>
      <c r="HCU110" s="92"/>
      <c r="HCV110" s="92"/>
      <c r="HCW110" s="92"/>
      <c r="HCX110" s="92"/>
      <c r="HCY110" s="92"/>
      <c r="HCZ110" s="92"/>
      <c r="HDA110" s="92"/>
      <c r="HDB110" s="92"/>
      <c r="HDC110" s="92"/>
      <c r="HDD110" s="92"/>
      <c r="HDE110" s="92"/>
      <c r="HDF110" s="92"/>
      <c r="HDG110" s="92"/>
      <c r="HDH110" s="92"/>
      <c r="HDI110" s="92"/>
      <c r="HDJ110" s="91"/>
      <c r="HDK110" s="92"/>
      <c r="HDL110" s="92"/>
      <c r="HDM110" s="92"/>
      <c r="HDN110" s="92"/>
      <c r="HDO110" s="92"/>
      <c r="HDP110" s="92"/>
      <c r="HDQ110" s="92"/>
      <c r="HDR110" s="92"/>
      <c r="HDS110" s="92"/>
      <c r="HDT110" s="92"/>
      <c r="HDU110" s="92"/>
      <c r="HDV110" s="92"/>
      <c r="HDW110" s="92"/>
      <c r="HDX110" s="92"/>
      <c r="HDY110" s="92"/>
      <c r="HDZ110" s="92"/>
      <c r="HEA110" s="92"/>
      <c r="HEB110" s="92"/>
      <c r="HEC110" s="92"/>
      <c r="HED110" s="92"/>
      <c r="HEE110" s="92"/>
      <c r="HEF110" s="91"/>
      <c r="HEG110" s="92"/>
      <c r="HEH110" s="92"/>
      <c r="HEI110" s="92"/>
      <c r="HEJ110" s="92"/>
      <c r="HEK110" s="92"/>
      <c r="HEL110" s="92"/>
      <c r="HEM110" s="92"/>
      <c r="HEN110" s="92"/>
      <c r="HEO110" s="92"/>
      <c r="HEP110" s="92"/>
      <c r="HEQ110" s="92"/>
      <c r="HER110" s="92"/>
      <c r="HES110" s="92"/>
      <c r="HET110" s="92"/>
      <c r="HEU110" s="92"/>
      <c r="HEV110" s="92"/>
      <c r="HEW110" s="92"/>
      <c r="HEX110" s="92"/>
      <c r="HEY110" s="92"/>
      <c r="HEZ110" s="92"/>
      <c r="HFA110" s="92"/>
      <c r="HFB110" s="91"/>
      <c r="HFC110" s="92"/>
      <c r="HFD110" s="92"/>
      <c r="HFE110" s="92"/>
      <c r="HFF110" s="92"/>
      <c r="HFG110" s="92"/>
      <c r="HFH110" s="92"/>
      <c r="HFI110" s="92"/>
      <c r="HFJ110" s="92"/>
      <c r="HFK110" s="92"/>
      <c r="HFL110" s="92"/>
      <c r="HFM110" s="92"/>
      <c r="HFN110" s="92"/>
      <c r="HFO110" s="92"/>
      <c r="HFP110" s="92"/>
      <c r="HFQ110" s="92"/>
      <c r="HFR110" s="92"/>
      <c r="HFS110" s="92"/>
      <c r="HFT110" s="92"/>
      <c r="HFU110" s="92"/>
      <c r="HFV110" s="92"/>
      <c r="HFW110" s="92"/>
      <c r="HFX110" s="91"/>
      <c r="HFY110" s="92"/>
      <c r="HFZ110" s="92"/>
      <c r="HGA110" s="92"/>
      <c r="HGB110" s="92"/>
      <c r="HGC110" s="92"/>
      <c r="HGD110" s="92"/>
      <c r="HGE110" s="92"/>
      <c r="HGF110" s="92"/>
      <c r="HGG110" s="92"/>
      <c r="HGH110" s="92"/>
      <c r="HGI110" s="92"/>
      <c r="HGJ110" s="92"/>
      <c r="HGK110" s="92"/>
      <c r="HGL110" s="92"/>
      <c r="HGM110" s="92"/>
      <c r="HGN110" s="92"/>
      <c r="HGO110" s="92"/>
      <c r="HGP110" s="92"/>
      <c r="HGQ110" s="92"/>
      <c r="HGR110" s="92"/>
      <c r="HGS110" s="92"/>
      <c r="HGT110" s="91"/>
      <c r="HGU110" s="92"/>
      <c r="HGV110" s="92"/>
      <c r="HGW110" s="92"/>
      <c r="HGX110" s="92"/>
      <c r="HGY110" s="92"/>
      <c r="HGZ110" s="92"/>
      <c r="HHA110" s="92"/>
      <c r="HHB110" s="92"/>
      <c r="HHC110" s="92"/>
      <c r="HHD110" s="92"/>
      <c r="HHE110" s="92"/>
      <c r="HHF110" s="92"/>
      <c r="HHG110" s="92"/>
      <c r="HHH110" s="92"/>
      <c r="HHI110" s="92"/>
      <c r="HHJ110" s="92"/>
      <c r="HHK110" s="92"/>
      <c r="HHL110" s="92"/>
      <c r="HHM110" s="92"/>
      <c r="HHN110" s="92"/>
      <c r="HHO110" s="92"/>
      <c r="HHP110" s="91"/>
      <c r="HHQ110" s="92"/>
      <c r="HHR110" s="92"/>
      <c r="HHS110" s="92"/>
      <c r="HHT110" s="92"/>
      <c r="HHU110" s="92"/>
      <c r="HHV110" s="92"/>
      <c r="HHW110" s="92"/>
      <c r="HHX110" s="92"/>
      <c r="HHY110" s="92"/>
      <c r="HHZ110" s="92"/>
      <c r="HIA110" s="92"/>
      <c r="HIB110" s="92"/>
      <c r="HIC110" s="92"/>
      <c r="HID110" s="92"/>
      <c r="HIE110" s="92"/>
      <c r="HIF110" s="92"/>
      <c r="HIG110" s="92"/>
      <c r="HIH110" s="92"/>
      <c r="HII110" s="92"/>
      <c r="HIJ110" s="92"/>
      <c r="HIK110" s="92"/>
      <c r="HIL110" s="91"/>
      <c r="HIM110" s="92"/>
      <c r="HIN110" s="92"/>
      <c r="HIO110" s="92"/>
      <c r="HIP110" s="92"/>
      <c r="HIQ110" s="92"/>
      <c r="HIR110" s="92"/>
      <c r="HIS110" s="92"/>
      <c r="HIT110" s="92"/>
      <c r="HIU110" s="92"/>
      <c r="HIV110" s="92"/>
      <c r="HIW110" s="92"/>
      <c r="HIX110" s="92"/>
      <c r="HIY110" s="92"/>
      <c r="HIZ110" s="92"/>
      <c r="HJA110" s="92"/>
      <c r="HJB110" s="92"/>
      <c r="HJC110" s="92"/>
      <c r="HJD110" s="92"/>
      <c r="HJE110" s="92"/>
      <c r="HJF110" s="92"/>
      <c r="HJG110" s="92"/>
      <c r="HJH110" s="91"/>
      <c r="HJI110" s="92"/>
      <c r="HJJ110" s="92"/>
      <c r="HJK110" s="92"/>
      <c r="HJL110" s="92"/>
      <c r="HJM110" s="92"/>
      <c r="HJN110" s="92"/>
      <c r="HJO110" s="92"/>
      <c r="HJP110" s="92"/>
      <c r="HJQ110" s="92"/>
      <c r="HJR110" s="92"/>
      <c r="HJS110" s="92"/>
      <c r="HJT110" s="92"/>
      <c r="HJU110" s="92"/>
      <c r="HJV110" s="92"/>
      <c r="HJW110" s="92"/>
      <c r="HJX110" s="92"/>
      <c r="HJY110" s="92"/>
      <c r="HJZ110" s="92"/>
      <c r="HKA110" s="92"/>
      <c r="HKB110" s="92"/>
      <c r="HKC110" s="92"/>
      <c r="HKD110" s="91"/>
      <c r="HKE110" s="92"/>
      <c r="HKF110" s="92"/>
      <c r="HKG110" s="92"/>
      <c r="HKH110" s="92"/>
      <c r="HKI110" s="92"/>
      <c r="HKJ110" s="92"/>
      <c r="HKK110" s="92"/>
      <c r="HKL110" s="92"/>
      <c r="HKM110" s="92"/>
      <c r="HKN110" s="92"/>
      <c r="HKO110" s="92"/>
      <c r="HKP110" s="92"/>
      <c r="HKQ110" s="92"/>
      <c r="HKR110" s="92"/>
      <c r="HKS110" s="92"/>
      <c r="HKT110" s="92"/>
      <c r="HKU110" s="92"/>
      <c r="HKV110" s="92"/>
      <c r="HKW110" s="92"/>
      <c r="HKX110" s="92"/>
      <c r="HKY110" s="92"/>
      <c r="HKZ110" s="91"/>
      <c r="HLA110" s="92"/>
      <c r="HLB110" s="92"/>
      <c r="HLC110" s="92"/>
      <c r="HLD110" s="92"/>
      <c r="HLE110" s="92"/>
      <c r="HLF110" s="92"/>
      <c r="HLG110" s="92"/>
      <c r="HLH110" s="92"/>
      <c r="HLI110" s="92"/>
      <c r="HLJ110" s="92"/>
      <c r="HLK110" s="92"/>
      <c r="HLL110" s="92"/>
      <c r="HLM110" s="92"/>
      <c r="HLN110" s="92"/>
      <c r="HLO110" s="92"/>
      <c r="HLP110" s="92"/>
      <c r="HLQ110" s="92"/>
      <c r="HLR110" s="92"/>
      <c r="HLS110" s="92"/>
      <c r="HLT110" s="92"/>
      <c r="HLU110" s="92"/>
      <c r="HLV110" s="91"/>
      <c r="HLW110" s="92"/>
      <c r="HLX110" s="92"/>
      <c r="HLY110" s="92"/>
      <c r="HLZ110" s="92"/>
      <c r="HMA110" s="92"/>
      <c r="HMB110" s="92"/>
      <c r="HMC110" s="92"/>
      <c r="HMD110" s="92"/>
      <c r="HME110" s="92"/>
      <c r="HMF110" s="92"/>
      <c r="HMG110" s="92"/>
      <c r="HMH110" s="92"/>
      <c r="HMI110" s="92"/>
      <c r="HMJ110" s="92"/>
      <c r="HMK110" s="92"/>
      <c r="HML110" s="92"/>
      <c r="HMM110" s="92"/>
      <c r="HMN110" s="92"/>
      <c r="HMO110" s="92"/>
      <c r="HMP110" s="92"/>
      <c r="HMQ110" s="92"/>
      <c r="HMR110" s="91"/>
      <c r="HMS110" s="92"/>
      <c r="HMT110" s="92"/>
      <c r="HMU110" s="92"/>
      <c r="HMV110" s="92"/>
      <c r="HMW110" s="92"/>
      <c r="HMX110" s="92"/>
      <c r="HMY110" s="92"/>
      <c r="HMZ110" s="92"/>
      <c r="HNA110" s="92"/>
      <c r="HNB110" s="92"/>
      <c r="HNC110" s="92"/>
      <c r="HND110" s="92"/>
      <c r="HNE110" s="92"/>
      <c r="HNF110" s="92"/>
      <c r="HNG110" s="92"/>
      <c r="HNH110" s="92"/>
      <c r="HNI110" s="92"/>
      <c r="HNJ110" s="92"/>
      <c r="HNK110" s="92"/>
      <c r="HNL110" s="92"/>
      <c r="HNM110" s="92"/>
      <c r="HNN110" s="91"/>
      <c r="HNO110" s="92"/>
      <c r="HNP110" s="92"/>
      <c r="HNQ110" s="92"/>
      <c r="HNR110" s="92"/>
      <c r="HNS110" s="92"/>
      <c r="HNT110" s="92"/>
      <c r="HNU110" s="92"/>
      <c r="HNV110" s="92"/>
      <c r="HNW110" s="92"/>
      <c r="HNX110" s="92"/>
      <c r="HNY110" s="92"/>
      <c r="HNZ110" s="92"/>
      <c r="HOA110" s="92"/>
      <c r="HOB110" s="92"/>
      <c r="HOC110" s="92"/>
      <c r="HOD110" s="92"/>
      <c r="HOE110" s="92"/>
      <c r="HOF110" s="92"/>
      <c r="HOG110" s="92"/>
      <c r="HOH110" s="92"/>
      <c r="HOI110" s="92"/>
      <c r="HOJ110" s="91"/>
      <c r="HOK110" s="92"/>
      <c r="HOL110" s="92"/>
      <c r="HOM110" s="92"/>
      <c r="HON110" s="92"/>
      <c r="HOO110" s="92"/>
      <c r="HOP110" s="92"/>
      <c r="HOQ110" s="92"/>
      <c r="HOR110" s="92"/>
      <c r="HOS110" s="92"/>
      <c r="HOT110" s="92"/>
      <c r="HOU110" s="92"/>
      <c r="HOV110" s="92"/>
      <c r="HOW110" s="92"/>
      <c r="HOX110" s="92"/>
      <c r="HOY110" s="92"/>
      <c r="HOZ110" s="92"/>
      <c r="HPA110" s="92"/>
      <c r="HPB110" s="92"/>
      <c r="HPC110" s="92"/>
      <c r="HPD110" s="92"/>
      <c r="HPE110" s="92"/>
      <c r="HPF110" s="91"/>
      <c r="HPG110" s="92"/>
      <c r="HPH110" s="92"/>
      <c r="HPI110" s="92"/>
      <c r="HPJ110" s="92"/>
      <c r="HPK110" s="92"/>
      <c r="HPL110" s="92"/>
      <c r="HPM110" s="92"/>
      <c r="HPN110" s="92"/>
      <c r="HPO110" s="92"/>
      <c r="HPP110" s="92"/>
      <c r="HPQ110" s="92"/>
      <c r="HPR110" s="92"/>
      <c r="HPS110" s="92"/>
      <c r="HPT110" s="92"/>
      <c r="HPU110" s="92"/>
      <c r="HPV110" s="92"/>
      <c r="HPW110" s="92"/>
      <c r="HPX110" s="92"/>
      <c r="HPY110" s="92"/>
      <c r="HPZ110" s="92"/>
      <c r="HQA110" s="92"/>
      <c r="HQB110" s="91"/>
      <c r="HQC110" s="92"/>
      <c r="HQD110" s="92"/>
      <c r="HQE110" s="92"/>
      <c r="HQF110" s="92"/>
      <c r="HQG110" s="92"/>
      <c r="HQH110" s="92"/>
      <c r="HQI110" s="92"/>
      <c r="HQJ110" s="92"/>
      <c r="HQK110" s="92"/>
      <c r="HQL110" s="92"/>
      <c r="HQM110" s="92"/>
      <c r="HQN110" s="92"/>
      <c r="HQO110" s="92"/>
      <c r="HQP110" s="92"/>
      <c r="HQQ110" s="92"/>
      <c r="HQR110" s="92"/>
      <c r="HQS110" s="92"/>
      <c r="HQT110" s="92"/>
      <c r="HQU110" s="92"/>
      <c r="HQV110" s="92"/>
      <c r="HQW110" s="92"/>
      <c r="HQX110" s="91"/>
      <c r="HQY110" s="92"/>
      <c r="HQZ110" s="92"/>
      <c r="HRA110" s="92"/>
      <c r="HRB110" s="92"/>
      <c r="HRC110" s="92"/>
      <c r="HRD110" s="92"/>
      <c r="HRE110" s="92"/>
      <c r="HRF110" s="92"/>
      <c r="HRG110" s="92"/>
      <c r="HRH110" s="92"/>
      <c r="HRI110" s="92"/>
      <c r="HRJ110" s="92"/>
      <c r="HRK110" s="92"/>
      <c r="HRL110" s="92"/>
      <c r="HRM110" s="92"/>
      <c r="HRN110" s="92"/>
      <c r="HRO110" s="92"/>
      <c r="HRP110" s="92"/>
      <c r="HRQ110" s="92"/>
      <c r="HRR110" s="92"/>
      <c r="HRS110" s="92"/>
      <c r="HRT110" s="91"/>
      <c r="HRU110" s="92"/>
      <c r="HRV110" s="92"/>
      <c r="HRW110" s="92"/>
      <c r="HRX110" s="92"/>
      <c r="HRY110" s="92"/>
      <c r="HRZ110" s="92"/>
      <c r="HSA110" s="92"/>
      <c r="HSB110" s="92"/>
      <c r="HSC110" s="92"/>
      <c r="HSD110" s="92"/>
      <c r="HSE110" s="92"/>
      <c r="HSF110" s="92"/>
      <c r="HSG110" s="92"/>
      <c r="HSH110" s="92"/>
      <c r="HSI110" s="92"/>
      <c r="HSJ110" s="92"/>
      <c r="HSK110" s="92"/>
      <c r="HSL110" s="92"/>
      <c r="HSM110" s="92"/>
      <c r="HSN110" s="92"/>
      <c r="HSO110" s="92"/>
      <c r="HSP110" s="91"/>
      <c r="HSQ110" s="92"/>
      <c r="HSR110" s="92"/>
      <c r="HSS110" s="92"/>
      <c r="HST110" s="92"/>
      <c r="HSU110" s="92"/>
      <c r="HSV110" s="92"/>
      <c r="HSW110" s="92"/>
      <c r="HSX110" s="92"/>
      <c r="HSY110" s="92"/>
      <c r="HSZ110" s="92"/>
      <c r="HTA110" s="92"/>
      <c r="HTB110" s="92"/>
      <c r="HTC110" s="92"/>
      <c r="HTD110" s="92"/>
      <c r="HTE110" s="92"/>
      <c r="HTF110" s="92"/>
      <c r="HTG110" s="92"/>
      <c r="HTH110" s="92"/>
      <c r="HTI110" s="92"/>
      <c r="HTJ110" s="92"/>
      <c r="HTK110" s="92"/>
      <c r="HTL110" s="91"/>
      <c r="HTM110" s="92"/>
      <c r="HTN110" s="92"/>
      <c r="HTO110" s="92"/>
      <c r="HTP110" s="92"/>
      <c r="HTQ110" s="92"/>
      <c r="HTR110" s="92"/>
      <c r="HTS110" s="92"/>
      <c r="HTT110" s="92"/>
      <c r="HTU110" s="92"/>
      <c r="HTV110" s="92"/>
      <c r="HTW110" s="92"/>
      <c r="HTX110" s="92"/>
      <c r="HTY110" s="92"/>
      <c r="HTZ110" s="92"/>
      <c r="HUA110" s="92"/>
      <c r="HUB110" s="92"/>
      <c r="HUC110" s="92"/>
      <c r="HUD110" s="92"/>
      <c r="HUE110" s="92"/>
      <c r="HUF110" s="92"/>
      <c r="HUG110" s="92"/>
      <c r="HUH110" s="91"/>
      <c r="HUI110" s="92"/>
      <c r="HUJ110" s="92"/>
      <c r="HUK110" s="92"/>
      <c r="HUL110" s="92"/>
      <c r="HUM110" s="92"/>
      <c r="HUN110" s="92"/>
      <c r="HUO110" s="92"/>
      <c r="HUP110" s="92"/>
      <c r="HUQ110" s="92"/>
      <c r="HUR110" s="92"/>
      <c r="HUS110" s="92"/>
      <c r="HUT110" s="92"/>
      <c r="HUU110" s="92"/>
      <c r="HUV110" s="92"/>
      <c r="HUW110" s="92"/>
      <c r="HUX110" s="92"/>
      <c r="HUY110" s="92"/>
      <c r="HUZ110" s="92"/>
      <c r="HVA110" s="92"/>
      <c r="HVB110" s="92"/>
      <c r="HVC110" s="92"/>
      <c r="HVD110" s="91"/>
      <c r="HVE110" s="92"/>
      <c r="HVF110" s="92"/>
      <c r="HVG110" s="92"/>
      <c r="HVH110" s="92"/>
      <c r="HVI110" s="92"/>
      <c r="HVJ110" s="92"/>
      <c r="HVK110" s="92"/>
      <c r="HVL110" s="92"/>
      <c r="HVM110" s="92"/>
      <c r="HVN110" s="92"/>
      <c r="HVO110" s="92"/>
      <c r="HVP110" s="92"/>
      <c r="HVQ110" s="92"/>
      <c r="HVR110" s="92"/>
      <c r="HVS110" s="92"/>
      <c r="HVT110" s="92"/>
      <c r="HVU110" s="92"/>
      <c r="HVV110" s="92"/>
      <c r="HVW110" s="92"/>
      <c r="HVX110" s="92"/>
      <c r="HVY110" s="92"/>
      <c r="HVZ110" s="91"/>
      <c r="HWA110" s="92"/>
      <c r="HWB110" s="92"/>
      <c r="HWC110" s="92"/>
      <c r="HWD110" s="92"/>
      <c r="HWE110" s="92"/>
      <c r="HWF110" s="92"/>
      <c r="HWG110" s="92"/>
      <c r="HWH110" s="92"/>
      <c r="HWI110" s="92"/>
      <c r="HWJ110" s="92"/>
      <c r="HWK110" s="92"/>
      <c r="HWL110" s="92"/>
      <c r="HWM110" s="92"/>
      <c r="HWN110" s="92"/>
      <c r="HWO110" s="92"/>
      <c r="HWP110" s="92"/>
      <c r="HWQ110" s="92"/>
      <c r="HWR110" s="92"/>
      <c r="HWS110" s="92"/>
      <c r="HWT110" s="92"/>
      <c r="HWU110" s="92"/>
      <c r="HWV110" s="91"/>
      <c r="HWW110" s="92"/>
      <c r="HWX110" s="92"/>
      <c r="HWY110" s="92"/>
      <c r="HWZ110" s="92"/>
      <c r="HXA110" s="92"/>
      <c r="HXB110" s="92"/>
      <c r="HXC110" s="92"/>
      <c r="HXD110" s="92"/>
      <c r="HXE110" s="92"/>
      <c r="HXF110" s="92"/>
      <c r="HXG110" s="92"/>
      <c r="HXH110" s="92"/>
      <c r="HXI110" s="92"/>
      <c r="HXJ110" s="92"/>
      <c r="HXK110" s="92"/>
      <c r="HXL110" s="92"/>
      <c r="HXM110" s="92"/>
      <c r="HXN110" s="92"/>
      <c r="HXO110" s="92"/>
      <c r="HXP110" s="92"/>
      <c r="HXQ110" s="92"/>
      <c r="HXR110" s="91"/>
      <c r="HXS110" s="92"/>
      <c r="HXT110" s="92"/>
      <c r="HXU110" s="92"/>
      <c r="HXV110" s="92"/>
      <c r="HXW110" s="92"/>
      <c r="HXX110" s="92"/>
      <c r="HXY110" s="92"/>
      <c r="HXZ110" s="92"/>
      <c r="HYA110" s="92"/>
      <c r="HYB110" s="92"/>
      <c r="HYC110" s="92"/>
      <c r="HYD110" s="92"/>
      <c r="HYE110" s="92"/>
      <c r="HYF110" s="92"/>
      <c r="HYG110" s="92"/>
      <c r="HYH110" s="92"/>
      <c r="HYI110" s="92"/>
      <c r="HYJ110" s="92"/>
      <c r="HYK110" s="92"/>
      <c r="HYL110" s="92"/>
      <c r="HYM110" s="92"/>
      <c r="HYN110" s="91"/>
      <c r="HYO110" s="92"/>
      <c r="HYP110" s="92"/>
      <c r="HYQ110" s="92"/>
      <c r="HYR110" s="92"/>
      <c r="HYS110" s="92"/>
      <c r="HYT110" s="92"/>
      <c r="HYU110" s="92"/>
      <c r="HYV110" s="92"/>
      <c r="HYW110" s="92"/>
      <c r="HYX110" s="92"/>
      <c r="HYY110" s="92"/>
      <c r="HYZ110" s="92"/>
      <c r="HZA110" s="92"/>
      <c r="HZB110" s="92"/>
      <c r="HZC110" s="92"/>
      <c r="HZD110" s="92"/>
      <c r="HZE110" s="92"/>
      <c r="HZF110" s="92"/>
      <c r="HZG110" s="92"/>
      <c r="HZH110" s="92"/>
      <c r="HZI110" s="92"/>
      <c r="HZJ110" s="91"/>
      <c r="HZK110" s="92"/>
      <c r="HZL110" s="92"/>
      <c r="HZM110" s="92"/>
      <c r="HZN110" s="92"/>
      <c r="HZO110" s="92"/>
      <c r="HZP110" s="92"/>
      <c r="HZQ110" s="92"/>
      <c r="HZR110" s="92"/>
      <c r="HZS110" s="92"/>
      <c r="HZT110" s="92"/>
      <c r="HZU110" s="92"/>
      <c r="HZV110" s="92"/>
      <c r="HZW110" s="92"/>
      <c r="HZX110" s="92"/>
      <c r="HZY110" s="92"/>
      <c r="HZZ110" s="92"/>
      <c r="IAA110" s="92"/>
      <c r="IAB110" s="92"/>
      <c r="IAC110" s="92"/>
      <c r="IAD110" s="92"/>
      <c r="IAE110" s="92"/>
      <c r="IAF110" s="91"/>
      <c r="IAG110" s="92"/>
      <c r="IAH110" s="92"/>
      <c r="IAI110" s="92"/>
      <c r="IAJ110" s="92"/>
      <c r="IAK110" s="92"/>
      <c r="IAL110" s="92"/>
      <c r="IAM110" s="92"/>
      <c r="IAN110" s="92"/>
      <c r="IAO110" s="92"/>
      <c r="IAP110" s="92"/>
      <c r="IAQ110" s="92"/>
      <c r="IAR110" s="92"/>
      <c r="IAS110" s="92"/>
      <c r="IAT110" s="92"/>
      <c r="IAU110" s="92"/>
      <c r="IAV110" s="92"/>
      <c r="IAW110" s="92"/>
      <c r="IAX110" s="92"/>
      <c r="IAY110" s="92"/>
      <c r="IAZ110" s="92"/>
      <c r="IBA110" s="92"/>
      <c r="IBB110" s="91"/>
      <c r="IBC110" s="92"/>
      <c r="IBD110" s="92"/>
      <c r="IBE110" s="92"/>
      <c r="IBF110" s="92"/>
      <c r="IBG110" s="92"/>
      <c r="IBH110" s="92"/>
      <c r="IBI110" s="92"/>
      <c r="IBJ110" s="92"/>
      <c r="IBK110" s="92"/>
      <c r="IBL110" s="92"/>
      <c r="IBM110" s="92"/>
      <c r="IBN110" s="92"/>
      <c r="IBO110" s="92"/>
      <c r="IBP110" s="92"/>
      <c r="IBQ110" s="92"/>
      <c r="IBR110" s="92"/>
      <c r="IBS110" s="92"/>
      <c r="IBT110" s="92"/>
      <c r="IBU110" s="92"/>
      <c r="IBV110" s="92"/>
      <c r="IBW110" s="92"/>
      <c r="IBX110" s="91"/>
      <c r="IBY110" s="92"/>
      <c r="IBZ110" s="92"/>
      <c r="ICA110" s="92"/>
      <c r="ICB110" s="92"/>
      <c r="ICC110" s="92"/>
      <c r="ICD110" s="92"/>
      <c r="ICE110" s="92"/>
      <c r="ICF110" s="92"/>
      <c r="ICG110" s="92"/>
      <c r="ICH110" s="92"/>
      <c r="ICI110" s="92"/>
      <c r="ICJ110" s="92"/>
      <c r="ICK110" s="92"/>
      <c r="ICL110" s="92"/>
      <c r="ICM110" s="92"/>
      <c r="ICN110" s="92"/>
      <c r="ICO110" s="92"/>
      <c r="ICP110" s="92"/>
      <c r="ICQ110" s="92"/>
      <c r="ICR110" s="92"/>
      <c r="ICS110" s="92"/>
      <c r="ICT110" s="91"/>
      <c r="ICU110" s="92"/>
      <c r="ICV110" s="92"/>
      <c r="ICW110" s="92"/>
      <c r="ICX110" s="92"/>
      <c r="ICY110" s="92"/>
      <c r="ICZ110" s="92"/>
      <c r="IDA110" s="92"/>
      <c r="IDB110" s="92"/>
      <c r="IDC110" s="92"/>
      <c r="IDD110" s="92"/>
      <c r="IDE110" s="92"/>
      <c r="IDF110" s="92"/>
      <c r="IDG110" s="92"/>
      <c r="IDH110" s="92"/>
      <c r="IDI110" s="92"/>
      <c r="IDJ110" s="92"/>
      <c r="IDK110" s="92"/>
      <c r="IDL110" s="92"/>
      <c r="IDM110" s="92"/>
      <c r="IDN110" s="92"/>
      <c r="IDO110" s="92"/>
      <c r="IDP110" s="91"/>
      <c r="IDQ110" s="92"/>
      <c r="IDR110" s="92"/>
      <c r="IDS110" s="92"/>
      <c r="IDT110" s="92"/>
      <c r="IDU110" s="92"/>
      <c r="IDV110" s="92"/>
      <c r="IDW110" s="92"/>
      <c r="IDX110" s="92"/>
      <c r="IDY110" s="92"/>
      <c r="IDZ110" s="92"/>
      <c r="IEA110" s="92"/>
      <c r="IEB110" s="92"/>
      <c r="IEC110" s="92"/>
      <c r="IED110" s="92"/>
      <c r="IEE110" s="92"/>
      <c r="IEF110" s="92"/>
      <c r="IEG110" s="92"/>
      <c r="IEH110" s="92"/>
      <c r="IEI110" s="92"/>
      <c r="IEJ110" s="92"/>
      <c r="IEK110" s="92"/>
      <c r="IEL110" s="91"/>
      <c r="IEM110" s="92"/>
      <c r="IEN110" s="92"/>
      <c r="IEO110" s="92"/>
      <c r="IEP110" s="92"/>
      <c r="IEQ110" s="92"/>
      <c r="IER110" s="92"/>
      <c r="IES110" s="92"/>
      <c r="IET110" s="92"/>
      <c r="IEU110" s="92"/>
      <c r="IEV110" s="92"/>
      <c r="IEW110" s="92"/>
      <c r="IEX110" s="92"/>
      <c r="IEY110" s="92"/>
      <c r="IEZ110" s="92"/>
      <c r="IFA110" s="92"/>
      <c r="IFB110" s="92"/>
      <c r="IFC110" s="92"/>
      <c r="IFD110" s="92"/>
      <c r="IFE110" s="92"/>
      <c r="IFF110" s="92"/>
      <c r="IFG110" s="92"/>
      <c r="IFH110" s="91"/>
      <c r="IFI110" s="92"/>
      <c r="IFJ110" s="92"/>
      <c r="IFK110" s="92"/>
      <c r="IFL110" s="92"/>
      <c r="IFM110" s="92"/>
      <c r="IFN110" s="92"/>
      <c r="IFO110" s="92"/>
      <c r="IFP110" s="92"/>
      <c r="IFQ110" s="92"/>
      <c r="IFR110" s="92"/>
      <c r="IFS110" s="92"/>
      <c r="IFT110" s="92"/>
      <c r="IFU110" s="92"/>
      <c r="IFV110" s="92"/>
      <c r="IFW110" s="92"/>
      <c r="IFX110" s="92"/>
      <c r="IFY110" s="92"/>
      <c r="IFZ110" s="92"/>
      <c r="IGA110" s="92"/>
      <c r="IGB110" s="92"/>
      <c r="IGC110" s="92"/>
      <c r="IGD110" s="91"/>
      <c r="IGE110" s="92"/>
      <c r="IGF110" s="92"/>
      <c r="IGG110" s="92"/>
      <c r="IGH110" s="92"/>
      <c r="IGI110" s="92"/>
      <c r="IGJ110" s="92"/>
      <c r="IGK110" s="92"/>
      <c r="IGL110" s="92"/>
      <c r="IGM110" s="92"/>
      <c r="IGN110" s="92"/>
      <c r="IGO110" s="92"/>
      <c r="IGP110" s="92"/>
      <c r="IGQ110" s="92"/>
      <c r="IGR110" s="92"/>
      <c r="IGS110" s="92"/>
      <c r="IGT110" s="92"/>
      <c r="IGU110" s="92"/>
      <c r="IGV110" s="92"/>
      <c r="IGW110" s="92"/>
      <c r="IGX110" s="92"/>
      <c r="IGY110" s="92"/>
      <c r="IGZ110" s="91"/>
      <c r="IHA110" s="92"/>
      <c r="IHB110" s="92"/>
      <c r="IHC110" s="92"/>
      <c r="IHD110" s="92"/>
      <c r="IHE110" s="92"/>
      <c r="IHF110" s="92"/>
      <c r="IHG110" s="92"/>
      <c r="IHH110" s="92"/>
      <c r="IHI110" s="92"/>
      <c r="IHJ110" s="92"/>
      <c r="IHK110" s="92"/>
      <c r="IHL110" s="92"/>
      <c r="IHM110" s="92"/>
      <c r="IHN110" s="92"/>
      <c r="IHO110" s="92"/>
      <c r="IHP110" s="92"/>
      <c r="IHQ110" s="92"/>
      <c r="IHR110" s="92"/>
      <c r="IHS110" s="92"/>
      <c r="IHT110" s="92"/>
      <c r="IHU110" s="92"/>
      <c r="IHV110" s="91"/>
      <c r="IHW110" s="92"/>
      <c r="IHX110" s="92"/>
      <c r="IHY110" s="92"/>
      <c r="IHZ110" s="92"/>
      <c r="IIA110" s="92"/>
      <c r="IIB110" s="92"/>
      <c r="IIC110" s="92"/>
      <c r="IID110" s="92"/>
      <c r="IIE110" s="92"/>
      <c r="IIF110" s="92"/>
      <c r="IIG110" s="92"/>
      <c r="IIH110" s="92"/>
      <c r="III110" s="92"/>
      <c r="IIJ110" s="92"/>
      <c r="IIK110" s="92"/>
      <c r="IIL110" s="92"/>
      <c r="IIM110" s="92"/>
      <c r="IIN110" s="92"/>
      <c r="IIO110" s="92"/>
      <c r="IIP110" s="92"/>
      <c r="IIQ110" s="92"/>
      <c r="IIR110" s="91"/>
      <c r="IIS110" s="92"/>
      <c r="IIT110" s="92"/>
      <c r="IIU110" s="92"/>
      <c r="IIV110" s="92"/>
      <c r="IIW110" s="92"/>
      <c r="IIX110" s="92"/>
      <c r="IIY110" s="92"/>
      <c r="IIZ110" s="92"/>
      <c r="IJA110" s="92"/>
      <c r="IJB110" s="92"/>
      <c r="IJC110" s="92"/>
      <c r="IJD110" s="92"/>
      <c r="IJE110" s="92"/>
      <c r="IJF110" s="92"/>
      <c r="IJG110" s="92"/>
      <c r="IJH110" s="92"/>
      <c r="IJI110" s="92"/>
      <c r="IJJ110" s="92"/>
      <c r="IJK110" s="92"/>
      <c r="IJL110" s="92"/>
      <c r="IJM110" s="92"/>
      <c r="IJN110" s="91"/>
      <c r="IJO110" s="92"/>
      <c r="IJP110" s="92"/>
      <c r="IJQ110" s="92"/>
      <c r="IJR110" s="92"/>
      <c r="IJS110" s="92"/>
      <c r="IJT110" s="92"/>
      <c r="IJU110" s="92"/>
      <c r="IJV110" s="92"/>
      <c r="IJW110" s="92"/>
      <c r="IJX110" s="92"/>
      <c r="IJY110" s="92"/>
      <c r="IJZ110" s="92"/>
      <c r="IKA110" s="92"/>
      <c r="IKB110" s="92"/>
      <c r="IKC110" s="92"/>
      <c r="IKD110" s="92"/>
      <c r="IKE110" s="92"/>
      <c r="IKF110" s="92"/>
      <c r="IKG110" s="92"/>
      <c r="IKH110" s="92"/>
      <c r="IKI110" s="92"/>
      <c r="IKJ110" s="91"/>
      <c r="IKK110" s="92"/>
      <c r="IKL110" s="92"/>
      <c r="IKM110" s="92"/>
      <c r="IKN110" s="92"/>
      <c r="IKO110" s="92"/>
      <c r="IKP110" s="92"/>
      <c r="IKQ110" s="92"/>
      <c r="IKR110" s="92"/>
      <c r="IKS110" s="92"/>
      <c r="IKT110" s="92"/>
      <c r="IKU110" s="92"/>
      <c r="IKV110" s="92"/>
      <c r="IKW110" s="92"/>
      <c r="IKX110" s="92"/>
      <c r="IKY110" s="92"/>
      <c r="IKZ110" s="92"/>
      <c r="ILA110" s="92"/>
      <c r="ILB110" s="92"/>
      <c r="ILC110" s="92"/>
      <c r="ILD110" s="92"/>
      <c r="ILE110" s="92"/>
      <c r="ILF110" s="91"/>
      <c r="ILG110" s="92"/>
      <c r="ILH110" s="92"/>
      <c r="ILI110" s="92"/>
      <c r="ILJ110" s="92"/>
      <c r="ILK110" s="92"/>
      <c r="ILL110" s="92"/>
      <c r="ILM110" s="92"/>
      <c r="ILN110" s="92"/>
      <c r="ILO110" s="92"/>
      <c r="ILP110" s="92"/>
      <c r="ILQ110" s="92"/>
      <c r="ILR110" s="92"/>
      <c r="ILS110" s="92"/>
      <c r="ILT110" s="92"/>
      <c r="ILU110" s="92"/>
      <c r="ILV110" s="92"/>
      <c r="ILW110" s="92"/>
      <c r="ILX110" s="92"/>
      <c r="ILY110" s="92"/>
      <c r="ILZ110" s="92"/>
      <c r="IMA110" s="92"/>
      <c r="IMB110" s="91"/>
      <c r="IMC110" s="92"/>
      <c r="IMD110" s="92"/>
      <c r="IME110" s="92"/>
      <c r="IMF110" s="92"/>
      <c r="IMG110" s="92"/>
      <c r="IMH110" s="92"/>
      <c r="IMI110" s="92"/>
      <c r="IMJ110" s="92"/>
      <c r="IMK110" s="92"/>
      <c r="IML110" s="92"/>
      <c r="IMM110" s="92"/>
      <c r="IMN110" s="92"/>
      <c r="IMO110" s="92"/>
      <c r="IMP110" s="92"/>
      <c r="IMQ110" s="92"/>
      <c r="IMR110" s="92"/>
      <c r="IMS110" s="92"/>
      <c r="IMT110" s="92"/>
      <c r="IMU110" s="92"/>
      <c r="IMV110" s="92"/>
      <c r="IMW110" s="92"/>
      <c r="IMX110" s="91"/>
      <c r="IMY110" s="92"/>
      <c r="IMZ110" s="92"/>
      <c r="INA110" s="92"/>
      <c r="INB110" s="92"/>
      <c r="INC110" s="92"/>
      <c r="IND110" s="92"/>
      <c r="INE110" s="92"/>
      <c r="INF110" s="92"/>
      <c r="ING110" s="92"/>
      <c r="INH110" s="92"/>
      <c r="INI110" s="92"/>
      <c r="INJ110" s="92"/>
      <c r="INK110" s="92"/>
      <c r="INL110" s="92"/>
      <c r="INM110" s="92"/>
      <c r="INN110" s="92"/>
      <c r="INO110" s="92"/>
      <c r="INP110" s="92"/>
      <c r="INQ110" s="92"/>
      <c r="INR110" s="92"/>
      <c r="INS110" s="92"/>
      <c r="INT110" s="91"/>
      <c r="INU110" s="92"/>
      <c r="INV110" s="92"/>
      <c r="INW110" s="92"/>
      <c r="INX110" s="92"/>
      <c r="INY110" s="92"/>
      <c r="INZ110" s="92"/>
      <c r="IOA110" s="92"/>
      <c r="IOB110" s="92"/>
      <c r="IOC110" s="92"/>
      <c r="IOD110" s="92"/>
      <c r="IOE110" s="92"/>
      <c r="IOF110" s="92"/>
      <c r="IOG110" s="92"/>
      <c r="IOH110" s="92"/>
      <c r="IOI110" s="92"/>
      <c r="IOJ110" s="92"/>
      <c r="IOK110" s="92"/>
      <c r="IOL110" s="92"/>
      <c r="IOM110" s="92"/>
      <c r="ION110" s="92"/>
      <c r="IOO110" s="92"/>
      <c r="IOP110" s="91"/>
      <c r="IOQ110" s="92"/>
      <c r="IOR110" s="92"/>
      <c r="IOS110" s="92"/>
      <c r="IOT110" s="92"/>
      <c r="IOU110" s="92"/>
      <c r="IOV110" s="92"/>
      <c r="IOW110" s="92"/>
      <c r="IOX110" s="92"/>
      <c r="IOY110" s="92"/>
      <c r="IOZ110" s="92"/>
      <c r="IPA110" s="92"/>
      <c r="IPB110" s="92"/>
      <c r="IPC110" s="92"/>
      <c r="IPD110" s="92"/>
      <c r="IPE110" s="92"/>
      <c r="IPF110" s="92"/>
      <c r="IPG110" s="92"/>
      <c r="IPH110" s="92"/>
      <c r="IPI110" s="92"/>
      <c r="IPJ110" s="92"/>
      <c r="IPK110" s="92"/>
      <c r="IPL110" s="91"/>
      <c r="IPM110" s="92"/>
      <c r="IPN110" s="92"/>
      <c r="IPO110" s="92"/>
      <c r="IPP110" s="92"/>
      <c r="IPQ110" s="92"/>
      <c r="IPR110" s="92"/>
      <c r="IPS110" s="92"/>
      <c r="IPT110" s="92"/>
      <c r="IPU110" s="92"/>
      <c r="IPV110" s="92"/>
      <c r="IPW110" s="92"/>
      <c r="IPX110" s="92"/>
      <c r="IPY110" s="92"/>
      <c r="IPZ110" s="92"/>
      <c r="IQA110" s="92"/>
      <c r="IQB110" s="92"/>
      <c r="IQC110" s="92"/>
      <c r="IQD110" s="92"/>
      <c r="IQE110" s="92"/>
      <c r="IQF110" s="92"/>
      <c r="IQG110" s="92"/>
      <c r="IQH110" s="91"/>
      <c r="IQI110" s="92"/>
      <c r="IQJ110" s="92"/>
      <c r="IQK110" s="92"/>
      <c r="IQL110" s="92"/>
      <c r="IQM110" s="92"/>
      <c r="IQN110" s="92"/>
      <c r="IQO110" s="92"/>
      <c r="IQP110" s="92"/>
      <c r="IQQ110" s="92"/>
      <c r="IQR110" s="92"/>
      <c r="IQS110" s="92"/>
      <c r="IQT110" s="92"/>
      <c r="IQU110" s="92"/>
      <c r="IQV110" s="92"/>
      <c r="IQW110" s="92"/>
      <c r="IQX110" s="92"/>
      <c r="IQY110" s="92"/>
      <c r="IQZ110" s="92"/>
      <c r="IRA110" s="92"/>
      <c r="IRB110" s="92"/>
      <c r="IRC110" s="92"/>
      <c r="IRD110" s="91"/>
      <c r="IRE110" s="92"/>
      <c r="IRF110" s="92"/>
      <c r="IRG110" s="92"/>
      <c r="IRH110" s="92"/>
      <c r="IRI110" s="92"/>
      <c r="IRJ110" s="92"/>
      <c r="IRK110" s="92"/>
      <c r="IRL110" s="92"/>
      <c r="IRM110" s="92"/>
      <c r="IRN110" s="92"/>
      <c r="IRO110" s="92"/>
      <c r="IRP110" s="92"/>
      <c r="IRQ110" s="92"/>
      <c r="IRR110" s="92"/>
      <c r="IRS110" s="92"/>
      <c r="IRT110" s="92"/>
      <c r="IRU110" s="92"/>
      <c r="IRV110" s="92"/>
      <c r="IRW110" s="92"/>
      <c r="IRX110" s="92"/>
      <c r="IRY110" s="92"/>
      <c r="IRZ110" s="91"/>
      <c r="ISA110" s="92"/>
      <c r="ISB110" s="92"/>
      <c r="ISC110" s="92"/>
      <c r="ISD110" s="92"/>
      <c r="ISE110" s="92"/>
      <c r="ISF110" s="92"/>
      <c r="ISG110" s="92"/>
      <c r="ISH110" s="92"/>
      <c r="ISI110" s="92"/>
      <c r="ISJ110" s="92"/>
      <c r="ISK110" s="92"/>
      <c r="ISL110" s="92"/>
      <c r="ISM110" s="92"/>
      <c r="ISN110" s="92"/>
      <c r="ISO110" s="92"/>
      <c r="ISP110" s="92"/>
      <c r="ISQ110" s="92"/>
      <c r="ISR110" s="92"/>
      <c r="ISS110" s="92"/>
      <c r="IST110" s="92"/>
      <c r="ISU110" s="92"/>
      <c r="ISV110" s="91"/>
      <c r="ISW110" s="92"/>
      <c r="ISX110" s="92"/>
      <c r="ISY110" s="92"/>
      <c r="ISZ110" s="92"/>
      <c r="ITA110" s="92"/>
      <c r="ITB110" s="92"/>
      <c r="ITC110" s="92"/>
      <c r="ITD110" s="92"/>
      <c r="ITE110" s="92"/>
      <c r="ITF110" s="92"/>
      <c r="ITG110" s="92"/>
      <c r="ITH110" s="92"/>
      <c r="ITI110" s="92"/>
      <c r="ITJ110" s="92"/>
      <c r="ITK110" s="92"/>
      <c r="ITL110" s="92"/>
      <c r="ITM110" s="92"/>
      <c r="ITN110" s="92"/>
      <c r="ITO110" s="92"/>
      <c r="ITP110" s="92"/>
      <c r="ITQ110" s="92"/>
      <c r="ITR110" s="91"/>
      <c r="ITS110" s="92"/>
      <c r="ITT110" s="92"/>
      <c r="ITU110" s="92"/>
      <c r="ITV110" s="92"/>
      <c r="ITW110" s="92"/>
      <c r="ITX110" s="92"/>
      <c r="ITY110" s="92"/>
      <c r="ITZ110" s="92"/>
      <c r="IUA110" s="92"/>
      <c r="IUB110" s="92"/>
      <c r="IUC110" s="92"/>
      <c r="IUD110" s="92"/>
      <c r="IUE110" s="92"/>
      <c r="IUF110" s="92"/>
      <c r="IUG110" s="92"/>
      <c r="IUH110" s="92"/>
      <c r="IUI110" s="92"/>
      <c r="IUJ110" s="92"/>
      <c r="IUK110" s="92"/>
      <c r="IUL110" s="92"/>
      <c r="IUM110" s="92"/>
      <c r="IUN110" s="91"/>
      <c r="IUO110" s="92"/>
      <c r="IUP110" s="92"/>
      <c r="IUQ110" s="92"/>
      <c r="IUR110" s="92"/>
      <c r="IUS110" s="92"/>
      <c r="IUT110" s="92"/>
      <c r="IUU110" s="92"/>
      <c r="IUV110" s="92"/>
      <c r="IUW110" s="92"/>
      <c r="IUX110" s="92"/>
      <c r="IUY110" s="92"/>
      <c r="IUZ110" s="92"/>
      <c r="IVA110" s="92"/>
      <c r="IVB110" s="92"/>
      <c r="IVC110" s="92"/>
      <c r="IVD110" s="92"/>
      <c r="IVE110" s="92"/>
      <c r="IVF110" s="92"/>
      <c r="IVG110" s="92"/>
      <c r="IVH110" s="92"/>
      <c r="IVI110" s="92"/>
      <c r="IVJ110" s="91"/>
      <c r="IVK110" s="92"/>
      <c r="IVL110" s="92"/>
      <c r="IVM110" s="92"/>
      <c r="IVN110" s="92"/>
      <c r="IVO110" s="92"/>
      <c r="IVP110" s="92"/>
      <c r="IVQ110" s="92"/>
      <c r="IVR110" s="92"/>
      <c r="IVS110" s="92"/>
      <c r="IVT110" s="92"/>
      <c r="IVU110" s="92"/>
      <c r="IVV110" s="92"/>
      <c r="IVW110" s="92"/>
      <c r="IVX110" s="92"/>
      <c r="IVY110" s="92"/>
      <c r="IVZ110" s="92"/>
      <c r="IWA110" s="92"/>
      <c r="IWB110" s="92"/>
      <c r="IWC110" s="92"/>
      <c r="IWD110" s="92"/>
      <c r="IWE110" s="92"/>
      <c r="IWF110" s="91"/>
      <c r="IWG110" s="92"/>
      <c r="IWH110" s="92"/>
      <c r="IWI110" s="92"/>
      <c r="IWJ110" s="92"/>
      <c r="IWK110" s="92"/>
      <c r="IWL110" s="92"/>
      <c r="IWM110" s="92"/>
      <c r="IWN110" s="92"/>
      <c r="IWO110" s="92"/>
      <c r="IWP110" s="92"/>
      <c r="IWQ110" s="92"/>
      <c r="IWR110" s="92"/>
      <c r="IWS110" s="92"/>
      <c r="IWT110" s="92"/>
      <c r="IWU110" s="92"/>
      <c r="IWV110" s="92"/>
      <c r="IWW110" s="92"/>
      <c r="IWX110" s="92"/>
      <c r="IWY110" s="92"/>
      <c r="IWZ110" s="92"/>
      <c r="IXA110" s="92"/>
      <c r="IXB110" s="91"/>
      <c r="IXC110" s="92"/>
      <c r="IXD110" s="92"/>
      <c r="IXE110" s="92"/>
      <c r="IXF110" s="92"/>
      <c r="IXG110" s="92"/>
      <c r="IXH110" s="92"/>
      <c r="IXI110" s="92"/>
      <c r="IXJ110" s="92"/>
      <c r="IXK110" s="92"/>
      <c r="IXL110" s="92"/>
      <c r="IXM110" s="92"/>
      <c r="IXN110" s="92"/>
      <c r="IXO110" s="92"/>
      <c r="IXP110" s="92"/>
      <c r="IXQ110" s="92"/>
      <c r="IXR110" s="92"/>
      <c r="IXS110" s="92"/>
      <c r="IXT110" s="92"/>
      <c r="IXU110" s="92"/>
      <c r="IXV110" s="92"/>
      <c r="IXW110" s="92"/>
      <c r="IXX110" s="91"/>
      <c r="IXY110" s="92"/>
      <c r="IXZ110" s="92"/>
      <c r="IYA110" s="92"/>
      <c r="IYB110" s="92"/>
      <c r="IYC110" s="92"/>
      <c r="IYD110" s="92"/>
      <c r="IYE110" s="92"/>
      <c r="IYF110" s="92"/>
      <c r="IYG110" s="92"/>
      <c r="IYH110" s="92"/>
      <c r="IYI110" s="92"/>
      <c r="IYJ110" s="92"/>
      <c r="IYK110" s="92"/>
      <c r="IYL110" s="92"/>
      <c r="IYM110" s="92"/>
      <c r="IYN110" s="92"/>
      <c r="IYO110" s="92"/>
      <c r="IYP110" s="92"/>
      <c r="IYQ110" s="92"/>
      <c r="IYR110" s="92"/>
      <c r="IYS110" s="92"/>
      <c r="IYT110" s="91"/>
      <c r="IYU110" s="92"/>
      <c r="IYV110" s="92"/>
      <c r="IYW110" s="92"/>
      <c r="IYX110" s="92"/>
      <c r="IYY110" s="92"/>
      <c r="IYZ110" s="92"/>
      <c r="IZA110" s="92"/>
      <c r="IZB110" s="92"/>
      <c r="IZC110" s="92"/>
      <c r="IZD110" s="92"/>
      <c r="IZE110" s="92"/>
      <c r="IZF110" s="92"/>
      <c r="IZG110" s="92"/>
      <c r="IZH110" s="92"/>
      <c r="IZI110" s="92"/>
      <c r="IZJ110" s="92"/>
      <c r="IZK110" s="92"/>
      <c r="IZL110" s="92"/>
      <c r="IZM110" s="92"/>
      <c r="IZN110" s="92"/>
      <c r="IZO110" s="92"/>
      <c r="IZP110" s="91"/>
      <c r="IZQ110" s="92"/>
      <c r="IZR110" s="92"/>
      <c r="IZS110" s="92"/>
      <c r="IZT110" s="92"/>
      <c r="IZU110" s="92"/>
      <c r="IZV110" s="92"/>
      <c r="IZW110" s="92"/>
      <c r="IZX110" s="92"/>
      <c r="IZY110" s="92"/>
      <c r="IZZ110" s="92"/>
      <c r="JAA110" s="92"/>
      <c r="JAB110" s="92"/>
      <c r="JAC110" s="92"/>
      <c r="JAD110" s="92"/>
      <c r="JAE110" s="92"/>
      <c r="JAF110" s="92"/>
      <c r="JAG110" s="92"/>
      <c r="JAH110" s="92"/>
      <c r="JAI110" s="92"/>
      <c r="JAJ110" s="92"/>
      <c r="JAK110" s="92"/>
      <c r="JAL110" s="91"/>
      <c r="JAM110" s="92"/>
      <c r="JAN110" s="92"/>
      <c r="JAO110" s="92"/>
      <c r="JAP110" s="92"/>
      <c r="JAQ110" s="92"/>
      <c r="JAR110" s="92"/>
      <c r="JAS110" s="92"/>
      <c r="JAT110" s="92"/>
      <c r="JAU110" s="92"/>
      <c r="JAV110" s="92"/>
      <c r="JAW110" s="92"/>
      <c r="JAX110" s="92"/>
      <c r="JAY110" s="92"/>
      <c r="JAZ110" s="92"/>
      <c r="JBA110" s="92"/>
      <c r="JBB110" s="92"/>
      <c r="JBC110" s="92"/>
      <c r="JBD110" s="92"/>
      <c r="JBE110" s="92"/>
      <c r="JBF110" s="92"/>
      <c r="JBG110" s="92"/>
      <c r="JBH110" s="91"/>
      <c r="JBI110" s="92"/>
      <c r="JBJ110" s="92"/>
      <c r="JBK110" s="92"/>
      <c r="JBL110" s="92"/>
      <c r="JBM110" s="92"/>
      <c r="JBN110" s="92"/>
      <c r="JBO110" s="92"/>
      <c r="JBP110" s="92"/>
      <c r="JBQ110" s="92"/>
      <c r="JBR110" s="92"/>
      <c r="JBS110" s="92"/>
      <c r="JBT110" s="92"/>
      <c r="JBU110" s="92"/>
      <c r="JBV110" s="92"/>
      <c r="JBW110" s="92"/>
      <c r="JBX110" s="92"/>
      <c r="JBY110" s="92"/>
      <c r="JBZ110" s="92"/>
      <c r="JCA110" s="92"/>
      <c r="JCB110" s="92"/>
      <c r="JCC110" s="92"/>
      <c r="JCD110" s="91"/>
      <c r="JCE110" s="92"/>
      <c r="JCF110" s="92"/>
      <c r="JCG110" s="92"/>
      <c r="JCH110" s="92"/>
      <c r="JCI110" s="92"/>
      <c r="JCJ110" s="92"/>
      <c r="JCK110" s="92"/>
      <c r="JCL110" s="92"/>
      <c r="JCM110" s="92"/>
      <c r="JCN110" s="92"/>
      <c r="JCO110" s="92"/>
      <c r="JCP110" s="92"/>
      <c r="JCQ110" s="92"/>
      <c r="JCR110" s="92"/>
      <c r="JCS110" s="92"/>
      <c r="JCT110" s="92"/>
      <c r="JCU110" s="92"/>
      <c r="JCV110" s="92"/>
      <c r="JCW110" s="92"/>
      <c r="JCX110" s="92"/>
      <c r="JCY110" s="92"/>
      <c r="JCZ110" s="91"/>
      <c r="JDA110" s="92"/>
      <c r="JDB110" s="92"/>
      <c r="JDC110" s="92"/>
      <c r="JDD110" s="92"/>
      <c r="JDE110" s="92"/>
      <c r="JDF110" s="92"/>
      <c r="JDG110" s="92"/>
      <c r="JDH110" s="92"/>
      <c r="JDI110" s="92"/>
      <c r="JDJ110" s="92"/>
      <c r="JDK110" s="92"/>
      <c r="JDL110" s="92"/>
      <c r="JDM110" s="92"/>
      <c r="JDN110" s="92"/>
      <c r="JDO110" s="92"/>
      <c r="JDP110" s="92"/>
      <c r="JDQ110" s="92"/>
      <c r="JDR110" s="92"/>
      <c r="JDS110" s="92"/>
      <c r="JDT110" s="92"/>
      <c r="JDU110" s="92"/>
      <c r="JDV110" s="91"/>
      <c r="JDW110" s="92"/>
      <c r="JDX110" s="92"/>
      <c r="JDY110" s="92"/>
      <c r="JDZ110" s="92"/>
      <c r="JEA110" s="92"/>
      <c r="JEB110" s="92"/>
      <c r="JEC110" s="92"/>
      <c r="JED110" s="92"/>
      <c r="JEE110" s="92"/>
      <c r="JEF110" s="92"/>
      <c r="JEG110" s="92"/>
      <c r="JEH110" s="92"/>
      <c r="JEI110" s="92"/>
      <c r="JEJ110" s="92"/>
      <c r="JEK110" s="92"/>
      <c r="JEL110" s="92"/>
      <c r="JEM110" s="92"/>
      <c r="JEN110" s="92"/>
      <c r="JEO110" s="92"/>
      <c r="JEP110" s="92"/>
      <c r="JEQ110" s="92"/>
      <c r="JER110" s="91"/>
      <c r="JES110" s="92"/>
      <c r="JET110" s="92"/>
      <c r="JEU110" s="92"/>
      <c r="JEV110" s="92"/>
      <c r="JEW110" s="92"/>
      <c r="JEX110" s="92"/>
      <c r="JEY110" s="92"/>
      <c r="JEZ110" s="92"/>
      <c r="JFA110" s="92"/>
      <c r="JFB110" s="92"/>
      <c r="JFC110" s="92"/>
      <c r="JFD110" s="92"/>
      <c r="JFE110" s="92"/>
      <c r="JFF110" s="92"/>
      <c r="JFG110" s="92"/>
      <c r="JFH110" s="92"/>
      <c r="JFI110" s="92"/>
      <c r="JFJ110" s="92"/>
      <c r="JFK110" s="92"/>
      <c r="JFL110" s="92"/>
      <c r="JFM110" s="92"/>
      <c r="JFN110" s="91"/>
      <c r="JFO110" s="92"/>
      <c r="JFP110" s="92"/>
      <c r="JFQ110" s="92"/>
      <c r="JFR110" s="92"/>
      <c r="JFS110" s="92"/>
      <c r="JFT110" s="92"/>
      <c r="JFU110" s="92"/>
      <c r="JFV110" s="92"/>
      <c r="JFW110" s="92"/>
      <c r="JFX110" s="92"/>
      <c r="JFY110" s="92"/>
      <c r="JFZ110" s="92"/>
      <c r="JGA110" s="92"/>
      <c r="JGB110" s="92"/>
      <c r="JGC110" s="92"/>
      <c r="JGD110" s="92"/>
      <c r="JGE110" s="92"/>
      <c r="JGF110" s="92"/>
      <c r="JGG110" s="92"/>
      <c r="JGH110" s="92"/>
      <c r="JGI110" s="92"/>
      <c r="JGJ110" s="91"/>
      <c r="JGK110" s="92"/>
      <c r="JGL110" s="92"/>
      <c r="JGM110" s="92"/>
      <c r="JGN110" s="92"/>
      <c r="JGO110" s="92"/>
      <c r="JGP110" s="92"/>
      <c r="JGQ110" s="92"/>
      <c r="JGR110" s="92"/>
      <c r="JGS110" s="92"/>
      <c r="JGT110" s="92"/>
      <c r="JGU110" s="92"/>
      <c r="JGV110" s="92"/>
      <c r="JGW110" s="92"/>
      <c r="JGX110" s="92"/>
      <c r="JGY110" s="92"/>
      <c r="JGZ110" s="92"/>
      <c r="JHA110" s="92"/>
      <c r="JHB110" s="92"/>
      <c r="JHC110" s="92"/>
      <c r="JHD110" s="92"/>
      <c r="JHE110" s="92"/>
      <c r="JHF110" s="91"/>
      <c r="JHG110" s="92"/>
      <c r="JHH110" s="92"/>
      <c r="JHI110" s="92"/>
      <c r="JHJ110" s="92"/>
      <c r="JHK110" s="92"/>
      <c r="JHL110" s="92"/>
      <c r="JHM110" s="92"/>
      <c r="JHN110" s="92"/>
      <c r="JHO110" s="92"/>
      <c r="JHP110" s="92"/>
      <c r="JHQ110" s="92"/>
      <c r="JHR110" s="92"/>
      <c r="JHS110" s="92"/>
      <c r="JHT110" s="92"/>
      <c r="JHU110" s="92"/>
      <c r="JHV110" s="92"/>
      <c r="JHW110" s="92"/>
      <c r="JHX110" s="92"/>
      <c r="JHY110" s="92"/>
      <c r="JHZ110" s="92"/>
      <c r="JIA110" s="92"/>
      <c r="JIB110" s="91"/>
      <c r="JIC110" s="92"/>
      <c r="JID110" s="92"/>
      <c r="JIE110" s="92"/>
      <c r="JIF110" s="92"/>
      <c r="JIG110" s="92"/>
      <c r="JIH110" s="92"/>
      <c r="JII110" s="92"/>
      <c r="JIJ110" s="92"/>
      <c r="JIK110" s="92"/>
      <c r="JIL110" s="92"/>
      <c r="JIM110" s="92"/>
      <c r="JIN110" s="92"/>
      <c r="JIO110" s="92"/>
      <c r="JIP110" s="92"/>
      <c r="JIQ110" s="92"/>
      <c r="JIR110" s="92"/>
      <c r="JIS110" s="92"/>
      <c r="JIT110" s="92"/>
      <c r="JIU110" s="92"/>
      <c r="JIV110" s="92"/>
      <c r="JIW110" s="92"/>
      <c r="JIX110" s="91"/>
      <c r="JIY110" s="92"/>
      <c r="JIZ110" s="92"/>
      <c r="JJA110" s="92"/>
      <c r="JJB110" s="92"/>
      <c r="JJC110" s="92"/>
      <c r="JJD110" s="92"/>
      <c r="JJE110" s="92"/>
      <c r="JJF110" s="92"/>
      <c r="JJG110" s="92"/>
      <c r="JJH110" s="92"/>
      <c r="JJI110" s="92"/>
      <c r="JJJ110" s="92"/>
      <c r="JJK110" s="92"/>
      <c r="JJL110" s="92"/>
      <c r="JJM110" s="92"/>
      <c r="JJN110" s="92"/>
      <c r="JJO110" s="92"/>
      <c r="JJP110" s="92"/>
      <c r="JJQ110" s="92"/>
      <c r="JJR110" s="92"/>
      <c r="JJS110" s="92"/>
      <c r="JJT110" s="91"/>
      <c r="JJU110" s="92"/>
      <c r="JJV110" s="92"/>
      <c r="JJW110" s="92"/>
      <c r="JJX110" s="92"/>
      <c r="JJY110" s="92"/>
      <c r="JJZ110" s="92"/>
      <c r="JKA110" s="92"/>
      <c r="JKB110" s="92"/>
      <c r="JKC110" s="92"/>
      <c r="JKD110" s="92"/>
      <c r="JKE110" s="92"/>
      <c r="JKF110" s="92"/>
      <c r="JKG110" s="92"/>
      <c r="JKH110" s="92"/>
      <c r="JKI110" s="92"/>
      <c r="JKJ110" s="92"/>
      <c r="JKK110" s="92"/>
      <c r="JKL110" s="92"/>
      <c r="JKM110" s="92"/>
      <c r="JKN110" s="92"/>
      <c r="JKO110" s="92"/>
      <c r="JKP110" s="91"/>
      <c r="JKQ110" s="92"/>
      <c r="JKR110" s="92"/>
      <c r="JKS110" s="92"/>
      <c r="JKT110" s="92"/>
      <c r="JKU110" s="92"/>
      <c r="JKV110" s="92"/>
      <c r="JKW110" s="92"/>
      <c r="JKX110" s="92"/>
      <c r="JKY110" s="92"/>
      <c r="JKZ110" s="92"/>
      <c r="JLA110" s="92"/>
      <c r="JLB110" s="92"/>
      <c r="JLC110" s="92"/>
      <c r="JLD110" s="92"/>
      <c r="JLE110" s="92"/>
      <c r="JLF110" s="92"/>
      <c r="JLG110" s="92"/>
      <c r="JLH110" s="92"/>
      <c r="JLI110" s="92"/>
      <c r="JLJ110" s="92"/>
      <c r="JLK110" s="92"/>
      <c r="JLL110" s="91"/>
      <c r="JLM110" s="92"/>
      <c r="JLN110" s="92"/>
      <c r="JLO110" s="92"/>
      <c r="JLP110" s="92"/>
      <c r="JLQ110" s="92"/>
      <c r="JLR110" s="92"/>
      <c r="JLS110" s="92"/>
      <c r="JLT110" s="92"/>
      <c r="JLU110" s="92"/>
      <c r="JLV110" s="92"/>
      <c r="JLW110" s="92"/>
      <c r="JLX110" s="92"/>
      <c r="JLY110" s="92"/>
      <c r="JLZ110" s="92"/>
      <c r="JMA110" s="92"/>
      <c r="JMB110" s="92"/>
      <c r="JMC110" s="92"/>
      <c r="JMD110" s="92"/>
      <c r="JME110" s="92"/>
      <c r="JMF110" s="92"/>
      <c r="JMG110" s="92"/>
      <c r="JMH110" s="91"/>
      <c r="JMI110" s="92"/>
      <c r="JMJ110" s="92"/>
      <c r="JMK110" s="92"/>
      <c r="JML110" s="92"/>
      <c r="JMM110" s="92"/>
      <c r="JMN110" s="92"/>
      <c r="JMO110" s="92"/>
      <c r="JMP110" s="92"/>
      <c r="JMQ110" s="92"/>
      <c r="JMR110" s="92"/>
      <c r="JMS110" s="92"/>
      <c r="JMT110" s="92"/>
      <c r="JMU110" s="92"/>
      <c r="JMV110" s="92"/>
      <c r="JMW110" s="92"/>
      <c r="JMX110" s="92"/>
      <c r="JMY110" s="92"/>
      <c r="JMZ110" s="92"/>
      <c r="JNA110" s="92"/>
      <c r="JNB110" s="92"/>
      <c r="JNC110" s="92"/>
      <c r="JND110" s="91"/>
      <c r="JNE110" s="92"/>
      <c r="JNF110" s="92"/>
      <c r="JNG110" s="92"/>
      <c r="JNH110" s="92"/>
      <c r="JNI110" s="92"/>
      <c r="JNJ110" s="92"/>
      <c r="JNK110" s="92"/>
      <c r="JNL110" s="92"/>
      <c r="JNM110" s="92"/>
      <c r="JNN110" s="92"/>
      <c r="JNO110" s="92"/>
      <c r="JNP110" s="92"/>
      <c r="JNQ110" s="92"/>
      <c r="JNR110" s="92"/>
      <c r="JNS110" s="92"/>
      <c r="JNT110" s="92"/>
      <c r="JNU110" s="92"/>
      <c r="JNV110" s="92"/>
      <c r="JNW110" s="92"/>
      <c r="JNX110" s="92"/>
      <c r="JNY110" s="92"/>
      <c r="JNZ110" s="91"/>
      <c r="JOA110" s="92"/>
      <c r="JOB110" s="92"/>
      <c r="JOC110" s="92"/>
      <c r="JOD110" s="92"/>
      <c r="JOE110" s="92"/>
      <c r="JOF110" s="92"/>
      <c r="JOG110" s="92"/>
      <c r="JOH110" s="92"/>
      <c r="JOI110" s="92"/>
      <c r="JOJ110" s="92"/>
      <c r="JOK110" s="92"/>
      <c r="JOL110" s="92"/>
      <c r="JOM110" s="92"/>
      <c r="JON110" s="92"/>
      <c r="JOO110" s="92"/>
      <c r="JOP110" s="92"/>
      <c r="JOQ110" s="92"/>
      <c r="JOR110" s="92"/>
      <c r="JOS110" s="92"/>
      <c r="JOT110" s="92"/>
      <c r="JOU110" s="92"/>
      <c r="JOV110" s="91"/>
      <c r="JOW110" s="92"/>
      <c r="JOX110" s="92"/>
      <c r="JOY110" s="92"/>
      <c r="JOZ110" s="92"/>
      <c r="JPA110" s="92"/>
      <c r="JPB110" s="92"/>
      <c r="JPC110" s="92"/>
      <c r="JPD110" s="92"/>
      <c r="JPE110" s="92"/>
      <c r="JPF110" s="92"/>
      <c r="JPG110" s="92"/>
      <c r="JPH110" s="92"/>
      <c r="JPI110" s="92"/>
      <c r="JPJ110" s="92"/>
      <c r="JPK110" s="92"/>
      <c r="JPL110" s="92"/>
      <c r="JPM110" s="92"/>
      <c r="JPN110" s="92"/>
      <c r="JPO110" s="92"/>
      <c r="JPP110" s="92"/>
      <c r="JPQ110" s="92"/>
      <c r="JPR110" s="91"/>
      <c r="JPS110" s="92"/>
      <c r="JPT110" s="92"/>
      <c r="JPU110" s="92"/>
      <c r="JPV110" s="92"/>
      <c r="JPW110" s="92"/>
      <c r="JPX110" s="92"/>
      <c r="JPY110" s="92"/>
      <c r="JPZ110" s="92"/>
      <c r="JQA110" s="92"/>
      <c r="JQB110" s="92"/>
      <c r="JQC110" s="92"/>
      <c r="JQD110" s="92"/>
      <c r="JQE110" s="92"/>
      <c r="JQF110" s="92"/>
      <c r="JQG110" s="92"/>
      <c r="JQH110" s="92"/>
      <c r="JQI110" s="92"/>
      <c r="JQJ110" s="92"/>
      <c r="JQK110" s="92"/>
      <c r="JQL110" s="92"/>
      <c r="JQM110" s="92"/>
      <c r="JQN110" s="91"/>
      <c r="JQO110" s="92"/>
      <c r="JQP110" s="92"/>
      <c r="JQQ110" s="92"/>
      <c r="JQR110" s="92"/>
      <c r="JQS110" s="92"/>
      <c r="JQT110" s="92"/>
      <c r="JQU110" s="92"/>
      <c r="JQV110" s="92"/>
      <c r="JQW110" s="92"/>
      <c r="JQX110" s="92"/>
      <c r="JQY110" s="92"/>
      <c r="JQZ110" s="92"/>
      <c r="JRA110" s="92"/>
      <c r="JRB110" s="92"/>
      <c r="JRC110" s="92"/>
      <c r="JRD110" s="92"/>
      <c r="JRE110" s="92"/>
      <c r="JRF110" s="92"/>
      <c r="JRG110" s="92"/>
      <c r="JRH110" s="92"/>
      <c r="JRI110" s="92"/>
      <c r="JRJ110" s="91"/>
      <c r="JRK110" s="92"/>
      <c r="JRL110" s="92"/>
      <c r="JRM110" s="92"/>
      <c r="JRN110" s="92"/>
      <c r="JRO110" s="92"/>
      <c r="JRP110" s="92"/>
      <c r="JRQ110" s="92"/>
      <c r="JRR110" s="92"/>
      <c r="JRS110" s="92"/>
      <c r="JRT110" s="92"/>
      <c r="JRU110" s="92"/>
      <c r="JRV110" s="92"/>
      <c r="JRW110" s="92"/>
      <c r="JRX110" s="92"/>
      <c r="JRY110" s="92"/>
      <c r="JRZ110" s="92"/>
      <c r="JSA110" s="92"/>
      <c r="JSB110" s="92"/>
      <c r="JSC110" s="92"/>
      <c r="JSD110" s="92"/>
      <c r="JSE110" s="92"/>
      <c r="JSF110" s="91"/>
      <c r="JSG110" s="92"/>
      <c r="JSH110" s="92"/>
      <c r="JSI110" s="92"/>
      <c r="JSJ110" s="92"/>
      <c r="JSK110" s="92"/>
      <c r="JSL110" s="92"/>
      <c r="JSM110" s="92"/>
      <c r="JSN110" s="92"/>
      <c r="JSO110" s="92"/>
      <c r="JSP110" s="92"/>
      <c r="JSQ110" s="92"/>
      <c r="JSR110" s="92"/>
      <c r="JSS110" s="92"/>
      <c r="JST110" s="92"/>
      <c r="JSU110" s="92"/>
      <c r="JSV110" s="92"/>
      <c r="JSW110" s="92"/>
      <c r="JSX110" s="92"/>
      <c r="JSY110" s="92"/>
      <c r="JSZ110" s="92"/>
      <c r="JTA110" s="92"/>
      <c r="JTB110" s="91"/>
      <c r="JTC110" s="92"/>
      <c r="JTD110" s="92"/>
      <c r="JTE110" s="92"/>
      <c r="JTF110" s="92"/>
      <c r="JTG110" s="92"/>
      <c r="JTH110" s="92"/>
      <c r="JTI110" s="92"/>
      <c r="JTJ110" s="92"/>
      <c r="JTK110" s="92"/>
      <c r="JTL110" s="92"/>
      <c r="JTM110" s="92"/>
      <c r="JTN110" s="92"/>
      <c r="JTO110" s="92"/>
      <c r="JTP110" s="92"/>
      <c r="JTQ110" s="92"/>
      <c r="JTR110" s="92"/>
      <c r="JTS110" s="92"/>
      <c r="JTT110" s="92"/>
      <c r="JTU110" s="92"/>
      <c r="JTV110" s="92"/>
      <c r="JTW110" s="92"/>
      <c r="JTX110" s="91"/>
      <c r="JTY110" s="92"/>
      <c r="JTZ110" s="92"/>
      <c r="JUA110" s="92"/>
      <c r="JUB110" s="92"/>
      <c r="JUC110" s="92"/>
      <c r="JUD110" s="92"/>
      <c r="JUE110" s="92"/>
      <c r="JUF110" s="92"/>
      <c r="JUG110" s="92"/>
      <c r="JUH110" s="92"/>
      <c r="JUI110" s="92"/>
      <c r="JUJ110" s="92"/>
      <c r="JUK110" s="92"/>
      <c r="JUL110" s="92"/>
      <c r="JUM110" s="92"/>
      <c r="JUN110" s="92"/>
      <c r="JUO110" s="92"/>
      <c r="JUP110" s="92"/>
      <c r="JUQ110" s="92"/>
      <c r="JUR110" s="92"/>
      <c r="JUS110" s="92"/>
      <c r="JUT110" s="91"/>
      <c r="JUU110" s="92"/>
      <c r="JUV110" s="92"/>
      <c r="JUW110" s="92"/>
      <c r="JUX110" s="92"/>
      <c r="JUY110" s="92"/>
      <c r="JUZ110" s="92"/>
      <c r="JVA110" s="92"/>
      <c r="JVB110" s="92"/>
      <c r="JVC110" s="92"/>
      <c r="JVD110" s="92"/>
      <c r="JVE110" s="92"/>
      <c r="JVF110" s="92"/>
      <c r="JVG110" s="92"/>
      <c r="JVH110" s="92"/>
      <c r="JVI110" s="92"/>
      <c r="JVJ110" s="92"/>
      <c r="JVK110" s="92"/>
      <c r="JVL110" s="92"/>
      <c r="JVM110" s="92"/>
      <c r="JVN110" s="92"/>
      <c r="JVO110" s="92"/>
      <c r="JVP110" s="91"/>
      <c r="JVQ110" s="92"/>
      <c r="JVR110" s="92"/>
      <c r="JVS110" s="92"/>
      <c r="JVT110" s="92"/>
      <c r="JVU110" s="92"/>
      <c r="JVV110" s="92"/>
      <c r="JVW110" s="92"/>
      <c r="JVX110" s="92"/>
      <c r="JVY110" s="92"/>
      <c r="JVZ110" s="92"/>
      <c r="JWA110" s="92"/>
      <c r="JWB110" s="92"/>
      <c r="JWC110" s="92"/>
      <c r="JWD110" s="92"/>
      <c r="JWE110" s="92"/>
      <c r="JWF110" s="92"/>
      <c r="JWG110" s="92"/>
      <c r="JWH110" s="92"/>
      <c r="JWI110" s="92"/>
      <c r="JWJ110" s="92"/>
      <c r="JWK110" s="92"/>
      <c r="JWL110" s="91"/>
      <c r="JWM110" s="92"/>
      <c r="JWN110" s="92"/>
      <c r="JWO110" s="92"/>
      <c r="JWP110" s="92"/>
      <c r="JWQ110" s="92"/>
      <c r="JWR110" s="92"/>
      <c r="JWS110" s="92"/>
      <c r="JWT110" s="92"/>
      <c r="JWU110" s="92"/>
      <c r="JWV110" s="92"/>
      <c r="JWW110" s="92"/>
      <c r="JWX110" s="92"/>
      <c r="JWY110" s="92"/>
      <c r="JWZ110" s="92"/>
      <c r="JXA110" s="92"/>
      <c r="JXB110" s="92"/>
      <c r="JXC110" s="92"/>
      <c r="JXD110" s="92"/>
      <c r="JXE110" s="92"/>
      <c r="JXF110" s="92"/>
      <c r="JXG110" s="92"/>
      <c r="JXH110" s="91"/>
      <c r="JXI110" s="92"/>
      <c r="JXJ110" s="92"/>
      <c r="JXK110" s="92"/>
      <c r="JXL110" s="92"/>
      <c r="JXM110" s="92"/>
      <c r="JXN110" s="92"/>
      <c r="JXO110" s="92"/>
      <c r="JXP110" s="92"/>
      <c r="JXQ110" s="92"/>
      <c r="JXR110" s="92"/>
      <c r="JXS110" s="92"/>
      <c r="JXT110" s="92"/>
      <c r="JXU110" s="92"/>
      <c r="JXV110" s="92"/>
      <c r="JXW110" s="92"/>
      <c r="JXX110" s="92"/>
      <c r="JXY110" s="92"/>
      <c r="JXZ110" s="92"/>
      <c r="JYA110" s="92"/>
      <c r="JYB110" s="92"/>
      <c r="JYC110" s="92"/>
      <c r="JYD110" s="91"/>
      <c r="JYE110" s="92"/>
      <c r="JYF110" s="92"/>
      <c r="JYG110" s="92"/>
      <c r="JYH110" s="92"/>
      <c r="JYI110" s="92"/>
      <c r="JYJ110" s="92"/>
      <c r="JYK110" s="92"/>
      <c r="JYL110" s="92"/>
      <c r="JYM110" s="92"/>
      <c r="JYN110" s="92"/>
      <c r="JYO110" s="92"/>
      <c r="JYP110" s="92"/>
      <c r="JYQ110" s="92"/>
      <c r="JYR110" s="92"/>
      <c r="JYS110" s="92"/>
      <c r="JYT110" s="92"/>
      <c r="JYU110" s="92"/>
      <c r="JYV110" s="92"/>
      <c r="JYW110" s="92"/>
      <c r="JYX110" s="92"/>
      <c r="JYY110" s="92"/>
      <c r="JYZ110" s="91"/>
      <c r="JZA110" s="92"/>
      <c r="JZB110" s="92"/>
      <c r="JZC110" s="92"/>
      <c r="JZD110" s="92"/>
      <c r="JZE110" s="92"/>
      <c r="JZF110" s="92"/>
      <c r="JZG110" s="92"/>
      <c r="JZH110" s="92"/>
      <c r="JZI110" s="92"/>
      <c r="JZJ110" s="92"/>
      <c r="JZK110" s="92"/>
      <c r="JZL110" s="92"/>
      <c r="JZM110" s="92"/>
      <c r="JZN110" s="92"/>
      <c r="JZO110" s="92"/>
      <c r="JZP110" s="92"/>
      <c r="JZQ110" s="92"/>
      <c r="JZR110" s="92"/>
      <c r="JZS110" s="92"/>
      <c r="JZT110" s="92"/>
      <c r="JZU110" s="92"/>
      <c r="JZV110" s="91"/>
      <c r="JZW110" s="92"/>
      <c r="JZX110" s="92"/>
      <c r="JZY110" s="92"/>
      <c r="JZZ110" s="92"/>
      <c r="KAA110" s="92"/>
      <c r="KAB110" s="92"/>
      <c r="KAC110" s="92"/>
      <c r="KAD110" s="92"/>
      <c r="KAE110" s="92"/>
      <c r="KAF110" s="92"/>
      <c r="KAG110" s="92"/>
      <c r="KAH110" s="92"/>
      <c r="KAI110" s="92"/>
      <c r="KAJ110" s="92"/>
      <c r="KAK110" s="92"/>
      <c r="KAL110" s="92"/>
      <c r="KAM110" s="92"/>
      <c r="KAN110" s="92"/>
      <c r="KAO110" s="92"/>
      <c r="KAP110" s="92"/>
      <c r="KAQ110" s="92"/>
      <c r="KAR110" s="91"/>
      <c r="KAS110" s="92"/>
      <c r="KAT110" s="92"/>
      <c r="KAU110" s="92"/>
      <c r="KAV110" s="92"/>
      <c r="KAW110" s="92"/>
      <c r="KAX110" s="92"/>
      <c r="KAY110" s="92"/>
      <c r="KAZ110" s="92"/>
      <c r="KBA110" s="92"/>
      <c r="KBB110" s="92"/>
      <c r="KBC110" s="92"/>
      <c r="KBD110" s="92"/>
      <c r="KBE110" s="92"/>
      <c r="KBF110" s="92"/>
      <c r="KBG110" s="92"/>
      <c r="KBH110" s="92"/>
      <c r="KBI110" s="92"/>
      <c r="KBJ110" s="92"/>
      <c r="KBK110" s="92"/>
      <c r="KBL110" s="92"/>
      <c r="KBM110" s="92"/>
      <c r="KBN110" s="91"/>
      <c r="KBO110" s="92"/>
      <c r="KBP110" s="92"/>
      <c r="KBQ110" s="92"/>
      <c r="KBR110" s="92"/>
      <c r="KBS110" s="92"/>
      <c r="KBT110" s="92"/>
      <c r="KBU110" s="92"/>
      <c r="KBV110" s="92"/>
      <c r="KBW110" s="92"/>
      <c r="KBX110" s="92"/>
      <c r="KBY110" s="92"/>
      <c r="KBZ110" s="92"/>
      <c r="KCA110" s="92"/>
      <c r="KCB110" s="92"/>
      <c r="KCC110" s="92"/>
      <c r="KCD110" s="92"/>
      <c r="KCE110" s="92"/>
      <c r="KCF110" s="92"/>
      <c r="KCG110" s="92"/>
      <c r="KCH110" s="92"/>
      <c r="KCI110" s="92"/>
      <c r="KCJ110" s="91"/>
      <c r="KCK110" s="92"/>
      <c r="KCL110" s="92"/>
      <c r="KCM110" s="92"/>
      <c r="KCN110" s="92"/>
      <c r="KCO110" s="92"/>
      <c r="KCP110" s="92"/>
      <c r="KCQ110" s="92"/>
      <c r="KCR110" s="92"/>
      <c r="KCS110" s="92"/>
      <c r="KCT110" s="92"/>
      <c r="KCU110" s="92"/>
      <c r="KCV110" s="92"/>
      <c r="KCW110" s="92"/>
      <c r="KCX110" s="92"/>
      <c r="KCY110" s="92"/>
      <c r="KCZ110" s="92"/>
      <c r="KDA110" s="92"/>
      <c r="KDB110" s="92"/>
      <c r="KDC110" s="92"/>
      <c r="KDD110" s="92"/>
      <c r="KDE110" s="92"/>
      <c r="KDF110" s="91"/>
      <c r="KDG110" s="92"/>
      <c r="KDH110" s="92"/>
      <c r="KDI110" s="92"/>
      <c r="KDJ110" s="92"/>
      <c r="KDK110" s="92"/>
      <c r="KDL110" s="92"/>
      <c r="KDM110" s="92"/>
      <c r="KDN110" s="92"/>
      <c r="KDO110" s="92"/>
      <c r="KDP110" s="92"/>
      <c r="KDQ110" s="92"/>
      <c r="KDR110" s="92"/>
      <c r="KDS110" s="92"/>
      <c r="KDT110" s="92"/>
      <c r="KDU110" s="92"/>
      <c r="KDV110" s="92"/>
      <c r="KDW110" s="92"/>
      <c r="KDX110" s="92"/>
      <c r="KDY110" s="92"/>
      <c r="KDZ110" s="92"/>
      <c r="KEA110" s="92"/>
      <c r="KEB110" s="91"/>
      <c r="KEC110" s="92"/>
      <c r="KED110" s="92"/>
      <c r="KEE110" s="92"/>
      <c r="KEF110" s="92"/>
      <c r="KEG110" s="92"/>
      <c r="KEH110" s="92"/>
      <c r="KEI110" s="92"/>
      <c r="KEJ110" s="92"/>
      <c r="KEK110" s="92"/>
      <c r="KEL110" s="92"/>
      <c r="KEM110" s="92"/>
      <c r="KEN110" s="92"/>
      <c r="KEO110" s="92"/>
      <c r="KEP110" s="92"/>
      <c r="KEQ110" s="92"/>
      <c r="KER110" s="92"/>
      <c r="KES110" s="92"/>
      <c r="KET110" s="92"/>
      <c r="KEU110" s="92"/>
      <c r="KEV110" s="92"/>
      <c r="KEW110" s="92"/>
      <c r="KEX110" s="91"/>
      <c r="KEY110" s="92"/>
      <c r="KEZ110" s="92"/>
      <c r="KFA110" s="92"/>
      <c r="KFB110" s="92"/>
      <c r="KFC110" s="92"/>
      <c r="KFD110" s="92"/>
      <c r="KFE110" s="92"/>
      <c r="KFF110" s="92"/>
      <c r="KFG110" s="92"/>
      <c r="KFH110" s="92"/>
      <c r="KFI110" s="92"/>
      <c r="KFJ110" s="92"/>
      <c r="KFK110" s="92"/>
      <c r="KFL110" s="92"/>
      <c r="KFM110" s="92"/>
      <c r="KFN110" s="92"/>
      <c r="KFO110" s="92"/>
      <c r="KFP110" s="92"/>
      <c r="KFQ110" s="92"/>
      <c r="KFR110" s="92"/>
      <c r="KFS110" s="92"/>
      <c r="KFT110" s="91"/>
      <c r="KFU110" s="92"/>
      <c r="KFV110" s="92"/>
      <c r="KFW110" s="92"/>
      <c r="KFX110" s="92"/>
      <c r="KFY110" s="92"/>
      <c r="KFZ110" s="92"/>
      <c r="KGA110" s="92"/>
      <c r="KGB110" s="92"/>
      <c r="KGC110" s="92"/>
      <c r="KGD110" s="92"/>
      <c r="KGE110" s="92"/>
      <c r="KGF110" s="92"/>
      <c r="KGG110" s="92"/>
      <c r="KGH110" s="92"/>
      <c r="KGI110" s="92"/>
      <c r="KGJ110" s="92"/>
      <c r="KGK110" s="92"/>
      <c r="KGL110" s="92"/>
      <c r="KGM110" s="92"/>
      <c r="KGN110" s="92"/>
      <c r="KGO110" s="92"/>
      <c r="KGP110" s="91"/>
      <c r="KGQ110" s="92"/>
      <c r="KGR110" s="92"/>
      <c r="KGS110" s="92"/>
      <c r="KGT110" s="92"/>
      <c r="KGU110" s="92"/>
      <c r="KGV110" s="92"/>
      <c r="KGW110" s="92"/>
      <c r="KGX110" s="92"/>
      <c r="KGY110" s="92"/>
      <c r="KGZ110" s="92"/>
      <c r="KHA110" s="92"/>
      <c r="KHB110" s="92"/>
      <c r="KHC110" s="92"/>
      <c r="KHD110" s="92"/>
      <c r="KHE110" s="92"/>
      <c r="KHF110" s="92"/>
      <c r="KHG110" s="92"/>
      <c r="KHH110" s="92"/>
      <c r="KHI110" s="92"/>
      <c r="KHJ110" s="92"/>
      <c r="KHK110" s="92"/>
      <c r="KHL110" s="91"/>
      <c r="KHM110" s="92"/>
      <c r="KHN110" s="92"/>
      <c r="KHO110" s="92"/>
      <c r="KHP110" s="92"/>
      <c r="KHQ110" s="92"/>
      <c r="KHR110" s="92"/>
      <c r="KHS110" s="92"/>
      <c r="KHT110" s="92"/>
      <c r="KHU110" s="92"/>
      <c r="KHV110" s="92"/>
      <c r="KHW110" s="92"/>
      <c r="KHX110" s="92"/>
      <c r="KHY110" s="92"/>
      <c r="KHZ110" s="92"/>
      <c r="KIA110" s="92"/>
      <c r="KIB110" s="92"/>
      <c r="KIC110" s="92"/>
      <c r="KID110" s="92"/>
      <c r="KIE110" s="92"/>
      <c r="KIF110" s="92"/>
      <c r="KIG110" s="92"/>
      <c r="KIH110" s="91"/>
      <c r="KII110" s="92"/>
      <c r="KIJ110" s="92"/>
      <c r="KIK110" s="92"/>
      <c r="KIL110" s="92"/>
      <c r="KIM110" s="92"/>
      <c r="KIN110" s="92"/>
      <c r="KIO110" s="92"/>
      <c r="KIP110" s="92"/>
      <c r="KIQ110" s="92"/>
      <c r="KIR110" s="92"/>
      <c r="KIS110" s="92"/>
      <c r="KIT110" s="92"/>
      <c r="KIU110" s="92"/>
      <c r="KIV110" s="92"/>
      <c r="KIW110" s="92"/>
      <c r="KIX110" s="92"/>
      <c r="KIY110" s="92"/>
      <c r="KIZ110" s="92"/>
      <c r="KJA110" s="92"/>
      <c r="KJB110" s="92"/>
      <c r="KJC110" s="92"/>
      <c r="KJD110" s="91"/>
      <c r="KJE110" s="92"/>
      <c r="KJF110" s="92"/>
      <c r="KJG110" s="92"/>
      <c r="KJH110" s="92"/>
      <c r="KJI110" s="92"/>
      <c r="KJJ110" s="92"/>
      <c r="KJK110" s="92"/>
      <c r="KJL110" s="92"/>
      <c r="KJM110" s="92"/>
      <c r="KJN110" s="92"/>
      <c r="KJO110" s="92"/>
      <c r="KJP110" s="92"/>
      <c r="KJQ110" s="92"/>
      <c r="KJR110" s="92"/>
      <c r="KJS110" s="92"/>
      <c r="KJT110" s="92"/>
      <c r="KJU110" s="92"/>
      <c r="KJV110" s="92"/>
      <c r="KJW110" s="92"/>
      <c r="KJX110" s="92"/>
      <c r="KJY110" s="92"/>
      <c r="KJZ110" s="91"/>
      <c r="KKA110" s="92"/>
      <c r="KKB110" s="92"/>
      <c r="KKC110" s="92"/>
      <c r="KKD110" s="92"/>
      <c r="KKE110" s="92"/>
      <c r="KKF110" s="92"/>
      <c r="KKG110" s="92"/>
      <c r="KKH110" s="92"/>
      <c r="KKI110" s="92"/>
      <c r="KKJ110" s="92"/>
      <c r="KKK110" s="92"/>
      <c r="KKL110" s="92"/>
      <c r="KKM110" s="92"/>
      <c r="KKN110" s="92"/>
      <c r="KKO110" s="92"/>
      <c r="KKP110" s="92"/>
      <c r="KKQ110" s="92"/>
      <c r="KKR110" s="92"/>
      <c r="KKS110" s="92"/>
      <c r="KKT110" s="92"/>
      <c r="KKU110" s="92"/>
      <c r="KKV110" s="91"/>
      <c r="KKW110" s="92"/>
      <c r="KKX110" s="92"/>
      <c r="KKY110" s="92"/>
      <c r="KKZ110" s="92"/>
      <c r="KLA110" s="92"/>
      <c r="KLB110" s="92"/>
      <c r="KLC110" s="92"/>
      <c r="KLD110" s="92"/>
      <c r="KLE110" s="92"/>
      <c r="KLF110" s="92"/>
      <c r="KLG110" s="92"/>
      <c r="KLH110" s="92"/>
      <c r="KLI110" s="92"/>
      <c r="KLJ110" s="92"/>
      <c r="KLK110" s="92"/>
      <c r="KLL110" s="92"/>
      <c r="KLM110" s="92"/>
      <c r="KLN110" s="92"/>
      <c r="KLO110" s="92"/>
      <c r="KLP110" s="92"/>
      <c r="KLQ110" s="92"/>
      <c r="KLR110" s="91"/>
      <c r="KLS110" s="92"/>
      <c r="KLT110" s="92"/>
      <c r="KLU110" s="92"/>
      <c r="KLV110" s="92"/>
      <c r="KLW110" s="92"/>
      <c r="KLX110" s="92"/>
      <c r="KLY110" s="92"/>
      <c r="KLZ110" s="92"/>
      <c r="KMA110" s="92"/>
      <c r="KMB110" s="92"/>
      <c r="KMC110" s="92"/>
      <c r="KMD110" s="92"/>
      <c r="KME110" s="92"/>
      <c r="KMF110" s="92"/>
      <c r="KMG110" s="92"/>
      <c r="KMH110" s="92"/>
      <c r="KMI110" s="92"/>
      <c r="KMJ110" s="92"/>
      <c r="KMK110" s="92"/>
      <c r="KML110" s="92"/>
      <c r="KMM110" s="92"/>
      <c r="KMN110" s="91"/>
      <c r="KMO110" s="92"/>
      <c r="KMP110" s="92"/>
      <c r="KMQ110" s="92"/>
      <c r="KMR110" s="92"/>
      <c r="KMS110" s="92"/>
      <c r="KMT110" s="92"/>
      <c r="KMU110" s="92"/>
      <c r="KMV110" s="92"/>
      <c r="KMW110" s="92"/>
      <c r="KMX110" s="92"/>
      <c r="KMY110" s="92"/>
      <c r="KMZ110" s="92"/>
      <c r="KNA110" s="92"/>
      <c r="KNB110" s="92"/>
      <c r="KNC110" s="92"/>
      <c r="KND110" s="92"/>
      <c r="KNE110" s="92"/>
      <c r="KNF110" s="92"/>
      <c r="KNG110" s="92"/>
      <c r="KNH110" s="92"/>
      <c r="KNI110" s="92"/>
      <c r="KNJ110" s="91"/>
      <c r="KNK110" s="92"/>
      <c r="KNL110" s="92"/>
      <c r="KNM110" s="92"/>
      <c r="KNN110" s="92"/>
      <c r="KNO110" s="92"/>
      <c r="KNP110" s="92"/>
      <c r="KNQ110" s="92"/>
      <c r="KNR110" s="92"/>
      <c r="KNS110" s="92"/>
      <c r="KNT110" s="92"/>
      <c r="KNU110" s="92"/>
      <c r="KNV110" s="92"/>
      <c r="KNW110" s="92"/>
      <c r="KNX110" s="92"/>
      <c r="KNY110" s="92"/>
      <c r="KNZ110" s="92"/>
      <c r="KOA110" s="92"/>
      <c r="KOB110" s="92"/>
      <c r="KOC110" s="92"/>
      <c r="KOD110" s="92"/>
      <c r="KOE110" s="92"/>
      <c r="KOF110" s="91"/>
      <c r="KOG110" s="92"/>
      <c r="KOH110" s="92"/>
      <c r="KOI110" s="92"/>
      <c r="KOJ110" s="92"/>
      <c r="KOK110" s="92"/>
      <c r="KOL110" s="92"/>
      <c r="KOM110" s="92"/>
      <c r="KON110" s="92"/>
      <c r="KOO110" s="92"/>
      <c r="KOP110" s="92"/>
      <c r="KOQ110" s="92"/>
      <c r="KOR110" s="92"/>
      <c r="KOS110" s="92"/>
      <c r="KOT110" s="92"/>
      <c r="KOU110" s="92"/>
      <c r="KOV110" s="92"/>
      <c r="KOW110" s="92"/>
      <c r="KOX110" s="92"/>
      <c r="KOY110" s="92"/>
      <c r="KOZ110" s="92"/>
      <c r="KPA110" s="92"/>
      <c r="KPB110" s="91"/>
      <c r="KPC110" s="92"/>
      <c r="KPD110" s="92"/>
      <c r="KPE110" s="92"/>
      <c r="KPF110" s="92"/>
      <c r="KPG110" s="92"/>
      <c r="KPH110" s="92"/>
      <c r="KPI110" s="92"/>
      <c r="KPJ110" s="92"/>
      <c r="KPK110" s="92"/>
      <c r="KPL110" s="92"/>
      <c r="KPM110" s="92"/>
      <c r="KPN110" s="92"/>
      <c r="KPO110" s="92"/>
      <c r="KPP110" s="92"/>
      <c r="KPQ110" s="92"/>
      <c r="KPR110" s="92"/>
      <c r="KPS110" s="92"/>
      <c r="KPT110" s="92"/>
      <c r="KPU110" s="92"/>
      <c r="KPV110" s="92"/>
      <c r="KPW110" s="92"/>
      <c r="KPX110" s="91"/>
      <c r="KPY110" s="92"/>
      <c r="KPZ110" s="92"/>
      <c r="KQA110" s="92"/>
      <c r="KQB110" s="92"/>
      <c r="KQC110" s="92"/>
      <c r="KQD110" s="92"/>
      <c r="KQE110" s="92"/>
      <c r="KQF110" s="92"/>
      <c r="KQG110" s="92"/>
      <c r="KQH110" s="92"/>
      <c r="KQI110" s="92"/>
      <c r="KQJ110" s="92"/>
      <c r="KQK110" s="92"/>
      <c r="KQL110" s="92"/>
      <c r="KQM110" s="92"/>
      <c r="KQN110" s="92"/>
      <c r="KQO110" s="92"/>
      <c r="KQP110" s="92"/>
      <c r="KQQ110" s="92"/>
      <c r="KQR110" s="92"/>
      <c r="KQS110" s="92"/>
      <c r="KQT110" s="91"/>
      <c r="KQU110" s="92"/>
      <c r="KQV110" s="92"/>
      <c r="KQW110" s="92"/>
      <c r="KQX110" s="92"/>
      <c r="KQY110" s="92"/>
      <c r="KQZ110" s="92"/>
      <c r="KRA110" s="92"/>
      <c r="KRB110" s="92"/>
      <c r="KRC110" s="92"/>
      <c r="KRD110" s="92"/>
      <c r="KRE110" s="92"/>
      <c r="KRF110" s="92"/>
      <c r="KRG110" s="92"/>
      <c r="KRH110" s="92"/>
      <c r="KRI110" s="92"/>
      <c r="KRJ110" s="92"/>
      <c r="KRK110" s="92"/>
      <c r="KRL110" s="92"/>
      <c r="KRM110" s="92"/>
      <c r="KRN110" s="92"/>
      <c r="KRO110" s="92"/>
      <c r="KRP110" s="91"/>
      <c r="KRQ110" s="92"/>
      <c r="KRR110" s="92"/>
      <c r="KRS110" s="92"/>
      <c r="KRT110" s="92"/>
      <c r="KRU110" s="92"/>
      <c r="KRV110" s="92"/>
      <c r="KRW110" s="92"/>
      <c r="KRX110" s="92"/>
      <c r="KRY110" s="92"/>
      <c r="KRZ110" s="92"/>
      <c r="KSA110" s="92"/>
      <c r="KSB110" s="92"/>
      <c r="KSC110" s="92"/>
      <c r="KSD110" s="92"/>
      <c r="KSE110" s="92"/>
      <c r="KSF110" s="92"/>
      <c r="KSG110" s="92"/>
      <c r="KSH110" s="92"/>
      <c r="KSI110" s="92"/>
      <c r="KSJ110" s="92"/>
      <c r="KSK110" s="92"/>
      <c r="KSL110" s="91"/>
      <c r="KSM110" s="92"/>
      <c r="KSN110" s="92"/>
      <c r="KSO110" s="92"/>
      <c r="KSP110" s="92"/>
      <c r="KSQ110" s="92"/>
      <c r="KSR110" s="92"/>
      <c r="KSS110" s="92"/>
      <c r="KST110" s="92"/>
      <c r="KSU110" s="92"/>
      <c r="KSV110" s="92"/>
      <c r="KSW110" s="92"/>
      <c r="KSX110" s="92"/>
      <c r="KSY110" s="92"/>
      <c r="KSZ110" s="92"/>
      <c r="KTA110" s="92"/>
      <c r="KTB110" s="92"/>
      <c r="KTC110" s="92"/>
      <c r="KTD110" s="92"/>
      <c r="KTE110" s="92"/>
      <c r="KTF110" s="92"/>
      <c r="KTG110" s="92"/>
      <c r="KTH110" s="91"/>
      <c r="KTI110" s="92"/>
      <c r="KTJ110" s="92"/>
      <c r="KTK110" s="92"/>
      <c r="KTL110" s="92"/>
      <c r="KTM110" s="92"/>
      <c r="KTN110" s="92"/>
      <c r="KTO110" s="92"/>
      <c r="KTP110" s="92"/>
      <c r="KTQ110" s="92"/>
      <c r="KTR110" s="92"/>
      <c r="KTS110" s="92"/>
      <c r="KTT110" s="92"/>
      <c r="KTU110" s="92"/>
      <c r="KTV110" s="92"/>
      <c r="KTW110" s="92"/>
      <c r="KTX110" s="92"/>
      <c r="KTY110" s="92"/>
      <c r="KTZ110" s="92"/>
      <c r="KUA110" s="92"/>
      <c r="KUB110" s="92"/>
      <c r="KUC110" s="92"/>
      <c r="KUD110" s="91"/>
      <c r="KUE110" s="92"/>
      <c r="KUF110" s="92"/>
      <c r="KUG110" s="92"/>
      <c r="KUH110" s="92"/>
      <c r="KUI110" s="92"/>
      <c r="KUJ110" s="92"/>
      <c r="KUK110" s="92"/>
      <c r="KUL110" s="92"/>
      <c r="KUM110" s="92"/>
      <c r="KUN110" s="92"/>
      <c r="KUO110" s="92"/>
      <c r="KUP110" s="92"/>
      <c r="KUQ110" s="92"/>
      <c r="KUR110" s="92"/>
      <c r="KUS110" s="92"/>
      <c r="KUT110" s="92"/>
      <c r="KUU110" s="92"/>
      <c r="KUV110" s="92"/>
      <c r="KUW110" s="92"/>
      <c r="KUX110" s="92"/>
      <c r="KUY110" s="92"/>
      <c r="KUZ110" s="91"/>
      <c r="KVA110" s="92"/>
      <c r="KVB110" s="92"/>
      <c r="KVC110" s="92"/>
      <c r="KVD110" s="92"/>
      <c r="KVE110" s="92"/>
      <c r="KVF110" s="92"/>
      <c r="KVG110" s="92"/>
      <c r="KVH110" s="92"/>
      <c r="KVI110" s="92"/>
      <c r="KVJ110" s="92"/>
      <c r="KVK110" s="92"/>
      <c r="KVL110" s="92"/>
      <c r="KVM110" s="92"/>
      <c r="KVN110" s="92"/>
      <c r="KVO110" s="92"/>
      <c r="KVP110" s="92"/>
      <c r="KVQ110" s="92"/>
      <c r="KVR110" s="92"/>
      <c r="KVS110" s="92"/>
      <c r="KVT110" s="92"/>
      <c r="KVU110" s="92"/>
      <c r="KVV110" s="91"/>
      <c r="KVW110" s="92"/>
      <c r="KVX110" s="92"/>
      <c r="KVY110" s="92"/>
      <c r="KVZ110" s="92"/>
      <c r="KWA110" s="92"/>
      <c r="KWB110" s="92"/>
      <c r="KWC110" s="92"/>
      <c r="KWD110" s="92"/>
      <c r="KWE110" s="92"/>
      <c r="KWF110" s="92"/>
      <c r="KWG110" s="92"/>
      <c r="KWH110" s="92"/>
      <c r="KWI110" s="92"/>
      <c r="KWJ110" s="92"/>
      <c r="KWK110" s="92"/>
      <c r="KWL110" s="92"/>
      <c r="KWM110" s="92"/>
      <c r="KWN110" s="92"/>
      <c r="KWO110" s="92"/>
      <c r="KWP110" s="92"/>
      <c r="KWQ110" s="92"/>
      <c r="KWR110" s="91"/>
      <c r="KWS110" s="92"/>
      <c r="KWT110" s="92"/>
      <c r="KWU110" s="92"/>
      <c r="KWV110" s="92"/>
      <c r="KWW110" s="92"/>
      <c r="KWX110" s="92"/>
      <c r="KWY110" s="92"/>
      <c r="KWZ110" s="92"/>
      <c r="KXA110" s="92"/>
      <c r="KXB110" s="92"/>
      <c r="KXC110" s="92"/>
      <c r="KXD110" s="92"/>
      <c r="KXE110" s="92"/>
      <c r="KXF110" s="92"/>
      <c r="KXG110" s="92"/>
      <c r="KXH110" s="92"/>
      <c r="KXI110" s="92"/>
      <c r="KXJ110" s="92"/>
      <c r="KXK110" s="92"/>
      <c r="KXL110" s="92"/>
      <c r="KXM110" s="92"/>
      <c r="KXN110" s="91"/>
      <c r="KXO110" s="92"/>
      <c r="KXP110" s="92"/>
      <c r="KXQ110" s="92"/>
      <c r="KXR110" s="92"/>
      <c r="KXS110" s="92"/>
      <c r="KXT110" s="92"/>
      <c r="KXU110" s="92"/>
      <c r="KXV110" s="92"/>
      <c r="KXW110" s="92"/>
      <c r="KXX110" s="92"/>
      <c r="KXY110" s="92"/>
      <c r="KXZ110" s="92"/>
      <c r="KYA110" s="92"/>
      <c r="KYB110" s="92"/>
      <c r="KYC110" s="92"/>
      <c r="KYD110" s="92"/>
      <c r="KYE110" s="92"/>
      <c r="KYF110" s="92"/>
      <c r="KYG110" s="92"/>
      <c r="KYH110" s="92"/>
      <c r="KYI110" s="92"/>
      <c r="KYJ110" s="91"/>
      <c r="KYK110" s="92"/>
      <c r="KYL110" s="92"/>
      <c r="KYM110" s="92"/>
      <c r="KYN110" s="92"/>
      <c r="KYO110" s="92"/>
      <c r="KYP110" s="92"/>
      <c r="KYQ110" s="92"/>
      <c r="KYR110" s="92"/>
      <c r="KYS110" s="92"/>
      <c r="KYT110" s="92"/>
      <c r="KYU110" s="92"/>
      <c r="KYV110" s="92"/>
      <c r="KYW110" s="92"/>
      <c r="KYX110" s="92"/>
      <c r="KYY110" s="92"/>
      <c r="KYZ110" s="92"/>
      <c r="KZA110" s="92"/>
      <c r="KZB110" s="92"/>
      <c r="KZC110" s="92"/>
      <c r="KZD110" s="92"/>
      <c r="KZE110" s="92"/>
      <c r="KZF110" s="91"/>
      <c r="KZG110" s="92"/>
      <c r="KZH110" s="92"/>
      <c r="KZI110" s="92"/>
      <c r="KZJ110" s="92"/>
      <c r="KZK110" s="92"/>
      <c r="KZL110" s="92"/>
      <c r="KZM110" s="92"/>
      <c r="KZN110" s="92"/>
      <c r="KZO110" s="92"/>
      <c r="KZP110" s="92"/>
      <c r="KZQ110" s="92"/>
      <c r="KZR110" s="92"/>
      <c r="KZS110" s="92"/>
      <c r="KZT110" s="92"/>
      <c r="KZU110" s="92"/>
      <c r="KZV110" s="92"/>
      <c r="KZW110" s="92"/>
      <c r="KZX110" s="92"/>
      <c r="KZY110" s="92"/>
      <c r="KZZ110" s="92"/>
      <c r="LAA110" s="92"/>
      <c r="LAB110" s="91"/>
      <c r="LAC110" s="92"/>
      <c r="LAD110" s="92"/>
      <c r="LAE110" s="92"/>
      <c r="LAF110" s="92"/>
      <c r="LAG110" s="92"/>
      <c r="LAH110" s="92"/>
      <c r="LAI110" s="92"/>
      <c r="LAJ110" s="92"/>
      <c r="LAK110" s="92"/>
      <c r="LAL110" s="92"/>
      <c r="LAM110" s="92"/>
      <c r="LAN110" s="92"/>
      <c r="LAO110" s="92"/>
      <c r="LAP110" s="92"/>
      <c r="LAQ110" s="92"/>
      <c r="LAR110" s="92"/>
      <c r="LAS110" s="92"/>
      <c r="LAT110" s="92"/>
      <c r="LAU110" s="92"/>
      <c r="LAV110" s="92"/>
      <c r="LAW110" s="92"/>
      <c r="LAX110" s="91"/>
      <c r="LAY110" s="92"/>
      <c r="LAZ110" s="92"/>
      <c r="LBA110" s="92"/>
      <c r="LBB110" s="92"/>
      <c r="LBC110" s="92"/>
      <c r="LBD110" s="92"/>
      <c r="LBE110" s="92"/>
      <c r="LBF110" s="92"/>
      <c r="LBG110" s="92"/>
      <c r="LBH110" s="92"/>
      <c r="LBI110" s="92"/>
      <c r="LBJ110" s="92"/>
      <c r="LBK110" s="92"/>
      <c r="LBL110" s="92"/>
      <c r="LBM110" s="92"/>
      <c r="LBN110" s="92"/>
      <c r="LBO110" s="92"/>
      <c r="LBP110" s="92"/>
      <c r="LBQ110" s="92"/>
      <c r="LBR110" s="92"/>
      <c r="LBS110" s="92"/>
      <c r="LBT110" s="91"/>
      <c r="LBU110" s="92"/>
      <c r="LBV110" s="92"/>
      <c r="LBW110" s="92"/>
      <c r="LBX110" s="92"/>
      <c r="LBY110" s="92"/>
      <c r="LBZ110" s="92"/>
      <c r="LCA110" s="92"/>
      <c r="LCB110" s="92"/>
      <c r="LCC110" s="92"/>
      <c r="LCD110" s="92"/>
      <c r="LCE110" s="92"/>
      <c r="LCF110" s="92"/>
      <c r="LCG110" s="92"/>
      <c r="LCH110" s="92"/>
      <c r="LCI110" s="92"/>
      <c r="LCJ110" s="92"/>
      <c r="LCK110" s="92"/>
      <c r="LCL110" s="92"/>
      <c r="LCM110" s="92"/>
      <c r="LCN110" s="92"/>
      <c r="LCO110" s="92"/>
      <c r="LCP110" s="91"/>
      <c r="LCQ110" s="92"/>
      <c r="LCR110" s="92"/>
      <c r="LCS110" s="92"/>
      <c r="LCT110" s="92"/>
      <c r="LCU110" s="92"/>
      <c r="LCV110" s="92"/>
      <c r="LCW110" s="92"/>
      <c r="LCX110" s="92"/>
      <c r="LCY110" s="92"/>
      <c r="LCZ110" s="92"/>
      <c r="LDA110" s="92"/>
      <c r="LDB110" s="92"/>
      <c r="LDC110" s="92"/>
      <c r="LDD110" s="92"/>
      <c r="LDE110" s="92"/>
      <c r="LDF110" s="92"/>
      <c r="LDG110" s="92"/>
      <c r="LDH110" s="92"/>
      <c r="LDI110" s="92"/>
      <c r="LDJ110" s="92"/>
      <c r="LDK110" s="92"/>
      <c r="LDL110" s="91"/>
      <c r="LDM110" s="92"/>
      <c r="LDN110" s="92"/>
      <c r="LDO110" s="92"/>
      <c r="LDP110" s="92"/>
      <c r="LDQ110" s="92"/>
      <c r="LDR110" s="92"/>
      <c r="LDS110" s="92"/>
      <c r="LDT110" s="92"/>
      <c r="LDU110" s="92"/>
      <c r="LDV110" s="92"/>
      <c r="LDW110" s="92"/>
      <c r="LDX110" s="92"/>
      <c r="LDY110" s="92"/>
      <c r="LDZ110" s="92"/>
      <c r="LEA110" s="92"/>
      <c r="LEB110" s="92"/>
      <c r="LEC110" s="92"/>
      <c r="LED110" s="92"/>
      <c r="LEE110" s="92"/>
      <c r="LEF110" s="92"/>
      <c r="LEG110" s="92"/>
      <c r="LEH110" s="91"/>
      <c r="LEI110" s="92"/>
      <c r="LEJ110" s="92"/>
      <c r="LEK110" s="92"/>
      <c r="LEL110" s="92"/>
      <c r="LEM110" s="92"/>
      <c r="LEN110" s="92"/>
      <c r="LEO110" s="92"/>
      <c r="LEP110" s="92"/>
      <c r="LEQ110" s="92"/>
      <c r="LER110" s="92"/>
      <c r="LES110" s="92"/>
      <c r="LET110" s="92"/>
      <c r="LEU110" s="92"/>
      <c r="LEV110" s="92"/>
      <c r="LEW110" s="92"/>
      <c r="LEX110" s="92"/>
      <c r="LEY110" s="92"/>
      <c r="LEZ110" s="92"/>
      <c r="LFA110" s="92"/>
      <c r="LFB110" s="92"/>
      <c r="LFC110" s="92"/>
      <c r="LFD110" s="91"/>
      <c r="LFE110" s="92"/>
      <c r="LFF110" s="92"/>
      <c r="LFG110" s="92"/>
      <c r="LFH110" s="92"/>
      <c r="LFI110" s="92"/>
      <c r="LFJ110" s="92"/>
      <c r="LFK110" s="92"/>
      <c r="LFL110" s="92"/>
      <c r="LFM110" s="92"/>
      <c r="LFN110" s="92"/>
      <c r="LFO110" s="92"/>
      <c r="LFP110" s="92"/>
      <c r="LFQ110" s="92"/>
      <c r="LFR110" s="92"/>
      <c r="LFS110" s="92"/>
      <c r="LFT110" s="92"/>
      <c r="LFU110" s="92"/>
      <c r="LFV110" s="92"/>
      <c r="LFW110" s="92"/>
      <c r="LFX110" s="92"/>
      <c r="LFY110" s="92"/>
      <c r="LFZ110" s="91"/>
      <c r="LGA110" s="92"/>
      <c r="LGB110" s="92"/>
      <c r="LGC110" s="92"/>
      <c r="LGD110" s="92"/>
      <c r="LGE110" s="92"/>
      <c r="LGF110" s="92"/>
      <c r="LGG110" s="92"/>
      <c r="LGH110" s="92"/>
      <c r="LGI110" s="92"/>
      <c r="LGJ110" s="92"/>
      <c r="LGK110" s="92"/>
      <c r="LGL110" s="92"/>
      <c r="LGM110" s="92"/>
      <c r="LGN110" s="92"/>
      <c r="LGO110" s="92"/>
      <c r="LGP110" s="92"/>
      <c r="LGQ110" s="92"/>
      <c r="LGR110" s="92"/>
      <c r="LGS110" s="92"/>
      <c r="LGT110" s="92"/>
      <c r="LGU110" s="92"/>
      <c r="LGV110" s="91"/>
      <c r="LGW110" s="92"/>
      <c r="LGX110" s="92"/>
      <c r="LGY110" s="92"/>
      <c r="LGZ110" s="92"/>
      <c r="LHA110" s="92"/>
      <c r="LHB110" s="92"/>
      <c r="LHC110" s="92"/>
      <c r="LHD110" s="92"/>
      <c r="LHE110" s="92"/>
      <c r="LHF110" s="92"/>
      <c r="LHG110" s="92"/>
      <c r="LHH110" s="92"/>
      <c r="LHI110" s="92"/>
      <c r="LHJ110" s="92"/>
      <c r="LHK110" s="92"/>
      <c r="LHL110" s="92"/>
      <c r="LHM110" s="92"/>
      <c r="LHN110" s="92"/>
      <c r="LHO110" s="92"/>
      <c r="LHP110" s="92"/>
      <c r="LHQ110" s="92"/>
      <c r="LHR110" s="91"/>
      <c r="LHS110" s="92"/>
      <c r="LHT110" s="92"/>
      <c r="LHU110" s="92"/>
      <c r="LHV110" s="92"/>
      <c r="LHW110" s="92"/>
      <c r="LHX110" s="92"/>
      <c r="LHY110" s="92"/>
      <c r="LHZ110" s="92"/>
      <c r="LIA110" s="92"/>
      <c r="LIB110" s="92"/>
      <c r="LIC110" s="92"/>
      <c r="LID110" s="92"/>
      <c r="LIE110" s="92"/>
      <c r="LIF110" s="92"/>
      <c r="LIG110" s="92"/>
      <c r="LIH110" s="92"/>
      <c r="LII110" s="92"/>
      <c r="LIJ110" s="92"/>
      <c r="LIK110" s="92"/>
      <c r="LIL110" s="92"/>
      <c r="LIM110" s="92"/>
      <c r="LIN110" s="91"/>
      <c r="LIO110" s="92"/>
      <c r="LIP110" s="92"/>
      <c r="LIQ110" s="92"/>
      <c r="LIR110" s="92"/>
      <c r="LIS110" s="92"/>
      <c r="LIT110" s="92"/>
      <c r="LIU110" s="92"/>
      <c r="LIV110" s="92"/>
      <c r="LIW110" s="92"/>
      <c r="LIX110" s="92"/>
      <c r="LIY110" s="92"/>
      <c r="LIZ110" s="92"/>
      <c r="LJA110" s="92"/>
      <c r="LJB110" s="92"/>
      <c r="LJC110" s="92"/>
      <c r="LJD110" s="92"/>
      <c r="LJE110" s="92"/>
      <c r="LJF110" s="92"/>
      <c r="LJG110" s="92"/>
      <c r="LJH110" s="92"/>
      <c r="LJI110" s="92"/>
      <c r="LJJ110" s="91"/>
      <c r="LJK110" s="92"/>
      <c r="LJL110" s="92"/>
      <c r="LJM110" s="92"/>
      <c r="LJN110" s="92"/>
      <c r="LJO110" s="92"/>
      <c r="LJP110" s="92"/>
      <c r="LJQ110" s="92"/>
      <c r="LJR110" s="92"/>
      <c r="LJS110" s="92"/>
      <c r="LJT110" s="92"/>
      <c r="LJU110" s="92"/>
      <c r="LJV110" s="92"/>
      <c r="LJW110" s="92"/>
      <c r="LJX110" s="92"/>
      <c r="LJY110" s="92"/>
      <c r="LJZ110" s="92"/>
      <c r="LKA110" s="92"/>
      <c r="LKB110" s="92"/>
      <c r="LKC110" s="92"/>
      <c r="LKD110" s="92"/>
      <c r="LKE110" s="92"/>
      <c r="LKF110" s="91"/>
      <c r="LKG110" s="92"/>
      <c r="LKH110" s="92"/>
      <c r="LKI110" s="92"/>
      <c r="LKJ110" s="92"/>
      <c r="LKK110" s="92"/>
      <c r="LKL110" s="92"/>
      <c r="LKM110" s="92"/>
      <c r="LKN110" s="92"/>
      <c r="LKO110" s="92"/>
      <c r="LKP110" s="92"/>
      <c r="LKQ110" s="92"/>
      <c r="LKR110" s="92"/>
      <c r="LKS110" s="92"/>
      <c r="LKT110" s="92"/>
      <c r="LKU110" s="92"/>
      <c r="LKV110" s="92"/>
      <c r="LKW110" s="92"/>
      <c r="LKX110" s="92"/>
      <c r="LKY110" s="92"/>
      <c r="LKZ110" s="92"/>
      <c r="LLA110" s="92"/>
      <c r="LLB110" s="91"/>
      <c r="LLC110" s="92"/>
      <c r="LLD110" s="92"/>
      <c r="LLE110" s="92"/>
      <c r="LLF110" s="92"/>
      <c r="LLG110" s="92"/>
      <c r="LLH110" s="92"/>
      <c r="LLI110" s="92"/>
      <c r="LLJ110" s="92"/>
      <c r="LLK110" s="92"/>
      <c r="LLL110" s="92"/>
      <c r="LLM110" s="92"/>
      <c r="LLN110" s="92"/>
      <c r="LLO110" s="92"/>
      <c r="LLP110" s="92"/>
      <c r="LLQ110" s="92"/>
      <c r="LLR110" s="92"/>
      <c r="LLS110" s="92"/>
      <c r="LLT110" s="92"/>
      <c r="LLU110" s="92"/>
      <c r="LLV110" s="92"/>
      <c r="LLW110" s="92"/>
      <c r="LLX110" s="91"/>
      <c r="LLY110" s="92"/>
      <c r="LLZ110" s="92"/>
      <c r="LMA110" s="92"/>
      <c r="LMB110" s="92"/>
      <c r="LMC110" s="92"/>
      <c r="LMD110" s="92"/>
      <c r="LME110" s="92"/>
      <c r="LMF110" s="92"/>
      <c r="LMG110" s="92"/>
      <c r="LMH110" s="92"/>
      <c r="LMI110" s="92"/>
      <c r="LMJ110" s="92"/>
      <c r="LMK110" s="92"/>
      <c r="LML110" s="92"/>
      <c r="LMM110" s="92"/>
      <c r="LMN110" s="92"/>
      <c r="LMO110" s="92"/>
      <c r="LMP110" s="92"/>
      <c r="LMQ110" s="92"/>
      <c r="LMR110" s="92"/>
      <c r="LMS110" s="92"/>
      <c r="LMT110" s="91"/>
      <c r="LMU110" s="92"/>
      <c r="LMV110" s="92"/>
      <c r="LMW110" s="92"/>
      <c r="LMX110" s="92"/>
      <c r="LMY110" s="92"/>
      <c r="LMZ110" s="92"/>
      <c r="LNA110" s="92"/>
      <c r="LNB110" s="92"/>
      <c r="LNC110" s="92"/>
      <c r="LND110" s="92"/>
      <c r="LNE110" s="92"/>
      <c r="LNF110" s="92"/>
      <c r="LNG110" s="92"/>
      <c r="LNH110" s="92"/>
      <c r="LNI110" s="92"/>
      <c r="LNJ110" s="92"/>
      <c r="LNK110" s="92"/>
      <c r="LNL110" s="92"/>
      <c r="LNM110" s="92"/>
      <c r="LNN110" s="92"/>
      <c r="LNO110" s="92"/>
      <c r="LNP110" s="91"/>
      <c r="LNQ110" s="92"/>
      <c r="LNR110" s="92"/>
      <c r="LNS110" s="92"/>
      <c r="LNT110" s="92"/>
      <c r="LNU110" s="92"/>
      <c r="LNV110" s="92"/>
      <c r="LNW110" s="92"/>
      <c r="LNX110" s="92"/>
      <c r="LNY110" s="92"/>
      <c r="LNZ110" s="92"/>
      <c r="LOA110" s="92"/>
      <c r="LOB110" s="92"/>
      <c r="LOC110" s="92"/>
      <c r="LOD110" s="92"/>
      <c r="LOE110" s="92"/>
      <c r="LOF110" s="92"/>
      <c r="LOG110" s="92"/>
      <c r="LOH110" s="92"/>
      <c r="LOI110" s="92"/>
      <c r="LOJ110" s="92"/>
      <c r="LOK110" s="92"/>
      <c r="LOL110" s="91"/>
      <c r="LOM110" s="92"/>
      <c r="LON110" s="92"/>
      <c r="LOO110" s="92"/>
      <c r="LOP110" s="92"/>
      <c r="LOQ110" s="92"/>
      <c r="LOR110" s="92"/>
      <c r="LOS110" s="92"/>
      <c r="LOT110" s="92"/>
      <c r="LOU110" s="92"/>
      <c r="LOV110" s="92"/>
      <c r="LOW110" s="92"/>
      <c r="LOX110" s="92"/>
      <c r="LOY110" s="92"/>
      <c r="LOZ110" s="92"/>
      <c r="LPA110" s="92"/>
      <c r="LPB110" s="92"/>
      <c r="LPC110" s="92"/>
      <c r="LPD110" s="92"/>
      <c r="LPE110" s="92"/>
      <c r="LPF110" s="92"/>
      <c r="LPG110" s="92"/>
      <c r="LPH110" s="91"/>
      <c r="LPI110" s="92"/>
      <c r="LPJ110" s="92"/>
      <c r="LPK110" s="92"/>
      <c r="LPL110" s="92"/>
      <c r="LPM110" s="92"/>
      <c r="LPN110" s="92"/>
      <c r="LPO110" s="92"/>
      <c r="LPP110" s="92"/>
      <c r="LPQ110" s="92"/>
      <c r="LPR110" s="92"/>
      <c r="LPS110" s="92"/>
      <c r="LPT110" s="92"/>
      <c r="LPU110" s="92"/>
      <c r="LPV110" s="92"/>
      <c r="LPW110" s="92"/>
      <c r="LPX110" s="92"/>
      <c r="LPY110" s="92"/>
      <c r="LPZ110" s="92"/>
      <c r="LQA110" s="92"/>
      <c r="LQB110" s="92"/>
      <c r="LQC110" s="92"/>
      <c r="LQD110" s="91"/>
      <c r="LQE110" s="92"/>
      <c r="LQF110" s="92"/>
      <c r="LQG110" s="92"/>
      <c r="LQH110" s="92"/>
      <c r="LQI110" s="92"/>
      <c r="LQJ110" s="92"/>
      <c r="LQK110" s="92"/>
      <c r="LQL110" s="92"/>
      <c r="LQM110" s="92"/>
      <c r="LQN110" s="92"/>
      <c r="LQO110" s="92"/>
      <c r="LQP110" s="92"/>
      <c r="LQQ110" s="92"/>
      <c r="LQR110" s="92"/>
      <c r="LQS110" s="92"/>
      <c r="LQT110" s="92"/>
      <c r="LQU110" s="92"/>
      <c r="LQV110" s="92"/>
      <c r="LQW110" s="92"/>
      <c r="LQX110" s="92"/>
      <c r="LQY110" s="92"/>
      <c r="LQZ110" s="91"/>
      <c r="LRA110" s="92"/>
      <c r="LRB110" s="92"/>
      <c r="LRC110" s="92"/>
      <c r="LRD110" s="92"/>
      <c r="LRE110" s="92"/>
      <c r="LRF110" s="92"/>
      <c r="LRG110" s="92"/>
      <c r="LRH110" s="92"/>
      <c r="LRI110" s="92"/>
      <c r="LRJ110" s="92"/>
      <c r="LRK110" s="92"/>
      <c r="LRL110" s="92"/>
      <c r="LRM110" s="92"/>
      <c r="LRN110" s="92"/>
      <c r="LRO110" s="92"/>
      <c r="LRP110" s="92"/>
      <c r="LRQ110" s="92"/>
      <c r="LRR110" s="92"/>
      <c r="LRS110" s="92"/>
      <c r="LRT110" s="92"/>
      <c r="LRU110" s="92"/>
      <c r="LRV110" s="91"/>
      <c r="LRW110" s="92"/>
      <c r="LRX110" s="92"/>
      <c r="LRY110" s="92"/>
      <c r="LRZ110" s="92"/>
      <c r="LSA110" s="92"/>
      <c r="LSB110" s="92"/>
      <c r="LSC110" s="92"/>
      <c r="LSD110" s="92"/>
      <c r="LSE110" s="92"/>
      <c r="LSF110" s="92"/>
      <c r="LSG110" s="92"/>
      <c r="LSH110" s="92"/>
      <c r="LSI110" s="92"/>
      <c r="LSJ110" s="92"/>
      <c r="LSK110" s="92"/>
      <c r="LSL110" s="92"/>
      <c r="LSM110" s="92"/>
      <c r="LSN110" s="92"/>
      <c r="LSO110" s="92"/>
      <c r="LSP110" s="92"/>
      <c r="LSQ110" s="92"/>
      <c r="LSR110" s="91"/>
      <c r="LSS110" s="92"/>
      <c r="LST110" s="92"/>
      <c r="LSU110" s="92"/>
      <c r="LSV110" s="92"/>
      <c r="LSW110" s="92"/>
      <c r="LSX110" s="92"/>
      <c r="LSY110" s="92"/>
      <c r="LSZ110" s="92"/>
      <c r="LTA110" s="92"/>
      <c r="LTB110" s="92"/>
      <c r="LTC110" s="92"/>
      <c r="LTD110" s="92"/>
      <c r="LTE110" s="92"/>
      <c r="LTF110" s="92"/>
      <c r="LTG110" s="92"/>
      <c r="LTH110" s="92"/>
      <c r="LTI110" s="92"/>
      <c r="LTJ110" s="92"/>
      <c r="LTK110" s="92"/>
      <c r="LTL110" s="92"/>
      <c r="LTM110" s="92"/>
      <c r="LTN110" s="91"/>
      <c r="LTO110" s="92"/>
      <c r="LTP110" s="92"/>
      <c r="LTQ110" s="92"/>
      <c r="LTR110" s="92"/>
      <c r="LTS110" s="92"/>
      <c r="LTT110" s="92"/>
      <c r="LTU110" s="92"/>
      <c r="LTV110" s="92"/>
      <c r="LTW110" s="92"/>
      <c r="LTX110" s="92"/>
      <c r="LTY110" s="92"/>
      <c r="LTZ110" s="92"/>
      <c r="LUA110" s="92"/>
      <c r="LUB110" s="92"/>
      <c r="LUC110" s="92"/>
      <c r="LUD110" s="92"/>
      <c r="LUE110" s="92"/>
      <c r="LUF110" s="92"/>
      <c r="LUG110" s="92"/>
      <c r="LUH110" s="92"/>
      <c r="LUI110" s="92"/>
      <c r="LUJ110" s="91"/>
      <c r="LUK110" s="92"/>
      <c r="LUL110" s="92"/>
      <c r="LUM110" s="92"/>
      <c r="LUN110" s="92"/>
      <c r="LUO110" s="92"/>
      <c r="LUP110" s="92"/>
      <c r="LUQ110" s="92"/>
      <c r="LUR110" s="92"/>
      <c r="LUS110" s="92"/>
      <c r="LUT110" s="92"/>
      <c r="LUU110" s="92"/>
      <c r="LUV110" s="92"/>
      <c r="LUW110" s="92"/>
      <c r="LUX110" s="92"/>
      <c r="LUY110" s="92"/>
      <c r="LUZ110" s="92"/>
      <c r="LVA110" s="92"/>
      <c r="LVB110" s="92"/>
      <c r="LVC110" s="92"/>
      <c r="LVD110" s="92"/>
      <c r="LVE110" s="92"/>
      <c r="LVF110" s="91"/>
      <c r="LVG110" s="92"/>
      <c r="LVH110" s="92"/>
      <c r="LVI110" s="92"/>
      <c r="LVJ110" s="92"/>
      <c r="LVK110" s="92"/>
      <c r="LVL110" s="92"/>
      <c r="LVM110" s="92"/>
      <c r="LVN110" s="92"/>
      <c r="LVO110" s="92"/>
      <c r="LVP110" s="92"/>
      <c r="LVQ110" s="92"/>
      <c r="LVR110" s="92"/>
      <c r="LVS110" s="92"/>
      <c r="LVT110" s="92"/>
      <c r="LVU110" s="92"/>
      <c r="LVV110" s="92"/>
      <c r="LVW110" s="92"/>
      <c r="LVX110" s="92"/>
      <c r="LVY110" s="92"/>
      <c r="LVZ110" s="92"/>
      <c r="LWA110" s="92"/>
      <c r="LWB110" s="91"/>
      <c r="LWC110" s="92"/>
      <c r="LWD110" s="92"/>
      <c r="LWE110" s="92"/>
      <c r="LWF110" s="92"/>
      <c r="LWG110" s="92"/>
      <c r="LWH110" s="92"/>
      <c r="LWI110" s="92"/>
      <c r="LWJ110" s="92"/>
      <c r="LWK110" s="92"/>
      <c r="LWL110" s="92"/>
      <c r="LWM110" s="92"/>
      <c r="LWN110" s="92"/>
      <c r="LWO110" s="92"/>
      <c r="LWP110" s="92"/>
      <c r="LWQ110" s="92"/>
      <c r="LWR110" s="92"/>
      <c r="LWS110" s="92"/>
      <c r="LWT110" s="92"/>
      <c r="LWU110" s="92"/>
      <c r="LWV110" s="92"/>
      <c r="LWW110" s="92"/>
      <c r="LWX110" s="91"/>
      <c r="LWY110" s="92"/>
      <c r="LWZ110" s="92"/>
      <c r="LXA110" s="92"/>
      <c r="LXB110" s="92"/>
      <c r="LXC110" s="92"/>
      <c r="LXD110" s="92"/>
      <c r="LXE110" s="92"/>
      <c r="LXF110" s="92"/>
      <c r="LXG110" s="92"/>
      <c r="LXH110" s="92"/>
      <c r="LXI110" s="92"/>
      <c r="LXJ110" s="92"/>
      <c r="LXK110" s="92"/>
      <c r="LXL110" s="92"/>
      <c r="LXM110" s="92"/>
      <c r="LXN110" s="92"/>
      <c r="LXO110" s="92"/>
      <c r="LXP110" s="92"/>
      <c r="LXQ110" s="92"/>
      <c r="LXR110" s="92"/>
      <c r="LXS110" s="92"/>
      <c r="LXT110" s="91"/>
      <c r="LXU110" s="92"/>
      <c r="LXV110" s="92"/>
      <c r="LXW110" s="92"/>
      <c r="LXX110" s="92"/>
      <c r="LXY110" s="92"/>
      <c r="LXZ110" s="92"/>
      <c r="LYA110" s="92"/>
      <c r="LYB110" s="92"/>
      <c r="LYC110" s="92"/>
      <c r="LYD110" s="92"/>
      <c r="LYE110" s="92"/>
      <c r="LYF110" s="92"/>
      <c r="LYG110" s="92"/>
      <c r="LYH110" s="92"/>
      <c r="LYI110" s="92"/>
      <c r="LYJ110" s="92"/>
      <c r="LYK110" s="92"/>
      <c r="LYL110" s="92"/>
      <c r="LYM110" s="92"/>
      <c r="LYN110" s="92"/>
      <c r="LYO110" s="92"/>
      <c r="LYP110" s="91"/>
      <c r="LYQ110" s="92"/>
      <c r="LYR110" s="92"/>
      <c r="LYS110" s="92"/>
      <c r="LYT110" s="92"/>
      <c r="LYU110" s="92"/>
      <c r="LYV110" s="92"/>
      <c r="LYW110" s="92"/>
      <c r="LYX110" s="92"/>
      <c r="LYY110" s="92"/>
      <c r="LYZ110" s="92"/>
      <c r="LZA110" s="92"/>
      <c r="LZB110" s="92"/>
      <c r="LZC110" s="92"/>
      <c r="LZD110" s="92"/>
      <c r="LZE110" s="92"/>
      <c r="LZF110" s="92"/>
      <c r="LZG110" s="92"/>
      <c r="LZH110" s="92"/>
      <c r="LZI110" s="92"/>
      <c r="LZJ110" s="92"/>
      <c r="LZK110" s="92"/>
      <c r="LZL110" s="91"/>
      <c r="LZM110" s="92"/>
      <c r="LZN110" s="92"/>
      <c r="LZO110" s="92"/>
      <c r="LZP110" s="92"/>
      <c r="LZQ110" s="92"/>
      <c r="LZR110" s="92"/>
      <c r="LZS110" s="92"/>
      <c r="LZT110" s="92"/>
      <c r="LZU110" s="92"/>
      <c r="LZV110" s="92"/>
      <c r="LZW110" s="92"/>
      <c r="LZX110" s="92"/>
      <c r="LZY110" s="92"/>
      <c r="LZZ110" s="92"/>
      <c r="MAA110" s="92"/>
      <c r="MAB110" s="92"/>
      <c r="MAC110" s="92"/>
      <c r="MAD110" s="92"/>
      <c r="MAE110" s="92"/>
      <c r="MAF110" s="92"/>
      <c r="MAG110" s="92"/>
      <c r="MAH110" s="91"/>
      <c r="MAI110" s="92"/>
      <c r="MAJ110" s="92"/>
      <c r="MAK110" s="92"/>
      <c r="MAL110" s="92"/>
      <c r="MAM110" s="92"/>
      <c r="MAN110" s="92"/>
      <c r="MAO110" s="92"/>
      <c r="MAP110" s="92"/>
      <c r="MAQ110" s="92"/>
      <c r="MAR110" s="92"/>
      <c r="MAS110" s="92"/>
      <c r="MAT110" s="92"/>
      <c r="MAU110" s="92"/>
      <c r="MAV110" s="92"/>
      <c r="MAW110" s="92"/>
      <c r="MAX110" s="92"/>
      <c r="MAY110" s="92"/>
      <c r="MAZ110" s="92"/>
      <c r="MBA110" s="92"/>
      <c r="MBB110" s="92"/>
      <c r="MBC110" s="92"/>
      <c r="MBD110" s="91"/>
      <c r="MBE110" s="92"/>
      <c r="MBF110" s="92"/>
      <c r="MBG110" s="92"/>
      <c r="MBH110" s="92"/>
      <c r="MBI110" s="92"/>
      <c r="MBJ110" s="92"/>
      <c r="MBK110" s="92"/>
      <c r="MBL110" s="92"/>
      <c r="MBM110" s="92"/>
      <c r="MBN110" s="92"/>
      <c r="MBO110" s="92"/>
      <c r="MBP110" s="92"/>
      <c r="MBQ110" s="92"/>
      <c r="MBR110" s="92"/>
      <c r="MBS110" s="92"/>
      <c r="MBT110" s="92"/>
      <c r="MBU110" s="92"/>
      <c r="MBV110" s="92"/>
      <c r="MBW110" s="92"/>
      <c r="MBX110" s="92"/>
      <c r="MBY110" s="92"/>
      <c r="MBZ110" s="91"/>
      <c r="MCA110" s="92"/>
      <c r="MCB110" s="92"/>
      <c r="MCC110" s="92"/>
      <c r="MCD110" s="92"/>
      <c r="MCE110" s="92"/>
      <c r="MCF110" s="92"/>
      <c r="MCG110" s="92"/>
      <c r="MCH110" s="92"/>
      <c r="MCI110" s="92"/>
      <c r="MCJ110" s="92"/>
      <c r="MCK110" s="92"/>
      <c r="MCL110" s="92"/>
      <c r="MCM110" s="92"/>
      <c r="MCN110" s="92"/>
      <c r="MCO110" s="92"/>
      <c r="MCP110" s="92"/>
      <c r="MCQ110" s="92"/>
      <c r="MCR110" s="92"/>
      <c r="MCS110" s="92"/>
      <c r="MCT110" s="92"/>
      <c r="MCU110" s="92"/>
      <c r="MCV110" s="91"/>
      <c r="MCW110" s="92"/>
      <c r="MCX110" s="92"/>
      <c r="MCY110" s="92"/>
      <c r="MCZ110" s="92"/>
      <c r="MDA110" s="92"/>
      <c r="MDB110" s="92"/>
      <c r="MDC110" s="92"/>
      <c r="MDD110" s="92"/>
      <c r="MDE110" s="92"/>
      <c r="MDF110" s="92"/>
      <c r="MDG110" s="92"/>
      <c r="MDH110" s="92"/>
      <c r="MDI110" s="92"/>
      <c r="MDJ110" s="92"/>
      <c r="MDK110" s="92"/>
      <c r="MDL110" s="92"/>
      <c r="MDM110" s="92"/>
      <c r="MDN110" s="92"/>
      <c r="MDO110" s="92"/>
      <c r="MDP110" s="92"/>
      <c r="MDQ110" s="92"/>
      <c r="MDR110" s="91"/>
      <c r="MDS110" s="92"/>
      <c r="MDT110" s="92"/>
      <c r="MDU110" s="92"/>
      <c r="MDV110" s="92"/>
      <c r="MDW110" s="92"/>
      <c r="MDX110" s="92"/>
      <c r="MDY110" s="92"/>
      <c r="MDZ110" s="92"/>
      <c r="MEA110" s="92"/>
      <c r="MEB110" s="92"/>
      <c r="MEC110" s="92"/>
      <c r="MED110" s="92"/>
      <c r="MEE110" s="92"/>
      <c r="MEF110" s="92"/>
      <c r="MEG110" s="92"/>
      <c r="MEH110" s="92"/>
      <c r="MEI110" s="92"/>
      <c r="MEJ110" s="92"/>
      <c r="MEK110" s="92"/>
      <c r="MEL110" s="92"/>
      <c r="MEM110" s="92"/>
      <c r="MEN110" s="91"/>
      <c r="MEO110" s="92"/>
      <c r="MEP110" s="92"/>
      <c r="MEQ110" s="92"/>
      <c r="MER110" s="92"/>
      <c r="MES110" s="92"/>
      <c r="MET110" s="92"/>
      <c r="MEU110" s="92"/>
      <c r="MEV110" s="92"/>
      <c r="MEW110" s="92"/>
      <c r="MEX110" s="92"/>
      <c r="MEY110" s="92"/>
      <c r="MEZ110" s="92"/>
      <c r="MFA110" s="92"/>
      <c r="MFB110" s="92"/>
      <c r="MFC110" s="92"/>
      <c r="MFD110" s="92"/>
      <c r="MFE110" s="92"/>
      <c r="MFF110" s="92"/>
      <c r="MFG110" s="92"/>
      <c r="MFH110" s="92"/>
      <c r="MFI110" s="92"/>
      <c r="MFJ110" s="91"/>
      <c r="MFK110" s="92"/>
      <c r="MFL110" s="92"/>
      <c r="MFM110" s="92"/>
      <c r="MFN110" s="92"/>
      <c r="MFO110" s="92"/>
      <c r="MFP110" s="92"/>
      <c r="MFQ110" s="92"/>
      <c r="MFR110" s="92"/>
      <c r="MFS110" s="92"/>
      <c r="MFT110" s="92"/>
      <c r="MFU110" s="92"/>
      <c r="MFV110" s="92"/>
      <c r="MFW110" s="92"/>
      <c r="MFX110" s="92"/>
      <c r="MFY110" s="92"/>
      <c r="MFZ110" s="92"/>
      <c r="MGA110" s="92"/>
      <c r="MGB110" s="92"/>
      <c r="MGC110" s="92"/>
      <c r="MGD110" s="92"/>
      <c r="MGE110" s="92"/>
      <c r="MGF110" s="91"/>
      <c r="MGG110" s="92"/>
      <c r="MGH110" s="92"/>
      <c r="MGI110" s="92"/>
      <c r="MGJ110" s="92"/>
      <c r="MGK110" s="92"/>
      <c r="MGL110" s="92"/>
      <c r="MGM110" s="92"/>
      <c r="MGN110" s="92"/>
      <c r="MGO110" s="92"/>
      <c r="MGP110" s="92"/>
      <c r="MGQ110" s="92"/>
      <c r="MGR110" s="92"/>
      <c r="MGS110" s="92"/>
      <c r="MGT110" s="92"/>
      <c r="MGU110" s="92"/>
      <c r="MGV110" s="92"/>
      <c r="MGW110" s="92"/>
      <c r="MGX110" s="92"/>
      <c r="MGY110" s="92"/>
      <c r="MGZ110" s="92"/>
      <c r="MHA110" s="92"/>
      <c r="MHB110" s="91"/>
      <c r="MHC110" s="92"/>
      <c r="MHD110" s="92"/>
      <c r="MHE110" s="92"/>
      <c r="MHF110" s="92"/>
      <c r="MHG110" s="92"/>
      <c r="MHH110" s="92"/>
      <c r="MHI110" s="92"/>
      <c r="MHJ110" s="92"/>
      <c r="MHK110" s="92"/>
      <c r="MHL110" s="92"/>
      <c r="MHM110" s="92"/>
      <c r="MHN110" s="92"/>
      <c r="MHO110" s="92"/>
      <c r="MHP110" s="92"/>
      <c r="MHQ110" s="92"/>
      <c r="MHR110" s="92"/>
      <c r="MHS110" s="92"/>
      <c r="MHT110" s="92"/>
      <c r="MHU110" s="92"/>
      <c r="MHV110" s="92"/>
      <c r="MHW110" s="92"/>
      <c r="MHX110" s="91"/>
      <c r="MHY110" s="92"/>
      <c r="MHZ110" s="92"/>
      <c r="MIA110" s="92"/>
      <c r="MIB110" s="92"/>
      <c r="MIC110" s="92"/>
      <c r="MID110" s="92"/>
      <c r="MIE110" s="92"/>
      <c r="MIF110" s="92"/>
      <c r="MIG110" s="92"/>
      <c r="MIH110" s="92"/>
      <c r="MII110" s="92"/>
      <c r="MIJ110" s="92"/>
      <c r="MIK110" s="92"/>
      <c r="MIL110" s="92"/>
      <c r="MIM110" s="92"/>
      <c r="MIN110" s="92"/>
      <c r="MIO110" s="92"/>
      <c r="MIP110" s="92"/>
      <c r="MIQ110" s="92"/>
      <c r="MIR110" s="92"/>
      <c r="MIS110" s="92"/>
      <c r="MIT110" s="91"/>
      <c r="MIU110" s="92"/>
      <c r="MIV110" s="92"/>
      <c r="MIW110" s="92"/>
      <c r="MIX110" s="92"/>
      <c r="MIY110" s="92"/>
      <c r="MIZ110" s="92"/>
      <c r="MJA110" s="92"/>
      <c r="MJB110" s="92"/>
      <c r="MJC110" s="92"/>
      <c r="MJD110" s="92"/>
      <c r="MJE110" s="92"/>
      <c r="MJF110" s="92"/>
      <c r="MJG110" s="92"/>
      <c r="MJH110" s="92"/>
      <c r="MJI110" s="92"/>
      <c r="MJJ110" s="92"/>
      <c r="MJK110" s="92"/>
      <c r="MJL110" s="92"/>
      <c r="MJM110" s="92"/>
      <c r="MJN110" s="92"/>
      <c r="MJO110" s="92"/>
      <c r="MJP110" s="91"/>
      <c r="MJQ110" s="92"/>
      <c r="MJR110" s="92"/>
      <c r="MJS110" s="92"/>
      <c r="MJT110" s="92"/>
      <c r="MJU110" s="92"/>
      <c r="MJV110" s="92"/>
      <c r="MJW110" s="92"/>
      <c r="MJX110" s="92"/>
      <c r="MJY110" s="92"/>
      <c r="MJZ110" s="92"/>
      <c r="MKA110" s="92"/>
      <c r="MKB110" s="92"/>
      <c r="MKC110" s="92"/>
      <c r="MKD110" s="92"/>
      <c r="MKE110" s="92"/>
      <c r="MKF110" s="92"/>
      <c r="MKG110" s="92"/>
      <c r="MKH110" s="92"/>
      <c r="MKI110" s="92"/>
      <c r="MKJ110" s="92"/>
      <c r="MKK110" s="92"/>
      <c r="MKL110" s="91"/>
      <c r="MKM110" s="92"/>
      <c r="MKN110" s="92"/>
      <c r="MKO110" s="92"/>
      <c r="MKP110" s="92"/>
      <c r="MKQ110" s="92"/>
      <c r="MKR110" s="92"/>
      <c r="MKS110" s="92"/>
      <c r="MKT110" s="92"/>
      <c r="MKU110" s="92"/>
      <c r="MKV110" s="92"/>
      <c r="MKW110" s="92"/>
      <c r="MKX110" s="92"/>
      <c r="MKY110" s="92"/>
      <c r="MKZ110" s="92"/>
      <c r="MLA110" s="92"/>
      <c r="MLB110" s="92"/>
      <c r="MLC110" s="92"/>
      <c r="MLD110" s="92"/>
      <c r="MLE110" s="92"/>
      <c r="MLF110" s="92"/>
      <c r="MLG110" s="92"/>
      <c r="MLH110" s="91"/>
      <c r="MLI110" s="92"/>
      <c r="MLJ110" s="92"/>
      <c r="MLK110" s="92"/>
      <c r="MLL110" s="92"/>
      <c r="MLM110" s="92"/>
      <c r="MLN110" s="92"/>
      <c r="MLO110" s="92"/>
      <c r="MLP110" s="92"/>
      <c r="MLQ110" s="92"/>
      <c r="MLR110" s="92"/>
      <c r="MLS110" s="92"/>
      <c r="MLT110" s="92"/>
      <c r="MLU110" s="92"/>
      <c r="MLV110" s="92"/>
      <c r="MLW110" s="92"/>
      <c r="MLX110" s="92"/>
      <c r="MLY110" s="92"/>
      <c r="MLZ110" s="92"/>
      <c r="MMA110" s="92"/>
      <c r="MMB110" s="92"/>
      <c r="MMC110" s="92"/>
      <c r="MMD110" s="91"/>
      <c r="MME110" s="92"/>
      <c r="MMF110" s="92"/>
      <c r="MMG110" s="92"/>
      <c r="MMH110" s="92"/>
      <c r="MMI110" s="92"/>
      <c r="MMJ110" s="92"/>
      <c r="MMK110" s="92"/>
      <c r="MML110" s="92"/>
      <c r="MMM110" s="92"/>
      <c r="MMN110" s="92"/>
      <c r="MMO110" s="92"/>
      <c r="MMP110" s="92"/>
      <c r="MMQ110" s="92"/>
      <c r="MMR110" s="92"/>
      <c r="MMS110" s="92"/>
      <c r="MMT110" s="92"/>
      <c r="MMU110" s="92"/>
      <c r="MMV110" s="92"/>
      <c r="MMW110" s="92"/>
      <c r="MMX110" s="92"/>
      <c r="MMY110" s="92"/>
      <c r="MMZ110" s="91"/>
      <c r="MNA110" s="92"/>
      <c r="MNB110" s="92"/>
      <c r="MNC110" s="92"/>
      <c r="MND110" s="92"/>
      <c r="MNE110" s="92"/>
      <c r="MNF110" s="92"/>
      <c r="MNG110" s="92"/>
      <c r="MNH110" s="92"/>
      <c r="MNI110" s="92"/>
      <c r="MNJ110" s="92"/>
      <c r="MNK110" s="92"/>
      <c r="MNL110" s="92"/>
      <c r="MNM110" s="92"/>
      <c r="MNN110" s="92"/>
      <c r="MNO110" s="92"/>
      <c r="MNP110" s="92"/>
      <c r="MNQ110" s="92"/>
      <c r="MNR110" s="92"/>
      <c r="MNS110" s="92"/>
      <c r="MNT110" s="92"/>
      <c r="MNU110" s="92"/>
      <c r="MNV110" s="91"/>
      <c r="MNW110" s="92"/>
      <c r="MNX110" s="92"/>
      <c r="MNY110" s="92"/>
      <c r="MNZ110" s="92"/>
      <c r="MOA110" s="92"/>
      <c r="MOB110" s="92"/>
      <c r="MOC110" s="92"/>
      <c r="MOD110" s="92"/>
      <c r="MOE110" s="92"/>
      <c r="MOF110" s="92"/>
      <c r="MOG110" s="92"/>
      <c r="MOH110" s="92"/>
      <c r="MOI110" s="92"/>
      <c r="MOJ110" s="92"/>
      <c r="MOK110" s="92"/>
      <c r="MOL110" s="92"/>
      <c r="MOM110" s="92"/>
      <c r="MON110" s="92"/>
      <c r="MOO110" s="92"/>
      <c r="MOP110" s="92"/>
      <c r="MOQ110" s="92"/>
      <c r="MOR110" s="91"/>
      <c r="MOS110" s="92"/>
      <c r="MOT110" s="92"/>
      <c r="MOU110" s="92"/>
      <c r="MOV110" s="92"/>
      <c r="MOW110" s="92"/>
      <c r="MOX110" s="92"/>
      <c r="MOY110" s="92"/>
      <c r="MOZ110" s="92"/>
      <c r="MPA110" s="92"/>
      <c r="MPB110" s="92"/>
      <c r="MPC110" s="92"/>
      <c r="MPD110" s="92"/>
      <c r="MPE110" s="92"/>
      <c r="MPF110" s="92"/>
      <c r="MPG110" s="92"/>
      <c r="MPH110" s="92"/>
      <c r="MPI110" s="92"/>
      <c r="MPJ110" s="92"/>
      <c r="MPK110" s="92"/>
      <c r="MPL110" s="92"/>
      <c r="MPM110" s="92"/>
      <c r="MPN110" s="91"/>
      <c r="MPO110" s="92"/>
      <c r="MPP110" s="92"/>
      <c r="MPQ110" s="92"/>
      <c r="MPR110" s="92"/>
      <c r="MPS110" s="92"/>
      <c r="MPT110" s="92"/>
      <c r="MPU110" s="92"/>
      <c r="MPV110" s="92"/>
      <c r="MPW110" s="92"/>
      <c r="MPX110" s="92"/>
      <c r="MPY110" s="92"/>
      <c r="MPZ110" s="92"/>
      <c r="MQA110" s="92"/>
      <c r="MQB110" s="92"/>
      <c r="MQC110" s="92"/>
      <c r="MQD110" s="92"/>
      <c r="MQE110" s="92"/>
      <c r="MQF110" s="92"/>
      <c r="MQG110" s="92"/>
      <c r="MQH110" s="92"/>
      <c r="MQI110" s="92"/>
      <c r="MQJ110" s="91"/>
      <c r="MQK110" s="92"/>
      <c r="MQL110" s="92"/>
      <c r="MQM110" s="92"/>
      <c r="MQN110" s="92"/>
      <c r="MQO110" s="92"/>
      <c r="MQP110" s="92"/>
      <c r="MQQ110" s="92"/>
      <c r="MQR110" s="92"/>
      <c r="MQS110" s="92"/>
      <c r="MQT110" s="92"/>
      <c r="MQU110" s="92"/>
      <c r="MQV110" s="92"/>
      <c r="MQW110" s="92"/>
      <c r="MQX110" s="92"/>
      <c r="MQY110" s="92"/>
      <c r="MQZ110" s="92"/>
      <c r="MRA110" s="92"/>
      <c r="MRB110" s="92"/>
      <c r="MRC110" s="92"/>
      <c r="MRD110" s="92"/>
      <c r="MRE110" s="92"/>
      <c r="MRF110" s="91"/>
      <c r="MRG110" s="92"/>
      <c r="MRH110" s="92"/>
      <c r="MRI110" s="92"/>
      <c r="MRJ110" s="92"/>
      <c r="MRK110" s="92"/>
      <c r="MRL110" s="92"/>
      <c r="MRM110" s="92"/>
      <c r="MRN110" s="92"/>
      <c r="MRO110" s="92"/>
      <c r="MRP110" s="92"/>
      <c r="MRQ110" s="92"/>
      <c r="MRR110" s="92"/>
      <c r="MRS110" s="92"/>
      <c r="MRT110" s="92"/>
      <c r="MRU110" s="92"/>
      <c r="MRV110" s="92"/>
      <c r="MRW110" s="92"/>
      <c r="MRX110" s="92"/>
      <c r="MRY110" s="92"/>
      <c r="MRZ110" s="92"/>
      <c r="MSA110" s="92"/>
      <c r="MSB110" s="91"/>
      <c r="MSC110" s="92"/>
      <c r="MSD110" s="92"/>
      <c r="MSE110" s="92"/>
      <c r="MSF110" s="92"/>
      <c r="MSG110" s="92"/>
      <c r="MSH110" s="92"/>
      <c r="MSI110" s="92"/>
      <c r="MSJ110" s="92"/>
      <c r="MSK110" s="92"/>
      <c r="MSL110" s="92"/>
      <c r="MSM110" s="92"/>
      <c r="MSN110" s="92"/>
      <c r="MSO110" s="92"/>
      <c r="MSP110" s="92"/>
      <c r="MSQ110" s="92"/>
      <c r="MSR110" s="92"/>
      <c r="MSS110" s="92"/>
      <c r="MST110" s="92"/>
      <c r="MSU110" s="92"/>
      <c r="MSV110" s="92"/>
      <c r="MSW110" s="92"/>
      <c r="MSX110" s="91"/>
      <c r="MSY110" s="92"/>
      <c r="MSZ110" s="92"/>
      <c r="MTA110" s="92"/>
      <c r="MTB110" s="92"/>
      <c r="MTC110" s="92"/>
      <c r="MTD110" s="92"/>
      <c r="MTE110" s="92"/>
      <c r="MTF110" s="92"/>
      <c r="MTG110" s="92"/>
      <c r="MTH110" s="92"/>
      <c r="MTI110" s="92"/>
      <c r="MTJ110" s="92"/>
      <c r="MTK110" s="92"/>
      <c r="MTL110" s="92"/>
      <c r="MTM110" s="92"/>
      <c r="MTN110" s="92"/>
      <c r="MTO110" s="92"/>
      <c r="MTP110" s="92"/>
      <c r="MTQ110" s="92"/>
      <c r="MTR110" s="92"/>
      <c r="MTS110" s="92"/>
      <c r="MTT110" s="91"/>
      <c r="MTU110" s="92"/>
      <c r="MTV110" s="92"/>
      <c r="MTW110" s="92"/>
      <c r="MTX110" s="92"/>
      <c r="MTY110" s="92"/>
      <c r="MTZ110" s="92"/>
      <c r="MUA110" s="92"/>
      <c r="MUB110" s="92"/>
      <c r="MUC110" s="92"/>
      <c r="MUD110" s="92"/>
      <c r="MUE110" s="92"/>
      <c r="MUF110" s="92"/>
      <c r="MUG110" s="92"/>
      <c r="MUH110" s="92"/>
      <c r="MUI110" s="92"/>
      <c r="MUJ110" s="92"/>
      <c r="MUK110" s="92"/>
      <c r="MUL110" s="92"/>
      <c r="MUM110" s="92"/>
      <c r="MUN110" s="92"/>
      <c r="MUO110" s="92"/>
      <c r="MUP110" s="91"/>
      <c r="MUQ110" s="92"/>
      <c r="MUR110" s="92"/>
      <c r="MUS110" s="92"/>
      <c r="MUT110" s="92"/>
      <c r="MUU110" s="92"/>
      <c r="MUV110" s="92"/>
      <c r="MUW110" s="92"/>
      <c r="MUX110" s="92"/>
      <c r="MUY110" s="92"/>
      <c r="MUZ110" s="92"/>
      <c r="MVA110" s="92"/>
      <c r="MVB110" s="92"/>
      <c r="MVC110" s="92"/>
      <c r="MVD110" s="92"/>
      <c r="MVE110" s="92"/>
      <c r="MVF110" s="92"/>
      <c r="MVG110" s="92"/>
      <c r="MVH110" s="92"/>
      <c r="MVI110" s="92"/>
      <c r="MVJ110" s="92"/>
      <c r="MVK110" s="92"/>
      <c r="MVL110" s="91"/>
      <c r="MVM110" s="92"/>
      <c r="MVN110" s="92"/>
      <c r="MVO110" s="92"/>
      <c r="MVP110" s="92"/>
      <c r="MVQ110" s="92"/>
      <c r="MVR110" s="92"/>
      <c r="MVS110" s="92"/>
      <c r="MVT110" s="92"/>
      <c r="MVU110" s="92"/>
      <c r="MVV110" s="92"/>
      <c r="MVW110" s="92"/>
      <c r="MVX110" s="92"/>
      <c r="MVY110" s="92"/>
      <c r="MVZ110" s="92"/>
      <c r="MWA110" s="92"/>
      <c r="MWB110" s="92"/>
      <c r="MWC110" s="92"/>
      <c r="MWD110" s="92"/>
      <c r="MWE110" s="92"/>
      <c r="MWF110" s="92"/>
      <c r="MWG110" s="92"/>
      <c r="MWH110" s="91"/>
      <c r="MWI110" s="92"/>
      <c r="MWJ110" s="92"/>
      <c r="MWK110" s="92"/>
      <c r="MWL110" s="92"/>
      <c r="MWM110" s="92"/>
      <c r="MWN110" s="92"/>
      <c r="MWO110" s="92"/>
      <c r="MWP110" s="92"/>
      <c r="MWQ110" s="92"/>
      <c r="MWR110" s="92"/>
      <c r="MWS110" s="92"/>
      <c r="MWT110" s="92"/>
      <c r="MWU110" s="92"/>
      <c r="MWV110" s="92"/>
      <c r="MWW110" s="92"/>
      <c r="MWX110" s="92"/>
      <c r="MWY110" s="92"/>
      <c r="MWZ110" s="92"/>
      <c r="MXA110" s="92"/>
      <c r="MXB110" s="92"/>
      <c r="MXC110" s="92"/>
      <c r="MXD110" s="91"/>
      <c r="MXE110" s="92"/>
      <c r="MXF110" s="92"/>
      <c r="MXG110" s="92"/>
      <c r="MXH110" s="92"/>
      <c r="MXI110" s="92"/>
      <c r="MXJ110" s="92"/>
      <c r="MXK110" s="92"/>
      <c r="MXL110" s="92"/>
      <c r="MXM110" s="92"/>
      <c r="MXN110" s="92"/>
      <c r="MXO110" s="92"/>
      <c r="MXP110" s="92"/>
      <c r="MXQ110" s="92"/>
      <c r="MXR110" s="92"/>
      <c r="MXS110" s="92"/>
      <c r="MXT110" s="92"/>
      <c r="MXU110" s="92"/>
      <c r="MXV110" s="92"/>
      <c r="MXW110" s="92"/>
      <c r="MXX110" s="92"/>
      <c r="MXY110" s="92"/>
      <c r="MXZ110" s="91"/>
      <c r="MYA110" s="92"/>
      <c r="MYB110" s="92"/>
      <c r="MYC110" s="92"/>
      <c r="MYD110" s="92"/>
      <c r="MYE110" s="92"/>
      <c r="MYF110" s="92"/>
      <c r="MYG110" s="92"/>
      <c r="MYH110" s="92"/>
      <c r="MYI110" s="92"/>
      <c r="MYJ110" s="92"/>
      <c r="MYK110" s="92"/>
      <c r="MYL110" s="92"/>
      <c r="MYM110" s="92"/>
      <c r="MYN110" s="92"/>
      <c r="MYO110" s="92"/>
      <c r="MYP110" s="92"/>
      <c r="MYQ110" s="92"/>
      <c r="MYR110" s="92"/>
      <c r="MYS110" s="92"/>
      <c r="MYT110" s="92"/>
      <c r="MYU110" s="92"/>
      <c r="MYV110" s="91"/>
      <c r="MYW110" s="92"/>
      <c r="MYX110" s="92"/>
      <c r="MYY110" s="92"/>
      <c r="MYZ110" s="92"/>
      <c r="MZA110" s="92"/>
      <c r="MZB110" s="92"/>
      <c r="MZC110" s="92"/>
      <c r="MZD110" s="92"/>
      <c r="MZE110" s="92"/>
      <c r="MZF110" s="92"/>
      <c r="MZG110" s="92"/>
      <c r="MZH110" s="92"/>
      <c r="MZI110" s="92"/>
      <c r="MZJ110" s="92"/>
      <c r="MZK110" s="92"/>
      <c r="MZL110" s="92"/>
      <c r="MZM110" s="92"/>
      <c r="MZN110" s="92"/>
      <c r="MZO110" s="92"/>
      <c r="MZP110" s="92"/>
      <c r="MZQ110" s="92"/>
      <c r="MZR110" s="91"/>
      <c r="MZS110" s="92"/>
      <c r="MZT110" s="92"/>
      <c r="MZU110" s="92"/>
      <c r="MZV110" s="92"/>
      <c r="MZW110" s="92"/>
      <c r="MZX110" s="92"/>
      <c r="MZY110" s="92"/>
      <c r="MZZ110" s="92"/>
      <c r="NAA110" s="92"/>
      <c r="NAB110" s="92"/>
      <c r="NAC110" s="92"/>
      <c r="NAD110" s="92"/>
      <c r="NAE110" s="92"/>
      <c r="NAF110" s="92"/>
      <c r="NAG110" s="92"/>
      <c r="NAH110" s="92"/>
      <c r="NAI110" s="92"/>
      <c r="NAJ110" s="92"/>
      <c r="NAK110" s="92"/>
      <c r="NAL110" s="92"/>
      <c r="NAM110" s="92"/>
      <c r="NAN110" s="91"/>
      <c r="NAO110" s="92"/>
      <c r="NAP110" s="92"/>
      <c r="NAQ110" s="92"/>
      <c r="NAR110" s="92"/>
      <c r="NAS110" s="92"/>
      <c r="NAT110" s="92"/>
      <c r="NAU110" s="92"/>
      <c r="NAV110" s="92"/>
      <c r="NAW110" s="92"/>
      <c r="NAX110" s="92"/>
      <c r="NAY110" s="92"/>
      <c r="NAZ110" s="92"/>
      <c r="NBA110" s="92"/>
      <c r="NBB110" s="92"/>
      <c r="NBC110" s="92"/>
      <c r="NBD110" s="92"/>
      <c r="NBE110" s="92"/>
      <c r="NBF110" s="92"/>
      <c r="NBG110" s="92"/>
      <c r="NBH110" s="92"/>
      <c r="NBI110" s="92"/>
      <c r="NBJ110" s="91"/>
      <c r="NBK110" s="92"/>
      <c r="NBL110" s="92"/>
      <c r="NBM110" s="92"/>
      <c r="NBN110" s="92"/>
      <c r="NBO110" s="92"/>
      <c r="NBP110" s="92"/>
      <c r="NBQ110" s="92"/>
      <c r="NBR110" s="92"/>
      <c r="NBS110" s="92"/>
      <c r="NBT110" s="92"/>
      <c r="NBU110" s="92"/>
      <c r="NBV110" s="92"/>
      <c r="NBW110" s="92"/>
      <c r="NBX110" s="92"/>
      <c r="NBY110" s="92"/>
      <c r="NBZ110" s="92"/>
      <c r="NCA110" s="92"/>
      <c r="NCB110" s="92"/>
      <c r="NCC110" s="92"/>
      <c r="NCD110" s="92"/>
      <c r="NCE110" s="92"/>
      <c r="NCF110" s="91"/>
      <c r="NCG110" s="92"/>
      <c r="NCH110" s="92"/>
      <c r="NCI110" s="92"/>
      <c r="NCJ110" s="92"/>
      <c r="NCK110" s="92"/>
      <c r="NCL110" s="92"/>
      <c r="NCM110" s="92"/>
      <c r="NCN110" s="92"/>
      <c r="NCO110" s="92"/>
      <c r="NCP110" s="92"/>
      <c r="NCQ110" s="92"/>
      <c r="NCR110" s="92"/>
      <c r="NCS110" s="92"/>
      <c r="NCT110" s="92"/>
      <c r="NCU110" s="92"/>
      <c r="NCV110" s="92"/>
      <c r="NCW110" s="92"/>
      <c r="NCX110" s="92"/>
      <c r="NCY110" s="92"/>
      <c r="NCZ110" s="92"/>
      <c r="NDA110" s="92"/>
      <c r="NDB110" s="91"/>
      <c r="NDC110" s="92"/>
      <c r="NDD110" s="92"/>
      <c r="NDE110" s="92"/>
      <c r="NDF110" s="92"/>
      <c r="NDG110" s="92"/>
      <c r="NDH110" s="92"/>
      <c r="NDI110" s="92"/>
      <c r="NDJ110" s="92"/>
      <c r="NDK110" s="92"/>
      <c r="NDL110" s="92"/>
      <c r="NDM110" s="92"/>
      <c r="NDN110" s="92"/>
      <c r="NDO110" s="92"/>
      <c r="NDP110" s="92"/>
      <c r="NDQ110" s="92"/>
      <c r="NDR110" s="92"/>
      <c r="NDS110" s="92"/>
      <c r="NDT110" s="92"/>
      <c r="NDU110" s="92"/>
      <c r="NDV110" s="92"/>
      <c r="NDW110" s="92"/>
      <c r="NDX110" s="91"/>
      <c r="NDY110" s="92"/>
      <c r="NDZ110" s="92"/>
      <c r="NEA110" s="92"/>
      <c r="NEB110" s="92"/>
      <c r="NEC110" s="92"/>
      <c r="NED110" s="92"/>
      <c r="NEE110" s="92"/>
      <c r="NEF110" s="92"/>
      <c r="NEG110" s="92"/>
      <c r="NEH110" s="92"/>
      <c r="NEI110" s="92"/>
      <c r="NEJ110" s="92"/>
      <c r="NEK110" s="92"/>
      <c r="NEL110" s="92"/>
      <c r="NEM110" s="92"/>
      <c r="NEN110" s="92"/>
      <c r="NEO110" s="92"/>
      <c r="NEP110" s="92"/>
      <c r="NEQ110" s="92"/>
      <c r="NER110" s="92"/>
      <c r="NES110" s="92"/>
      <c r="NET110" s="91"/>
      <c r="NEU110" s="92"/>
      <c r="NEV110" s="92"/>
      <c r="NEW110" s="92"/>
      <c r="NEX110" s="92"/>
      <c r="NEY110" s="92"/>
      <c r="NEZ110" s="92"/>
      <c r="NFA110" s="92"/>
      <c r="NFB110" s="92"/>
      <c r="NFC110" s="92"/>
      <c r="NFD110" s="92"/>
      <c r="NFE110" s="92"/>
      <c r="NFF110" s="92"/>
      <c r="NFG110" s="92"/>
      <c r="NFH110" s="92"/>
      <c r="NFI110" s="92"/>
      <c r="NFJ110" s="92"/>
      <c r="NFK110" s="92"/>
      <c r="NFL110" s="92"/>
      <c r="NFM110" s="92"/>
      <c r="NFN110" s="92"/>
      <c r="NFO110" s="92"/>
      <c r="NFP110" s="91"/>
      <c r="NFQ110" s="92"/>
      <c r="NFR110" s="92"/>
      <c r="NFS110" s="92"/>
      <c r="NFT110" s="92"/>
      <c r="NFU110" s="92"/>
      <c r="NFV110" s="92"/>
      <c r="NFW110" s="92"/>
      <c r="NFX110" s="92"/>
      <c r="NFY110" s="92"/>
      <c r="NFZ110" s="92"/>
      <c r="NGA110" s="92"/>
      <c r="NGB110" s="92"/>
      <c r="NGC110" s="92"/>
      <c r="NGD110" s="92"/>
      <c r="NGE110" s="92"/>
      <c r="NGF110" s="92"/>
      <c r="NGG110" s="92"/>
      <c r="NGH110" s="92"/>
      <c r="NGI110" s="92"/>
      <c r="NGJ110" s="92"/>
      <c r="NGK110" s="92"/>
      <c r="NGL110" s="91"/>
      <c r="NGM110" s="92"/>
      <c r="NGN110" s="92"/>
      <c r="NGO110" s="92"/>
      <c r="NGP110" s="92"/>
      <c r="NGQ110" s="92"/>
      <c r="NGR110" s="92"/>
      <c r="NGS110" s="92"/>
      <c r="NGT110" s="92"/>
      <c r="NGU110" s="92"/>
      <c r="NGV110" s="92"/>
      <c r="NGW110" s="92"/>
      <c r="NGX110" s="92"/>
      <c r="NGY110" s="92"/>
      <c r="NGZ110" s="92"/>
      <c r="NHA110" s="92"/>
      <c r="NHB110" s="92"/>
      <c r="NHC110" s="92"/>
      <c r="NHD110" s="92"/>
      <c r="NHE110" s="92"/>
      <c r="NHF110" s="92"/>
      <c r="NHG110" s="92"/>
      <c r="NHH110" s="91"/>
      <c r="NHI110" s="92"/>
      <c r="NHJ110" s="92"/>
      <c r="NHK110" s="92"/>
      <c r="NHL110" s="92"/>
      <c r="NHM110" s="92"/>
      <c r="NHN110" s="92"/>
      <c r="NHO110" s="92"/>
      <c r="NHP110" s="92"/>
      <c r="NHQ110" s="92"/>
      <c r="NHR110" s="92"/>
      <c r="NHS110" s="92"/>
      <c r="NHT110" s="92"/>
      <c r="NHU110" s="92"/>
      <c r="NHV110" s="92"/>
      <c r="NHW110" s="92"/>
      <c r="NHX110" s="92"/>
      <c r="NHY110" s="92"/>
      <c r="NHZ110" s="92"/>
      <c r="NIA110" s="92"/>
      <c r="NIB110" s="92"/>
      <c r="NIC110" s="92"/>
      <c r="NID110" s="91"/>
      <c r="NIE110" s="92"/>
      <c r="NIF110" s="92"/>
      <c r="NIG110" s="92"/>
      <c r="NIH110" s="92"/>
      <c r="NII110" s="92"/>
      <c r="NIJ110" s="92"/>
      <c r="NIK110" s="92"/>
      <c r="NIL110" s="92"/>
      <c r="NIM110" s="92"/>
      <c r="NIN110" s="92"/>
      <c r="NIO110" s="92"/>
      <c r="NIP110" s="92"/>
      <c r="NIQ110" s="92"/>
      <c r="NIR110" s="92"/>
      <c r="NIS110" s="92"/>
      <c r="NIT110" s="92"/>
      <c r="NIU110" s="92"/>
      <c r="NIV110" s="92"/>
      <c r="NIW110" s="92"/>
      <c r="NIX110" s="92"/>
      <c r="NIY110" s="92"/>
      <c r="NIZ110" s="91"/>
      <c r="NJA110" s="92"/>
      <c r="NJB110" s="92"/>
      <c r="NJC110" s="92"/>
      <c r="NJD110" s="92"/>
      <c r="NJE110" s="92"/>
      <c r="NJF110" s="92"/>
      <c r="NJG110" s="92"/>
      <c r="NJH110" s="92"/>
      <c r="NJI110" s="92"/>
      <c r="NJJ110" s="92"/>
      <c r="NJK110" s="92"/>
      <c r="NJL110" s="92"/>
      <c r="NJM110" s="92"/>
      <c r="NJN110" s="92"/>
      <c r="NJO110" s="92"/>
      <c r="NJP110" s="92"/>
      <c r="NJQ110" s="92"/>
      <c r="NJR110" s="92"/>
      <c r="NJS110" s="92"/>
      <c r="NJT110" s="92"/>
      <c r="NJU110" s="92"/>
      <c r="NJV110" s="91"/>
      <c r="NJW110" s="92"/>
      <c r="NJX110" s="92"/>
      <c r="NJY110" s="92"/>
      <c r="NJZ110" s="92"/>
      <c r="NKA110" s="92"/>
      <c r="NKB110" s="92"/>
      <c r="NKC110" s="92"/>
      <c r="NKD110" s="92"/>
      <c r="NKE110" s="92"/>
      <c r="NKF110" s="92"/>
      <c r="NKG110" s="92"/>
      <c r="NKH110" s="92"/>
      <c r="NKI110" s="92"/>
      <c r="NKJ110" s="92"/>
      <c r="NKK110" s="92"/>
      <c r="NKL110" s="92"/>
      <c r="NKM110" s="92"/>
      <c r="NKN110" s="92"/>
      <c r="NKO110" s="92"/>
      <c r="NKP110" s="92"/>
      <c r="NKQ110" s="92"/>
      <c r="NKR110" s="91"/>
      <c r="NKS110" s="92"/>
      <c r="NKT110" s="92"/>
      <c r="NKU110" s="92"/>
      <c r="NKV110" s="92"/>
      <c r="NKW110" s="92"/>
      <c r="NKX110" s="92"/>
      <c r="NKY110" s="92"/>
      <c r="NKZ110" s="92"/>
      <c r="NLA110" s="92"/>
      <c r="NLB110" s="92"/>
      <c r="NLC110" s="92"/>
      <c r="NLD110" s="92"/>
      <c r="NLE110" s="92"/>
      <c r="NLF110" s="92"/>
      <c r="NLG110" s="92"/>
      <c r="NLH110" s="92"/>
      <c r="NLI110" s="92"/>
      <c r="NLJ110" s="92"/>
      <c r="NLK110" s="92"/>
      <c r="NLL110" s="92"/>
      <c r="NLM110" s="92"/>
      <c r="NLN110" s="91"/>
      <c r="NLO110" s="92"/>
      <c r="NLP110" s="92"/>
      <c r="NLQ110" s="92"/>
      <c r="NLR110" s="92"/>
      <c r="NLS110" s="92"/>
      <c r="NLT110" s="92"/>
      <c r="NLU110" s="92"/>
      <c r="NLV110" s="92"/>
      <c r="NLW110" s="92"/>
      <c r="NLX110" s="92"/>
      <c r="NLY110" s="92"/>
      <c r="NLZ110" s="92"/>
      <c r="NMA110" s="92"/>
      <c r="NMB110" s="92"/>
      <c r="NMC110" s="92"/>
      <c r="NMD110" s="92"/>
      <c r="NME110" s="92"/>
      <c r="NMF110" s="92"/>
      <c r="NMG110" s="92"/>
      <c r="NMH110" s="92"/>
      <c r="NMI110" s="92"/>
      <c r="NMJ110" s="91"/>
      <c r="NMK110" s="92"/>
      <c r="NML110" s="92"/>
      <c r="NMM110" s="92"/>
      <c r="NMN110" s="92"/>
      <c r="NMO110" s="92"/>
      <c r="NMP110" s="92"/>
      <c r="NMQ110" s="92"/>
      <c r="NMR110" s="92"/>
      <c r="NMS110" s="92"/>
      <c r="NMT110" s="92"/>
      <c r="NMU110" s="92"/>
      <c r="NMV110" s="92"/>
      <c r="NMW110" s="92"/>
      <c r="NMX110" s="92"/>
      <c r="NMY110" s="92"/>
      <c r="NMZ110" s="92"/>
      <c r="NNA110" s="92"/>
      <c r="NNB110" s="92"/>
      <c r="NNC110" s="92"/>
      <c r="NND110" s="92"/>
      <c r="NNE110" s="92"/>
      <c r="NNF110" s="91"/>
      <c r="NNG110" s="92"/>
      <c r="NNH110" s="92"/>
      <c r="NNI110" s="92"/>
      <c r="NNJ110" s="92"/>
      <c r="NNK110" s="92"/>
      <c r="NNL110" s="92"/>
      <c r="NNM110" s="92"/>
      <c r="NNN110" s="92"/>
      <c r="NNO110" s="92"/>
      <c r="NNP110" s="92"/>
      <c r="NNQ110" s="92"/>
      <c r="NNR110" s="92"/>
      <c r="NNS110" s="92"/>
      <c r="NNT110" s="92"/>
      <c r="NNU110" s="92"/>
      <c r="NNV110" s="92"/>
      <c r="NNW110" s="92"/>
      <c r="NNX110" s="92"/>
      <c r="NNY110" s="92"/>
      <c r="NNZ110" s="92"/>
      <c r="NOA110" s="92"/>
      <c r="NOB110" s="91"/>
      <c r="NOC110" s="92"/>
      <c r="NOD110" s="92"/>
      <c r="NOE110" s="92"/>
      <c r="NOF110" s="92"/>
      <c r="NOG110" s="92"/>
      <c r="NOH110" s="92"/>
      <c r="NOI110" s="92"/>
      <c r="NOJ110" s="92"/>
      <c r="NOK110" s="92"/>
      <c r="NOL110" s="92"/>
      <c r="NOM110" s="92"/>
      <c r="NON110" s="92"/>
      <c r="NOO110" s="92"/>
      <c r="NOP110" s="92"/>
      <c r="NOQ110" s="92"/>
      <c r="NOR110" s="92"/>
      <c r="NOS110" s="92"/>
      <c r="NOT110" s="92"/>
      <c r="NOU110" s="92"/>
      <c r="NOV110" s="92"/>
      <c r="NOW110" s="92"/>
      <c r="NOX110" s="91"/>
      <c r="NOY110" s="92"/>
      <c r="NOZ110" s="92"/>
      <c r="NPA110" s="92"/>
      <c r="NPB110" s="92"/>
      <c r="NPC110" s="92"/>
      <c r="NPD110" s="92"/>
      <c r="NPE110" s="92"/>
      <c r="NPF110" s="92"/>
      <c r="NPG110" s="92"/>
      <c r="NPH110" s="92"/>
      <c r="NPI110" s="92"/>
      <c r="NPJ110" s="92"/>
      <c r="NPK110" s="92"/>
      <c r="NPL110" s="92"/>
      <c r="NPM110" s="92"/>
      <c r="NPN110" s="92"/>
      <c r="NPO110" s="92"/>
      <c r="NPP110" s="92"/>
      <c r="NPQ110" s="92"/>
      <c r="NPR110" s="92"/>
      <c r="NPS110" s="92"/>
      <c r="NPT110" s="91"/>
      <c r="NPU110" s="92"/>
      <c r="NPV110" s="92"/>
      <c r="NPW110" s="92"/>
      <c r="NPX110" s="92"/>
      <c r="NPY110" s="92"/>
      <c r="NPZ110" s="92"/>
      <c r="NQA110" s="92"/>
      <c r="NQB110" s="92"/>
      <c r="NQC110" s="92"/>
      <c r="NQD110" s="92"/>
      <c r="NQE110" s="92"/>
      <c r="NQF110" s="92"/>
      <c r="NQG110" s="92"/>
      <c r="NQH110" s="92"/>
      <c r="NQI110" s="92"/>
      <c r="NQJ110" s="92"/>
      <c r="NQK110" s="92"/>
      <c r="NQL110" s="92"/>
      <c r="NQM110" s="92"/>
      <c r="NQN110" s="92"/>
      <c r="NQO110" s="92"/>
      <c r="NQP110" s="91"/>
      <c r="NQQ110" s="92"/>
      <c r="NQR110" s="92"/>
      <c r="NQS110" s="92"/>
      <c r="NQT110" s="92"/>
      <c r="NQU110" s="92"/>
      <c r="NQV110" s="92"/>
      <c r="NQW110" s="92"/>
      <c r="NQX110" s="92"/>
      <c r="NQY110" s="92"/>
      <c r="NQZ110" s="92"/>
      <c r="NRA110" s="92"/>
      <c r="NRB110" s="92"/>
      <c r="NRC110" s="92"/>
      <c r="NRD110" s="92"/>
      <c r="NRE110" s="92"/>
      <c r="NRF110" s="92"/>
      <c r="NRG110" s="92"/>
      <c r="NRH110" s="92"/>
      <c r="NRI110" s="92"/>
      <c r="NRJ110" s="92"/>
      <c r="NRK110" s="92"/>
      <c r="NRL110" s="91"/>
      <c r="NRM110" s="92"/>
      <c r="NRN110" s="92"/>
      <c r="NRO110" s="92"/>
      <c r="NRP110" s="92"/>
      <c r="NRQ110" s="92"/>
      <c r="NRR110" s="92"/>
      <c r="NRS110" s="92"/>
      <c r="NRT110" s="92"/>
      <c r="NRU110" s="92"/>
      <c r="NRV110" s="92"/>
      <c r="NRW110" s="92"/>
      <c r="NRX110" s="92"/>
      <c r="NRY110" s="92"/>
      <c r="NRZ110" s="92"/>
      <c r="NSA110" s="92"/>
      <c r="NSB110" s="92"/>
      <c r="NSC110" s="92"/>
      <c r="NSD110" s="92"/>
      <c r="NSE110" s="92"/>
      <c r="NSF110" s="92"/>
      <c r="NSG110" s="92"/>
      <c r="NSH110" s="91"/>
      <c r="NSI110" s="92"/>
      <c r="NSJ110" s="92"/>
      <c r="NSK110" s="92"/>
      <c r="NSL110" s="92"/>
      <c r="NSM110" s="92"/>
      <c r="NSN110" s="92"/>
      <c r="NSO110" s="92"/>
      <c r="NSP110" s="92"/>
      <c r="NSQ110" s="92"/>
      <c r="NSR110" s="92"/>
      <c r="NSS110" s="92"/>
      <c r="NST110" s="92"/>
      <c r="NSU110" s="92"/>
      <c r="NSV110" s="92"/>
      <c r="NSW110" s="92"/>
      <c r="NSX110" s="92"/>
      <c r="NSY110" s="92"/>
      <c r="NSZ110" s="92"/>
      <c r="NTA110" s="92"/>
      <c r="NTB110" s="92"/>
      <c r="NTC110" s="92"/>
      <c r="NTD110" s="91"/>
      <c r="NTE110" s="92"/>
      <c r="NTF110" s="92"/>
      <c r="NTG110" s="92"/>
      <c r="NTH110" s="92"/>
      <c r="NTI110" s="92"/>
      <c r="NTJ110" s="92"/>
      <c r="NTK110" s="92"/>
      <c r="NTL110" s="92"/>
      <c r="NTM110" s="92"/>
      <c r="NTN110" s="92"/>
      <c r="NTO110" s="92"/>
      <c r="NTP110" s="92"/>
      <c r="NTQ110" s="92"/>
      <c r="NTR110" s="92"/>
      <c r="NTS110" s="92"/>
      <c r="NTT110" s="92"/>
      <c r="NTU110" s="92"/>
      <c r="NTV110" s="92"/>
      <c r="NTW110" s="92"/>
      <c r="NTX110" s="92"/>
      <c r="NTY110" s="92"/>
      <c r="NTZ110" s="91"/>
      <c r="NUA110" s="92"/>
      <c r="NUB110" s="92"/>
      <c r="NUC110" s="92"/>
      <c r="NUD110" s="92"/>
      <c r="NUE110" s="92"/>
      <c r="NUF110" s="92"/>
      <c r="NUG110" s="92"/>
      <c r="NUH110" s="92"/>
      <c r="NUI110" s="92"/>
      <c r="NUJ110" s="92"/>
      <c r="NUK110" s="92"/>
      <c r="NUL110" s="92"/>
      <c r="NUM110" s="92"/>
      <c r="NUN110" s="92"/>
      <c r="NUO110" s="92"/>
      <c r="NUP110" s="92"/>
      <c r="NUQ110" s="92"/>
      <c r="NUR110" s="92"/>
      <c r="NUS110" s="92"/>
      <c r="NUT110" s="92"/>
      <c r="NUU110" s="92"/>
      <c r="NUV110" s="91"/>
      <c r="NUW110" s="92"/>
      <c r="NUX110" s="92"/>
      <c r="NUY110" s="92"/>
      <c r="NUZ110" s="92"/>
      <c r="NVA110" s="92"/>
      <c r="NVB110" s="92"/>
      <c r="NVC110" s="92"/>
      <c r="NVD110" s="92"/>
      <c r="NVE110" s="92"/>
      <c r="NVF110" s="92"/>
      <c r="NVG110" s="92"/>
      <c r="NVH110" s="92"/>
      <c r="NVI110" s="92"/>
      <c r="NVJ110" s="92"/>
      <c r="NVK110" s="92"/>
      <c r="NVL110" s="92"/>
      <c r="NVM110" s="92"/>
      <c r="NVN110" s="92"/>
      <c r="NVO110" s="92"/>
      <c r="NVP110" s="92"/>
      <c r="NVQ110" s="92"/>
      <c r="NVR110" s="91"/>
      <c r="NVS110" s="92"/>
      <c r="NVT110" s="92"/>
      <c r="NVU110" s="92"/>
      <c r="NVV110" s="92"/>
      <c r="NVW110" s="92"/>
      <c r="NVX110" s="92"/>
      <c r="NVY110" s="92"/>
      <c r="NVZ110" s="92"/>
      <c r="NWA110" s="92"/>
      <c r="NWB110" s="92"/>
      <c r="NWC110" s="92"/>
      <c r="NWD110" s="92"/>
      <c r="NWE110" s="92"/>
      <c r="NWF110" s="92"/>
      <c r="NWG110" s="92"/>
      <c r="NWH110" s="92"/>
      <c r="NWI110" s="92"/>
      <c r="NWJ110" s="92"/>
      <c r="NWK110" s="92"/>
      <c r="NWL110" s="92"/>
      <c r="NWM110" s="92"/>
      <c r="NWN110" s="91"/>
      <c r="NWO110" s="92"/>
      <c r="NWP110" s="92"/>
      <c r="NWQ110" s="92"/>
      <c r="NWR110" s="92"/>
      <c r="NWS110" s="92"/>
      <c r="NWT110" s="92"/>
      <c r="NWU110" s="92"/>
      <c r="NWV110" s="92"/>
      <c r="NWW110" s="92"/>
      <c r="NWX110" s="92"/>
      <c r="NWY110" s="92"/>
      <c r="NWZ110" s="92"/>
      <c r="NXA110" s="92"/>
      <c r="NXB110" s="92"/>
      <c r="NXC110" s="92"/>
      <c r="NXD110" s="92"/>
      <c r="NXE110" s="92"/>
      <c r="NXF110" s="92"/>
      <c r="NXG110" s="92"/>
      <c r="NXH110" s="92"/>
      <c r="NXI110" s="92"/>
      <c r="NXJ110" s="91"/>
      <c r="NXK110" s="92"/>
      <c r="NXL110" s="92"/>
      <c r="NXM110" s="92"/>
      <c r="NXN110" s="92"/>
      <c r="NXO110" s="92"/>
      <c r="NXP110" s="92"/>
      <c r="NXQ110" s="92"/>
      <c r="NXR110" s="92"/>
      <c r="NXS110" s="92"/>
      <c r="NXT110" s="92"/>
      <c r="NXU110" s="92"/>
      <c r="NXV110" s="92"/>
      <c r="NXW110" s="92"/>
      <c r="NXX110" s="92"/>
      <c r="NXY110" s="92"/>
      <c r="NXZ110" s="92"/>
      <c r="NYA110" s="92"/>
      <c r="NYB110" s="92"/>
      <c r="NYC110" s="92"/>
      <c r="NYD110" s="92"/>
      <c r="NYE110" s="92"/>
      <c r="NYF110" s="91"/>
      <c r="NYG110" s="92"/>
      <c r="NYH110" s="92"/>
      <c r="NYI110" s="92"/>
      <c r="NYJ110" s="92"/>
      <c r="NYK110" s="92"/>
      <c r="NYL110" s="92"/>
      <c r="NYM110" s="92"/>
      <c r="NYN110" s="92"/>
      <c r="NYO110" s="92"/>
      <c r="NYP110" s="92"/>
      <c r="NYQ110" s="92"/>
      <c r="NYR110" s="92"/>
      <c r="NYS110" s="92"/>
      <c r="NYT110" s="92"/>
      <c r="NYU110" s="92"/>
      <c r="NYV110" s="92"/>
      <c r="NYW110" s="92"/>
      <c r="NYX110" s="92"/>
      <c r="NYY110" s="92"/>
      <c r="NYZ110" s="92"/>
      <c r="NZA110" s="92"/>
      <c r="NZB110" s="91"/>
      <c r="NZC110" s="92"/>
      <c r="NZD110" s="92"/>
      <c r="NZE110" s="92"/>
      <c r="NZF110" s="92"/>
      <c r="NZG110" s="92"/>
      <c r="NZH110" s="92"/>
      <c r="NZI110" s="92"/>
      <c r="NZJ110" s="92"/>
      <c r="NZK110" s="92"/>
      <c r="NZL110" s="92"/>
      <c r="NZM110" s="92"/>
      <c r="NZN110" s="92"/>
      <c r="NZO110" s="92"/>
      <c r="NZP110" s="92"/>
      <c r="NZQ110" s="92"/>
      <c r="NZR110" s="92"/>
      <c r="NZS110" s="92"/>
      <c r="NZT110" s="92"/>
      <c r="NZU110" s="92"/>
      <c r="NZV110" s="92"/>
      <c r="NZW110" s="92"/>
      <c r="NZX110" s="91"/>
      <c r="NZY110" s="92"/>
      <c r="NZZ110" s="92"/>
      <c r="OAA110" s="92"/>
      <c r="OAB110" s="92"/>
      <c r="OAC110" s="92"/>
      <c r="OAD110" s="92"/>
      <c r="OAE110" s="92"/>
      <c r="OAF110" s="92"/>
      <c r="OAG110" s="92"/>
      <c r="OAH110" s="92"/>
      <c r="OAI110" s="92"/>
      <c r="OAJ110" s="92"/>
      <c r="OAK110" s="92"/>
      <c r="OAL110" s="92"/>
      <c r="OAM110" s="92"/>
      <c r="OAN110" s="92"/>
      <c r="OAO110" s="92"/>
      <c r="OAP110" s="92"/>
      <c r="OAQ110" s="92"/>
      <c r="OAR110" s="92"/>
      <c r="OAS110" s="92"/>
      <c r="OAT110" s="91"/>
      <c r="OAU110" s="92"/>
      <c r="OAV110" s="92"/>
      <c r="OAW110" s="92"/>
      <c r="OAX110" s="92"/>
      <c r="OAY110" s="92"/>
      <c r="OAZ110" s="92"/>
      <c r="OBA110" s="92"/>
      <c r="OBB110" s="92"/>
      <c r="OBC110" s="92"/>
      <c r="OBD110" s="92"/>
      <c r="OBE110" s="92"/>
      <c r="OBF110" s="92"/>
      <c r="OBG110" s="92"/>
      <c r="OBH110" s="92"/>
      <c r="OBI110" s="92"/>
      <c r="OBJ110" s="92"/>
      <c r="OBK110" s="92"/>
      <c r="OBL110" s="92"/>
      <c r="OBM110" s="92"/>
      <c r="OBN110" s="92"/>
      <c r="OBO110" s="92"/>
      <c r="OBP110" s="91"/>
      <c r="OBQ110" s="92"/>
      <c r="OBR110" s="92"/>
      <c r="OBS110" s="92"/>
      <c r="OBT110" s="92"/>
      <c r="OBU110" s="92"/>
      <c r="OBV110" s="92"/>
      <c r="OBW110" s="92"/>
      <c r="OBX110" s="92"/>
      <c r="OBY110" s="92"/>
      <c r="OBZ110" s="92"/>
      <c r="OCA110" s="92"/>
      <c r="OCB110" s="92"/>
      <c r="OCC110" s="92"/>
      <c r="OCD110" s="92"/>
      <c r="OCE110" s="92"/>
      <c r="OCF110" s="92"/>
      <c r="OCG110" s="92"/>
      <c r="OCH110" s="92"/>
      <c r="OCI110" s="92"/>
      <c r="OCJ110" s="92"/>
      <c r="OCK110" s="92"/>
      <c r="OCL110" s="91"/>
      <c r="OCM110" s="92"/>
      <c r="OCN110" s="92"/>
      <c r="OCO110" s="92"/>
      <c r="OCP110" s="92"/>
      <c r="OCQ110" s="92"/>
      <c r="OCR110" s="92"/>
      <c r="OCS110" s="92"/>
      <c r="OCT110" s="92"/>
      <c r="OCU110" s="92"/>
      <c r="OCV110" s="92"/>
      <c r="OCW110" s="92"/>
      <c r="OCX110" s="92"/>
      <c r="OCY110" s="92"/>
      <c r="OCZ110" s="92"/>
      <c r="ODA110" s="92"/>
      <c r="ODB110" s="92"/>
      <c r="ODC110" s="92"/>
      <c r="ODD110" s="92"/>
      <c r="ODE110" s="92"/>
      <c r="ODF110" s="92"/>
      <c r="ODG110" s="92"/>
      <c r="ODH110" s="91"/>
      <c r="ODI110" s="92"/>
      <c r="ODJ110" s="92"/>
      <c r="ODK110" s="92"/>
      <c r="ODL110" s="92"/>
      <c r="ODM110" s="92"/>
      <c r="ODN110" s="92"/>
      <c r="ODO110" s="92"/>
      <c r="ODP110" s="92"/>
      <c r="ODQ110" s="92"/>
      <c r="ODR110" s="92"/>
      <c r="ODS110" s="92"/>
      <c r="ODT110" s="92"/>
      <c r="ODU110" s="92"/>
      <c r="ODV110" s="92"/>
      <c r="ODW110" s="92"/>
      <c r="ODX110" s="92"/>
      <c r="ODY110" s="92"/>
      <c r="ODZ110" s="92"/>
      <c r="OEA110" s="92"/>
      <c r="OEB110" s="92"/>
      <c r="OEC110" s="92"/>
      <c r="OED110" s="91"/>
      <c r="OEE110" s="92"/>
      <c r="OEF110" s="92"/>
      <c r="OEG110" s="92"/>
      <c r="OEH110" s="92"/>
      <c r="OEI110" s="92"/>
      <c r="OEJ110" s="92"/>
      <c r="OEK110" s="92"/>
      <c r="OEL110" s="92"/>
      <c r="OEM110" s="92"/>
      <c r="OEN110" s="92"/>
      <c r="OEO110" s="92"/>
      <c r="OEP110" s="92"/>
      <c r="OEQ110" s="92"/>
      <c r="OER110" s="92"/>
      <c r="OES110" s="92"/>
      <c r="OET110" s="92"/>
      <c r="OEU110" s="92"/>
      <c r="OEV110" s="92"/>
      <c r="OEW110" s="92"/>
      <c r="OEX110" s="92"/>
      <c r="OEY110" s="92"/>
      <c r="OEZ110" s="91"/>
      <c r="OFA110" s="92"/>
      <c r="OFB110" s="92"/>
      <c r="OFC110" s="92"/>
      <c r="OFD110" s="92"/>
      <c r="OFE110" s="92"/>
      <c r="OFF110" s="92"/>
      <c r="OFG110" s="92"/>
      <c r="OFH110" s="92"/>
      <c r="OFI110" s="92"/>
      <c r="OFJ110" s="92"/>
      <c r="OFK110" s="92"/>
      <c r="OFL110" s="92"/>
      <c r="OFM110" s="92"/>
      <c r="OFN110" s="92"/>
      <c r="OFO110" s="92"/>
      <c r="OFP110" s="92"/>
      <c r="OFQ110" s="92"/>
      <c r="OFR110" s="92"/>
      <c r="OFS110" s="92"/>
      <c r="OFT110" s="92"/>
      <c r="OFU110" s="92"/>
      <c r="OFV110" s="91"/>
      <c r="OFW110" s="92"/>
      <c r="OFX110" s="92"/>
      <c r="OFY110" s="92"/>
      <c r="OFZ110" s="92"/>
      <c r="OGA110" s="92"/>
      <c r="OGB110" s="92"/>
      <c r="OGC110" s="92"/>
      <c r="OGD110" s="92"/>
      <c r="OGE110" s="92"/>
      <c r="OGF110" s="92"/>
      <c r="OGG110" s="92"/>
      <c r="OGH110" s="92"/>
      <c r="OGI110" s="92"/>
      <c r="OGJ110" s="92"/>
      <c r="OGK110" s="92"/>
      <c r="OGL110" s="92"/>
      <c r="OGM110" s="92"/>
      <c r="OGN110" s="92"/>
      <c r="OGO110" s="92"/>
      <c r="OGP110" s="92"/>
      <c r="OGQ110" s="92"/>
      <c r="OGR110" s="91"/>
      <c r="OGS110" s="92"/>
      <c r="OGT110" s="92"/>
      <c r="OGU110" s="92"/>
      <c r="OGV110" s="92"/>
      <c r="OGW110" s="92"/>
      <c r="OGX110" s="92"/>
      <c r="OGY110" s="92"/>
      <c r="OGZ110" s="92"/>
      <c r="OHA110" s="92"/>
      <c r="OHB110" s="92"/>
      <c r="OHC110" s="92"/>
      <c r="OHD110" s="92"/>
      <c r="OHE110" s="92"/>
      <c r="OHF110" s="92"/>
      <c r="OHG110" s="92"/>
      <c r="OHH110" s="92"/>
      <c r="OHI110" s="92"/>
      <c r="OHJ110" s="92"/>
      <c r="OHK110" s="92"/>
      <c r="OHL110" s="92"/>
      <c r="OHM110" s="92"/>
      <c r="OHN110" s="91"/>
      <c r="OHO110" s="92"/>
      <c r="OHP110" s="92"/>
      <c r="OHQ110" s="92"/>
      <c r="OHR110" s="92"/>
      <c r="OHS110" s="92"/>
      <c r="OHT110" s="92"/>
      <c r="OHU110" s="92"/>
      <c r="OHV110" s="92"/>
      <c r="OHW110" s="92"/>
      <c r="OHX110" s="92"/>
      <c r="OHY110" s="92"/>
      <c r="OHZ110" s="92"/>
      <c r="OIA110" s="92"/>
      <c r="OIB110" s="92"/>
      <c r="OIC110" s="92"/>
      <c r="OID110" s="92"/>
      <c r="OIE110" s="92"/>
      <c r="OIF110" s="92"/>
      <c r="OIG110" s="92"/>
      <c r="OIH110" s="92"/>
      <c r="OII110" s="92"/>
      <c r="OIJ110" s="91"/>
      <c r="OIK110" s="92"/>
      <c r="OIL110" s="92"/>
      <c r="OIM110" s="92"/>
      <c r="OIN110" s="92"/>
      <c r="OIO110" s="92"/>
      <c r="OIP110" s="92"/>
      <c r="OIQ110" s="92"/>
      <c r="OIR110" s="92"/>
      <c r="OIS110" s="92"/>
      <c r="OIT110" s="92"/>
      <c r="OIU110" s="92"/>
      <c r="OIV110" s="92"/>
      <c r="OIW110" s="92"/>
      <c r="OIX110" s="92"/>
      <c r="OIY110" s="92"/>
      <c r="OIZ110" s="92"/>
      <c r="OJA110" s="92"/>
      <c r="OJB110" s="92"/>
      <c r="OJC110" s="92"/>
      <c r="OJD110" s="92"/>
      <c r="OJE110" s="92"/>
      <c r="OJF110" s="91"/>
      <c r="OJG110" s="92"/>
      <c r="OJH110" s="92"/>
      <c r="OJI110" s="92"/>
      <c r="OJJ110" s="92"/>
      <c r="OJK110" s="92"/>
      <c r="OJL110" s="92"/>
      <c r="OJM110" s="92"/>
      <c r="OJN110" s="92"/>
      <c r="OJO110" s="92"/>
      <c r="OJP110" s="92"/>
      <c r="OJQ110" s="92"/>
      <c r="OJR110" s="92"/>
      <c r="OJS110" s="92"/>
      <c r="OJT110" s="92"/>
      <c r="OJU110" s="92"/>
      <c r="OJV110" s="92"/>
      <c r="OJW110" s="92"/>
      <c r="OJX110" s="92"/>
      <c r="OJY110" s="92"/>
      <c r="OJZ110" s="92"/>
      <c r="OKA110" s="92"/>
      <c r="OKB110" s="91"/>
      <c r="OKC110" s="92"/>
      <c r="OKD110" s="92"/>
      <c r="OKE110" s="92"/>
      <c r="OKF110" s="92"/>
      <c r="OKG110" s="92"/>
      <c r="OKH110" s="92"/>
      <c r="OKI110" s="92"/>
      <c r="OKJ110" s="92"/>
      <c r="OKK110" s="92"/>
      <c r="OKL110" s="92"/>
      <c r="OKM110" s="92"/>
      <c r="OKN110" s="92"/>
      <c r="OKO110" s="92"/>
      <c r="OKP110" s="92"/>
      <c r="OKQ110" s="92"/>
      <c r="OKR110" s="92"/>
      <c r="OKS110" s="92"/>
      <c r="OKT110" s="92"/>
      <c r="OKU110" s="92"/>
      <c r="OKV110" s="92"/>
      <c r="OKW110" s="92"/>
      <c r="OKX110" s="91"/>
      <c r="OKY110" s="92"/>
      <c r="OKZ110" s="92"/>
      <c r="OLA110" s="92"/>
      <c r="OLB110" s="92"/>
      <c r="OLC110" s="92"/>
      <c r="OLD110" s="92"/>
      <c r="OLE110" s="92"/>
      <c r="OLF110" s="92"/>
      <c r="OLG110" s="92"/>
      <c r="OLH110" s="92"/>
      <c r="OLI110" s="92"/>
      <c r="OLJ110" s="92"/>
      <c r="OLK110" s="92"/>
      <c r="OLL110" s="92"/>
      <c r="OLM110" s="92"/>
      <c r="OLN110" s="92"/>
      <c r="OLO110" s="92"/>
      <c r="OLP110" s="92"/>
      <c r="OLQ110" s="92"/>
      <c r="OLR110" s="92"/>
      <c r="OLS110" s="92"/>
      <c r="OLT110" s="91"/>
      <c r="OLU110" s="92"/>
      <c r="OLV110" s="92"/>
      <c r="OLW110" s="92"/>
      <c r="OLX110" s="92"/>
      <c r="OLY110" s="92"/>
      <c r="OLZ110" s="92"/>
      <c r="OMA110" s="92"/>
      <c r="OMB110" s="92"/>
      <c r="OMC110" s="92"/>
      <c r="OMD110" s="92"/>
      <c r="OME110" s="92"/>
      <c r="OMF110" s="92"/>
      <c r="OMG110" s="92"/>
      <c r="OMH110" s="92"/>
      <c r="OMI110" s="92"/>
      <c r="OMJ110" s="92"/>
      <c r="OMK110" s="92"/>
      <c r="OML110" s="92"/>
      <c r="OMM110" s="92"/>
      <c r="OMN110" s="92"/>
      <c r="OMO110" s="92"/>
      <c r="OMP110" s="91"/>
      <c r="OMQ110" s="92"/>
      <c r="OMR110" s="92"/>
      <c r="OMS110" s="92"/>
      <c r="OMT110" s="92"/>
      <c r="OMU110" s="92"/>
      <c r="OMV110" s="92"/>
      <c r="OMW110" s="92"/>
      <c r="OMX110" s="92"/>
      <c r="OMY110" s="92"/>
      <c r="OMZ110" s="92"/>
      <c r="ONA110" s="92"/>
      <c r="ONB110" s="92"/>
      <c r="ONC110" s="92"/>
      <c r="OND110" s="92"/>
      <c r="ONE110" s="92"/>
      <c r="ONF110" s="92"/>
      <c r="ONG110" s="92"/>
      <c r="ONH110" s="92"/>
      <c r="ONI110" s="92"/>
      <c r="ONJ110" s="92"/>
      <c r="ONK110" s="92"/>
      <c r="ONL110" s="91"/>
      <c r="ONM110" s="92"/>
      <c r="ONN110" s="92"/>
      <c r="ONO110" s="92"/>
      <c r="ONP110" s="92"/>
      <c r="ONQ110" s="92"/>
      <c r="ONR110" s="92"/>
      <c r="ONS110" s="92"/>
      <c r="ONT110" s="92"/>
      <c r="ONU110" s="92"/>
      <c r="ONV110" s="92"/>
      <c r="ONW110" s="92"/>
      <c r="ONX110" s="92"/>
      <c r="ONY110" s="92"/>
      <c r="ONZ110" s="92"/>
      <c r="OOA110" s="92"/>
      <c r="OOB110" s="92"/>
      <c r="OOC110" s="92"/>
      <c r="OOD110" s="92"/>
      <c r="OOE110" s="92"/>
      <c r="OOF110" s="92"/>
      <c r="OOG110" s="92"/>
      <c r="OOH110" s="91"/>
      <c r="OOI110" s="92"/>
      <c r="OOJ110" s="92"/>
      <c r="OOK110" s="92"/>
      <c r="OOL110" s="92"/>
      <c r="OOM110" s="92"/>
      <c r="OON110" s="92"/>
      <c r="OOO110" s="92"/>
      <c r="OOP110" s="92"/>
      <c r="OOQ110" s="92"/>
      <c r="OOR110" s="92"/>
      <c r="OOS110" s="92"/>
      <c r="OOT110" s="92"/>
      <c r="OOU110" s="92"/>
      <c r="OOV110" s="92"/>
      <c r="OOW110" s="92"/>
      <c r="OOX110" s="92"/>
      <c r="OOY110" s="92"/>
      <c r="OOZ110" s="92"/>
      <c r="OPA110" s="92"/>
      <c r="OPB110" s="92"/>
      <c r="OPC110" s="92"/>
      <c r="OPD110" s="91"/>
      <c r="OPE110" s="92"/>
      <c r="OPF110" s="92"/>
      <c r="OPG110" s="92"/>
      <c r="OPH110" s="92"/>
      <c r="OPI110" s="92"/>
      <c r="OPJ110" s="92"/>
      <c r="OPK110" s="92"/>
      <c r="OPL110" s="92"/>
      <c r="OPM110" s="92"/>
      <c r="OPN110" s="92"/>
      <c r="OPO110" s="92"/>
      <c r="OPP110" s="92"/>
      <c r="OPQ110" s="92"/>
      <c r="OPR110" s="92"/>
      <c r="OPS110" s="92"/>
      <c r="OPT110" s="92"/>
      <c r="OPU110" s="92"/>
      <c r="OPV110" s="92"/>
      <c r="OPW110" s="92"/>
      <c r="OPX110" s="92"/>
      <c r="OPY110" s="92"/>
      <c r="OPZ110" s="91"/>
      <c r="OQA110" s="92"/>
      <c r="OQB110" s="92"/>
      <c r="OQC110" s="92"/>
      <c r="OQD110" s="92"/>
      <c r="OQE110" s="92"/>
      <c r="OQF110" s="92"/>
      <c r="OQG110" s="92"/>
      <c r="OQH110" s="92"/>
      <c r="OQI110" s="92"/>
      <c r="OQJ110" s="92"/>
      <c r="OQK110" s="92"/>
      <c r="OQL110" s="92"/>
      <c r="OQM110" s="92"/>
      <c r="OQN110" s="92"/>
      <c r="OQO110" s="92"/>
      <c r="OQP110" s="92"/>
      <c r="OQQ110" s="92"/>
      <c r="OQR110" s="92"/>
      <c r="OQS110" s="92"/>
      <c r="OQT110" s="92"/>
      <c r="OQU110" s="92"/>
      <c r="OQV110" s="91"/>
      <c r="OQW110" s="92"/>
      <c r="OQX110" s="92"/>
      <c r="OQY110" s="92"/>
      <c r="OQZ110" s="92"/>
      <c r="ORA110" s="92"/>
      <c r="ORB110" s="92"/>
      <c r="ORC110" s="92"/>
      <c r="ORD110" s="92"/>
      <c r="ORE110" s="92"/>
      <c r="ORF110" s="92"/>
      <c r="ORG110" s="92"/>
      <c r="ORH110" s="92"/>
      <c r="ORI110" s="92"/>
      <c r="ORJ110" s="92"/>
      <c r="ORK110" s="92"/>
      <c r="ORL110" s="92"/>
      <c r="ORM110" s="92"/>
      <c r="ORN110" s="92"/>
      <c r="ORO110" s="92"/>
      <c r="ORP110" s="92"/>
      <c r="ORQ110" s="92"/>
      <c r="ORR110" s="91"/>
      <c r="ORS110" s="92"/>
      <c r="ORT110" s="92"/>
      <c r="ORU110" s="92"/>
      <c r="ORV110" s="92"/>
      <c r="ORW110" s="92"/>
      <c r="ORX110" s="92"/>
      <c r="ORY110" s="92"/>
      <c r="ORZ110" s="92"/>
      <c r="OSA110" s="92"/>
      <c r="OSB110" s="92"/>
      <c r="OSC110" s="92"/>
      <c r="OSD110" s="92"/>
      <c r="OSE110" s="92"/>
      <c r="OSF110" s="92"/>
      <c r="OSG110" s="92"/>
      <c r="OSH110" s="92"/>
      <c r="OSI110" s="92"/>
      <c r="OSJ110" s="92"/>
      <c r="OSK110" s="92"/>
      <c r="OSL110" s="92"/>
      <c r="OSM110" s="92"/>
      <c r="OSN110" s="91"/>
      <c r="OSO110" s="92"/>
      <c r="OSP110" s="92"/>
      <c r="OSQ110" s="92"/>
      <c r="OSR110" s="92"/>
      <c r="OSS110" s="92"/>
      <c r="OST110" s="92"/>
      <c r="OSU110" s="92"/>
      <c r="OSV110" s="92"/>
      <c r="OSW110" s="92"/>
      <c r="OSX110" s="92"/>
      <c r="OSY110" s="92"/>
      <c r="OSZ110" s="92"/>
      <c r="OTA110" s="92"/>
      <c r="OTB110" s="92"/>
      <c r="OTC110" s="92"/>
      <c r="OTD110" s="92"/>
      <c r="OTE110" s="92"/>
      <c r="OTF110" s="92"/>
      <c r="OTG110" s="92"/>
      <c r="OTH110" s="92"/>
      <c r="OTI110" s="92"/>
      <c r="OTJ110" s="91"/>
      <c r="OTK110" s="92"/>
      <c r="OTL110" s="92"/>
      <c r="OTM110" s="92"/>
      <c r="OTN110" s="92"/>
      <c r="OTO110" s="92"/>
      <c r="OTP110" s="92"/>
      <c r="OTQ110" s="92"/>
      <c r="OTR110" s="92"/>
      <c r="OTS110" s="92"/>
      <c r="OTT110" s="92"/>
      <c r="OTU110" s="92"/>
      <c r="OTV110" s="92"/>
      <c r="OTW110" s="92"/>
      <c r="OTX110" s="92"/>
      <c r="OTY110" s="92"/>
      <c r="OTZ110" s="92"/>
      <c r="OUA110" s="92"/>
      <c r="OUB110" s="92"/>
      <c r="OUC110" s="92"/>
      <c r="OUD110" s="92"/>
      <c r="OUE110" s="92"/>
      <c r="OUF110" s="91"/>
      <c r="OUG110" s="92"/>
      <c r="OUH110" s="92"/>
      <c r="OUI110" s="92"/>
      <c r="OUJ110" s="92"/>
      <c r="OUK110" s="92"/>
      <c r="OUL110" s="92"/>
      <c r="OUM110" s="92"/>
      <c r="OUN110" s="92"/>
      <c r="OUO110" s="92"/>
      <c r="OUP110" s="92"/>
      <c r="OUQ110" s="92"/>
      <c r="OUR110" s="92"/>
      <c r="OUS110" s="92"/>
      <c r="OUT110" s="92"/>
      <c r="OUU110" s="92"/>
      <c r="OUV110" s="92"/>
      <c r="OUW110" s="92"/>
      <c r="OUX110" s="92"/>
      <c r="OUY110" s="92"/>
      <c r="OUZ110" s="92"/>
      <c r="OVA110" s="92"/>
      <c r="OVB110" s="91"/>
      <c r="OVC110" s="92"/>
      <c r="OVD110" s="92"/>
      <c r="OVE110" s="92"/>
      <c r="OVF110" s="92"/>
      <c r="OVG110" s="92"/>
      <c r="OVH110" s="92"/>
      <c r="OVI110" s="92"/>
      <c r="OVJ110" s="92"/>
      <c r="OVK110" s="92"/>
      <c r="OVL110" s="92"/>
      <c r="OVM110" s="92"/>
      <c r="OVN110" s="92"/>
      <c r="OVO110" s="92"/>
      <c r="OVP110" s="92"/>
      <c r="OVQ110" s="92"/>
      <c r="OVR110" s="92"/>
      <c r="OVS110" s="92"/>
      <c r="OVT110" s="92"/>
      <c r="OVU110" s="92"/>
      <c r="OVV110" s="92"/>
      <c r="OVW110" s="92"/>
      <c r="OVX110" s="91"/>
      <c r="OVY110" s="92"/>
      <c r="OVZ110" s="92"/>
      <c r="OWA110" s="92"/>
      <c r="OWB110" s="92"/>
      <c r="OWC110" s="92"/>
      <c r="OWD110" s="92"/>
      <c r="OWE110" s="92"/>
      <c r="OWF110" s="92"/>
      <c r="OWG110" s="92"/>
      <c r="OWH110" s="92"/>
      <c r="OWI110" s="92"/>
      <c r="OWJ110" s="92"/>
      <c r="OWK110" s="92"/>
      <c r="OWL110" s="92"/>
      <c r="OWM110" s="92"/>
      <c r="OWN110" s="92"/>
      <c r="OWO110" s="92"/>
      <c r="OWP110" s="92"/>
      <c r="OWQ110" s="92"/>
      <c r="OWR110" s="92"/>
      <c r="OWS110" s="92"/>
      <c r="OWT110" s="91"/>
      <c r="OWU110" s="92"/>
      <c r="OWV110" s="92"/>
      <c r="OWW110" s="92"/>
      <c r="OWX110" s="92"/>
      <c r="OWY110" s="92"/>
      <c r="OWZ110" s="92"/>
      <c r="OXA110" s="92"/>
      <c r="OXB110" s="92"/>
      <c r="OXC110" s="92"/>
      <c r="OXD110" s="92"/>
      <c r="OXE110" s="92"/>
      <c r="OXF110" s="92"/>
      <c r="OXG110" s="92"/>
      <c r="OXH110" s="92"/>
      <c r="OXI110" s="92"/>
      <c r="OXJ110" s="92"/>
      <c r="OXK110" s="92"/>
      <c r="OXL110" s="92"/>
      <c r="OXM110" s="92"/>
      <c r="OXN110" s="92"/>
      <c r="OXO110" s="92"/>
      <c r="OXP110" s="91"/>
      <c r="OXQ110" s="92"/>
      <c r="OXR110" s="92"/>
      <c r="OXS110" s="92"/>
      <c r="OXT110" s="92"/>
      <c r="OXU110" s="92"/>
      <c r="OXV110" s="92"/>
      <c r="OXW110" s="92"/>
      <c r="OXX110" s="92"/>
      <c r="OXY110" s="92"/>
      <c r="OXZ110" s="92"/>
      <c r="OYA110" s="92"/>
      <c r="OYB110" s="92"/>
      <c r="OYC110" s="92"/>
      <c r="OYD110" s="92"/>
      <c r="OYE110" s="92"/>
      <c r="OYF110" s="92"/>
      <c r="OYG110" s="92"/>
      <c r="OYH110" s="92"/>
      <c r="OYI110" s="92"/>
      <c r="OYJ110" s="92"/>
      <c r="OYK110" s="92"/>
      <c r="OYL110" s="91"/>
      <c r="OYM110" s="92"/>
      <c r="OYN110" s="92"/>
      <c r="OYO110" s="92"/>
      <c r="OYP110" s="92"/>
      <c r="OYQ110" s="92"/>
      <c r="OYR110" s="92"/>
      <c r="OYS110" s="92"/>
      <c r="OYT110" s="92"/>
      <c r="OYU110" s="92"/>
      <c r="OYV110" s="92"/>
      <c r="OYW110" s="92"/>
      <c r="OYX110" s="92"/>
      <c r="OYY110" s="92"/>
      <c r="OYZ110" s="92"/>
      <c r="OZA110" s="92"/>
      <c r="OZB110" s="92"/>
      <c r="OZC110" s="92"/>
      <c r="OZD110" s="92"/>
      <c r="OZE110" s="92"/>
      <c r="OZF110" s="92"/>
      <c r="OZG110" s="92"/>
      <c r="OZH110" s="91"/>
      <c r="OZI110" s="92"/>
      <c r="OZJ110" s="92"/>
      <c r="OZK110" s="92"/>
      <c r="OZL110" s="92"/>
      <c r="OZM110" s="92"/>
      <c r="OZN110" s="92"/>
      <c r="OZO110" s="92"/>
      <c r="OZP110" s="92"/>
      <c r="OZQ110" s="92"/>
      <c r="OZR110" s="92"/>
      <c r="OZS110" s="92"/>
      <c r="OZT110" s="92"/>
      <c r="OZU110" s="92"/>
      <c r="OZV110" s="92"/>
      <c r="OZW110" s="92"/>
      <c r="OZX110" s="92"/>
      <c r="OZY110" s="92"/>
      <c r="OZZ110" s="92"/>
      <c r="PAA110" s="92"/>
      <c r="PAB110" s="92"/>
      <c r="PAC110" s="92"/>
      <c r="PAD110" s="91"/>
      <c r="PAE110" s="92"/>
      <c r="PAF110" s="92"/>
      <c r="PAG110" s="92"/>
      <c r="PAH110" s="92"/>
      <c r="PAI110" s="92"/>
      <c r="PAJ110" s="92"/>
      <c r="PAK110" s="92"/>
      <c r="PAL110" s="92"/>
      <c r="PAM110" s="92"/>
      <c r="PAN110" s="92"/>
      <c r="PAO110" s="92"/>
      <c r="PAP110" s="92"/>
      <c r="PAQ110" s="92"/>
      <c r="PAR110" s="92"/>
      <c r="PAS110" s="92"/>
      <c r="PAT110" s="92"/>
      <c r="PAU110" s="92"/>
      <c r="PAV110" s="92"/>
      <c r="PAW110" s="92"/>
      <c r="PAX110" s="92"/>
      <c r="PAY110" s="92"/>
      <c r="PAZ110" s="91"/>
      <c r="PBA110" s="92"/>
      <c r="PBB110" s="92"/>
      <c r="PBC110" s="92"/>
      <c r="PBD110" s="92"/>
      <c r="PBE110" s="92"/>
      <c r="PBF110" s="92"/>
      <c r="PBG110" s="92"/>
      <c r="PBH110" s="92"/>
      <c r="PBI110" s="92"/>
      <c r="PBJ110" s="92"/>
      <c r="PBK110" s="92"/>
      <c r="PBL110" s="92"/>
      <c r="PBM110" s="92"/>
      <c r="PBN110" s="92"/>
      <c r="PBO110" s="92"/>
      <c r="PBP110" s="92"/>
      <c r="PBQ110" s="92"/>
      <c r="PBR110" s="92"/>
      <c r="PBS110" s="92"/>
      <c r="PBT110" s="92"/>
      <c r="PBU110" s="92"/>
      <c r="PBV110" s="91"/>
      <c r="PBW110" s="92"/>
      <c r="PBX110" s="92"/>
      <c r="PBY110" s="92"/>
      <c r="PBZ110" s="92"/>
      <c r="PCA110" s="92"/>
      <c r="PCB110" s="92"/>
      <c r="PCC110" s="92"/>
      <c r="PCD110" s="92"/>
      <c r="PCE110" s="92"/>
      <c r="PCF110" s="92"/>
      <c r="PCG110" s="92"/>
      <c r="PCH110" s="92"/>
      <c r="PCI110" s="92"/>
      <c r="PCJ110" s="92"/>
      <c r="PCK110" s="92"/>
      <c r="PCL110" s="92"/>
      <c r="PCM110" s="92"/>
      <c r="PCN110" s="92"/>
      <c r="PCO110" s="92"/>
      <c r="PCP110" s="92"/>
      <c r="PCQ110" s="92"/>
      <c r="PCR110" s="91"/>
      <c r="PCS110" s="92"/>
      <c r="PCT110" s="92"/>
      <c r="PCU110" s="92"/>
      <c r="PCV110" s="92"/>
      <c r="PCW110" s="92"/>
      <c r="PCX110" s="92"/>
      <c r="PCY110" s="92"/>
      <c r="PCZ110" s="92"/>
      <c r="PDA110" s="92"/>
      <c r="PDB110" s="92"/>
      <c r="PDC110" s="92"/>
      <c r="PDD110" s="92"/>
      <c r="PDE110" s="92"/>
      <c r="PDF110" s="92"/>
      <c r="PDG110" s="92"/>
      <c r="PDH110" s="92"/>
      <c r="PDI110" s="92"/>
      <c r="PDJ110" s="92"/>
      <c r="PDK110" s="92"/>
      <c r="PDL110" s="92"/>
      <c r="PDM110" s="92"/>
      <c r="PDN110" s="91"/>
      <c r="PDO110" s="92"/>
      <c r="PDP110" s="92"/>
      <c r="PDQ110" s="92"/>
      <c r="PDR110" s="92"/>
      <c r="PDS110" s="92"/>
      <c r="PDT110" s="92"/>
      <c r="PDU110" s="92"/>
      <c r="PDV110" s="92"/>
      <c r="PDW110" s="92"/>
      <c r="PDX110" s="92"/>
      <c r="PDY110" s="92"/>
      <c r="PDZ110" s="92"/>
      <c r="PEA110" s="92"/>
      <c r="PEB110" s="92"/>
      <c r="PEC110" s="92"/>
      <c r="PED110" s="92"/>
      <c r="PEE110" s="92"/>
      <c r="PEF110" s="92"/>
      <c r="PEG110" s="92"/>
      <c r="PEH110" s="92"/>
      <c r="PEI110" s="92"/>
      <c r="PEJ110" s="91"/>
      <c r="PEK110" s="92"/>
      <c r="PEL110" s="92"/>
      <c r="PEM110" s="92"/>
      <c r="PEN110" s="92"/>
      <c r="PEO110" s="92"/>
      <c r="PEP110" s="92"/>
      <c r="PEQ110" s="92"/>
      <c r="PER110" s="92"/>
      <c r="PES110" s="92"/>
      <c r="PET110" s="92"/>
      <c r="PEU110" s="92"/>
      <c r="PEV110" s="92"/>
      <c r="PEW110" s="92"/>
      <c r="PEX110" s="92"/>
      <c r="PEY110" s="92"/>
      <c r="PEZ110" s="92"/>
      <c r="PFA110" s="92"/>
      <c r="PFB110" s="92"/>
      <c r="PFC110" s="92"/>
      <c r="PFD110" s="92"/>
      <c r="PFE110" s="92"/>
      <c r="PFF110" s="91"/>
      <c r="PFG110" s="92"/>
      <c r="PFH110" s="92"/>
      <c r="PFI110" s="92"/>
      <c r="PFJ110" s="92"/>
      <c r="PFK110" s="92"/>
      <c r="PFL110" s="92"/>
      <c r="PFM110" s="92"/>
      <c r="PFN110" s="92"/>
      <c r="PFO110" s="92"/>
      <c r="PFP110" s="92"/>
      <c r="PFQ110" s="92"/>
      <c r="PFR110" s="92"/>
      <c r="PFS110" s="92"/>
      <c r="PFT110" s="92"/>
      <c r="PFU110" s="92"/>
      <c r="PFV110" s="92"/>
      <c r="PFW110" s="92"/>
      <c r="PFX110" s="92"/>
      <c r="PFY110" s="92"/>
      <c r="PFZ110" s="92"/>
      <c r="PGA110" s="92"/>
      <c r="PGB110" s="91"/>
      <c r="PGC110" s="92"/>
      <c r="PGD110" s="92"/>
      <c r="PGE110" s="92"/>
      <c r="PGF110" s="92"/>
      <c r="PGG110" s="92"/>
      <c r="PGH110" s="92"/>
      <c r="PGI110" s="92"/>
      <c r="PGJ110" s="92"/>
      <c r="PGK110" s="92"/>
      <c r="PGL110" s="92"/>
      <c r="PGM110" s="92"/>
      <c r="PGN110" s="92"/>
      <c r="PGO110" s="92"/>
      <c r="PGP110" s="92"/>
      <c r="PGQ110" s="92"/>
      <c r="PGR110" s="92"/>
      <c r="PGS110" s="92"/>
      <c r="PGT110" s="92"/>
      <c r="PGU110" s="92"/>
      <c r="PGV110" s="92"/>
      <c r="PGW110" s="92"/>
      <c r="PGX110" s="91"/>
      <c r="PGY110" s="92"/>
      <c r="PGZ110" s="92"/>
      <c r="PHA110" s="92"/>
      <c r="PHB110" s="92"/>
      <c r="PHC110" s="92"/>
      <c r="PHD110" s="92"/>
      <c r="PHE110" s="92"/>
      <c r="PHF110" s="92"/>
      <c r="PHG110" s="92"/>
      <c r="PHH110" s="92"/>
      <c r="PHI110" s="92"/>
      <c r="PHJ110" s="92"/>
      <c r="PHK110" s="92"/>
      <c r="PHL110" s="92"/>
      <c r="PHM110" s="92"/>
      <c r="PHN110" s="92"/>
      <c r="PHO110" s="92"/>
      <c r="PHP110" s="92"/>
      <c r="PHQ110" s="92"/>
      <c r="PHR110" s="92"/>
      <c r="PHS110" s="92"/>
      <c r="PHT110" s="91"/>
      <c r="PHU110" s="92"/>
      <c r="PHV110" s="92"/>
      <c r="PHW110" s="92"/>
      <c r="PHX110" s="92"/>
      <c r="PHY110" s="92"/>
      <c r="PHZ110" s="92"/>
      <c r="PIA110" s="92"/>
      <c r="PIB110" s="92"/>
      <c r="PIC110" s="92"/>
      <c r="PID110" s="92"/>
      <c r="PIE110" s="92"/>
      <c r="PIF110" s="92"/>
      <c r="PIG110" s="92"/>
      <c r="PIH110" s="92"/>
      <c r="PII110" s="92"/>
      <c r="PIJ110" s="92"/>
      <c r="PIK110" s="92"/>
      <c r="PIL110" s="92"/>
      <c r="PIM110" s="92"/>
      <c r="PIN110" s="92"/>
      <c r="PIO110" s="92"/>
      <c r="PIP110" s="91"/>
      <c r="PIQ110" s="92"/>
      <c r="PIR110" s="92"/>
      <c r="PIS110" s="92"/>
      <c r="PIT110" s="92"/>
      <c r="PIU110" s="92"/>
      <c r="PIV110" s="92"/>
      <c r="PIW110" s="92"/>
      <c r="PIX110" s="92"/>
      <c r="PIY110" s="92"/>
      <c r="PIZ110" s="92"/>
      <c r="PJA110" s="92"/>
      <c r="PJB110" s="92"/>
      <c r="PJC110" s="92"/>
      <c r="PJD110" s="92"/>
      <c r="PJE110" s="92"/>
      <c r="PJF110" s="92"/>
      <c r="PJG110" s="92"/>
      <c r="PJH110" s="92"/>
      <c r="PJI110" s="92"/>
      <c r="PJJ110" s="92"/>
      <c r="PJK110" s="92"/>
      <c r="PJL110" s="91"/>
      <c r="PJM110" s="92"/>
      <c r="PJN110" s="92"/>
      <c r="PJO110" s="92"/>
      <c r="PJP110" s="92"/>
      <c r="PJQ110" s="92"/>
      <c r="PJR110" s="92"/>
      <c r="PJS110" s="92"/>
      <c r="PJT110" s="92"/>
      <c r="PJU110" s="92"/>
      <c r="PJV110" s="92"/>
      <c r="PJW110" s="92"/>
      <c r="PJX110" s="92"/>
      <c r="PJY110" s="92"/>
      <c r="PJZ110" s="92"/>
      <c r="PKA110" s="92"/>
      <c r="PKB110" s="92"/>
      <c r="PKC110" s="92"/>
      <c r="PKD110" s="92"/>
      <c r="PKE110" s="92"/>
      <c r="PKF110" s="92"/>
      <c r="PKG110" s="92"/>
      <c r="PKH110" s="91"/>
      <c r="PKI110" s="92"/>
      <c r="PKJ110" s="92"/>
      <c r="PKK110" s="92"/>
      <c r="PKL110" s="92"/>
      <c r="PKM110" s="92"/>
      <c r="PKN110" s="92"/>
      <c r="PKO110" s="92"/>
      <c r="PKP110" s="92"/>
      <c r="PKQ110" s="92"/>
      <c r="PKR110" s="92"/>
      <c r="PKS110" s="92"/>
      <c r="PKT110" s="92"/>
      <c r="PKU110" s="92"/>
      <c r="PKV110" s="92"/>
      <c r="PKW110" s="92"/>
      <c r="PKX110" s="92"/>
      <c r="PKY110" s="92"/>
      <c r="PKZ110" s="92"/>
      <c r="PLA110" s="92"/>
      <c r="PLB110" s="92"/>
      <c r="PLC110" s="92"/>
      <c r="PLD110" s="91"/>
      <c r="PLE110" s="92"/>
      <c r="PLF110" s="92"/>
      <c r="PLG110" s="92"/>
      <c r="PLH110" s="92"/>
      <c r="PLI110" s="92"/>
      <c r="PLJ110" s="92"/>
      <c r="PLK110" s="92"/>
      <c r="PLL110" s="92"/>
      <c r="PLM110" s="92"/>
      <c r="PLN110" s="92"/>
      <c r="PLO110" s="92"/>
      <c r="PLP110" s="92"/>
      <c r="PLQ110" s="92"/>
      <c r="PLR110" s="92"/>
      <c r="PLS110" s="92"/>
      <c r="PLT110" s="92"/>
      <c r="PLU110" s="92"/>
      <c r="PLV110" s="92"/>
      <c r="PLW110" s="92"/>
      <c r="PLX110" s="92"/>
      <c r="PLY110" s="92"/>
      <c r="PLZ110" s="91"/>
      <c r="PMA110" s="92"/>
      <c r="PMB110" s="92"/>
      <c r="PMC110" s="92"/>
      <c r="PMD110" s="92"/>
      <c r="PME110" s="92"/>
      <c r="PMF110" s="92"/>
      <c r="PMG110" s="92"/>
      <c r="PMH110" s="92"/>
      <c r="PMI110" s="92"/>
      <c r="PMJ110" s="92"/>
      <c r="PMK110" s="92"/>
      <c r="PML110" s="92"/>
      <c r="PMM110" s="92"/>
      <c r="PMN110" s="92"/>
      <c r="PMO110" s="92"/>
      <c r="PMP110" s="92"/>
      <c r="PMQ110" s="92"/>
      <c r="PMR110" s="92"/>
      <c r="PMS110" s="92"/>
      <c r="PMT110" s="92"/>
      <c r="PMU110" s="92"/>
      <c r="PMV110" s="91"/>
      <c r="PMW110" s="92"/>
      <c r="PMX110" s="92"/>
      <c r="PMY110" s="92"/>
      <c r="PMZ110" s="92"/>
      <c r="PNA110" s="92"/>
      <c r="PNB110" s="92"/>
      <c r="PNC110" s="92"/>
      <c r="PND110" s="92"/>
      <c r="PNE110" s="92"/>
      <c r="PNF110" s="92"/>
      <c r="PNG110" s="92"/>
      <c r="PNH110" s="92"/>
      <c r="PNI110" s="92"/>
      <c r="PNJ110" s="92"/>
      <c r="PNK110" s="92"/>
      <c r="PNL110" s="92"/>
      <c r="PNM110" s="92"/>
      <c r="PNN110" s="92"/>
      <c r="PNO110" s="92"/>
      <c r="PNP110" s="92"/>
      <c r="PNQ110" s="92"/>
      <c r="PNR110" s="91"/>
      <c r="PNS110" s="92"/>
      <c r="PNT110" s="92"/>
      <c r="PNU110" s="92"/>
      <c r="PNV110" s="92"/>
      <c r="PNW110" s="92"/>
      <c r="PNX110" s="92"/>
      <c r="PNY110" s="92"/>
      <c r="PNZ110" s="92"/>
      <c r="POA110" s="92"/>
      <c r="POB110" s="92"/>
      <c r="POC110" s="92"/>
      <c r="POD110" s="92"/>
      <c r="POE110" s="92"/>
      <c r="POF110" s="92"/>
      <c r="POG110" s="92"/>
      <c r="POH110" s="92"/>
      <c r="POI110" s="92"/>
      <c r="POJ110" s="92"/>
      <c r="POK110" s="92"/>
      <c r="POL110" s="92"/>
      <c r="POM110" s="92"/>
      <c r="PON110" s="91"/>
      <c r="POO110" s="92"/>
      <c r="POP110" s="92"/>
      <c r="POQ110" s="92"/>
      <c r="POR110" s="92"/>
      <c r="POS110" s="92"/>
      <c r="POT110" s="92"/>
      <c r="POU110" s="92"/>
      <c r="POV110" s="92"/>
      <c r="POW110" s="92"/>
      <c r="POX110" s="92"/>
      <c r="POY110" s="92"/>
      <c r="POZ110" s="92"/>
      <c r="PPA110" s="92"/>
      <c r="PPB110" s="92"/>
      <c r="PPC110" s="92"/>
      <c r="PPD110" s="92"/>
      <c r="PPE110" s="92"/>
      <c r="PPF110" s="92"/>
      <c r="PPG110" s="92"/>
      <c r="PPH110" s="92"/>
      <c r="PPI110" s="92"/>
      <c r="PPJ110" s="91"/>
      <c r="PPK110" s="92"/>
      <c r="PPL110" s="92"/>
      <c r="PPM110" s="92"/>
      <c r="PPN110" s="92"/>
      <c r="PPO110" s="92"/>
      <c r="PPP110" s="92"/>
      <c r="PPQ110" s="92"/>
      <c r="PPR110" s="92"/>
      <c r="PPS110" s="92"/>
      <c r="PPT110" s="92"/>
      <c r="PPU110" s="92"/>
      <c r="PPV110" s="92"/>
      <c r="PPW110" s="92"/>
      <c r="PPX110" s="92"/>
      <c r="PPY110" s="92"/>
      <c r="PPZ110" s="92"/>
      <c r="PQA110" s="92"/>
      <c r="PQB110" s="92"/>
      <c r="PQC110" s="92"/>
      <c r="PQD110" s="92"/>
      <c r="PQE110" s="92"/>
      <c r="PQF110" s="91"/>
      <c r="PQG110" s="92"/>
      <c r="PQH110" s="92"/>
      <c r="PQI110" s="92"/>
      <c r="PQJ110" s="92"/>
      <c r="PQK110" s="92"/>
      <c r="PQL110" s="92"/>
      <c r="PQM110" s="92"/>
      <c r="PQN110" s="92"/>
      <c r="PQO110" s="92"/>
      <c r="PQP110" s="92"/>
      <c r="PQQ110" s="92"/>
      <c r="PQR110" s="92"/>
      <c r="PQS110" s="92"/>
      <c r="PQT110" s="92"/>
      <c r="PQU110" s="92"/>
      <c r="PQV110" s="92"/>
      <c r="PQW110" s="92"/>
      <c r="PQX110" s="92"/>
      <c r="PQY110" s="92"/>
      <c r="PQZ110" s="92"/>
      <c r="PRA110" s="92"/>
      <c r="PRB110" s="91"/>
      <c r="PRC110" s="92"/>
      <c r="PRD110" s="92"/>
      <c r="PRE110" s="92"/>
      <c r="PRF110" s="92"/>
      <c r="PRG110" s="92"/>
      <c r="PRH110" s="92"/>
      <c r="PRI110" s="92"/>
      <c r="PRJ110" s="92"/>
      <c r="PRK110" s="92"/>
      <c r="PRL110" s="92"/>
      <c r="PRM110" s="92"/>
      <c r="PRN110" s="92"/>
      <c r="PRO110" s="92"/>
      <c r="PRP110" s="92"/>
      <c r="PRQ110" s="92"/>
      <c r="PRR110" s="92"/>
      <c r="PRS110" s="92"/>
      <c r="PRT110" s="92"/>
      <c r="PRU110" s="92"/>
      <c r="PRV110" s="92"/>
      <c r="PRW110" s="92"/>
      <c r="PRX110" s="91"/>
      <c r="PRY110" s="92"/>
      <c r="PRZ110" s="92"/>
      <c r="PSA110" s="92"/>
      <c r="PSB110" s="92"/>
      <c r="PSC110" s="92"/>
      <c r="PSD110" s="92"/>
      <c r="PSE110" s="92"/>
      <c r="PSF110" s="92"/>
      <c r="PSG110" s="92"/>
      <c r="PSH110" s="92"/>
      <c r="PSI110" s="92"/>
      <c r="PSJ110" s="92"/>
      <c r="PSK110" s="92"/>
      <c r="PSL110" s="92"/>
      <c r="PSM110" s="92"/>
      <c r="PSN110" s="92"/>
      <c r="PSO110" s="92"/>
      <c r="PSP110" s="92"/>
      <c r="PSQ110" s="92"/>
      <c r="PSR110" s="92"/>
      <c r="PSS110" s="92"/>
      <c r="PST110" s="91"/>
      <c r="PSU110" s="92"/>
      <c r="PSV110" s="92"/>
      <c r="PSW110" s="92"/>
      <c r="PSX110" s="92"/>
      <c r="PSY110" s="92"/>
      <c r="PSZ110" s="92"/>
      <c r="PTA110" s="92"/>
      <c r="PTB110" s="92"/>
      <c r="PTC110" s="92"/>
      <c r="PTD110" s="92"/>
      <c r="PTE110" s="92"/>
      <c r="PTF110" s="92"/>
      <c r="PTG110" s="92"/>
      <c r="PTH110" s="92"/>
      <c r="PTI110" s="92"/>
      <c r="PTJ110" s="92"/>
      <c r="PTK110" s="92"/>
      <c r="PTL110" s="92"/>
      <c r="PTM110" s="92"/>
      <c r="PTN110" s="92"/>
      <c r="PTO110" s="92"/>
      <c r="PTP110" s="91"/>
      <c r="PTQ110" s="92"/>
      <c r="PTR110" s="92"/>
      <c r="PTS110" s="92"/>
      <c r="PTT110" s="92"/>
      <c r="PTU110" s="92"/>
      <c r="PTV110" s="92"/>
      <c r="PTW110" s="92"/>
      <c r="PTX110" s="92"/>
      <c r="PTY110" s="92"/>
      <c r="PTZ110" s="92"/>
      <c r="PUA110" s="92"/>
      <c r="PUB110" s="92"/>
      <c r="PUC110" s="92"/>
      <c r="PUD110" s="92"/>
      <c r="PUE110" s="92"/>
      <c r="PUF110" s="92"/>
      <c r="PUG110" s="92"/>
      <c r="PUH110" s="92"/>
      <c r="PUI110" s="92"/>
      <c r="PUJ110" s="92"/>
      <c r="PUK110" s="92"/>
      <c r="PUL110" s="91"/>
      <c r="PUM110" s="92"/>
      <c r="PUN110" s="92"/>
      <c r="PUO110" s="92"/>
      <c r="PUP110" s="92"/>
      <c r="PUQ110" s="92"/>
      <c r="PUR110" s="92"/>
      <c r="PUS110" s="92"/>
      <c r="PUT110" s="92"/>
      <c r="PUU110" s="92"/>
      <c r="PUV110" s="92"/>
      <c r="PUW110" s="92"/>
      <c r="PUX110" s="92"/>
      <c r="PUY110" s="92"/>
      <c r="PUZ110" s="92"/>
      <c r="PVA110" s="92"/>
      <c r="PVB110" s="92"/>
      <c r="PVC110" s="92"/>
      <c r="PVD110" s="92"/>
      <c r="PVE110" s="92"/>
      <c r="PVF110" s="92"/>
      <c r="PVG110" s="92"/>
      <c r="PVH110" s="91"/>
      <c r="PVI110" s="92"/>
      <c r="PVJ110" s="92"/>
      <c r="PVK110" s="92"/>
      <c r="PVL110" s="92"/>
      <c r="PVM110" s="92"/>
      <c r="PVN110" s="92"/>
      <c r="PVO110" s="92"/>
      <c r="PVP110" s="92"/>
      <c r="PVQ110" s="92"/>
      <c r="PVR110" s="92"/>
      <c r="PVS110" s="92"/>
      <c r="PVT110" s="92"/>
      <c r="PVU110" s="92"/>
      <c r="PVV110" s="92"/>
      <c r="PVW110" s="92"/>
      <c r="PVX110" s="92"/>
      <c r="PVY110" s="92"/>
      <c r="PVZ110" s="92"/>
      <c r="PWA110" s="92"/>
      <c r="PWB110" s="92"/>
      <c r="PWC110" s="92"/>
      <c r="PWD110" s="91"/>
      <c r="PWE110" s="92"/>
      <c r="PWF110" s="92"/>
      <c r="PWG110" s="92"/>
      <c r="PWH110" s="92"/>
      <c r="PWI110" s="92"/>
      <c r="PWJ110" s="92"/>
      <c r="PWK110" s="92"/>
      <c r="PWL110" s="92"/>
      <c r="PWM110" s="92"/>
      <c r="PWN110" s="92"/>
      <c r="PWO110" s="92"/>
      <c r="PWP110" s="92"/>
      <c r="PWQ110" s="92"/>
      <c r="PWR110" s="92"/>
      <c r="PWS110" s="92"/>
      <c r="PWT110" s="92"/>
      <c r="PWU110" s="92"/>
      <c r="PWV110" s="92"/>
      <c r="PWW110" s="92"/>
      <c r="PWX110" s="92"/>
      <c r="PWY110" s="92"/>
      <c r="PWZ110" s="91"/>
      <c r="PXA110" s="92"/>
      <c r="PXB110" s="92"/>
      <c r="PXC110" s="92"/>
      <c r="PXD110" s="92"/>
      <c r="PXE110" s="92"/>
      <c r="PXF110" s="92"/>
      <c r="PXG110" s="92"/>
      <c r="PXH110" s="92"/>
      <c r="PXI110" s="92"/>
      <c r="PXJ110" s="92"/>
      <c r="PXK110" s="92"/>
      <c r="PXL110" s="92"/>
      <c r="PXM110" s="92"/>
      <c r="PXN110" s="92"/>
      <c r="PXO110" s="92"/>
      <c r="PXP110" s="92"/>
      <c r="PXQ110" s="92"/>
      <c r="PXR110" s="92"/>
      <c r="PXS110" s="92"/>
      <c r="PXT110" s="92"/>
      <c r="PXU110" s="92"/>
      <c r="PXV110" s="91"/>
      <c r="PXW110" s="92"/>
      <c r="PXX110" s="92"/>
      <c r="PXY110" s="92"/>
      <c r="PXZ110" s="92"/>
      <c r="PYA110" s="92"/>
      <c r="PYB110" s="92"/>
      <c r="PYC110" s="92"/>
      <c r="PYD110" s="92"/>
      <c r="PYE110" s="92"/>
      <c r="PYF110" s="92"/>
      <c r="PYG110" s="92"/>
      <c r="PYH110" s="92"/>
      <c r="PYI110" s="92"/>
      <c r="PYJ110" s="92"/>
      <c r="PYK110" s="92"/>
      <c r="PYL110" s="92"/>
      <c r="PYM110" s="92"/>
      <c r="PYN110" s="92"/>
      <c r="PYO110" s="92"/>
      <c r="PYP110" s="92"/>
      <c r="PYQ110" s="92"/>
      <c r="PYR110" s="91"/>
      <c r="PYS110" s="92"/>
      <c r="PYT110" s="92"/>
      <c r="PYU110" s="92"/>
      <c r="PYV110" s="92"/>
      <c r="PYW110" s="92"/>
      <c r="PYX110" s="92"/>
      <c r="PYY110" s="92"/>
      <c r="PYZ110" s="92"/>
      <c r="PZA110" s="92"/>
      <c r="PZB110" s="92"/>
      <c r="PZC110" s="92"/>
      <c r="PZD110" s="92"/>
      <c r="PZE110" s="92"/>
      <c r="PZF110" s="92"/>
      <c r="PZG110" s="92"/>
      <c r="PZH110" s="92"/>
      <c r="PZI110" s="92"/>
      <c r="PZJ110" s="92"/>
      <c r="PZK110" s="92"/>
      <c r="PZL110" s="92"/>
      <c r="PZM110" s="92"/>
      <c r="PZN110" s="91"/>
      <c r="PZO110" s="92"/>
      <c r="PZP110" s="92"/>
      <c r="PZQ110" s="92"/>
      <c r="PZR110" s="92"/>
      <c r="PZS110" s="92"/>
      <c r="PZT110" s="92"/>
      <c r="PZU110" s="92"/>
      <c r="PZV110" s="92"/>
      <c r="PZW110" s="92"/>
      <c r="PZX110" s="92"/>
      <c r="PZY110" s="92"/>
      <c r="PZZ110" s="92"/>
      <c r="QAA110" s="92"/>
      <c r="QAB110" s="92"/>
      <c r="QAC110" s="92"/>
      <c r="QAD110" s="92"/>
      <c r="QAE110" s="92"/>
      <c r="QAF110" s="92"/>
      <c r="QAG110" s="92"/>
      <c r="QAH110" s="92"/>
      <c r="QAI110" s="92"/>
      <c r="QAJ110" s="91"/>
      <c r="QAK110" s="92"/>
      <c r="QAL110" s="92"/>
      <c r="QAM110" s="92"/>
      <c r="QAN110" s="92"/>
      <c r="QAO110" s="92"/>
      <c r="QAP110" s="92"/>
      <c r="QAQ110" s="92"/>
      <c r="QAR110" s="92"/>
      <c r="QAS110" s="92"/>
      <c r="QAT110" s="92"/>
      <c r="QAU110" s="92"/>
      <c r="QAV110" s="92"/>
      <c r="QAW110" s="92"/>
      <c r="QAX110" s="92"/>
      <c r="QAY110" s="92"/>
      <c r="QAZ110" s="92"/>
      <c r="QBA110" s="92"/>
      <c r="QBB110" s="92"/>
      <c r="QBC110" s="92"/>
      <c r="QBD110" s="92"/>
      <c r="QBE110" s="92"/>
      <c r="QBF110" s="91"/>
      <c r="QBG110" s="92"/>
      <c r="QBH110" s="92"/>
      <c r="QBI110" s="92"/>
      <c r="QBJ110" s="92"/>
      <c r="QBK110" s="92"/>
      <c r="QBL110" s="92"/>
      <c r="QBM110" s="92"/>
      <c r="QBN110" s="92"/>
      <c r="QBO110" s="92"/>
      <c r="QBP110" s="92"/>
      <c r="QBQ110" s="92"/>
      <c r="QBR110" s="92"/>
      <c r="QBS110" s="92"/>
      <c r="QBT110" s="92"/>
      <c r="QBU110" s="92"/>
      <c r="QBV110" s="92"/>
      <c r="QBW110" s="92"/>
      <c r="QBX110" s="92"/>
      <c r="QBY110" s="92"/>
      <c r="QBZ110" s="92"/>
      <c r="QCA110" s="92"/>
      <c r="QCB110" s="91"/>
      <c r="QCC110" s="92"/>
      <c r="QCD110" s="92"/>
      <c r="QCE110" s="92"/>
      <c r="QCF110" s="92"/>
      <c r="QCG110" s="92"/>
      <c r="QCH110" s="92"/>
      <c r="QCI110" s="92"/>
      <c r="QCJ110" s="92"/>
      <c r="QCK110" s="92"/>
      <c r="QCL110" s="92"/>
      <c r="QCM110" s="92"/>
      <c r="QCN110" s="92"/>
      <c r="QCO110" s="92"/>
      <c r="QCP110" s="92"/>
      <c r="QCQ110" s="92"/>
      <c r="QCR110" s="92"/>
      <c r="QCS110" s="92"/>
      <c r="QCT110" s="92"/>
      <c r="QCU110" s="92"/>
      <c r="QCV110" s="92"/>
      <c r="QCW110" s="92"/>
      <c r="QCX110" s="91"/>
      <c r="QCY110" s="92"/>
      <c r="QCZ110" s="92"/>
      <c r="QDA110" s="92"/>
      <c r="QDB110" s="92"/>
      <c r="QDC110" s="92"/>
      <c r="QDD110" s="92"/>
      <c r="QDE110" s="92"/>
      <c r="QDF110" s="92"/>
      <c r="QDG110" s="92"/>
      <c r="QDH110" s="92"/>
      <c r="QDI110" s="92"/>
      <c r="QDJ110" s="92"/>
      <c r="QDK110" s="92"/>
      <c r="QDL110" s="92"/>
      <c r="QDM110" s="92"/>
      <c r="QDN110" s="92"/>
      <c r="QDO110" s="92"/>
      <c r="QDP110" s="92"/>
      <c r="QDQ110" s="92"/>
      <c r="QDR110" s="92"/>
      <c r="QDS110" s="92"/>
      <c r="QDT110" s="91"/>
      <c r="QDU110" s="92"/>
      <c r="QDV110" s="92"/>
      <c r="QDW110" s="92"/>
      <c r="QDX110" s="92"/>
      <c r="QDY110" s="92"/>
      <c r="QDZ110" s="92"/>
      <c r="QEA110" s="92"/>
      <c r="QEB110" s="92"/>
      <c r="QEC110" s="92"/>
      <c r="QED110" s="92"/>
      <c r="QEE110" s="92"/>
      <c r="QEF110" s="92"/>
      <c r="QEG110" s="92"/>
      <c r="QEH110" s="92"/>
      <c r="QEI110" s="92"/>
      <c r="QEJ110" s="92"/>
      <c r="QEK110" s="92"/>
      <c r="QEL110" s="92"/>
      <c r="QEM110" s="92"/>
      <c r="QEN110" s="92"/>
      <c r="QEO110" s="92"/>
      <c r="QEP110" s="91"/>
      <c r="QEQ110" s="92"/>
      <c r="QER110" s="92"/>
      <c r="QES110" s="92"/>
      <c r="QET110" s="92"/>
      <c r="QEU110" s="92"/>
      <c r="QEV110" s="92"/>
      <c r="QEW110" s="92"/>
      <c r="QEX110" s="92"/>
      <c r="QEY110" s="92"/>
      <c r="QEZ110" s="92"/>
      <c r="QFA110" s="92"/>
      <c r="QFB110" s="92"/>
      <c r="QFC110" s="92"/>
      <c r="QFD110" s="92"/>
      <c r="QFE110" s="92"/>
      <c r="QFF110" s="92"/>
      <c r="QFG110" s="92"/>
      <c r="QFH110" s="92"/>
      <c r="QFI110" s="92"/>
      <c r="QFJ110" s="92"/>
      <c r="QFK110" s="92"/>
      <c r="QFL110" s="91"/>
      <c r="QFM110" s="92"/>
      <c r="QFN110" s="92"/>
      <c r="QFO110" s="92"/>
      <c r="QFP110" s="92"/>
      <c r="QFQ110" s="92"/>
      <c r="QFR110" s="92"/>
      <c r="QFS110" s="92"/>
      <c r="QFT110" s="92"/>
      <c r="QFU110" s="92"/>
      <c r="QFV110" s="92"/>
      <c r="QFW110" s="92"/>
      <c r="QFX110" s="92"/>
      <c r="QFY110" s="92"/>
      <c r="QFZ110" s="92"/>
      <c r="QGA110" s="92"/>
      <c r="QGB110" s="92"/>
      <c r="QGC110" s="92"/>
      <c r="QGD110" s="92"/>
      <c r="QGE110" s="92"/>
      <c r="QGF110" s="92"/>
      <c r="QGG110" s="92"/>
      <c r="QGH110" s="91"/>
      <c r="QGI110" s="92"/>
      <c r="QGJ110" s="92"/>
      <c r="QGK110" s="92"/>
      <c r="QGL110" s="92"/>
      <c r="QGM110" s="92"/>
      <c r="QGN110" s="92"/>
      <c r="QGO110" s="92"/>
      <c r="QGP110" s="92"/>
      <c r="QGQ110" s="92"/>
      <c r="QGR110" s="92"/>
      <c r="QGS110" s="92"/>
      <c r="QGT110" s="92"/>
      <c r="QGU110" s="92"/>
      <c r="QGV110" s="92"/>
      <c r="QGW110" s="92"/>
      <c r="QGX110" s="92"/>
      <c r="QGY110" s="92"/>
      <c r="QGZ110" s="92"/>
      <c r="QHA110" s="92"/>
      <c r="QHB110" s="92"/>
      <c r="QHC110" s="92"/>
      <c r="QHD110" s="91"/>
      <c r="QHE110" s="92"/>
      <c r="QHF110" s="92"/>
      <c r="QHG110" s="92"/>
      <c r="QHH110" s="92"/>
      <c r="QHI110" s="92"/>
      <c r="QHJ110" s="92"/>
      <c r="QHK110" s="92"/>
      <c r="QHL110" s="92"/>
      <c r="QHM110" s="92"/>
      <c r="QHN110" s="92"/>
      <c r="QHO110" s="92"/>
      <c r="QHP110" s="92"/>
      <c r="QHQ110" s="92"/>
      <c r="QHR110" s="92"/>
      <c r="QHS110" s="92"/>
      <c r="QHT110" s="92"/>
      <c r="QHU110" s="92"/>
      <c r="QHV110" s="92"/>
      <c r="QHW110" s="92"/>
      <c r="QHX110" s="92"/>
      <c r="QHY110" s="92"/>
      <c r="QHZ110" s="91"/>
      <c r="QIA110" s="92"/>
      <c r="QIB110" s="92"/>
      <c r="QIC110" s="92"/>
      <c r="QID110" s="92"/>
      <c r="QIE110" s="92"/>
      <c r="QIF110" s="92"/>
      <c r="QIG110" s="92"/>
      <c r="QIH110" s="92"/>
      <c r="QII110" s="92"/>
      <c r="QIJ110" s="92"/>
      <c r="QIK110" s="92"/>
      <c r="QIL110" s="92"/>
      <c r="QIM110" s="92"/>
      <c r="QIN110" s="92"/>
      <c r="QIO110" s="92"/>
      <c r="QIP110" s="92"/>
      <c r="QIQ110" s="92"/>
      <c r="QIR110" s="92"/>
      <c r="QIS110" s="92"/>
      <c r="QIT110" s="92"/>
      <c r="QIU110" s="92"/>
      <c r="QIV110" s="91"/>
      <c r="QIW110" s="92"/>
      <c r="QIX110" s="92"/>
      <c r="QIY110" s="92"/>
      <c r="QIZ110" s="92"/>
      <c r="QJA110" s="92"/>
      <c r="QJB110" s="92"/>
      <c r="QJC110" s="92"/>
      <c r="QJD110" s="92"/>
      <c r="QJE110" s="92"/>
      <c r="QJF110" s="92"/>
      <c r="QJG110" s="92"/>
      <c r="QJH110" s="92"/>
      <c r="QJI110" s="92"/>
      <c r="QJJ110" s="92"/>
      <c r="QJK110" s="92"/>
      <c r="QJL110" s="92"/>
      <c r="QJM110" s="92"/>
      <c r="QJN110" s="92"/>
      <c r="QJO110" s="92"/>
      <c r="QJP110" s="92"/>
      <c r="QJQ110" s="92"/>
      <c r="QJR110" s="91"/>
      <c r="QJS110" s="92"/>
      <c r="QJT110" s="92"/>
      <c r="QJU110" s="92"/>
      <c r="QJV110" s="92"/>
      <c r="QJW110" s="92"/>
      <c r="QJX110" s="92"/>
      <c r="QJY110" s="92"/>
      <c r="QJZ110" s="92"/>
      <c r="QKA110" s="92"/>
      <c r="QKB110" s="92"/>
      <c r="QKC110" s="92"/>
      <c r="QKD110" s="92"/>
      <c r="QKE110" s="92"/>
      <c r="QKF110" s="92"/>
      <c r="QKG110" s="92"/>
      <c r="QKH110" s="92"/>
      <c r="QKI110" s="92"/>
      <c r="QKJ110" s="92"/>
      <c r="QKK110" s="92"/>
      <c r="QKL110" s="92"/>
      <c r="QKM110" s="92"/>
      <c r="QKN110" s="91"/>
      <c r="QKO110" s="92"/>
      <c r="QKP110" s="92"/>
      <c r="QKQ110" s="92"/>
      <c r="QKR110" s="92"/>
      <c r="QKS110" s="92"/>
      <c r="QKT110" s="92"/>
      <c r="QKU110" s="92"/>
      <c r="QKV110" s="92"/>
      <c r="QKW110" s="92"/>
      <c r="QKX110" s="92"/>
      <c r="QKY110" s="92"/>
      <c r="QKZ110" s="92"/>
      <c r="QLA110" s="92"/>
      <c r="QLB110" s="92"/>
      <c r="QLC110" s="92"/>
      <c r="QLD110" s="92"/>
      <c r="QLE110" s="92"/>
      <c r="QLF110" s="92"/>
      <c r="QLG110" s="92"/>
      <c r="QLH110" s="92"/>
      <c r="QLI110" s="92"/>
      <c r="QLJ110" s="91"/>
      <c r="QLK110" s="92"/>
      <c r="QLL110" s="92"/>
      <c r="QLM110" s="92"/>
      <c r="QLN110" s="92"/>
      <c r="QLO110" s="92"/>
      <c r="QLP110" s="92"/>
      <c r="QLQ110" s="92"/>
      <c r="QLR110" s="92"/>
      <c r="QLS110" s="92"/>
      <c r="QLT110" s="92"/>
      <c r="QLU110" s="92"/>
      <c r="QLV110" s="92"/>
      <c r="QLW110" s="92"/>
      <c r="QLX110" s="92"/>
      <c r="QLY110" s="92"/>
      <c r="QLZ110" s="92"/>
      <c r="QMA110" s="92"/>
      <c r="QMB110" s="92"/>
      <c r="QMC110" s="92"/>
      <c r="QMD110" s="92"/>
      <c r="QME110" s="92"/>
      <c r="QMF110" s="91"/>
      <c r="QMG110" s="92"/>
      <c r="QMH110" s="92"/>
      <c r="QMI110" s="92"/>
      <c r="QMJ110" s="92"/>
      <c r="QMK110" s="92"/>
      <c r="QML110" s="92"/>
      <c r="QMM110" s="92"/>
      <c r="QMN110" s="92"/>
      <c r="QMO110" s="92"/>
      <c r="QMP110" s="92"/>
      <c r="QMQ110" s="92"/>
      <c r="QMR110" s="92"/>
      <c r="QMS110" s="92"/>
      <c r="QMT110" s="92"/>
      <c r="QMU110" s="92"/>
      <c r="QMV110" s="92"/>
      <c r="QMW110" s="92"/>
      <c r="QMX110" s="92"/>
      <c r="QMY110" s="92"/>
      <c r="QMZ110" s="92"/>
      <c r="QNA110" s="92"/>
      <c r="QNB110" s="91"/>
      <c r="QNC110" s="92"/>
      <c r="QND110" s="92"/>
      <c r="QNE110" s="92"/>
      <c r="QNF110" s="92"/>
      <c r="QNG110" s="92"/>
      <c r="QNH110" s="92"/>
      <c r="QNI110" s="92"/>
      <c r="QNJ110" s="92"/>
      <c r="QNK110" s="92"/>
      <c r="QNL110" s="92"/>
      <c r="QNM110" s="92"/>
      <c r="QNN110" s="92"/>
      <c r="QNO110" s="92"/>
      <c r="QNP110" s="92"/>
      <c r="QNQ110" s="92"/>
      <c r="QNR110" s="92"/>
      <c r="QNS110" s="92"/>
      <c r="QNT110" s="92"/>
      <c r="QNU110" s="92"/>
      <c r="QNV110" s="92"/>
      <c r="QNW110" s="92"/>
      <c r="QNX110" s="91"/>
      <c r="QNY110" s="92"/>
      <c r="QNZ110" s="92"/>
      <c r="QOA110" s="92"/>
      <c r="QOB110" s="92"/>
      <c r="QOC110" s="92"/>
      <c r="QOD110" s="92"/>
      <c r="QOE110" s="92"/>
      <c r="QOF110" s="92"/>
      <c r="QOG110" s="92"/>
      <c r="QOH110" s="92"/>
      <c r="QOI110" s="92"/>
      <c r="QOJ110" s="92"/>
      <c r="QOK110" s="92"/>
      <c r="QOL110" s="92"/>
      <c r="QOM110" s="92"/>
      <c r="QON110" s="92"/>
      <c r="QOO110" s="92"/>
      <c r="QOP110" s="92"/>
      <c r="QOQ110" s="92"/>
      <c r="QOR110" s="92"/>
      <c r="QOS110" s="92"/>
      <c r="QOT110" s="91"/>
      <c r="QOU110" s="92"/>
      <c r="QOV110" s="92"/>
      <c r="QOW110" s="92"/>
      <c r="QOX110" s="92"/>
      <c r="QOY110" s="92"/>
      <c r="QOZ110" s="92"/>
      <c r="QPA110" s="92"/>
      <c r="QPB110" s="92"/>
      <c r="QPC110" s="92"/>
      <c r="QPD110" s="92"/>
      <c r="QPE110" s="92"/>
      <c r="QPF110" s="92"/>
      <c r="QPG110" s="92"/>
      <c r="QPH110" s="92"/>
      <c r="QPI110" s="92"/>
      <c r="QPJ110" s="92"/>
      <c r="QPK110" s="92"/>
      <c r="QPL110" s="92"/>
      <c r="QPM110" s="92"/>
      <c r="QPN110" s="92"/>
      <c r="QPO110" s="92"/>
      <c r="QPP110" s="91"/>
      <c r="QPQ110" s="92"/>
      <c r="QPR110" s="92"/>
      <c r="QPS110" s="92"/>
      <c r="QPT110" s="92"/>
      <c r="QPU110" s="92"/>
      <c r="QPV110" s="92"/>
      <c r="QPW110" s="92"/>
      <c r="QPX110" s="92"/>
      <c r="QPY110" s="92"/>
      <c r="QPZ110" s="92"/>
      <c r="QQA110" s="92"/>
      <c r="QQB110" s="92"/>
      <c r="QQC110" s="92"/>
      <c r="QQD110" s="92"/>
      <c r="QQE110" s="92"/>
      <c r="QQF110" s="92"/>
      <c r="QQG110" s="92"/>
      <c r="QQH110" s="92"/>
      <c r="QQI110" s="92"/>
      <c r="QQJ110" s="92"/>
      <c r="QQK110" s="92"/>
      <c r="QQL110" s="91"/>
      <c r="QQM110" s="92"/>
      <c r="QQN110" s="92"/>
      <c r="QQO110" s="92"/>
      <c r="QQP110" s="92"/>
      <c r="QQQ110" s="92"/>
      <c r="QQR110" s="92"/>
      <c r="QQS110" s="92"/>
      <c r="QQT110" s="92"/>
      <c r="QQU110" s="92"/>
      <c r="QQV110" s="92"/>
      <c r="QQW110" s="92"/>
      <c r="QQX110" s="92"/>
      <c r="QQY110" s="92"/>
      <c r="QQZ110" s="92"/>
      <c r="QRA110" s="92"/>
      <c r="QRB110" s="92"/>
      <c r="QRC110" s="92"/>
      <c r="QRD110" s="92"/>
      <c r="QRE110" s="92"/>
      <c r="QRF110" s="92"/>
      <c r="QRG110" s="92"/>
      <c r="QRH110" s="91"/>
      <c r="QRI110" s="92"/>
      <c r="QRJ110" s="92"/>
      <c r="QRK110" s="92"/>
      <c r="QRL110" s="92"/>
      <c r="QRM110" s="92"/>
      <c r="QRN110" s="92"/>
      <c r="QRO110" s="92"/>
      <c r="QRP110" s="92"/>
      <c r="QRQ110" s="92"/>
      <c r="QRR110" s="92"/>
      <c r="QRS110" s="92"/>
      <c r="QRT110" s="92"/>
      <c r="QRU110" s="92"/>
      <c r="QRV110" s="92"/>
      <c r="QRW110" s="92"/>
      <c r="QRX110" s="92"/>
      <c r="QRY110" s="92"/>
      <c r="QRZ110" s="92"/>
      <c r="QSA110" s="92"/>
      <c r="QSB110" s="92"/>
      <c r="QSC110" s="92"/>
      <c r="QSD110" s="91"/>
      <c r="QSE110" s="92"/>
      <c r="QSF110" s="92"/>
      <c r="QSG110" s="92"/>
      <c r="QSH110" s="92"/>
      <c r="QSI110" s="92"/>
      <c r="QSJ110" s="92"/>
      <c r="QSK110" s="92"/>
      <c r="QSL110" s="92"/>
      <c r="QSM110" s="92"/>
      <c r="QSN110" s="92"/>
      <c r="QSO110" s="92"/>
      <c r="QSP110" s="92"/>
      <c r="QSQ110" s="92"/>
      <c r="QSR110" s="92"/>
      <c r="QSS110" s="92"/>
      <c r="QST110" s="92"/>
      <c r="QSU110" s="92"/>
      <c r="QSV110" s="92"/>
      <c r="QSW110" s="92"/>
      <c r="QSX110" s="92"/>
      <c r="QSY110" s="92"/>
      <c r="QSZ110" s="91"/>
      <c r="QTA110" s="92"/>
      <c r="QTB110" s="92"/>
      <c r="QTC110" s="92"/>
      <c r="QTD110" s="92"/>
      <c r="QTE110" s="92"/>
      <c r="QTF110" s="92"/>
      <c r="QTG110" s="92"/>
      <c r="QTH110" s="92"/>
      <c r="QTI110" s="92"/>
      <c r="QTJ110" s="92"/>
      <c r="QTK110" s="92"/>
      <c r="QTL110" s="92"/>
      <c r="QTM110" s="92"/>
      <c r="QTN110" s="92"/>
      <c r="QTO110" s="92"/>
      <c r="QTP110" s="92"/>
      <c r="QTQ110" s="92"/>
      <c r="QTR110" s="92"/>
      <c r="QTS110" s="92"/>
      <c r="QTT110" s="92"/>
      <c r="QTU110" s="92"/>
      <c r="QTV110" s="91"/>
      <c r="QTW110" s="92"/>
      <c r="QTX110" s="92"/>
      <c r="QTY110" s="92"/>
      <c r="QTZ110" s="92"/>
      <c r="QUA110" s="92"/>
      <c r="QUB110" s="92"/>
      <c r="QUC110" s="92"/>
      <c r="QUD110" s="92"/>
      <c r="QUE110" s="92"/>
      <c r="QUF110" s="92"/>
      <c r="QUG110" s="92"/>
      <c r="QUH110" s="92"/>
      <c r="QUI110" s="92"/>
      <c r="QUJ110" s="92"/>
      <c r="QUK110" s="92"/>
      <c r="QUL110" s="92"/>
      <c r="QUM110" s="92"/>
      <c r="QUN110" s="92"/>
      <c r="QUO110" s="92"/>
      <c r="QUP110" s="92"/>
      <c r="QUQ110" s="92"/>
      <c r="QUR110" s="91"/>
      <c r="QUS110" s="92"/>
      <c r="QUT110" s="92"/>
      <c r="QUU110" s="92"/>
      <c r="QUV110" s="92"/>
      <c r="QUW110" s="92"/>
      <c r="QUX110" s="92"/>
      <c r="QUY110" s="92"/>
      <c r="QUZ110" s="92"/>
      <c r="QVA110" s="92"/>
      <c r="QVB110" s="92"/>
      <c r="QVC110" s="92"/>
      <c r="QVD110" s="92"/>
      <c r="QVE110" s="92"/>
      <c r="QVF110" s="92"/>
      <c r="QVG110" s="92"/>
      <c r="QVH110" s="92"/>
      <c r="QVI110" s="92"/>
      <c r="QVJ110" s="92"/>
      <c r="QVK110" s="92"/>
      <c r="QVL110" s="92"/>
      <c r="QVM110" s="92"/>
      <c r="QVN110" s="91"/>
      <c r="QVO110" s="92"/>
      <c r="QVP110" s="92"/>
      <c r="QVQ110" s="92"/>
      <c r="QVR110" s="92"/>
      <c r="QVS110" s="92"/>
      <c r="QVT110" s="92"/>
      <c r="QVU110" s="92"/>
      <c r="QVV110" s="92"/>
      <c r="QVW110" s="92"/>
      <c r="QVX110" s="92"/>
      <c r="QVY110" s="92"/>
      <c r="QVZ110" s="92"/>
      <c r="QWA110" s="92"/>
      <c r="QWB110" s="92"/>
      <c r="QWC110" s="92"/>
      <c r="QWD110" s="92"/>
      <c r="QWE110" s="92"/>
      <c r="QWF110" s="92"/>
      <c r="QWG110" s="92"/>
      <c r="QWH110" s="92"/>
      <c r="QWI110" s="92"/>
      <c r="QWJ110" s="91"/>
      <c r="QWK110" s="92"/>
      <c r="QWL110" s="92"/>
      <c r="QWM110" s="92"/>
      <c r="QWN110" s="92"/>
      <c r="QWO110" s="92"/>
      <c r="QWP110" s="92"/>
      <c r="QWQ110" s="92"/>
      <c r="QWR110" s="92"/>
      <c r="QWS110" s="92"/>
      <c r="QWT110" s="92"/>
      <c r="QWU110" s="92"/>
      <c r="QWV110" s="92"/>
      <c r="QWW110" s="92"/>
      <c r="QWX110" s="92"/>
      <c r="QWY110" s="92"/>
      <c r="QWZ110" s="92"/>
      <c r="QXA110" s="92"/>
      <c r="QXB110" s="92"/>
      <c r="QXC110" s="92"/>
      <c r="QXD110" s="92"/>
      <c r="QXE110" s="92"/>
      <c r="QXF110" s="91"/>
      <c r="QXG110" s="92"/>
      <c r="QXH110" s="92"/>
      <c r="QXI110" s="92"/>
      <c r="QXJ110" s="92"/>
      <c r="QXK110" s="92"/>
      <c r="QXL110" s="92"/>
      <c r="QXM110" s="92"/>
      <c r="QXN110" s="92"/>
      <c r="QXO110" s="92"/>
      <c r="QXP110" s="92"/>
      <c r="QXQ110" s="92"/>
      <c r="QXR110" s="92"/>
      <c r="QXS110" s="92"/>
      <c r="QXT110" s="92"/>
      <c r="QXU110" s="92"/>
      <c r="QXV110" s="92"/>
      <c r="QXW110" s="92"/>
      <c r="QXX110" s="92"/>
      <c r="QXY110" s="92"/>
      <c r="QXZ110" s="92"/>
      <c r="QYA110" s="92"/>
      <c r="QYB110" s="91"/>
      <c r="QYC110" s="92"/>
      <c r="QYD110" s="92"/>
      <c r="QYE110" s="92"/>
      <c r="QYF110" s="92"/>
      <c r="QYG110" s="92"/>
      <c r="QYH110" s="92"/>
      <c r="QYI110" s="92"/>
      <c r="QYJ110" s="92"/>
      <c r="QYK110" s="92"/>
      <c r="QYL110" s="92"/>
      <c r="QYM110" s="92"/>
      <c r="QYN110" s="92"/>
      <c r="QYO110" s="92"/>
      <c r="QYP110" s="92"/>
      <c r="QYQ110" s="92"/>
      <c r="QYR110" s="92"/>
      <c r="QYS110" s="92"/>
      <c r="QYT110" s="92"/>
      <c r="QYU110" s="92"/>
      <c r="QYV110" s="92"/>
      <c r="QYW110" s="92"/>
      <c r="QYX110" s="91"/>
      <c r="QYY110" s="92"/>
      <c r="QYZ110" s="92"/>
      <c r="QZA110" s="92"/>
      <c r="QZB110" s="92"/>
      <c r="QZC110" s="92"/>
      <c r="QZD110" s="92"/>
      <c r="QZE110" s="92"/>
      <c r="QZF110" s="92"/>
      <c r="QZG110" s="92"/>
      <c r="QZH110" s="92"/>
      <c r="QZI110" s="92"/>
      <c r="QZJ110" s="92"/>
      <c r="QZK110" s="92"/>
      <c r="QZL110" s="92"/>
      <c r="QZM110" s="92"/>
      <c r="QZN110" s="92"/>
      <c r="QZO110" s="92"/>
      <c r="QZP110" s="92"/>
      <c r="QZQ110" s="92"/>
      <c r="QZR110" s="92"/>
      <c r="QZS110" s="92"/>
      <c r="QZT110" s="91"/>
      <c r="QZU110" s="92"/>
      <c r="QZV110" s="92"/>
      <c r="QZW110" s="92"/>
      <c r="QZX110" s="92"/>
      <c r="QZY110" s="92"/>
      <c r="QZZ110" s="92"/>
      <c r="RAA110" s="92"/>
      <c r="RAB110" s="92"/>
      <c r="RAC110" s="92"/>
      <c r="RAD110" s="92"/>
      <c r="RAE110" s="92"/>
      <c r="RAF110" s="92"/>
      <c r="RAG110" s="92"/>
      <c r="RAH110" s="92"/>
      <c r="RAI110" s="92"/>
      <c r="RAJ110" s="92"/>
      <c r="RAK110" s="92"/>
      <c r="RAL110" s="92"/>
      <c r="RAM110" s="92"/>
      <c r="RAN110" s="92"/>
      <c r="RAO110" s="92"/>
      <c r="RAP110" s="91"/>
      <c r="RAQ110" s="92"/>
      <c r="RAR110" s="92"/>
      <c r="RAS110" s="92"/>
      <c r="RAT110" s="92"/>
      <c r="RAU110" s="92"/>
      <c r="RAV110" s="92"/>
      <c r="RAW110" s="92"/>
      <c r="RAX110" s="92"/>
      <c r="RAY110" s="92"/>
      <c r="RAZ110" s="92"/>
      <c r="RBA110" s="92"/>
      <c r="RBB110" s="92"/>
      <c r="RBC110" s="92"/>
      <c r="RBD110" s="92"/>
      <c r="RBE110" s="92"/>
      <c r="RBF110" s="92"/>
      <c r="RBG110" s="92"/>
      <c r="RBH110" s="92"/>
      <c r="RBI110" s="92"/>
      <c r="RBJ110" s="92"/>
      <c r="RBK110" s="92"/>
      <c r="RBL110" s="91"/>
      <c r="RBM110" s="92"/>
      <c r="RBN110" s="92"/>
      <c r="RBO110" s="92"/>
      <c r="RBP110" s="92"/>
      <c r="RBQ110" s="92"/>
      <c r="RBR110" s="92"/>
      <c r="RBS110" s="92"/>
      <c r="RBT110" s="92"/>
      <c r="RBU110" s="92"/>
      <c r="RBV110" s="92"/>
      <c r="RBW110" s="92"/>
      <c r="RBX110" s="92"/>
      <c r="RBY110" s="92"/>
      <c r="RBZ110" s="92"/>
      <c r="RCA110" s="92"/>
      <c r="RCB110" s="92"/>
      <c r="RCC110" s="92"/>
      <c r="RCD110" s="92"/>
      <c r="RCE110" s="92"/>
      <c r="RCF110" s="92"/>
      <c r="RCG110" s="92"/>
      <c r="RCH110" s="91"/>
      <c r="RCI110" s="92"/>
      <c r="RCJ110" s="92"/>
      <c r="RCK110" s="92"/>
      <c r="RCL110" s="92"/>
      <c r="RCM110" s="92"/>
      <c r="RCN110" s="92"/>
      <c r="RCO110" s="92"/>
      <c r="RCP110" s="92"/>
      <c r="RCQ110" s="92"/>
      <c r="RCR110" s="92"/>
      <c r="RCS110" s="92"/>
      <c r="RCT110" s="92"/>
      <c r="RCU110" s="92"/>
      <c r="RCV110" s="92"/>
      <c r="RCW110" s="92"/>
      <c r="RCX110" s="92"/>
      <c r="RCY110" s="92"/>
      <c r="RCZ110" s="92"/>
      <c r="RDA110" s="92"/>
      <c r="RDB110" s="92"/>
      <c r="RDC110" s="92"/>
      <c r="RDD110" s="91"/>
      <c r="RDE110" s="92"/>
      <c r="RDF110" s="92"/>
      <c r="RDG110" s="92"/>
      <c r="RDH110" s="92"/>
      <c r="RDI110" s="92"/>
      <c r="RDJ110" s="92"/>
      <c r="RDK110" s="92"/>
      <c r="RDL110" s="92"/>
      <c r="RDM110" s="92"/>
      <c r="RDN110" s="92"/>
      <c r="RDO110" s="92"/>
      <c r="RDP110" s="92"/>
      <c r="RDQ110" s="92"/>
      <c r="RDR110" s="92"/>
      <c r="RDS110" s="92"/>
      <c r="RDT110" s="92"/>
      <c r="RDU110" s="92"/>
      <c r="RDV110" s="92"/>
      <c r="RDW110" s="92"/>
      <c r="RDX110" s="92"/>
      <c r="RDY110" s="92"/>
      <c r="RDZ110" s="91"/>
      <c r="REA110" s="92"/>
      <c r="REB110" s="92"/>
      <c r="REC110" s="92"/>
      <c r="RED110" s="92"/>
      <c r="REE110" s="92"/>
      <c r="REF110" s="92"/>
      <c r="REG110" s="92"/>
      <c r="REH110" s="92"/>
      <c r="REI110" s="92"/>
      <c r="REJ110" s="92"/>
      <c r="REK110" s="92"/>
      <c r="REL110" s="92"/>
      <c r="REM110" s="92"/>
      <c r="REN110" s="92"/>
      <c r="REO110" s="92"/>
      <c r="REP110" s="92"/>
      <c r="REQ110" s="92"/>
      <c r="RER110" s="92"/>
      <c r="RES110" s="92"/>
      <c r="RET110" s="92"/>
      <c r="REU110" s="92"/>
      <c r="REV110" s="91"/>
      <c r="REW110" s="92"/>
      <c r="REX110" s="92"/>
      <c r="REY110" s="92"/>
      <c r="REZ110" s="92"/>
      <c r="RFA110" s="92"/>
      <c r="RFB110" s="92"/>
      <c r="RFC110" s="92"/>
      <c r="RFD110" s="92"/>
      <c r="RFE110" s="92"/>
      <c r="RFF110" s="92"/>
      <c r="RFG110" s="92"/>
      <c r="RFH110" s="92"/>
      <c r="RFI110" s="92"/>
      <c r="RFJ110" s="92"/>
      <c r="RFK110" s="92"/>
      <c r="RFL110" s="92"/>
      <c r="RFM110" s="92"/>
      <c r="RFN110" s="92"/>
      <c r="RFO110" s="92"/>
      <c r="RFP110" s="92"/>
      <c r="RFQ110" s="92"/>
      <c r="RFR110" s="91"/>
      <c r="RFS110" s="92"/>
      <c r="RFT110" s="92"/>
      <c r="RFU110" s="92"/>
      <c r="RFV110" s="92"/>
      <c r="RFW110" s="92"/>
      <c r="RFX110" s="92"/>
      <c r="RFY110" s="92"/>
      <c r="RFZ110" s="92"/>
      <c r="RGA110" s="92"/>
      <c r="RGB110" s="92"/>
      <c r="RGC110" s="92"/>
      <c r="RGD110" s="92"/>
      <c r="RGE110" s="92"/>
      <c r="RGF110" s="92"/>
      <c r="RGG110" s="92"/>
      <c r="RGH110" s="92"/>
      <c r="RGI110" s="92"/>
      <c r="RGJ110" s="92"/>
      <c r="RGK110" s="92"/>
      <c r="RGL110" s="92"/>
      <c r="RGM110" s="92"/>
      <c r="RGN110" s="91"/>
      <c r="RGO110" s="92"/>
      <c r="RGP110" s="92"/>
      <c r="RGQ110" s="92"/>
      <c r="RGR110" s="92"/>
      <c r="RGS110" s="92"/>
      <c r="RGT110" s="92"/>
      <c r="RGU110" s="92"/>
      <c r="RGV110" s="92"/>
      <c r="RGW110" s="92"/>
      <c r="RGX110" s="92"/>
      <c r="RGY110" s="92"/>
      <c r="RGZ110" s="92"/>
      <c r="RHA110" s="92"/>
      <c r="RHB110" s="92"/>
      <c r="RHC110" s="92"/>
      <c r="RHD110" s="92"/>
      <c r="RHE110" s="92"/>
      <c r="RHF110" s="92"/>
      <c r="RHG110" s="92"/>
      <c r="RHH110" s="92"/>
      <c r="RHI110" s="92"/>
      <c r="RHJ110" s="91"/>
      <c r="RHK110" s="92"/>
      <c r="RHL110" s="92"/>
      <c r="RHM110" s="92"/>
      <c r="RHN110" s="92"/>
      <c r="RHO110" s="92"/>
      <c r="RHP110" s="92"/>
      <c r="RHQ110" s="92"/>
      <c r="RHR110" s="92"/>
      <c r="RHS110" s="92"/>
      <c r="RHT110" s="92"/>
      <c r="RHU110" s="92"/>
      <c r="RHV110" s="92"/>
      <c r="RHW110" s="92"/>
      <c r="RHX110" s="92"/>
      <c r="RHY110" s="92"/>
      <c r="RHZ110" s="92"/>
      <c r="RIA110" s="92"/>
      <c r="RIB110" s="92"/>
      <c r="RIC110" s="92"/>
      <c r="RID110" s="92"/>
      <c r="RIE110" s="92"/>
      <c r="RIF110" s="91"/>
      <c r="RIG110" s="92"/>
      <c r="RIH110" s="92"/>
      <c r="RII110" s="92"/>
      <c r="RIJ110" s="92"/>
      <c r="RIK110" s="92"/>
      <c r="RIL110" s="92"/>
      <c r="RIM110" s="92"/>
      <c r="RIN110" s="92"/>
      <c r="RIO110" s="92"/>
      <c r="RIP110" s="92"/>
      <c r="RIQ110" s="92"/>
      <c r="RIR110" s="92"/>
      <c r="RIS110" s="92"/>
      <c r="RIT110" s="92"/>
      <c r="RIU110" s="92"/>
      <c r="RIV110" s="92"/>
      <c r="RIW110" s="92"/>
      <c r="RIX110" s="92"/>
      <c r="RIY110" s="92"/>
      <c r="RIZ110" s="92"/>
      <c r="RJA110" s="92"/>
      <c r="RJB110" s="91"/>
      <c r="RJC110" s="92"/>
      <c r="RJD110" s="92"/>
      <c r="RJE110" s="92"/>
      <c r="RJF110" s="92"/>
      <c r="RJG110" s="92"/>
      <c r="RJH110" s="92"/>
      <c r="RJI110" s="92"/>
      <c r="RJJ110" s="92"/>
      <c r="RJK110" s="92"/>
      <c r="RJL110" s="92"/>
      <c r="RJM110" s="92"/>
      <c r="RJN110" s="92"/>
      <c r="RJO110" s="92"/>
      <c r="RJP110" s="92"/>
      <c r="RJQ110" s="92"/>
      <c r="RJR110" s="92"/>
      <c r="RJS110" s="92"/>
      <c r="RJT110" s="92"/>
      <c r="RJU110" s="92"/>
      <c r="RJV110" s="92"/>
      <c r="RJW110" s="92"/>
      <c r="RJX110" s="91"/>
      <c r="RJY110" s="92"/>
      <c r="RJZ110" s="92"/>
      <c r="RKA110" s="92"/>
      <c r="RKB110" s="92"/>
      <c r="RKC110" s="92"/>
      <c r="RKD110" s="92"/>
      <c r="RKE110" s="92"/>
      <c r="RKF110" s="92"/>
      <c r="RKG110" s="92"/>
      <c r="RKH110" s="92"/>
      <c r="RKI110" s="92"/>
      <c r="RKJ110" s="92"/>
      <c r="RKK110" s="92"/>
      <c r="RKL110" s="92"/>
      <c r="RKM110" s="92"/>
      <c r="RKN110" s="92"/>
      <c r="RKO110" s="92"/>
      <c r="RKP110" s="92"/>
      <c r="RKQ110" s="92"/>
      <c r="RKR110" s="92"/>
      <c r="RKS110" s="92"/>
      <c r="RKT110" s="91"/>
      <c r="RKU110" s="92"/>
      <c r="RKV110" s="92"/>
      <c r="RKW110" s="92"/>
      <c r="RKX110" s="92"/>
      <c r="RKY110" s="92"/>
      <c r="RKZ110" s="92"/>
      <c r="RLA110" s="92"/>
      <c r="RLB110" s="92"/>
      <c r="RLC110" s="92"/>
      <c r="RLD110" s="92"/>
      <c r="RLE110" s="92"/>
      <c r="RLF110" s="92"/>
      <c r="RLG110" s="92"/>
      <c r="RLH110" s="92"/>
      <c r="RLI110" s="92"/>
      <c r="RLJ110" s="92"/>
      <c r="RLK110" s="92"/>
      <c r="RLL110" s="92"/>
      <c r="RLM110" s="92"/>
      <c r="RLN110" s="92"/>
      <c r="RLO110" s="92"/>
      <c r="RLP110" s="91"/>
      <c r="RLQ110" s="92"/>
      <c r="RLR110" s="92"/>
      <c r="RLS110" s="92"/>
      <c r="RLT110" s="92"/>
      <c r="RLU110" s="92"/>
      <c r="RLV110" s="92"/>
      <c r="RLW110" s="92"/>
      <c r="RLX110" s="92"/>
      <c r="RLY110" s="92"/>
      <c r="RLZ110" s="92"/>
      <c r="RMA110" s="92"/>
      <c r="RMB110" s="92"/>
      <c r="RMC110" s="92"/>
      <c r="RMD110" s="92"/>
      <c r="RME110" s="92"/>
      <c r="RMF110" s="92"/>
      <c r="RMG110" s="92"/>
      <c r="RMH110" s="92"/>
      <c r="RMI110" s="92"/>
      <c r="RMJ110" s="92"/>
      <c r="RMK110" s="92"/>
      <c r="RML110" s="91"/>
      <c r="RMM110" s="92"/>
      <c r="RMN110" s="92"/>
      <c r="RMO110" s="92"/>
      <c r="RMP110" s="92"/>
      <c r="RMQ110" s="92"/>
      <c r="RMR110" s="92"/>
      <c r="RMS110" s="92"/>
      <c r="RMT110" s="92"/>
      <c r="RMU110" s="92"/>
      <c r="RMV110" s="92"/>
      <c r="RMW110" s="92"/>
      <c r="RMX110" s="92"/>
      <c r="RMY110" s="92"/>
      <c r="RMZ110" s="92"/>
      <c r="RNA110" s="92"/>
      <c r="RNB110" s="92"/>
      <c r="RNC110" s="92"/>
      <c r="RND110" s="92"/>
      <c r="RNE110" s="92"/>
      <c r="RNF110" s="92"/>
      <c r="RNG110" s="92"/>
      <c r="RNH110" s="91"/>
      <c r="RNI110" s="92"/>
      <c r="RNJ110" s="92"/>
      <c r="RNK110" s="92"/>
      <c r="RNL110" s="92"/>
      <c r="RNM110" s="92"/>
      <c r="RNN110" s="92"/>
      <c r="RNO110" s="92"/>
      <c r="RNP110" s="92"/>
      <c r="RNQ110" s="92"/>
      <c r="RNR110" s="92"/>
      <c r="RNS110" s="92"/>
      <c r="RNT110" s="92"/>
      <c r="RNU110" s="92"/>
      <c r="RNV110" s="92"/>
      <c r="RNW110" s="92"/>
      <c r="RNX110" s="92"/>
      <c r="RNY110" s="92"/>
      <c r="RNZ110" s="92"/>
      <c r="ROA110" s="92"/>
      <c r="ROB110" s="92"/>
      <c r="ROC110" s="92"/>
      <c r="ROD110" s="91"/>
      <c r="ROE110" s="92"/>
      <c r="ROF110" s="92"/>
      <c r="ROG110" s="92"/>
      <c r="ROH110" s="92"/>
      <c r="ROI110" s="92"/>
      <c r="ROJ110" s="92"/>
      <c r="ROK110" s="92"/>
      <c r="ROL110" s="92"/>
      <c r="ROM110" s="92"/>
      <c r="RON110" s="92"/>
      <c r="ROO110" s="92"/>
      <c r="ROP110" s="92"/>
      <c r="ROQ110" s="92"/>
      <c r="ROR110" s="92"/>
      <c r="ROS110" s="92"/>
      <c r="ROT110" s="92"/>
      <c r="ROU110" s="92"/>
      <c r="ROV110" s="92"/>
      <c r="ROW110" s="92"/>
      <c r="ROX110" s="92"/>
      <c r="ROY110" s="92"/>
      <c r="ROZ110" s="91"/>
      <c r="RPA110" s="92"/>
      <c r="RPB110" s="92"/>
      <c r="RPC110" s="92"/>
      <c r="RPD110" s="92"/>
      <c r="RPE110" s="92"/>
      <c r="RPF110" s="92"/>
      <c r="RPG110" s="92"/>
      <c r="RPH110" s="92"/>
      <c r="RPI110" s="92"/>
      <c r="RPJ110" s="92"/>
      <c r="RPK110" s="92"/>
      <c r="RPL110" s="92"/>
      <c r="RPM110" s="92"/>
      <c r="RPN110" s="92"/>
      <c r="RPO110" s="92"/>
      <c r="RPP110" s="92"/>
      <c r="RPQ110" s="92"/>
      <c r="RPR110" s="92"/>
      <c r="RPS110" s="92"/>
      <c r="RPT110" s="92"/>
      <c r="RPU110" s="92"/>
      <c r="RPV110" s="91"/>
      <c r="RPW110" s="92"/>
      <c r="RPX110" s="92"/>
      <c r="RPY110" s="92"/>
      <c r="RPZ110" s="92"/>
      <c r="RQA110" s="92"/>
      <c r="RQB110" s="92"/>
      <c r="RQC110" s="92"/>
      <c r="RQD110" s="92"/>
      <c r="RQE110" s="92"/>
      <c r="RQF110" s="92"/>
      <c r="RQG110" s="92"/>
      <c r="RQH110" s="92"/>
      <c r="RQI110" s="92"/>
      <c r="RQJ110" s="92"/>
      <c r="RQK110" s="92"/>
      <c r="RQL110" s="92"/>
      <c r="RQM110" s="92"/>
      <c r="RQN110" s="92"/>
      <c r="RQO110" s="92"/>
      <c r="RQP110" s="92"/>
      <c r="RQQ110" s="92"/>
      <c r="RQR110" s="91"/>
      <c r="RQS110" s="92"/>
      <c r="RQT110" s="92"/>
      <c r="RQU110" s="92"/>
      <c r="RQV110" s="92"/>
      <c r="RQW110" s="92"/>
      <c r="RQX110" s="92"/>
      <c r="RQY110" s="92"/>
      <c r="RQZ110" s="92"/>
      <c r="RRA110" s="92"/>
      <c r="RRB110" s="92"/>
      <c r="RRC110" s="92"/>
      <c r="RRD110" s="92"/>
      <c r="RRE110" s="92"/>
      <c r="RRF110" s="92"/>
      <c r="RRG110" s="92"/>
      <c r="RRH110" s="92"/>
      <c r="RRI110" s="92"/>
      <c r="RRJ110" s="92"/>
      <c r="RRK110" s="92"/>
      <c r="RRL110" s="92"/>
      <c r="RRM110" s="92"/>
      <c r="RRN110" s="91"/>
      <c r="RRO110" s="92"/>
      <c r="RRP110" s="92"/>
      <c r="RRQ110" s="92"/>
      <c r="RRR110" s="92"/>
      <c r="RRS110" s="92"/>
      <c r="RRT110" s="92"/>
      <c r="RRU110" s="92"/>
      <c r="RRV110" s="92"/>
      <c r="RRW110" s="92"/>
      <c r="RRX110" s="92"/>
      <c r="RRY110" s="92"/>
      <c r="RRZ110" s="92"/>
      <c r="RSA110" s="92"/>
      <c r="RSB110" s="92"/>
      <c r="RSC110" s="92"/>
      <c r="RSD110" s="92"/>
      <c r="RSE110" s="92"/>
      <c r="RSF110" s="92"/>
      <c r="RSG110" s="92"/>
      <c r="RSH110" s="92"/>
      <c r="RSI110" s="92"/>
      <c r="RSJ110" s="91"/>
      <c r="RSK110" s="92"/>
      <c r="RSL110" s="92"/>
      <c r="RSM110" s="92"/>
      <c r="RSN110" s="92"/>
      <c r="RSO110" s="92"/>
      <c r="RSP110" s="92"/>
      <c r="RSQ110" s="92"/>
      <c r="RSR110" s="92"/>
      <c r="RSS110" s="92"/>
      <c r="RST110" s="92"/>
      <c r="RSU110" s="92"/>
      <c r="RSV110" s="92"/>
      <c r="RSW110" s="92"/>
      <c r="RSX110" s="92"/>
      <c r="RSY110" s="92"/>
      <c r="RSZ110" s="92"/>
      <c r="RTA110" s="92"/>
      <c r="RTB110" s="92"/>
      <c r="RTC110" s="92"/>
      <c r="RTD110" s="92"/>
      <c r="RTE110" s="92"/>
      <c r="RTF110" s="91"/>
      <c r="RTG110" s="92"/>
      <c r="RTH110" s="92"/>
      <c r="RTI110" s="92"/>
      <c r="RTJ110" s="92"/>
      <c r="RTK110" s="92"/>
      <c r="RTL110" s="92"/>
      <c r="RTM110" s="92"/>
      <c r="RTN110" s="92"/>
      <c r="RTO110" s="92"/>
      <c r="RTP110" s="92"/>
      <c r="RTQ110" s="92"/>
      <c r="RTR110" s="92"/>
      <c r="RTS110" s="92"/>
      <c r="RTT110" s="92"/>
      <c r="RTU110" s="92"/>
      <c r="RTV110" s="92"/>
      <c r="RTW110" s="92"/>
      <c r="RTX110" s="92"/>
      <c r="RTY110" s="92"/>
      <c r="RTZ110" s="92"/>
      <c r="RUA110" s="92"/>
      <c r="RUB110" s="91"/>
      <c r="RUC110" s="92"/>
      <c r="RUD110" s="92"/>
      <c r="RUE110" s="92"/>
      <c r="RUF110" s="92"/>
      <c r="RUG110" s="92"/>
      <c r="RUH110" s="92"/>
      <c r="RUI110" s="92"/>
      <c r="RUJ110" s="92"/>
      <c r="RUK110" s="92"/>
      <c r="RUL110" s="92"/>
      <c r="RUM110" s="92"/>
      <c r="RUN110" s="92"/>
      <c r="RUO110" s="92"/>
      <c r="RUP110" s="92"/>
      <c r="RUQ110" s="92"/>
      <c r="RUR110" s="92"/>
      <c r="RUS110" s="92"/>
      <c r="RUT110" s="92"/>
      <c r="RUU110" s="92"/>
      <c r="RUV110" s="92"/>
      <c r="RUW110" s="92"/>
      <c r="RUX110" s="91"/>
      <c r="RUY110" s="92"/>
      <c r="RUZ110" s="92"/>
      <c r="RVA110" s="92"/>
      <c r="RVB110" s="92"/>
      <c r="RVC110" s="92"/>
      <c r="RVD110" s="92"/>
      <c r="RVE110" s="92"/>
      <c r="RVF110" s="92"/>
      <c r="RVG110" s="92"/>
      <c r="RVH110" s="92"/>
      <c r="RVI110" s="92"/>
      <c r="RVJ110" s="92"/>
      <c r="RVK110" s="92"/>
      <c r="RVL110" s="92"/>
      <c r="RVM110" s="92"/>
      <c r="RVN110" s="92"/>
      <c r="RVO110" s="92"/>
      <c r="RVP110" s="92"/>
      <c r="RVQ110" s="92"/>
      <c r="RVR110" s="92"/>
      <c r="RVS110" s="92"/>
      <c r="RVT110" s="91"/>
      <c r="RVU110" s="92"/>
      <c r="RVV110" s="92"/>
      <c r="RVW110" s="92"/>
      <c r="RVX110" s="92"/>
      <c r="RVY110" s="92"/>
      <c r="RVZ110" s="92"/>
      <c r="RWA110" s="92"/>
      <c r="RWB110" s="92"/>
      <c r="RWC110" s="92"/>
      <c r="RWD110" s="92"/>
      <c r="RWE110" s="92"/>
      <c r="RWF110" s="92"/>
      <c r="RWG110" s="92"/>
      <c r="RWH110" s="92"/>
      <c r="RWI110" s="92"/>
      <c r="RWJ110" s="92"/>
      <c r="RWK110" s="92"/>
      <c r="RWL110" s="92"/>
      <c r="RWM110" s="92"/>
      <c r="RWN110" s="92"/>
      <c r="RWO110" s="92"/>
      <c r="RWP110" s="91"/>
      <c r="RWQ110" s="92"/>
      <c r="RWR110" s="92"/>
      <c r="RWS110" s="92"/>
      <c r="RWT110" s="92"/>
      <c r="RWU110" s="92"/>
      <c r="RWV110" s="92"/>
      <c r="RWW110" s="92"/>
      <c r="RWX110" s="92"/>
      <c r="RWY110" s="92"/>
      <c r="RWZ110" s="92"/>
      <c r="RXA110" s="92"/>
      <c r="RXB110" s="92"/>
      <c r="RXC110" s="92"/>
      <c r="RXD110" s="92"/>
      <c r="RXE110" s="92"/>
      <c r="RXF110" s="92"/>
      <c r="RXG110" s="92"/>
      <c r="RXH110" s="92"/>
      <c r="RXI110" s="92"/>
      <c r="RXJ110" s="92"/>
      <c r="RXK110" s="92"/>
      <c r="RXL110" s="91"/>
      <c r="RXM110" s="92"/>
      <c r="RXN110" s="92"/>
      <c r="RXO110" s="92"/>
      <c r="RXP110" s="92"/>
      <c r="RXQ110" s="92"/>
      <c r="RXR110" s="92"/>
      <c r="RXS110" s="92"/>
      <c r="RXT110" s="92"/>
      <c r="RXU110" s="92"/>
      <c r="RXV110" s="92"/>
      <c r="RXW110" s="92"/>
      <c r="RXX110" s="92"/>
      <c r="RXY110" s="92"/>
      <c r="RXZ110" s="92"/>
      <c r="RYA110" s="92"/>
      <c r="RYB110" s="92"/>
      <c r="RYC110" s="92"/>
      <c r="RYD110" s="92"/>
      <c r="RYE110" s="92"/>
      <c r="RYF110" s="92"/>
      <c r="RYG110" s="92"/>
      <c r="RYH110" s="91"/>
      <c r="RYI110" s="92"/>
      <c r="RYJ110" s="92"/>
      <c r="RYK110" s="92"/>
      <c r="RYL110" s="92"/>
      <c r="RYM110" s="92"/>
      <c r="RYN110" s="92"/>
      <c r="RYO110" s="92"/>
      <c r="RYP110" s="92"/>
      <c r="RYQ110" s="92"/>
      <c r="RYR110" s="92"/>
      <c r="RYS110" s="92"/>
      <c r="RYT110" s="92"/>
      <c r="RYU110" s="92"/>
      <c r="RYV110" s="92"/>
      <c r="RYW110" s="92"/>
      <c r="RYX110" s="92"/>
      <c r="RYY110" s="92"/>
      <c r="RYZ110" s="92"/>
      <c r="RZA110" s="92"/>
      <c r="RZB110" s="92"/>
      <c r="RZC110" s="92"/>
      <c r="RZD110" s="91"/>
      <c r="RZE110" s="92"/>
      <c r="RZF110" s="92"/>
      <c r="RZG110" s="92"/>
      <c r="RZH110" s="92"/>
      <c r="RZI110" s="92"/>
      <c r="RZJ110" s="92"/>
      <c r="RZK110" s="92"/>
      <c r="RZL110" s="92"/>
      <c r="RZM110" s="92"/>
      <c r="RZN110" s="92"/>
      <c r="RZO110" s="92"/>
      <c r="RZP110" s="92"/>
      <c r="RZQ110" s="92"/>
      <c r="RZR110" s="92"/>
      <c r="RZS110" s="92"/>
      <c r="RZT110" s="92"/>
      <c r="RZU110" s="92"/>
      <c r="RZV110" s="92"/>
      <c r="RZW110" s="92"/>
      <c r="RZX110" s="92"/>
      <c r="RZY110" s="92"/>
      <c r="RZZ110" s="91"/>
      <c r="SAA110" s="92"/>
      <c r="SAB110" s="92"/>
      <c r="SAC110" s="92"/>
      <c r="SAD110" s="92"/>
      <c r="SAE110" s="92"/>
      <c r="SAF110" s="92"/>
      <c r="SAG110" s="92"/>
      <c r="SAH110" s="92"/>
      <c r="SAI110" s="92"/>
      <c r="SAJ110" s="92"/>
      <c r="SAK110" s="92"/>
      <c r="SAL110" s="92"/>
      <c r="SAM110" s="92"/>
      <c r="SAN110" s="92"/>
      <c r="SAO110" s="92"/>
      <c r="SAP110" s="92"/>
      <c r="SAQ110" s="92"/>
      <c r="SAR110" s="92"/>
      <c r="SAS110" s="92"/>
      <c r="SAT110" s="92"/>
      <c r="SAU110" s="92"/>
      <c r="SAV110" s="91"/>
      <c r="SAW110" s="92"/>
      <c r="SAX110" s="92"/>
      <c r="SAY110" s="92"/>
      <c r="SAZ110" s="92"/>
      <c r="SBA110" s="92"/>
      <c r="SBB110" s="92"/>
      <c r="SBC110" s="92"/>
      <c r="SBD110" s="92"/>
      <c r="SBE110" s="92"/>
      <c r="SBF110" s="92"/>
      <c r="SBG110" s="92"/>
      <c r="SBH110" s="92"/>
      <c r="SBI110" s="92"/>
      <c r="SBJ110" s="92"/>
      <c r="SBK110" s="92"/>
      <c r="SBL110" s="92"/>
      <c r="SBM110" s="92"/>
      <c r="SBN110" s="92"/>
      <c r="SBO110" s="92"/>
      <c r="SBP110" s="92"/>
      <c r="SBQ110" s="92"/>
      <c r="SBR110" s="91"/>
      <c r="SBS110" s="92"/>
      <c r="SBT110" s="92"/>
      <c r="SBU110" s="92"/>
      <c r="SBV110" s="92"/>
      <c r="SBW110" s="92"/>
      <c r="SBX110" s="92"/>
      <c r="SBY110" s="92"/>
      <c r="SBZ110" s="92"/>
      <c r="SCA110" s="92"/>
      <c r="SCB110" s="92"/>
      <c r="SCC110" s="92"/>
      <c r="SCD110" s="92"/>
      <c r="SCE110" s="92"/>
      <c r="SCF110" s="92"/>
      <c r="SCG110" s="92"/>
      <c r="SCH110" s="92"/>
      <c r="SCI110" s="92"/>
      <c r="SCJ110" s="92"/>
      <c r="SCK110" s="92"/>
      <c r="SCL110" s="92"/>
      <c r="SCM110" s="92"/>
      <c r="SCN110" s="91"/>
      <c r="SCO110" s="92"/>
      <c r="SCP110" s="92"/>
      <c r="SCQ110" s="92"/>
      <c r="SCR110" s="92"/>
      <c r="SCS110" s="92"/>
      <c r="SCT110" s="92"/>
      <c r="SCU110" s="92"/>
      <c r="SCV110" s="92"/>
      <c r="SCW110" s="92"/>
      <c r="SCX110" s="92"/>
      <c r="SCY110" s="92"/>
      <c r="SCZ110" s="92"/>
      <c r="SDA110" s="92"/>
      <c r="SDB110" s="92"/>
      <c r="SDC110" s="92"/>
      <c r="SDD110" s="92"/>
      <c r="SDE110" s="92"/>
      <c r="SDF110" s="92"/>
      <c r="SDG110" s="92"/>
      <c r="SDH110" s="92"/>
      <c r="SDI110" s="92"/>
      <c r="SDJ110" s="91"/>
      <c r="SDK110" s="92"/>
      <c r="SDL110" s="92"/>
      <c r="SDM110" s="92"/>
      <c r="SDN110" s="92"/>
      <c r="SDO110" s="92"/>
      <c r="SDP110" s="92"/>
      <c r="SDQ110" s="92"/>
      <c r="SDR110" s="92"/>
      <c r="SDS110" s="92"/>
      <c r="SDT110" s="92"/>
      <c r="SDU110" s="92"/>
      <c r="SDV110" s="92"/>
      <c r="SDW110" s="92"/>
      <c r="SDX110" s="92"/>
      <c r="SDY110" s="92"/>
      <c r="SDZ110" s="92"/>
      <c r="SEA110" s="92"/>
      <c r="SEB110" s="92"/>
      <c r="SEC110" s="92"/>
      <c r="SED110" s="92"/>
      <c r="SEE110" s="92"/>
      <c r="SEF110" s="91"/>
      <c r="SEG110" s="92"/>
      <c r="SEH110" s="92"/>
      <c r="SEI110" s="92"/>
      <c r="SEJ110" s="92"/>
      <c r="SEK110" s="92"/>
      <c r="SEL110" s="92"/>
      <c r="SEM110" s="92"/>
      <c r="SEN110" s="92"/>
      <c r="SEO110" s="92"/>
      <c r="SEP110" s="92"/>
      <c r="SEQ110" s="92"/>
      <c r="SER110" s="92"/>
      <c r="SES110" s="92"/>
      <c r="SET110" s="92"/>
      <c r="SEU110" s="92"/>
      <c r="SEV110" s="92"/>
      <c r="SEW110" s="92"/>
      <c r="SEX110" s="92"/>
      <c r="SEY110" s="92"/>
      <c r="SEZ110" s="92"/>
      <c r="SFA110" s="92"/>
      <c r="SFB110" s="91"/>
      <c r="SFC110" s="92"/>
      <c r="SFD110" s="92"/>
      <c r="SFE110" s="92"/>
      <c r="SFF110" s="92"/>
      <c r="SFG110" s="92"/>
      <c r="SFH110" s="92"/>
      <c r="SFI110" s="92"/>
      <c r="SFJ110" s="92"/>
      <c r="SFK110" s="92"/>
      <c r="SFL110" s="92"/>
      <c r="SFM110" s="92"/>
      <c r="SFN110" s="92"/>
      <c r="SFO110" s="92"/>
      <c r="SFP110" s="92"/>
      <c r="SFQ110" s="92"/>
      <c r="SFR110" s="92"/>
      <c r="SFS110" s="92"/>
      <c r="SFT110" s="92"/>
      <c r="SFU110" s="92"/>
      <c r="SFV110" s="92"/>
      <c r="SFW110" s="92"/>
      <c r="SFX110" s="91"/>
      <c r="SFY110" s="92"/>
      <c r="SFZ110" s="92"/>
      <c r="SGA110" s="92"/>
      <c r="SGB110" s="92"/>
      <c r="SGC110" s="92"/>
      <c r="SGD110" s="92"/>
      <c r="SGE110" s="92"/>
      <c r="SGF110" s="92"/>
      <c r="SGG110" s="92"/>
      <c r="SGH110" s="92"/>
      <c r="SGI110" s="92"/>
      <c r="SGJ110" s="92"/>
      <c r="SGK110" s="92"/>
      <c r="SGL110" s="92"/>
      <c r="SGM110" s="92"/>
      <c r="SGN110" s="92"/>
      <c r="SGO110" s="92"/>
      <c r="SGP110" s="92"/>
      <c r="SGQ110" s="92"/>
      <c r="SGR110" s="92"/>
      <c r="SGS110" s="92"/>
      <c r="SGT110" s="91"/>
      <c r="SGU110" s="92"/>
      <c r="SGV110" s="92"/>
      <c r="SGW110" s="92"/>
      <c r="SGX110" s="92"/>
      <c r="SGY110" s="92"/>
      <c r="SGZ110" s="92"/>
      <c r="SHA110" s="92"/>
      <c r="SHB110" s="92"/>
      <c r="SHC110" s="92"/>
      <c r="SHD110" s="92"/>
      <c r="SHE110" s="92"/>
      <c r="SHF110" s="92"/>
      <c r="SHG110" s="92"/>
      <c r="SHH110" s="92"/>
      <c r="SHI110" s="92"/>
      <c r="SHJ110" s="92"/>
      <c r="SHK110" s="92"/>
      <c r="SHL110" s="92"/>
      <c r="SHM110" s="92"/>
      <c r="SHN110" s="92"/>
      <c r="SHO110" s="92"/>
      <c r="SHP110" s="91"/>
      <c r="SHQ110" s="92"/>
      <c r="SHR110" s="92"/>
      <c r="SHS110" s="92"/>
      <c r="SHT110" s="92"/>
      <c r="SHU110" s="92"/>
      <c r="SHV110" s="92"/>
      <c r="SHW110" s="92"/>
      <c r="SHX110" s="92"/>
      <c r="SHY110" s="92"/>
      <c r="SHZ110" s="92"/>
      <c r="SIA110" s="92"/>
      <c r="SIB110" s="92"/>
      <c r="SIC110" s="92"/>
      <c r="SID110" s="92"/>
      <c r="SIE110" s="92"/>
      <c r="SIF110" s="92"/>
      <c r="SIG110" s="92"/>
      <c r="SIH110" s="92"/>
      <c r="SII110" s="92"/>
      <c r="SIJ110" s="92"/>
      <c r="SIK110" s="92"/>
      <c r="SIL110" s="91"/>
      <c r="SIM110" s="92"/>
      <c r="SIN110" s="92"/>
      <c r="SIO110" s="92"/>
      <c r="SIP110" s="92"/>
      <c r="SIQ110" s="92"/>
      <c r="SIR110" s="92"/>
      <c r="SIS110" s="92"/>
      <c r="SIT110" s="92"/>
      <c r="SIU110" s="92"/>
      <c r="SIV110" s="92"/>
      <c r="SIW110" s="92"/>
      <c r="SIX110" s="92"/>
      <c r="SIY110" s="92"/>
      <c r="SIZ110" s="92"/>
      <c r="SJA110" s="92"/>
      <c r="SJB110" s="92"/>
      <c r="SJC110" s="92"/>
      <c r="SJD110" s="92"/>
      <c r="SJE110" s="92"/>
      <c r="SJF110" s="92"/>
      <c r="SJG110" s="92"/>
      <c r="SJH110" s="91"/>
      <c r="SJI110" s="92"/>
      <c r="SJJ110" s="92"/>
      <c r="SJK110" s="92"/>
      <c r="SJL110" s="92"/>
      <c r="SJM110" s="92"/>
      <c r="SJN110" s="92"/>
      <c r="SJO110" s="92"/>
      <c r="SJP110" s="92"/>
      <c r="SJQ110" s="92"/>
      <c r="SJR110" s="92"/>
      <c r="SJS110" s="92"/>
      <c r="SJT110" s="92"/>
      <c r="SJU110" s="92"/>
      <c r="SJV110" s="92"/>
      <c r="SJW110" s="92"/>
      <c r="SJX110" s="92"/>
      <c r="SJY110" s="92"/>
      <c r="SJZ110" s="92"/>
      <c r="SKA110" s="92"/>
      <c r="SKB110" s="92"/>
      <c r="SKC110" s="92"/>
      <c r="SKD110" s="91"/>
      <c r="SKE110" s="92"/>
      <c r="SKF110" s="92"/>
      <c r="SKG110" s="92"/>
      <c r="SKH110" s="92"/>
      <c r="SKI110" s="92"/>
      <c r="SKJ110" s="92"/>
      <c r="SKK110" s="92"/>
      <c r="SKL110" s="92"/>
      <c r="SKM110" s="92"/>
      <c r="SKN110" s="92"/>
      <c r="SKO110" s="92"/>
      <c r="SKP110" s="92"/>
      <c r="SKQ110" s="92"/>
      <c r="SKR110" s="92"/>
      <c r="SKS110" s="92"/>
      <c r="SKT110" s="92"/>
      <c r="SKU110" s="92"/>
      <c r="SKV110" s="92"/>
      <c r="SKW110" s="92"/>
      <c r="SKX110" s="92"/>
      <c r="SKY110" s="92"/>
      <c r="SKZ110" s="91"/>
      <c r="SLA110" s="92"/>
      <c r="SLB110" s="92"/>
      <c r="SLC110" s="92"/>
      <c r="SLD110" s="92"/>
      <c r="SLE110" s="92"/>
      <c r="SLF110" s="92"/>
      <c r="SLG110" s="92"/>
      <c r="SLH110" s="92"/>
      <c r="SLI110" s="92"/>
      <c r="SLJ110" s="92"/>
      <c r="SLK110" s="92"/>
      <c r="SLL110" s="92"/>
      <c r="SLM110" s="92"/>
      <c r="SLN110" s="92"/>
      <c r="SLO110" s="92"/>
      <c r="SLP110" s="92"/>
      <c r="SLQ110" s="92"/>
      <c r="SLR110" s="92"/>
      <c r="SLS110" s="92"/>
      <c r="SLT110" s="92"/>
      <c r="SLU110" s="92"/>
      <c r="SLV110" s="91"/>
      <c r="SLW110" s="92"/>
      <c r="SLX110" s="92"/>
      <c r="SLY110" s="92"/>
      <c r="SLZ110" s="92"/>
      <c r="SMA110" s="92"/>
      <c r="SMB110" s="92"/>
      <c r="SMC110" s="92"/>
      <c r="SMD110" s="92"/>
      <c r="SME110" s="92"/>
      <c r="SMF110" s="92"/>
      <c r="SMG110" s="92"/>
      <c r="SMH110" s="92"/>
      <c r="SMI110" s="92"/>
      <c r="SMJ110" s="92"/>
      <c r="SMK110" s="92"/>
      <c r="SML110" s="92"/>
      <c r="SMM110" s="92"/>
      <c r="SMN110" s="92"/>
      <c r="SMO110" s="92"/>
      <c r="SMP110" s="92"/>
      <c r="SMQ110" s="92"/>
      <c r="SMR110" s="91"/>
      <c r="SMS110" s="92"/>
      <c r="SMT110" s="92"/>
      <c r="SMU110" s="92"/>
      <c r="SMV110" s="92"/>
      <c r="SMW110" s="92"/>
      <c r="SMX110" s="92"/>
      <c r="SMY110" s="92"/>
      <c r="SMZ110" s="92"/>
      <c r="SNA110" s="92"/>
      <c r="SNB110" s="92"/>
      <c r="SNC110" s="92"/>
      <c r="SND110" s="92"/>
      <c r="SNE110" s="92"/>
      <c r="SNF110" s="92"/>
      <c r="SNG110" s="92"/>
      <c r="SNH110" s="92"/>
      <c r="SNI110" s="92"/>
      <c r="SNJ110" s="92"/>
      <c r="SNK110" s="92"/>
      <c r="SNL110" s="92"/>
      <c r="SNM110" s="92"/>
      <c r="SNN110" s="91"/>
      <c r="SNO110" s="92"/>
      <c r="SNP110" s="92"/>
      <c r="SNQ110" s="92"/>
      <c r="SNR110" s="92"/>
      <c r="SNS110" s="92"/>
      <c r="SNT110" s="92"/>
      <c r="SNU110" s="92"/>
      <c r="SNV110" s="92"/>
      <c r="SNW110" s="92"/>
      <c r="SNX110" s="92"/>
      <c r="SNY110" s="92"/>
      <c r="SNZ110" s="92"/>
      <c r="SOA110" s="92"/>
      <c r="SOB110" s="92"/>
      <c r="SOC110" s="92"/>
      <c r="SOD110" s="92"/>
      <c r="SOE110" s="92"/>
      <c r="SOF110" s="92"/>
      <c r="SOG110" s="92"/>
      <c r="SOH110" s="92"/>
      <c r="SOI110" s="92"/>
      <c r="SOJ110" s="91"/>
      <c r="SOK110" s="92"/>
      <c r="SOL110" s="92"/>
      <c r="SOM110" s="92"/>
      <c r="SON110" s="92"/>
      <c r="SOO110" s="92"/>
      <c r="SOP110" s="92"/>
      <c r="SOQ110" s="92"/>
      <c r="SOR110" s="92"/>
      <c r="SOS110" s="92"/>
      <c r="SOT110" s="92"/>
      <c r="SOU110" s="92"/>
      <c r="SOV110" s="92"/>
      <c r="SOW110" s="92"/>
      <c r="SOX110" s="92"/>
      <c r="SOY110" s="92"/>
      <c r="SOZ110" s="92"/>
      <c r="SPA110" s="92"/>
      <c r="SPB110" s="92"/>
      <c r="SPC110" s="92"/>
      <c r="SPD110" s="92"/>
      <c r="SPE110" s="92"/>
      <c r="SPF110" s="91"/>
      <c r="SPG110" s="92"/>
      <c r="SPH110" s="92"/>
      <c r="SPI110" s="92"/>
      <c r="SPJ110" s="92"/>
      <c r="SPK110" s="92"/>
      <c r="SPL110" s="92"/>
      <c r="SPM110" s="92"/>
      <c r="SPN110" s="92"/>
      <c r="SPO110" s="92"/>
      <c r="SPP110" s="92"/>
      <c r="SPQ110" s="92"/>
      <c r="SPR110" s="92"/>
      <c r="SPS110" s="92"/>
      <c r="SPT110" s="92"/>
      <c r="SPU110" s="92"/>
      <c r="SPV110" s="92"/>
      <c r="SPW110" s="92"/>
      <c r="SPX110" s="92"/>
      <c r="SPY110" s="92"/>
      <c r="SPZ110" s="92"/>
      <c r="SQA110" s="92"/>
      <c r="SQB110" s="91"/>
      <c r="SQC110" s="92"/>
      <c r="SQD110" s="92"/>
      <c r="SQE110" s="92"/>
      <c r="SQF110" s="92"/>
      <c r="SQG110" s="92"/>
      <c r="SQH110" s="92"/>
      <c r="SQI110" s="92"/>
      <c r="SQJ110" s="92"/>
      <c r="SQK110" s="92"/>
      <c r="SQL110" s="92"/>
      <c r="SQM110" s="92"/>
      <c r="SQN110" s="92"/>
      <c r="SQO110" s="92"/>
      <c r="SQP110" s="92"/>
      <c r="SQQ110" s="92"/>
      <c r="SQR110" s="92"/>
      <c r="SQS110" s="92"/>
      <c r="SQT110" s="92"/>
      <c r="SQU110" s="92"/>
      <c r="SQV110" s="92"/>
      <c r="SQW110" s="92"/>
      <c r="SQX110" s="91"/>
      <c r="SQY110" s="92"/>
      <c r="SQZ110" s="92"/>
      <c r="SRA110" s="92"/>
      <c r="SRB110" s="92"/>
      <c r="SRC110" s="92"/>
      <c r="SRD110" s="92"/>
      <c r="SRE110" s="92"/>
      <c r="SRF110" s="92"/>
      <c r="SRG110" s="92"/>
      <c r="SRH110" s="92"/>
      <c r="SRI110" s="92"/>
      <c r="SRJ110" s="92"/>
      <c r="SRK110" s="92"/>
      <c r="SRL110" s="92"/>
      <c r="SRM110" s="92"/>
      <c r="SRN110" s="92"/>
      <c r="SRO110" s="92"/>
      <c r="SRP110" s="92"/>
      <c r="SRQ110" s="92"/>
      <c r="SRR110" s="92"/>
      <c r="SRS110" s="92"/>
      <c r="SRT110" s="91"/>
      <c r="SRU110" s="92"/>
      <c r="SRV110" s="92"/>
      <c r="SRW110" s="92"/>
      <c r="SRX110" s="92"/>
      <c r="SRY110" s="92"/>
      <c r="SRZ110" s="92"/>
      <c r="SSA110" s="92"/>
      <c r="SSB110" s="92"/>
      <c r="SSC110" s="92"/>
      <c r="SSD110" s="92"/>
      <c r="SSE110" s="92"/>
      <c r="SSF110" s="92"/>
      <c r="SSG110" s="92"/>
      <c r="SSH110" s="92"/>
      <c r="SSI110" s="92"/>
      <c r="SSJ110" s="92"/>
      <c r="SSK110" s="92"/>
      <c r="SSL110" s="92"/>
      <c r="SSM110" s="92"/>
      <c r="SSN110" s="92"/>
      <c r="SSO110" s="92"/>
      <c r="SSP110" s="91"/>
      <c r="SSQ110" s="92"/>
      <c r="SSR110" s="92"/>
      <c r="SSS110" s="92"/>
      <c r="SST110" s="92"/>
      <c r="SSU110" s="92"/>
      <c r="SSV110" s="92"/>
      <c r="SSW110" s="92"/>
      <c r="SSX110" s="92"/>
      <c r="SSY110" s="92"/>
      <c r="SSZ110" s="92"/>
      <c r="STA110" s="92"/>
      <c r="STB110" s="92"/>
      <c r="STC110" s="92"/>
      <c r="STD110" s="92"/>
      <c r="STE110" s="92"/>
      <c r="STF110" s="92"/>
      <c r="STG110" s="92"/>
      <c r="STH110" s="92"/>
      <c r="STI110" s="92"/>
      <c r="STJ110" s="92"/>
      <c r="STK110" s="92"/>
      <c r="STL110" s="91"/>
      <c r="STM110" s="92"/>
      <c r="STN110" s="92"/>
      <c r="STO110" s="92"/>
      <c r="STP110" s="92"/>
      <c r="STQ110" s="92"/>
      <c r="STR110" s="92"/>
      <c r="STS110" s="92"/>
      <c r="STT110" s="92"/>
      <c r="STU110" s="92"/>
      <c r="STV110" s="92"/>
      <c r="STW110" s="92"/>
      <c r="STX110" s="92"/>
      <c r="STY110" s="92"/>
      <c r="STZ110" s="92"/>
      <c r="SUA110" s="92"/>
      <c r="SUB110" s="92"/>
      <c r="SUC110" s="92"/>
      <c r="SUD110" s="92"/>
      <c r="SUE110" s="92"/>
      <c r="SUF110" s="92"/>
      <c r="SUG110" s="92"/>
      <c r="SUH110" s="91"/>
      <c r="SUI110" s="92"/>
      <c r="SUJ110" s="92"/>
      <c r="SUK110" s="92"/>
      <c r="SUL110" s="92"/>
      <c r="SUM110" s="92"/>
      <c r="SUN110" s="92"/>
      <c r="SUO110" s="92"/>
      <c r="SUP110" s="92"/>
      <c r="SUQ110" s="92"/>
      <c r="SUR110" s="92"/>
      <c r="SUS110" s="92"/>
      <c r="SUT110" s="92"/>
      <c r="SUU110" s="92"/>
      <c r="SUV110" s="92"/>
      <c r="SUW110" s="92"/>
      <c r="SUX110" s="92"/>
      <c r="SUY110" s="92"/>
      <c r="SUZ110" s="92"/>
      <c r="SVA110" s="92"/>
      <c r="SVB110" s="92"/>
      <c r="SVC110" s="92"/>
      <c r="SVD110" s="91"/>
      <c r="SVE110" s="92"/>
      <c r="SVF110" s="92"/>
      <c r="SVG110" s="92"/>
      <c r="SVH110" s="92"/>
      <c r="SVI110" s="92"/>
      <c r="SVJ110" s="92"/>
      <c r="SVK110" s="92"/>
      <c r="SVL110" s="92"/>
      <c r="SVM110" s="92"/>
      <c r="SVN110" s="92"/>
      <c r="SVO110" s="92"/>
      <c r="SVP110" s="92"/>
      <c r="SVQ110" s="92"/>
      <c r="SVR110" s="92"/>
      <c r="SVS110" s="92"/>
      <c r="SVT110" s="92"/>
      <c r="SVU110" s="92"/>
      <c r="SVV110" s="92"/>
      <c r="SVW110" s="92"/>
      <c r="SVX110" s="92"/>
      <c r="SVY110" s="92"/>
      <c r="SVZ110" s="91"/>
      <c r="SWA110" s="92"/>
      <c r="SWB110" s="92"/>
      <c r="SWC110" s="92"/>
      <c r="SWD110" s="92"/>
      <c r="SWE110" s="92"/>
      <c r="SWF110" s="92"/>
      <c r="SWG110" s="92"/>
      <c r="SWH110" s="92"/>
      <c r="SWI110" s="92"/>
      <c r="SWJ110" s="92"/>
      <c r="SWK110" s="92"/>
      <c r="SWL110" s="92"/>
      <c r="SWM110" s="92"/>
      <c r="SWN110" s="92"/>
      <c r="SWO110" s="92"/>
      <c r="SWP110" s="92"/>
      <c r="SWQ110" s="92"/>
      <c r="SWR110" s="92"/>
      <c r="SWS110" s="92"/>
      <c r="SWT110" s="92"/>
      <c r="SWU110" s="92"/>
      <c r="SWV110" s="91"/>
      <c r="SWW110" s="92"/>
      <c r="SWX110" s="92"/>
      <c r="SWY110" s="92"/>
      <c r="SWZ110" s="92"/>
      <c r="SXA110" s="92"/>
      <c r="SXB110" s="92"/>
      <c r="SXC110" s="92"/>
      <c r="SXD110" s="92"/>
      <c r="SXE110" s="92"/>
      <c r="SXF110" s="92"/>
      <c r="SXG110" s="92"/>
      <c r="SXH110" s="92"/>
      <c r="SXI110" s="92"/>
      <c r="SXJ110" s="92"/>
      <c r="SXK110" s="92"/>
      <c r="SXL110" s="92"/>
      <c r="SXM110" s="92"/>
      <c r="SXN110" s="92"/>
      <c r="SXO110" s="92"/>
      <c r="SXP110" s="92"/>
      <c r="SXQ110" s="92"/>
      <c r="SXR110" s="91"/>
      <c r="SXS110" s="92"/>
      <c r="SXT110" s="92"/>
      <c r="SXU110" s="92"/>
      <c r="SXV110" s="92"/>
      <c r="SXW110" s="92"/>
      <c r="SXX110" s="92"/>
      <c r="SXY110" s="92"/>
      <c r="SXZ110" s="92"/>
      <c r="SYA110" s="92"/>
      <c r="SYB110" s="92"/>
      <c r="SYC110" s="92"/>
      <c r="SYD110" s="92"/>
      <c r="SYE110" s="92"/>
      <c r="SYF110" s="92"/>
      <c r="SYG110" s="92"/>
      <c r="SYH110" s="92"/>
      <c r="SYI110" s="92"/>
      <c r="SYJ110" s="92"/>
      <c r="SYK110" s="92"/>
      <c r="SYL110" s="92"/>
      <c r="SYM110" s="92"/>
      <c r="SYN110" s="91"/>
      <c r="SYO110" s="92"/>
      <c r="SYP110" s="92"/>
      <c r="SYQ110" s="92"/>
      <c r="SYR110" s="92"/>
      <c r="SYS110" s="92"/>
      <c r="SYT110" s="92"/>
      <c r="SYU110" s="92"/>
      <c r="SYV110" s="92"/>
      <c r="SYW110" s="92"/>
      <c r="SYX110" s="92"/>
      <c r="SYY110" s="92"/>
      <c r="SYZ110" s="92"/>
      <c r="SZA110" s="92"/>
      <c r="SZB110" s="92"/>
      <c r="SZC110" s="92"/>
      <c r="SZD110" s="92"/>
      <c r="SZE110" s="92"/>
      <c r="SZF110" s="92"/>
      <c r="SZG110" s="92"/>
      <c r="SZH110" s="92"/>
      <c r="SZI110" s="92"/>
      <c r="SZJ110" s="91"/>
      <c r="SZK110" s="92"/>
      <c r="SZL110" s="92"/>
      <c r="SZM110" s="92"/>
      <c r="SZN110" s="92"/>
      <c r="SZO110" s="92"/>
      <c r="SZP110" s="92"/>
      <c r="SZQ110" s="92"/>
      <c r="SZR110" s="92"/>
      <c r="SZS110" s="92"/>
      <c r="SZT110" s="92"/>
      <c r="SZU110" s="92"/>
      <c r="SZV110" s="92"/>
      <c r="SZW110" s="92"/>
      <c r="SZX110" s="92"/>
      <c r="SZY110" s="92"/>
      <c r="SZZ110" s="92"/>
      <c r="TAA110" s="92"/>
      <c r="TAB110" s="92"/>
      <c r="TAC110" s="92"/>
      <c r="TAD110" s="92"/>
      <c r="TAE110" s="92"/>
      <c r="TAF110" s="91"/>
      <c r="TAG110" s="92"/>
      <c r="TAH110" s="92"/>
      <c r="TAI110" s="92"/>
      <c r="TAJ110" s="92"/>
      <c r="TAK110" s="92"/>
      <c r="TAL110" s="92"/>
      <c r="TAM110" s="92"/>
      <c r="TAN110" s="92"/>
      <c r="TAO110" s="92"/>
      <c r="TAP110" s="92"/>
      <c r="TAQ110" s="92"/>
      <c r="TAR110" s="92"/>
      <c r="TAS110" s="92"/>
      <c r="TAT110" s="92"/>
      <c r="TAU110" s="92"/>
      <c r="TAV110" s="92"/>
      <c r="TAW110" s="92"/>
      <c r="TAX110" s="92"/>
      <c r="TAY110" s="92"/>
      <c r="TAZ110" s="92"/>
      <c r="TBA110" s="92"/>
      <c r="TBB110" s="91"/>
      <c r="TBC110" s="92"/>
      <c r="TBD110" s="92"/>
      <c r="TBE110" s="92"/>
      <c r="TBF110" s="92"/>
      <c r="TBG110" s="92"/>
      <c r="TBH110" s="92"/>
      <c r="TBI110" s="92"/>
      <c r="TBJ110" s="92"/>
      <c r="TBK110" s="92"/>
      <c r="TBL110" s="92"/>
      <c r="TBM110" s="92"/>
      <c r="TBN110" s="92"/>
      <c r="TBO110" s="92"/>
      <c r="TBP110" s="92"/>
      <c r="TBQ110" s="92"/>
      <c r="TBR110" s="92"/>
      <c r="TBS110" s="92"/>
      <c r="TBT110" s="92"/>
      <c r="TBU110" s="92"/>
      <c r="TBV110" s="92"/>
      <c r="TBW110" s="92"/>
      <c r="TBX110" s="91"/>
      <c r="TBY110" s="92"/>
      <c r="TBZ110" s="92"/>
      <c r="TCA110" s="92"/>
      <c r="TCB110" s="92"/>
      <c r="TCC110" s="92"/>
      <c r="TCD110" s="92"/>
      <c r="TCE110" s="92"/>
      <c r="TCF110" s="92"/>
      <c r="TCG110" s="92"/>
      <c r="TCH110" s="92"/>
      <c r="TCI110" s="92"/>
      <c r="TCJ110" s="92"/>
      <c r="TCK110" s="92"/>
      <c r="TCL110" s="92"/>
      <c r="TCM110" s="92"/>
      <c r="TCN110" s="92"/>
      <c r="TCO110" s="92"/>
      <c r="TCP110" s="92"/>
      <c r="TCQ110" s="92"/>
      <c r="TCR110" s="92"/>
      <c r="TCS110" s="92"/>
      <c r="TCT110" s="91"/>
      <c r="TCU110" s="92"/>
      <c r="TCV110" s="92"/>
      <c r="TCW110" s="92"/>
      <c r="TCX110" s="92"/>
      <c r="TCY110" s="92"/>
      <c r="TCZ110" s="92"/>
      <c r="TDA110" s="92"/>
      <c r="TDB110" s="92"/>
      <c r="TDC110" s="92"/>
      <c r="TDD110" s="92"/>
      <c r="TDE110" s="92"/>
      <c r="TDF110" s="92"/>
      <c r="TDG110" s="92"/>
      <c r="TDH110" s="92"/>
      <c r="TDI110" s="92"/>
      <c r="TDJ110" s="92"/>
      <c r="TDK110" s="92"/>
      <c r="TDL110" s="92"/>
      <c r="TDM110" s="92"/>
      <c r="TDN110" s="92"/>
      <c r="TDO110" s="92"/>
      <c r="TDP110" s="91"/>
      <c r="TDQ110" s="92"/>
      <c r="TDR110" s="92"/>
      <c r="TDS110" s="92"/>
      <c r="TDT110" s="92"/>
      <c r="TDU110" s="92"/>
      <c r="TDV110" s="92"/>
      <c r="TDW110" s="92"/>
      <c r="TDX110" s="92"/>
      <c r="TDY110" s="92"/>
      <c r="TDZ110" s="92"/>
      <c r="TEA110" s="92"/>
      <c r="TEB110" s="92"/>
      <c r="TEC110" s="92"/>
      <c r="TED110" s="92"/>
      <c r="TEE110" s="92"/>
      <c r="TEF110" s="92"/>
      <c r="TEG110" s="92"/>
      <c r="TEH110" s="92"/>
      <c r="TEI110" s="92"/>
      <c r="TEJ110" s="92"/>
      <c r="TEK110" s="92"/>
      <c r="TEL110" s="91"/>
      <c r="TEM110" s="92"/>
      <c r="TEN110" s="92"/>
      <c r="TEO110" s="92"/>
      <c r="TEP110" s="92"/>
      <c r="TEQ110" s="92"/>
      <c r="TER110" s="92"/>
      <c r="TES110" s="92"/>
      <c r="TET110" s="92"/>
      <c r="TEU110" s="92"/>
      <c r="TEV110" s="92"/>
      <c r="TEW110" s="92"/>
      <c r="TEX110" s="92"/>
      <c r="TEY110" s="92"/>
      <c r="TEZ110" s="92"/>
      <c r="TFA110" s="92"/>
      <c r="TFB110" s="92"/>
      <c r="TFC110" s="92"/>
      <c r="TFD110" s="92"/>
      <c r="TFE110" s="92"/>
      <c r="TFF110" s="92"/>
      <c r="TFG110" s="92"/>
      <c r="TFH110" s="91"/>
      <c r="TFI110" s="92"/>
      <c r="TFJ110" s="92"/>
      <c r="TFK110" s="92"/>
      <c r="TFL110" s="92"/>
      <c r="TFM110" s="92"/>
      <c r="TFN110" s="92"/>
      <c r="TFO110" s="92"/>
      <c r="TFP110" s="92"/>
      <c r="TFQ110" s="92"/>
      <c r="TFR110" s="92"/>
      <c r="TFS110" s="92"/>
      <c r="TFT110" s="92"/>
      <c r="TFU110" s="92"/>
      <c r="TFV110" s="92"/>
      <c r="TFW110" s="92"/>
      <c r="TFX110" s="92"/>
      <c r="TFY110" s="92"/>
      <c r="TFZ110" s="92"/>
      <c r="TGA110" s="92"/>
      <c r="TGB110" s="92"/>
      <c r="TGC110" s="92"/>
      <c r="TGD110" s="91"/>
      <c r="TGE110" s="92"/>
      <c r="TGF110" s="92"/>
      <c r="TGG110" s="92"/>
      <c r="TGH110" s="92"/>
      <c r="TGI110" s="92"/>
      <c r="TGJ110" s="92"/>
      <c r="TGK110" s="92"/>
      <c r="TGL110" s="92"/>
      <c r="TGM110" s="92"/>
      <c r="TGN110" s="92"/>
      <c r="TGO110" s="92"/>
      <c r="TGP110" s="92"/>
      <c r="TGQ110" s="92"/>
      <c r="TGR110" s="92"/>
      <c r="TGS110" s="92"/>
      <c r="TGT110" s="92"/>
      <c r="TGU110" s="92"/>
      <c r="TGV110" s="92"/>
      <c r="TGW110" s="92"/>
      <c r="TGX110" s="92"/>
      <c r="TGY110" s="92"/>
      <c r="TGZ110" s="91"/>
      <c r="THA110" s="92"/>
      <c r="THB110" s="92"/>
      <c r="THC110" s="92"/>
      <c r="THD110" s="92"/>
      <c r="THE110" s="92"/>
      <c r="THF110" s="92"/>
      <c r="THG110" s="92"/>
      <c r="THH110" s="92"/>
      <c r="THI110" s="92"/>
      <c r="THJ110" s="92"/>
      <c r="THK110" s="92"/>
      <c r="THL110" s="92"/>
      <c r="THM110" s="92"/>
      <c r="THN110" s="92"/>
      <c r="THO110" s="92"/>
      <c r="THP110" s="92"/>
      <c r="THQ110" s="92"/>
      <c r="THR110" s="92"/>
      <c r="THS110" s="92"/>
      <c r="THT110" s="92"/>
      <c r="THU110" s="92"/>
      <c r="THV110" s="91"/>
      <c r="THW110" s="92"/>
      <c r="THX110" s="92"/>
      <c r="THY110" s="92"/>
      <c r="THZ110" s="92"/>
      <c r="TIA110" s="92"/>
      <c r="TIB110" s="92"/>
      <c r="TIC110" s="92"/>
      <c r="TID110" s="92"/>
      <c r="TIE110" s="92"/>
      <c r="TIF110" s="92"/>
      <c r="TIG110" s="92"/>
      <c r="TIH110" s="92"/>
      <c r="TII110" s="92"/>
      <c r="TIJ110" s="92"/>
      <c r="TIK110" s="92"/>
      <c r="TIL110" s="92"/>
      <c r="TIM110" s="92"/>
      <c r="TIN110" s="92"/>
      <c r="TIO110" s="92"/>
      <c r="TIP110" s="92"/>
      <c r="TIQ110" s="92"/>
      <c r="TIR110" s="91"/>
      <c r="TIS110" s="92"/>
      <c r="TIT110" s="92"/>
      <c r="TIU110" s="92"/>
      <c r="TIV110" s="92"/>
      <c r="TIW110" s="92"/>
      <c r="TIX110" s="92"/>
      <c r="TIY110" s="92"/>
      <c r="TIZ110" s="92"/>
      <c r="TJA110" s="92"/>
      <c r="TJB110" s="92"/>
      <c r="TJC110" s="92"/>
      <c r="TJD110" s="92"/>
      <c r="TJE110" s="92"/>
      <c r="TJF110" s="92"/>
      <c r="TJG110" s="92"/>
      <c r="TJH110" s="92"/>
      <c r="TJI110" s="92"/>
      <c r="TJJ110" s="92"/>
      <c r="TJK110" s="92"/>
      <c r="TJL110" s="92"/>
      <c r="TJM110" s="92"/>
      <c r="TJN110" s="91"/>
      <c r="TJO110" s="92"/>
      <c r="TJP110" s="92"/>
      <c r="TJQ110" s="92"/>
      <c r="TJR110" s="92"/>
      <c r="TJS110" s="92"/>
      <c r="TJT110" s="92"/>
      <c r="TJU110" s="92"/>
      <c r="TJV110" s="92"/>
      <c r="TJW110" s="92"/>
      <c r="TJX110" s="92"/>
      <c r="TJY110" s="92"/>
      <c r="TJZ110" s="92"/>
      <c r="TKA110" s="92"/>
      <c r="TKB110" s="92"/>
      <c r="TKC110" s="92"/>
      <c r="TKD110" s="92"/>
      <c r="TKE110" s="92"/>
      <c r="TKF110" s="92"/>
      <c r="TKG110" s="92"/>
      <c r="TKH110" s="92"/>
      <c r="TKI110" s="92"/>
      <c r="TKJ110" s="91"/>
      <c r="TKK110" s="92"/>
      <c r="TKL110" s="92"/>
      <c r="TKM110" s="92"/>
      <c r="TKN110" s="92"/>
      <c r="TKO110" s="92"/>
      <c r="TKP110" s="92"/>
      <c r="TKQ110" s="92"/>
      <c r="TKR110" s="92"/>
      <c r="TKS110" s="92"/>
      <c r="TKT110" s="92"/>
      <c r="TKU110" s="92"/>
      <c r="TKV110" s="92"/>
      <c r="TKW110" s="92"/>
      <c r="TKX110" s="92"/>
      <c r="TKY110" s="92"/>
      <c r="TKZ110" s="92"/>
      <c r="TLA110" s="92"/>
      <c r="TLB110" s="92"/>
      <c r="TLC110" s="92"/>
      <c r="TLD110" s="92"/>
      <c r="TLE110" s="92"/>
      <c r="TLF110" s="91"/>
      <c r="TLG110" s="92"/>
      <c r="TLH110" s="92"/>
      <c r="TLI110" s="92"/>
      <c r="TLJ110" s="92"/>
      <c r="TLK110" s="92"/>
      <c r="TLL110" s="92"/>
      <c r="TLM110" s="92"/>
      <c r="TLN110" s="92"/>
      <c r="TLO110" s="92"/>
      <c r="TLP110" s="92"/>
      <c r="TLQ110" s="92"/>
      <c r="TLR110" s="92"/>
      <c r="TLS110" s="92"/>
      <c r="TLT110" s="92"/>
      <c r="TLU110" s="92"/>
      <c r="TLV110" s="92"/>
      <c r="TLW110" s="92"/>
      <c r="TLX110" s="92"/>
      <c r="TLY110" s="92"/>
      <c r="TLZ110" s="92"/>
      <c r="TMA110" s="92"/>
      <c r="TMB110" s="91"/>
      <c r="TMC110" s="92"/>
      <c r="TMD110" s="92"/>
      <c r="TME110" s="92"/>
      <c r="TMF110" s="92"/>
      <c r="TMG110" s="92"/>
      <c r="TMH110" s="92"/>
      <c r="TMI110" s="92"/>
      <c r="TMJ110" s="92"/>
      <c r="TMK110" s="92"/>
      <c r="TML110" s="92"/>
      <c r="TMM110" s="92"/>
      <c r="TMN110" s="92"/>
      <c r="TMO110" s="92"/>
      <c r="TMP110" s="92"/>
      <c r="TMQ110" s="92"/>
      <c r="TMR110" s="92"/>
      <c r="TMS110" s="92"/>
      <c r="TMT110" s="92"/>
      <c r="TMU110" s="92"/>
      <c r="TMV110" s="92"/>
      <c r="TMW110" s="92"/>
      <c r="TMX110" s="91"/>
      <c r="TMY110" s="92"/>
      <c r="TMZ110" s="92"/>
      <c r="TNA110" s="92"/>
      <c r="TNB110" s="92"/>
      <c r="TNC110" s="92"/>
      <c r="TND110" s="92"/>
      <c r="TNE110" s="92"/>
      <c r="TNF110" s="92"/>
      <c r="TNG110" s="92"/>
      <c r="TNH110" s="92"/>
      <c r="TNI110" s="92"/>
      <c r="TNJ110" s="92"/>
      <c r="TNK110" s="92"/>
      <c r="TNL110" s="92"/>
      <c r="TNM110" s="92"/>
      <c r="TNN110" s="92"/>
      <c r="TNO110" s="92"/>
      <c r="TNP110" s="92"/>
      <c r="TNQ110" s="92"/>
      <c r="TNR110" s="92"/>
      <c r="TNS110" s="92"/>
      <c r="TNT110" s="91"/>
      <c r="TNU110" s="92"/>
      <c r="TNV110" s="92"/>
      <c r="TNW110" s="92"/>
      <c r="TNX110" s="92"/>
      <c r="TNY110" s="92"/>
      <c r="TNZ110" s="92"/>
      <c r="TOA110" s="92"/>
      <c r="TOB110" s="92"/>
      <c r="TOC110" s="92"/>
      <c r="TOD110" s="92"/>
      <c r="TOE110" s="92"/>
      <c r="TOF110" s="92"/>
      <c r="TOG110" s="92"/>
      <c r="TOH110" s="92"/>
      <c r="TOI110" s="92"/>
      <c r="TOJ110" s="92"/>
      <c r="TOK110" s="92"/>
      <c r="TOL110" s="92"/>
      <c r="TOM110" s="92"/>
      <c r="TON110" s="92"/>
      <c r="TOO110" s="92"/>
      <c r="TOP110" s="91"/>
      <c r="TOQ110" s="92"/>
      <c r="TOR110" s="92"/>
      <c r="TOS110" s="92"/>
      <c r="TOT110" s="92"/>
      <c r="TOU110" s="92"/>
      <c r="TOV110" s="92"/>
      <c r="TOW110" s="92"/>
      <c r="TOX110" s="92"/>
      <c r="TOY110" s="92"/>
      <c r="TOZ110" s="92"/>
      <c r="TPA110" s="92"/>
      <c r="TPB110" s="92"/>
      <c r="TPC110" s="92"/>
      <c r="TPD110" s="92"/>
      <c r="TPE110" s="92"/>
      <c r="TPF110" s="92"/>
      <c r="TPG110" s="92"/>
      <c r="TPH110" s="92"/>
      <c r="TPI110" s="92"/>
      <c r="TPJ110" s="92"/>
      <c r="TPK110" s="92"/>
      <c r="TPL110" s="91"/>
      <c r="TPM110" s="92"/>
      <c r="TPN110" s="92"/>
      <c r="TPO110" s="92"/>
      <c r="TPP110" s="92"/>
      <c r="TPQ110" s="92"/>
      <c r="TPR110" s="92"/>
      <c r="TPS110" s="92"/>
      <c r="TPT110" s="92"/>
      <c r="TPU110" s="92"/>
      <c r="TPV110" s="92"/>
      <c r="TPW110" s="92"/>
      <c r="TPX110" s="92"/>
      <c r="TPY110" s="92"/>
      <c r="TPZ110" s="92"/>
      <c r="TQA110" s="92"/>
      <c r="TQB110" s="92"/>
      <c r="TQC110" s="92"/>
      <c r="TQD110" s="92"/>
      <c r="TQE110" s="92"/>
      <c r="TQF110" s="92"/>
      <c r="TQG110" s="92"/>
      <c r="TQH110" s="91"/>
      <c r="TQI110" s="92"/>
      <c r="TQJ110" s="92"/>
      <c r="TQK110" s="92"/>
      <c r="TQL110" s="92"/>
      <c r="TQM110" s="92"/>
      <c r="TQN110" s="92"/>
      <c r="TQO110" s="92"/>
      <c r="TQP110" s="92"/>
      <c r="TQQ110" s="92"/>
      <c r="TQR110" s="92"/>
      <c r="TQS110" s="92"/>
      <c r="TQT110" s="92"/>
      <c r="TQU110" s="92"/>
      <c r="TQV110" s="92"/>
      <c r="TQW110" s="92"/>
      <c r="TQX110" s="92"/>
      <c r="TQY110" s="92"/>
      <c r="TQZ110" s="92"/>
      <c r="TRA110" s="92"/>
      <c r="TRB110" s="92"/>
      <c r="TRC110" s="92"/>
      <c r="TRD110" s="91"/>
      <c r="TRE110" s="92"/>
      <c r="TRF110" s="92"/>
      <c r="TRG110" s="92"/>
      <c r="TRH110" s="92"/>
      <c r="TRI110" s="92"/>
      <c r="TRJ110" s="92"/>
      <c r="TRK110" s="92"/>
      <c r="TRL110" s="92"/>
      <c r="TRM110" s="92"/>
      <c r="TRN110" s="92"/>
      <c r="TRO110" s="92"/>
      <c r="TRP110" s="92"/>
      <c r="TRQ110" s="92"/>
      <c r="TRR110" s="92"/>
      <c r="TRS110" s="92"/>
      <c r="TRT110" s="92"/>
      <c r="TRU110" s="92"/>
      <c r="TRV110" s="92"/>
      <c r="TRW110" s="92"/>
      <c r="TRX110" s="92"/>
      <c r="TRY110" s="92"/>
      <c r="TRZ110" s="91"/>
      <c r="TSA110" s="92"/>
      <c r="TSB110" s="92"/>
      <c r="TSC110" s="92"/>
      <c r="TSD110" s="92"/>
      <c r="TSE110" s="92"/>
      <c r="TSF110" s="92"/>
      <c r="TSG110" s="92"/>
      <c r="TSH110" s="92"/>
      <c r="TSI110" s="92"/>
      <c r="TSJ110" s="92"/>
      <c r="TSK110" s="92"/>
      <c r="TSL110" s="92"/>
      <c r="TSM110" s="92"/>
      <c r="TSN110" s="92"/>
      <c r="TSO110" s="92"/>
      <c r="TSP110" s="92"/>
      <c r="TSQ110" s="92"/>
      <c r="TSR110" s="92"/>
      <c r="TSS110" s="92"/>
      <c r="TST110" s="92"/>
      <c r="TSU110" s="92"/>
      <c r="TSV110" s="91"/>
      <c r="TSW110" s="92"/>
      <c r="TSX110" s="92"/>
      <c r="TSY110" s="92"/>
      <c r="TSZ110" s="92"/>
      <c r="TTA110" s="92"/>
      <c r="TTB110" s="92"/>
      <c r="TTC110" s="92"/>
      <c r="TTD110" s="92"/>
      <c r="TTE110" s="92"/>
      <c r="TTF110" s="92"/>
      <c r="TTG110" s="92"/>
      <c r="TTH110" s="92"/>
      <c r="TTI110" s="92"/>
      <c r="TTJ110" s="92"/>
      <c r="TTK110" s="92"/>
      <c r="TTL110" s="92"/>
      <c r="TTM110" s="92"/>
      <c r="TTN110" s="92"/>
      <c r="TTO110" s="92"/>
      <c r="TTP110" s="92"/>
      <c r="TTQ110" s="92"/>
      <c r="TTR110" s="91"/>
      <c r="TTS110" s="92"/>
      <c r="TTT110" s="92"/>
      <c r="TTU110" s="92"/>
      <c r="TTV110" s="92"/>
      <c r="TTW110" s="92"/>
      <c r="TTX110" s="92"/>
      <c r="TTY110" s="92"/>
      <c r="TTZ110" s="92"/>
      <c r="TUA110" s="92"/>
      <c r="TUB110" s="92"/>
      <c r="TUC110" s="92"/>
      <c r="TUD110" s="92"/>
      <c r="TUE110" s="92"/>
      <c r="TUF110" s="92"/>
      <c r="TUG110" s="92"/>
      <c r="TUH110" s="92"/>
      <c r="TUI110" s="92"/>
      <c r="TUJ110" s="92"/>
      <c r="TUK110" s="92"/>
      <c r="TUL110" s="92"/>
      <c r="TUM110" s="92"/>
      <c r="TUN110" s="91"/>
      <c r="TUO110" s="92"/>
      <c r="TUP110" s="92"/>
      <c r="TUQ110" s="92"/>
      <c r="TUR110" s="92"/>
      <c r="TUS110" s="92"/>
      <c r="TUT110" s="92"/>
      <c r="TUU110" s="92"/>
      <c r="TUV110" s="92"/>
      <c r="TUW110" s="92"/>
      <c r="TUX110" s="92"/>
      <c r="TUY110" s="92"/>
      <c r="TUZ110" s="92"/>
      <c r="TVA110" s="92"/>
      <c r="TVB110" s="92"/>
      <c r="TVC110" s="92"/>
      <c r="TVD110" s="92"/>
      <c r="TVE110" s="92"/>
      <c r="TVF110" s="92"/>
      <c r="TVG110" s="92"/>
      <c r="TVH110" s="92"/>
      <c r="TVI110" s="92"/>
      <c r="TVJ110" s="91"/>
      <c r="TVK110" s="92"/>
      <c r="TVL110" s="92"/>
      <c r="TVM110" s="92"/>
      <c r="TVN110" s="92"/>
      <c r="TVO110" s="92"/>
      <c r="TVP110" s="92"/>
      <c r="TVQ110" s="92"/>
      <c r="TVR110" s="92"/>
      <c r="TVS110" s="92"/>
      <c r="TVT110" s="92"/>
      <c r="TVU110" s="92"/>
      <c r="TVV110" s="92"/>
      <c r="TVW110" s="92"/>
      <c r="TVX110" s="92"/>
      <c r="TVY110" s="92"/>
      <c r="TVZ110" s="92"/>
      <c r="TWA110" s="92"/>
      <c r="TWB110" s="92"/>
      <c r="TWC110" s="92"/>
      <c r="TWD110" s="92"/>
      <c r="TWE110" s="92"/>
      <c r="TWF110" s="91"/>
      <c r="TWG110" s="92"/>
      <c r="TWH110" s="92"/>
      <c r="TWI110" s="92"/>
      <c r="TWJ110" s="92"/>
      <c r="TWK110" s="92"/>
      <c r="TWL110" s="92"/>
      <c r="TWM110" s="92"/>
      <c r="TWN110" s="92"/>
      <c r="TWO110" s="92"/>
      <c r="TWP110" s="92"/>
      <c r="TWQ110" s="92"/>
      <c r="TWR110" s="92"/>
      <c r="TWS110" s="92"/>
      <c r="TWT110" s="92"/>
      <c r="TWU110" s="92"/>
      <c r="TWV110" s="92"/>
      <c r="TWW110" s="92"/>
      <c r="TWX110" s="92"/>
      <c r="TWY110" s="92"/>
      <c r="TWZ110" s="92"/>
      <c r="TXA110" s="92"/>
      <c r="TXB110" s="91"/>
      <c r="TXC110" s="92"/>
      <c r="TXD110" s="92"/>
      <c r="TXE110" s="92"/>
      <c r="TXF110" s="92"/>
      <c r="TXG110" s="92"/>
      <c r="TXH110" s="92"/>
      <c r="TXI110" s="92"/>
      <c r="TXJ110" s="92"/>
      <c r="TXK110" s="92"/>
      <c r="TXL110" s="92"/>
      <c r="TXM110" s="92"/>
      <c r="TXN110" s="92"/>
      <c r="TXO110" s="92"/>
      <c r="TXP110" s="92"/>
      <c r="TXQ110" s="92"/>
      <c r="TXR110" s="92"/>
      <c r="TXS110" s="92"/>
      <c r="TXT110" s="92"/>
      <c r="TXU110" s="92"/>
      <c r="TXV110" s="92"/>
      <c r="TXW110" s="92"/>
      <c r="TXX110" s="91"/>
      <c r="TXY110" s="92"/>
      <c r="TXZ110" s="92"/>
      <c r="TYA110" s="92"/>
      <c r="TYB110" s="92"/>
      <c r="TYC110" s="92"/>
      <c r="TYD110" s="92"/>
      <c r="TYE110" s="92"/>
      <c r="TYF110" s="92"/>
      <c r="TYG110" s="92"/>
      <c r="TYH110" s="92"/>
      <c r="TYI110" s="92"/>
      <c r="TYJ110" s="92"/>
      <c r="TYK110" s="92"/>
      <c r="TYL110" s="92"/>
      <c r="TYM110" s="92"/>
      <c r="TYN110" s="92"/>
      <c r="TYO110" s="92"/>
      <c r="TYP110" s="92"/>
      <c r="TYQ110" s="92"/>
      <c r="TYR110" s="92"/>
      <c r="TYS110" s="92"/>
      <c r="TYT110" s="91"/>
      <c r="TYU110" s="92"/>
      <c r="TYV110" s="92"/>
      <c r="TYW110" s="92"/>
      <c r="TYX110" s="92"/>
      <c r="TYY110" s="92"/>
      <c r="TYZ110" s="92"/>
      <c r="TZA110" s="92"/>
      <c r="TZB110" s="92"/>
      <c r="TZC110" s="92"/>
      <c r="TZD110" s="92"/>
      <c r="TZE110" s="92"/>
      <c r="TZF110" s="92"/>
      <c r="TZG110" s="92"/>
      <c r="TZH110" s="92"/>
      <c r="TZI110" s="92"/>
      <c r="TZJ110" s="92"/>
      <c r="TZK110" s="92"/>
      <c r="TZL110" s="92"/>
      <c r="TZM110" s="92"/>
      <c r="TZN110" s="92"/>
      <c r="TZO110" s="92"/>
      <c r="TZP110" s="91"/>
      <c r="TZQ110" s="92"/>
      <c r="TZR110" s="92"/>
      <c r="TZS110" s="92"/>
      <c r="TZT110" s="92"/>
      <c r="TZU110" s="92"/>
      <c r="TZV110" s="92"/>
      <c r="TZW110" s="92"/>
      <c r="TZX110" s="92"/>
      <c r="TZY110" s="92"/>
      <c r="TZZ110" s="92"/>
      <c r="UAA110" s="92"/>
      <c r="UAB110" s="92"/>
      <c r="UAC110" s="92"/>
      <c r="UAD110" s="92"/>
      <c r="UAE110" s="92"/>
      <c r="UAF110" s="92"/>
      <c r="UAG110" s="92"/>
      <c r="UAH110" s="92"/>
      <c r="UAI110" s="92"/>
      <c r="UAJ110" s="92"/>
      <c r="UAK110" s="92"/>
      <c r="UAL110" s="91"/>
      <c r="UAM110" s="92"/>
      <c r="UAN110" s="92"/>
      <c r="UAO110" s="92"/>
      <c r="UAP110" s="92"/>
      <c r="UAQ110" s="92"/>
      <c r="UAR110" s="92"/>
      <c r="UAS110" s="92"/>
      <c r="UAT110" s="92"/>
      <c r="UAU110" s="92"/>
      <c r="UAV110" s="92"/>
      <c r="UAW110" s="92"/>
      <c r="UAX110" s="92"/>
      <c r="UAY110" s="92"/>
      <c r="UAZ110" s="92"/>
      <c r="UBA110" s="92"/>
      <c r="UBB110" s="92"/>
      <c r="UBC110" s="92"/>
      <c r="UBD110" s="92"/>
      <c r="UBE110" s="92"/>
      <c r="UBF110" s="92"/>
      <c r="UBG110" s="92"/>
      <c r="UBH110" s="91"/>
      <c r="UBI110" s="92"/>
      <c r="UBJ110" s="92"/>
      <c r="UBK110" s="92"/>
      <c r="UBL110" s="92"/>
      <c r="UBM110" s="92"/>
      <c r="UBN110" s="92"/>
      <c r="UBO110" s="92"/>
      <c r="UBP110" s="92"/>
      <c r="UBQ110" s="92"/>
      <c r="UBR110" s="92"/>
      <c r="UBS110" s="92"/>
      <c r="UBT110" s="92"/>
      <c r="UBU110" s="92"/>
      <c r="UBV110" s="92"/>
      <c r="UBW110" s="92"/>
      <c r="UBX110" s="92"/>
      <c r="UBY110" s="92"/>
      <c r="UBZ110" s="92"/>
      <c r="UCA110" s="92"/>
      <c r="UCB110" s="92"/>
      <c r="UCC110" s="92"/>
      <c r="UCD110" s="91"/>
      <c r="UCE110" s="92"/>
      <c r="UCF110" s="92"/>
      <c r="UCG110" s="92"/>
      <c r="UCH110" s="92"/>
      <c r="UCI110" s="92"/>
      <c r="UCJ110" s="92"/>
      <c r="UCK110" s="92"/>
      <c r="UCL110" s="92"/>
      <c r="UCM110" s="92"/>
      <c r="UCN110" s="92"/>
      <c r="UCO110" s="92"/>
      <c r="UCP110" s="92"/>
      <c r="UCQ110" s="92"/>
      <c r="UCR110" s="92"/>
      <c r="UCS110" s="92"/>
      <c r="UCT110" s="92"/>
      <c r="UCU110" s="92"/>
      <c r="UCV110" s="92"/>
      <c r="UCW110" s="92"/>
      <c r="UCX110" s="92"/>
      <c r="UCY110" s="92"/>
      <c r="UCZ110" s="91"/>
      <c r="UDA110" s="92"/>
      <c r="UDB110" s="92"/>
      <c r="UDC110" s="92"/>
      <c r="UDD110" s="92"/>
      <c r="UDE110" s="92"/>
      <c r="UDF110" s="92"/>
      <c r="UDG110" s="92"/>
      <c r="UDH110" s="92"/>
      <c r="UDI110" s="92"/>
      <c r="UDJ110" s="92"/>
      <c r="UDK110" s="92"/>
      <c r="UDL110" s="92"/>
      <c r="UDM110" s="92"/>
      <c r="UDN110" s="92"/>
      <c r="UDO110" s="92"/>
      <c r="UDP110" s="92"/>
      <c r="UDQ110" s="92"/>
      <c r="UDR110" s="92"/>
      <c r="UDS110" s="92"/>
      <c r="UDT110" s="92"/>
      <c r="UDU110" s="92"/>
      <c r="UDV110" s="91"/>
      <c r="UDW110" s="92"/>
      <c r="UDX110" s="92"/>
      <c r="UDY110" s="92"/>
      <c r="UDZ110" s="92"/>
      <c r="UEA110" s="92"/>
      <c r="UEB110" s="92"/>
      <c r="UEC110" s="92"/>
      <c r="UED110" s="92"/>
      <c r="UEE110" s="92"/>
      <c r="UEF110" s="92"/>
      <c r="UEG110" s="92"/>
      <c r="UEH110" s="92"/>
      <c r="UEI110" s="92"/>
      <c r="UEJ110" s="92"/>
      <c r="UEK110" s="92"/>
      <c r="UEL110" s="92"/>
      <c r="UEM110" s="92"/>
      <c r="UEN110" s="92"/>
      <c r="UEO110" s="92"/>
      <c r="UEP110" s="92"/>
      <c r="UEQ110" s="92"/>
      <c r="UER110" s="91"/>
      <c r="UES110" s="92"/>
      <c r="UET110" s="92"/>
      <c r="UEU110" s="92"/>
      <c r="UEV110" s="92"/>
      <c r="UEW110" s="92"/>
      <c r="UEX110" s="92"/>
      <c r="UEY110" s="92"/>
      <c r="UEZ110" s="92"/>
      <c r="UFA110" s="92"/>
      <c r="UFB110" s="92"/>
      <c r="UFC110" s="92"/>
      <c r="UFD110" s="92"/>
      <c r="UFE110" s="92"/>
      <c r="UFF110" s="92"/>
      <c r="UFG110" s="92"/>
      <c r="UFH110" s="92"/>
      <c r="UFI110" s="92"/>
      <c r="UFJ110" s="92"/>
      <c r="UFK110" s="92"/>
      <c r="UFL110" s="92"/>
      <c r="UFM110" s="92"/>
      <c r="UFN110" s="91"/>
      <c r="UFO110" s="92"/>
      <c r="UFP110" s="92"/>
      <c r="UFQ110" s="92"/>
      <c r="UFR110" s="92"/>
      <c r="UFS110" s="92"/>
      <c r="UFT110" s="92"/>
      <c r="UFU110" s="92"/>
      <c r="UFV110" s="92"/>
      <c r="UFW110" s="92"/>
      <c r="UFX110" s="92"/>
      <c r="UFY110" s="92"/>
      <c r="UFZ110" s="92"/>
      <c r="UGA110" s="92"/>
      <c r="UGB110" s="92"/>
      <c r="UGC110" s="92"/>
      <c r="UGD110" s="92"/>
      <c r="UGE110" s="92"/>
      <c r="UGF110" s="92"/>
      <c r="UGG110" s="92"/>
      <c r="UGH110" s="92"/>
      <c r="UGI110" s="92"/>
      <c r="UGJ110" s="91"/>
      <c r="UGK110" s="92"/>
      <c r="UGL110" s="92"/>
      <c r="UGM110" s="92"/>
      <c r="UGN110" s="92"/>
      <c r="UGO110" s="92"/>
      <c r="UGP110" s="92"/>
      <c r="UGQ110" s="92"/>
      <c r="UGR110" s="92"/>
      <c r="UGS110" s="92"/>
      <c r="UGT110" s="92"/>
      <c r="UGU110" s="92"/>
      <c r="UGV110" s="92"/>
      <c r="UGW110" s="92"/>
      <c r="UGX110" s="92"/>
      <c r="UGY110" s="92"/>
      <c r="UGZ110" s="92"/>
      <c r="UHA110" s="92"/>
      <c r="UHB110" s="92"/>
      <c r="UHC110" s="92"/>
      <c r="UHD110" s="92"/>
      <c r="UHE110" s="92"/>
      <c r="UHF110" s="91"/>
      <c r="UHG110" s="92"/>
      <c r="UHH110" s="92"/>
      <c r="UHI110" s="92"/>
      <c r="UHJ110" s="92"/>
      <c r="UHK110" s="92"/>
      <c r="UHL110" s="92"/>
      <c r="UHM110" s="92"/>
      <c r="UHN110" s="92"/>
      <c r="UHO110" s="92"/>
      <c r="UHP110" s="92"/>
      <c r="UHQ110" s="92"/>
      <c r="UHR110" s="92"/>
      <c r="UHS110" s="92"/>
      <c r="UHT110" s="92"/>
      <c r="UHU110" s="92"/>
      <c r="UHV110" s="92"/>
      <c r="UHW110" s="92"/>
      <c r="UHX110" s="92"/>
      <c r="UHY110" s="92"/>
      <c r="UHZ110" s="92"/>
      <c r="UIA110" s="92"/>
      <c r="UIB110" s="91"/>
      <c r="UIC110" s="92"/>
      <c r="UID110" s="92"/>
      <c r="UIE110" s="92"/>
      <c r="UIF110" s="92"/>
      <c r="UIG110" s="92"/>
      <c r="UIH110" s="92"/>
      <c r="UII110" s="92"/>
      <c r="UIJ110" s="92"/>
      <c r="UIK110" s="92"/>
      <c r="UIL110" s="92"/>
      <c r="UIM110" s="92"/>
      <c r="UIN110" s="92"/>
      <c r="UIO110" s="92"/>
      <c r="UIP110" s="92"/>
      <c r="UIQ110" s="92"/>
      <c r="UIR110" s="92"/>
      <c r="UIS110" s="92"/>
      <c r="UIT110" s="92"/>
      <c r="UIU110" s="92"/>
      <c r="UIV110" s="92"/>
      <c r="UIW110" s="92"/>
      <c r="UIX110" s="91"/>
      <c r="UIY110" s="92"/>
      <c r="UIZ110" s="92"/>
      <c r="UJA110" s="92"/>
      <c r="UJB110" s="92"/>
      <c r="UJC110" s="92"/>
      <c r="UJD110" s="92"/>
      <c r="UJE110" s="92"/>
      <c r="UJF110" s="92"/>
      <c r="UJG110" s="92"/>
      <c r="UJH110" s="92"/>
      <c r="UJI110" s="92"/>
      <c r="UJJ110" s="92"/>
      <c r="UJK110" s="92"/>
      <c r="UJL110" s="92"/>
      <c r="UJM110" s="92"/>
      <c r="UJN110" s="92"/>
      <c r="UJO110" s="92"/>
      <c r="UJP110" s="92"/>
      <c r="UJQ110" s="92"/>
      <c r="UJR110" s="92"/>
      <c r="UJS110" s="92"/>
      <c r="UJT110" s="91"/>
      <c r="UJU110" s="92"/>
      <c r="UJV110" s="92"/>
      <c r="UJW110" s="92"/>
      <c r="UJX110" s="92"/>
      <c r="UJY110" s="92"/>
      <c r="UJZ110" s="92"/>
      <c r="UKA110" s="92"/>
      <c r="UKB110" s="92"/>
      <c r="UKC110" s="92"/>
      <c r="UKD110" s="92"/>
      <c r="UKE110" s="92"/>
      <c r="UKF110" s="92"/>
      <c r="UKG110" s="92"/>
      <c r="UKH110" s="92"/>
      <c r="UKI110" s="92"/>
      <c r="UKJ110" s="92"/>
      <c r="UKK110" s="92"/>
      <c r="UKL110" s="92"/>
      <c r="UKM110" s="92"/>
      <c r="UKN110" s="92"/>
      <c r="UKO110" s="92"/>
      <c r="UKP110" s="91"/>
      <c r="UKQ110" s="92"/>
      <c r="UKR110" s="92"/>
      <c r="UKS110" s="92"/>
      <c r="UKT110" s="92"/>
      <c r="UKU110" s="92"/>
      <c r="UKV110" s="92"/>
      <c r="UKW110" s="92"/>
      <c r="UKX110" s="92"/>
      <c r="UKY110" s="92"/>
      <c r="UKZ110" s="92"/>
      <c r="ULA110" s="92"/>
      <c r="ULB110" s="92"/>
      <c r="ULC110" s="92"/>
      <c r="ULD110" s="92"/>
      <c r="ULE110" s="92"/>
      <c r="ULF110" s="92"/>
      <c r="ULG110" s="92"/>
      <c r="ULH110" s="92"/>
      <c r="ULI110" s="92"/>
      <c r="ULJ110" s="92"/>
      <c r="ULK110" s="92"/>
      <c r="ULL110" s="91"/>
      <c r="ULM110" s="92"/>
      <c r="ULN110" s="92"/>
      <c r="ULO110" s="92"/>
      <c r="ULP110" s="92"/>
      <c r="ULQ110" s="92"/>
      <c r="ULR110" s="92"/>
      <c r="ULS110" s="92"/>
      <c r="ULT110" s="92"/>
      <c r="ULU110" s="92"/>
      <c r="ULV110" s="92"/>
      <c r="ULW110" s="92"/>
      <c r="ULX110" s="92"/>
      <c r="ULY110" s="92"/>
      <c r="ULZ110" s="92"/>
      <c r="UMA110" s="92"/>
      <c r="UMB110" s="92"/>
      <c r="UMC110" s="92"/>
      <c r="UMD110" s="92"/>
      <c r="UME110" s="92"/>
      <c r="UMF110" s="92"/>
      <c r="UMG110" s="92"/>
      <c r="UMH110" s="91"/>
      <c r="UMI110" s="92"/>
      <c r="UMJ110" s="92"/>
      <c r="UMK110" s="92"/>
      <c r="UML110" s="92"/>
      <c r="UMM110" s="92"/>
      <c r="UMN110" s="92"/>
      <c r="UMO110" s="92"/>
      <c r="UMP110" s="92"/>
      <c r="UMQ110" s="92"/>
      <c r="UMR110" s="92"/>
      <c r="UMS110" s="92"/>
      <c r="UMT110" s="92"/>
      <c r="UMU110" s="92"/>
      <c r="UMV110" s="92"/>
      <c r="UMW110" s="92"/>
      <c r="UMX110" s="92"/>
      <c r="UMY110" s="92"/>
      <c r="UMZ110" s="92"/>
      <c r="UNA110" s="92"/>
      <c r="UNB110" s="92"/>
      <c r="UNC110" s="92"/>
      <c r="UND110" s="91"/>
      <c r="UNE110" s="92"/>
      <c r="UNF110" s="92"/>
      <c r="UNG110" s="92"/>
      <c r="UNH110" s="92"/>
      <c r="UNI110" s="92"/>
      <c r="UNJ110" s="92"/>
      <c r="UNK110" s="92"/>
      <c r="UNL110" s="92"/>
      <c r="UNM110" s="92"/>
      <c r="UNN110" s="92"/>
      <c r="UNO110" s="92"/>
      <c r="UNP110" s="92"/>
      <c r="UNQ110" s="92"/>
      <c r="UNR110" s="92"/>
      <c r="UNS110" s="92"/>
      <c r="UNT110" s="92"/>
      <c r="UNU110" s="92"/>
      <c r="UNV110" s="92"/>
      <c r="UNW110" s="92"/>
      <c r="UNX110" s="92"/>
      <c r="UNY110" s="92"/>
      <c r="UNZ110" s="91"/>
      <c r="UOA110" s="92"/>
      <c r="UOB110" s="92"/>
      <c r="UOC110" s="92"/>
      <c r="UOD110" s="92"/>
      <c r="UOE110" s="92"/>
      <c r="UOF110" s="92"/>
      <c r="UOG110" s="92"/>
      <c r="UOH110" s="92"/>
      <c r="UOI110" s="92"/>
      <c r="UOJ110" s="92"/>
      <c r="UOK110" s="92"/>
      <c r="UOL110" s="92"/>
      <c r="UOM110" s="92"/>
      <c r="UON110" s="92"/>
      <c r="UOO110" s="92"/>
      <c r="UOP110" s="92"/>
      <c r="UOQ110" s="92"/>
      <c r="UOR110" s="92"/>
      <c r="UOS110" s="92"/>
      <c r="UOT110" s="92"/>
      <c r="UOU110" s="92"/>
      <c r="UOV110" s="91"/>
      <c r="UOW110" s="92"/>
      <c r="UOX110" s="92"/>
      <c r="UOY110" s="92"/>
      <c r="UOZ110" s="92"/>
      <c r="UPA110" s="92"/>
      <c r="UPB110" s="92"/>
      <c r="UPC110" s="92"/>
      <c r="UPD110" s="92"/>
      <c r="UPE110" s="92"/>
      <c r="UPF110" s="92"/>
      <c r="UPG110" s="92"/>
      <c r="UPH110" s="92"/>
      <c r="UPI110" s="92"/>
      <c r="UPJ110" s="92"/>
      <c r="UPK110" s="92"/>
      <c r="UPL110" s="92"/>
      <c r="UPM110" s="92"/>
      <c r="UPN110" s="92"/>
      <c r="UPO110" s="92"/>
      <c r="UPP110" s="92"/>
      <c r="UPQ110" s="92"/>
      <c r="UPR110" s="91"/>
      <c r="UPS110" s="92"/>
      <c r="UPT110" s="92"/>
      <c r="UPU110" s="92"/>
      <c r="UPV110" s="92"/>
      <c r="UPW110" s="92"/>
      <c r="UPX110" s="92"/>
      <c r="UPY110" s="92"/>
      <c r="UPZ110" s="92"/>
      <c r="UQA110" s="92"/>
      <c r="UQB110" s="92"/>
      <c r="UQC110" s="92"/>
      <c r="UQD110" s="92"/>
      <c r="UQE110" s="92"/>
      <c r="UQF110" s="92"/>
      <c r="UQG110" s="92"/>
      <c r="UQH110" s="92"/>
      <c r="UQI110" s="92"/>
      <c r="UQJ110" s="92"/>
      <c r="UQK110" s="92"/>
      <c r="UQL110" s="92"/>
      <c r="UQM110" s="92"/>
      <c r="UQN110" s="91"/>
      <c r="UQO110" s="92"/>
      <c r="UQP110" s="92"/>
      <c r="UQQ110" s="92"/>
      <c r="UQR110" s="92"/>
      <c r="UQS110" s="92"/>
      <c r="UQT110" s="92"/>
      <c r="UQU110" s="92"/>
      <c r="UQV110" s="92"/>
      <c r="UQW110" s="92"/>
      <c r="UQX110" s="92"/>
      <c r="UQY110" s="92"/>
      <c r="UQZ110" s="92"/>
      <c r="URA110" s="92"/>
      <c r="URB110" s="92"/>
      <c r="URC110" s="92"/>
      <c r="URD110" s="92"/>
      <c r="URE110" s="92"/>
      <c r="URF110" s="92"/>
      <c r="URG110" s="92"/>
      <c r="URH110" s="92"/>
      <c r="URI110" s="92"/>
      <c r="URJ110" s="91"/>
      <c r="URK110" s="92"/>
      <c r="URL110" s="92"/>
      <c r="URM110" s="92"/>
      <c r="URN110" s="92"/>
      <c r="URO110" s="92"/>
      <c r="URP110" s="92"/>
      <c r="URQ110" s="92"/>
      <c r="URR110" s="92"/>
      <c r="URS110" s="92"/>
      <c r="URT110" s="92"/>
      <c r="URU110" s="92"/>
      <c r="URV110" s="92"/>
      <c r="URW110" s="92"/>
      <c r="URX110" s="92"/>
      <c r="URY110" s="92"/>
      <c r="URZ110" s="92"/>
      <c r="USA110" s="92"/>
      <c r="USB110" s="92"/>
      <c r="USC110" s="92"/>
      <c r="USD110" s="92"/>
      <c r="USE110" s="92"/>
      <c r="USF110" s="91"/>
      <c r="USG110" s="92"/>
      <c r="USH110" s="92"/>
      <c r="USI110" s="92"/>
      <c r="USJ110" s="92"/>
      <c r="USK110" s="92"/>
      <c r="USL110" s="92"/>
      <c r="USM110" s="92"/>
      <c r="USN110" s="92"/>
      <c r="USO110" s="92"/>
      <c r="USP110" s="92"/>
      <c r="USQ110" s="92"/>
      <c r="USR110" s="92"/>
      <c r="USS110" s="92"/>
      <c r="UST110" s="92"/>
      <c r="USU110" s="92"/>
      <c r="USV110" s="92"/>
      <c r="USW110" s="92"/>
      <c r="USX110" s="92"/>
      <c r="USY110" s="92"/>
      <c r="USZ110" s="92"/>
      <c r="UTA110" s="92"/>
      <c r="UTB110" s="91"/>
      <c r="UTC110" s="92"/>
      <c r="UTD110" s="92"/>
      <c r="UTE110" s="92"/>
      <c r="UTF110" s="92"/>
      <c r="UTG110" s="92"/>
      <c r="UTH110" s="92"/>
      <c r="UTI110" s="92"/>
      <c r="UTJ110" s="92"/>
      <c r="UTK110" s="92"/>
      <c r="UTL110" s="92"/>
      <c r="UTM110" s="92"/>
      <c r="UTN110" s="92"/>
      <c r="UTO110" s="92"/>
      <c r="UTP110" s="92"/>
      <c r="UTQ110" s="92"/>
      <c r="UTR110" s="92"/>
      <c r="UTS110" s="92"/>
      <c r="UTT110" s="92"/>
      <c r="UTU110" s="92"/>
      <c r="UTV110" s="92"/>
      <c r="UTW110" s="92"/>
      <c r="UTX110" s="91"/>
      <c r="UTY110" s="92"/>
      <c r="UTZ110" s="92"/>
      <c r="UUA110" s="92"/>
      <c r="UUB110" s="92"/>
      <c r="UUC110" s="92"/>
      <c r="UUD110" s="92"/>
      <c r="UUE110" s="92"/>
      <c r="UUF110" s="92"/>
      <c r="UUG110" s="92"/>
      <c r="UUH110" s="92"/>
      <c r="UUI110" s="92"/>
      <c r="UUJ110" s="92"/>
      <c r="UUK110" s="92"/>
      <c r="UUL110" s="92"/>
      <c r="UUM110" s="92"/>
      <c r="UUN110" s="92"/>
      <c r="UUO110" s="92"/>
      <c r="UUP110" s="92"/>
      <c r="UUQ110" s="92"/>
      <c r="UUR110" s="92"/>
      <c r="UUS110" s="92"/>
      <c r="UUT110" s="91"/>
      <c r="UUU110" s="92"/>
      <c r="UUV110" s="92"/>
      <c r="UUW110" s="92"/>
      <c r="UUX110" s="92"/>
      <c r="UUY110" s="92"/>
      <c r="UUZ110" s="92"/>
      <c r="UVA110" s="92"/>
      <c r="UVB110" s="92"/>
      <c r="UVC110" s="92"/>
      <c r="UVD110" s="92"/>
      <c r="UVE110" s="92"/>
      <c r="UVF110" s="92"/>
      <c r="UVG110" s="92"/>
      <c r="UVH110" s="92"/>
      <c r="UVI110" s="92"/>
      <c r="UVJ110" s="92"/>
      <c r="UVK110" s="92"/>
      <c r="UVL110" s="92"/>
      <c r="UVM110" s="92"/>
      <c r="UVN110" s="92"/>
      <c r="UVO110" s="92"/>
      <c r="UVP110" s="91"/>
      <c r="UVQ110" s="92"/>
      <c r="UVR110" s="92"/>
      <c r="UVS110" s="92"/>
      <c r="UVT110" s="92"/>
      <c r="UVU110" s="92"/>
      <c r="UVV110" s="92"/>
      <c r="UVW110" s="92"/>
      <c r="UVX110" s="92"/>
      <c r="UVY110" s="92"/>
      <c r="UVZ110" s="92"/>
      <c r="UWA110" s="92"/>
      <c r="UWB110" s="92"/>
      <c r="UWC110" s="92"/>
      <c r="UWD110" s="92"/>
      <c r="UWE110" s="92"/>
      <c r="UWF110" s="92"/>
      <c r="UWG110" s="92"/>
      <c r="UWH110" s="92"/>
      <c r="UWI110" s="92"/>
      <c r="UWJ110" s="92"/>
      <c r="UWK110" s="92"/>
      <c r="UWL110" s="91"/>
      <c r="UWM110" s="92"/>
      <c r="UWN110" s="92"/>
      <c r="UWO110" s="92"/>
      <c r="UWP110" s="92"/>
      <c r="UWQ110" s="92"/>
      <c r="UWR110" s="92"/>
      <c r="UWS110" s="92"/>
      <c r="UWT110" s="92"/>
      <c r="UWU110" s="92"/>
      <c r="UWV110" s="92"/>
      <c r="UWW110" s="92"/>
      <c r="UWX110" s="92"/>
      <c r="UWY110" s="92"/>
      <c r="UWZ110" s="92"/>
      <c r="UXA110" s="92"/>
      <c r="UXB110" s="92"/>
      <c r="UXC110" s="92"/>
      <c r="UXD110" s="92"/>
      <c r="UXE110" s="92"/>
      <c r="UXF110" s="92"/>
      <c r="UXG110" s="92"/>
      <c r="UXH110" s="91"/>
      <c r="UXI110" s="92"/>
      <c r="UXJ110" s="92"/>
      <c r="UXK110" s="92"/>
      <c r="UXL110" s="92"/>
      <c r="UXM110" s="92"/>
      <c r="UXN110" s="92"/>
      <c r="UXO110" s="92"/>
      <c r="UXP110" s="92"/>
      <c r="UXQ110" s="92"/>
      <c r="UXR110" s="92"/>
      <c r="UXS110" s="92"/>
      <c r="UXT110" s="92"/>
      <c r="UXU110" s="92"/>
      <c r="UXV110" s="92"/>
      <c r="UXW110" s="92"/>
      <c r="UXX110" s="92"/>
      <c r="UXY110" s="92"/>
      <c r="UXZ110" s="92"/>
      <c r="UYA110" s="92"/>
      <c r="UYB110" s="92"/>
      <c r="UYC110" s="92"/>
      <c r="UYD110" s="91"/>
      <c r="UYE110" s="92"/>
      <c r="UYF110" s="92"/>
      <c r="UYG110" s="92"/>
      <c r="UYH110" s="92"/>
      <c r="UYI110" s="92"/>
      <c r="UYJ110" s="92"/>
      <c r="UYK110" s="92"/>
      <c r="UYL110" s="92"/>
      <c r="UYM110" s="92"/>
      <c r="UYN110" s="92"/>
      <c r="UYO110" s="92"/>
      <c r="UYP110" s="92"/>
      <c r="UYQ110" s="92"/>
      <c r="UYR110" s="92"/>
      <c r="UYS110" s="92"/>
      <c r="UYT110" s="92"/>
      <c r="UYU110" s="92"/>
      <c r="UYV110" s="92"/>
      <c r="UYW110" s="92"/>
      <c r="UYX110" s="92"/>
      <c r="UYY110" s="92"/>
      <c r="UYZ110" s="91"/>
      <c r="UZA110" s="92"/>
      <c r="UZB110" s="92"/>
      <c r="UZC110" s="92"/>
      <c r="UZD110" s="92"/>
      <c r="UZE110" s="92"/>
      <c r="UZF110" s="92"/>
      <c r="UZG110" s="92"/>
      <c r="UZH110" s="92"/>
      <c r="UZI110" s="92"/>
      <c r="UZJ110" s="92"/>
      <c r="UZK110" s="92"/>
      <c r="UZL110" s="92"/>
      <c r="UZM110" s="92"/>
      <c r="UZN110" s="92"/>
      <c r="UZO110" s="92"/>
      <c r="UZP110" s="92"/>
      <c r="UZQ110" s="92"/>
      <c r="UZR110" s="92"/>
      <c r="UZS110" s="92"/>
      <c r="UZT110" s="92"/>
      <c r="UZU110" s="92"/>
      <c r="UZV110" s="91"/>
      <c r="UZW110" s="92"/>
      <c r="UZX110" s="92"/>
      <c r="UZY110" s="92"/>
      <c r="UZZ110" s="92"/>
      <c r="VAA110" s="92"/>
      <c r="VAB110" s="92"/>
      <c r="VAC110" s="92"/>
      <c r="VAD110" s="92"/>
      <c r="VAE110" s="92"/>
      <c r="VAF110" s="92"/>
      <c r="VAG110" s="92"/>
      <c r="VAH110" s="92"/>
      <c r="VAI110" s="92"/>
      <c r="VAJ110" s="92"/>
      <c r="VAK110" s="92"/>
      <c r="VAL110" s="92"/>
      <c r="VAM110" s="92"/>
      <c r="VAN110" s="92"/>
      <c r="VAO110" s="92"/>
      <c r="VAP110" s="92"/>
      <c r="VAQ110" s="92"/>
      <c r="VAR110" s="91"/>
      <c r="VAS110" s="92"/>
      <c r="VAT110" s="92"/>
      <c r="VAU110" s="92"/>
      <c r="VAV110" s="92"/>
      <c r="VAW110" s="92"/>
      <c r="VAX110" s="92"/>
      <c r="VAY110" s="92"/>
      <c r="VAZ110" s="92"/>
      <c r="VBA110" s="92"/>
      <c r="VBB110" s="92"/>
      <c r="VBC110" s="92"/>
      <c r="VBD110" s="92"/>
      <c r="VBE110" s="92"/>
      <c r="VBF110" s="92"/>
      <c r="VBG110" s="92"/>
      <c r="VBH110" s="92"/>
      <c r="VBI110" s="92"/>
      <c r="VBJ110" s="92"/>
      <c r="VBK110" s="92"/>
      <c r="VBL110" s="92"/>
      <c r="VBM110" s="92"/>
      <c r="VBN110" s="91"/>
      <c r="VBO110" s="92"/>
      <c r="VBP110" s="92"/>
      <c r="VBQ110" s="92"/>
      <c r="VBR110" s="92"/>
      <c r="VBS110" s="92"/>
      <c r="VBT110" s="92"/>
      <c r="VBU110" s="92"/>
      <c r="VBV110" s="92"/>
      <c r="VBW110" s="92"/>
      <c r="VBX110" s="92"/>
      <c r="VBY110" s="92"/>
      <c r="VBZ110" s="92"/>
      <c r="VCA110" s="92"/>
      <c r="VCB110" s="92"/>
      <c r="VCC110" s="92"/>
      <c r="VCD110" s="92"/>
      <c r="VCE110" s="92"/>
      <c r="VCF110" s="92"/>
      <c r="VCG110" s="92"/>
      <c r="VCH110" s="92"/>
      <c r="VCI110" s="92"/>
      <c r="VCJ110" s="91"/>
      <c r="VCK110" s="92"/>
      <c r="VCL110" s="92"/>
      <c r="VCM110" s="92"/>
      <c r="VCN110" s="92"/>
      <c r="VCO110" s="92"/>
      <c r="VCP110" s="92"/>
      <c r="VCQ110" s="92"/>
      <c r="VCR110" s="92"/>
      <c r="VCS110" s="92"/>
      <c r="VCT110" s="92"/>
      <c r="VCU110" s="92"/>
      <c r="VCV110" s="92"/>
      <c r="VCW110" s="92"/>
      <c r="VCX110" s="92"/>
      <c r="VCY110" s="92"/>
      <c r="VCZ110" s="92"/>
      <c r="VDA110" s="92"/>
      <c r="VDB110" s="92"/>
      <c r="VDC110" s="92"/>
      <c r="VDD110" s="92"/>
      <c r="VDE110" s="92"/>
      <c r="VDF110" s="91"/>
      <c r="VDG110" s="92"/>
      <c r="VDH110" s="92"/>
      <c r="VDI110" s="92"/>
      <c r="VDJ110" s="92"/>
      <c r="VDK110" s="92"/>
      <c r="VDL110" s="92"/>
      <c r="VDM110" s="92"/>
      <c r="VDN110" s="92"/>
      <c r="VDO110" s="92"/>
      <c r="VDP110" s="92"/>
      <c r="VDQ110" s="92"/>
      <c r="VDR110" s="92"/>
      <c r="VDS110" s="92"/>
      <c r="VDT110" s="92"/>
      <c r="VDU110" s="92"/>
      <c r="VDV110" s="92"/>
      <c r="VDW110" s="92"/>
      <c r="VDX110" s="92"/>
      <c r="VDY110" s="92"/>
      <c r="VDZ110" s="92"/>
      <c r="VEA110" s="92"/>
      <c r="VEB110" s="91"/>
      <c r="VEC110" s="92"/>
      <c r="VED110" s="92"/>
      <c r="VEE110" s="92"/>
      <c r="VEF110" s="92"/>
      <c r="VEG110" s="92"/>
      <c r="VEH110" s="92"/>
      <c r="VEI110" s="92"/>
      <c r="VEJ110" s="92"/>
      <c r="VEK110" s="92"/>
      <c r="VEL110" s="92"/>
      <c r="VEM110" s="92"/>
      <c r="VEN110" s="92"/>
      <c r="VEO110" s="92"/>
      <c r="VEP110" s="92"/>
      <c r="VEQ110" s="92"/>
      <c r="VER110" s="92"/>
      <c r="VES110" s="92"/>
      <c r="VET110" s="92"/>
      <c r="VEU110" s="92"/>
      <c r="VEV110" s="92"/>
      <c r="VEW110" s="92"/>
      <c r="VEX110" s="91"/>
      <c r="VEY110" s="92"/>
      <c r="VEZ110" s="92"/>
      <c r="VFA110" s="92"/>
      <c r="VFB110" s="92"/>
      <c r="VFC110" s="92"/>
      <c r="VFD110" s="92"/>
      <c r="VFE110" s="92"/>
      <c r="VFF110" s="92"/>
      <c r="VFG110" s="92"/>
      <c r="VFH110" s="92"/>
      <c r="VFI110" s="92"/>
      <c r="VFJ110" s="92"/>
      <c r="VFK110" s="92"/>
      <c r="VFL110" s="92"/>
      <c r="VFM110" s="92"/>
      <c r="VFN110" s="92"/>
      <c r="VFO110" s="92"/>
      <c r="VFP110" s="92"/>
      <c r="VFQ110" s="92"/>
      <c r="VFR110" s="92"/>
      <c r="VFS110" s="92"/>
      <c r="VFT110" s="91"/>
      <c r="VFU110" s="92"/>
      <c r="VFV110" s="92"/>
      <c r="VFW110" s="92"/>
      <c r="VFX110" s="92"/>
      <c r="VFY110" s="92"/>
      <c r="VFZ110" s="92"/>
      <c r="VGA110" s="92"/>
      <c r="VGB110" s="92"/>
      <c r="VGC110" s="92"/>
      <c r="VGD110" s="92"/>
      <c r="VGE110" s="92"/>
      <c r="VGF110" s="92"/>
      <c r="VGG110" s="92"/>
      <c r="VGH110" s="92"/>
      <c r="VGI110" s="92"/>
      <c r="VGJ110" s="92"/>
      <c r="VGK110" s="92"/>
      <c r="VGL110" s="92"/>
      <c r="VGM110" s="92"/>
      <c r="VGN110" s="92"/>
      <c r="VGO110" s="92"/>
      <c r="VGP110" s="91"/>
      <c r="VGQ110" s="92"/>
      <c r="VGR110" s="92"/>
      <c r="VGS110" s="92"/>
      <c r="VGT110" s="92"/>
      <c r="VGU110" s="92"/>
      <c r="VGV110" s="92"/>
      <c r="VGW110" s="92"/>
      <c r="VGX110" s="92"/>
      <c r="VGY110" s="92"/>
      <c r="VGZ110" s="92"/>
      <c r="VHA110" s="92"/>
      <c r="VHB110" s="92"/>
      <c r="VHC110" s="92"/>
      <c r="VHD110" s="92"/>
      <c r="VHE110" s="92"/>
      <c r="VHF110" s="92"/>
      <c r="VHG110" s="92"/>
      <c r="VHH110" s="92"/>
      <c r="VHI110" s="92"/>
      <c r="VHJ110" s="92"/>
      <c r="VHK110" s="92"/>
      <c r="VHL110" s="91"/>
      <c r="VHM110" s="92"/>
      <c r="VHN110" s="92"/>
      <c r="VHO110" s="92"/>
      <c r="VHP110" s="92"/>
      <c r="VHQ110" s="92"/>
      <c r="VHR110" s="92"/>
      <c r="VHS110" s="92"/>
      <c r="VHT110" s="92"/>
      <c r="VHU110" s="92"/>
      <c r="VHV110" s="92"/>
      <c r="VHW110" s="92"/>
      <c r="VHX110" s="92"/>
      <c r="VHY110" s="92"/>
      <c r="VHZ110" s="92"/>
      <c r="VIA110" s="92"/>
      <c r="VIB110" s="92"/>
      <c r="VIC110" s="92"/>
      <c r="VID110" s="92"/>
      <c r="VIE110" s="92"/>
      <c r="VIF110" s="92"/>
      <c r="VIG110" s="92"/>
      <c r="VIH110" s="91"/>
      <c r="VII110" s="92"/>
      <c r="VIJ110" s="92"/>
      <c r="VIK110" s="92"/>
      <c r="VIL110" s="92"/>
      <c r="VIM110" s="92"/>
      <c r="VIN110" s="92"/>
      <c r="VIO110" s="92"/>
      <c r="VIP110" s="92"/>
      <c r="VIQ110" s="92"/>
      <c r="VIR110" s="92"/>
      <c r="VIS110" s="92"/>
      <c r="VIT110" s="92"/>
      <c r="VIU110" s="92"/>
      <c r="VIV110" s="92"/>
      <c r="VIW110" s="92"/>
      <c r="VIX110" s="92"/>
      <c r="VIY110" s="92"/>
      <c r="VIZ110" s="92"/>
      <c r="VJA110" s="92"/>
      <c r="VJB110" s="92"/>
      <c r="VJC110" s="92"/>
      <c r="VJD110" s="91"/>
      <c r="VJE110" s="92"/>
      <c r="VJF110" s="92"/>
      <c r="VJG110" s="92"/>
      <c r="VJH110" s="92"/>
      <c r="VJI110" s="92"/>
      <c r="VJJ110" s="92"/>
      <c r="VJK110" s="92"/>
      <c r="VJL110" s="92"/>
      <c r="VJM110" s="92"/>
      <c r="VJN110" s="92"/>
      <c r="VJO110" s="92"/>
      <c r="VJP110" s="92"/>
      <c r="VJQ110" s="92"/>
      <c r="VJR110" s="92"/>
      <c r="VJS110" s="92"/>
      <c r="VJT110" s="92"/>
      <c r="VJU110" s="92"/>
      <c r="VJV110" s="92"/>
      <c r="VJW110" s="92"/>
      <c r="VJX110" s="92"/>
      <c r="VJY110" s="92"/>
      <c r="VJZ110" s="91"/>
      <c r="VKA110" s="92"/>
      <c r="VKB110" s="92"/>
      <c r="VKC110" s="92"/>
      <c r="VKD110" s="92"/>
      <c r="VKE110" s="92"/>
      <c r="VKF110" s="92"/>
      <c r="VKG110" s="92"/>
      <c r="VKH110" s="92"/>
      <c r="VKI110" s="92"/>
      <c r="VKJ110" s="92"/>
      <c r="VKK110" s="92"/>
      <c r="VKL110" s="92"/>
      <c r="VKM110" s="92"/>
      <c r="VKN110" s="92"/>
      <c r="VKO110" s="92"/>
      <c r="VKP110" s="92"/>
      <c r="VKQ110" s="92"/>
      <c r="VKR110" s="92"/>
      <c r="VKS110" s="92"/>
      <c r="VKT110" s="92"/>
      <c r="VKU110" s="92"/>
      <c r="VKV110" s="91"/>
      <c r="VKW110" s="92"/>
      <c r="VKX110" s="92"/>
      <c r="VKY110" s="92"/>
      <c r="VKZ110" s="92"/>
      <c r="VLA110" s="92"/>
      <c r="VLB110" s="92"/>
      <c r="VLC110" s="92"/>
      <c r="VLD110" s="92"/>
      <c r="VLE110" s="92"/>
      <c r="VLF110" s="92"/>
      <c r="VLG110" s="92"/>
      <c r="VLH110" s="92"/>
      <c r="VLI110" s="92"/>
      <c r="VLJ110" s="92"/>
      <c r="VLK110" s="92"/>
      <c r="VLL110" s="92"/>
      <c r="VLM110" s="92"/>
      <c r="VLN110" s="92"/>
      <c r="VLO110" s="92"/>
      <c r="VLP110" s="92"/>
      <c r="VLQ110" s="92"/>
      <c r="VLR110" s="91"/>
      <c r="VLS110" s="92"/>
      <c r="VLT110" s="92"/>
      <c r="VLU110" s="92"/>
      <c r="VLV110" s="92"/>
      <c r="VLW110" s="92"/>
      <c r="VLX110" s="92"/>
      <c r="VLY110" s="92"/>
      <c r="VLZ110" s="92"/>
      <c r="VMA110" s="92"/>
      <c r="VMB110" s="92"/>
      <c r="VMC110" s="92"/>
      <c r="VMD110" s="92"/>
      <c r="VME110" s="92"/>
      <c r="VMF110" s="92"/>
      <c r="VMG110" s="92"/>
      <c r="VMH110" s="92"/>
      <c r="VMI110" s="92"/>
      <c r="VMJ110" s="92"/>
      <c r="VMK110" s="92"/>
      <c r="VML110" s="92"/>
      <c r="VMM110" s="92"/>
      <c r="VMN110" s="91"/>
      <c r="VMO110" s="92"/>
      <c r="VMP110" s="92"/>
      <c r="VMQ110" s="92"/>
      <c r="VMR110" s="92"/>
      <c r="VMS110" s="92"/>
      <c r="VMT110" s="92"/>
      <c r="VMU110" s="92"/>
      <c r="VMV110" s="92"/>
      <c r="VMW110" s="92"/>
      <c r="VMX110" s="92"/>
      <c r="VMY110" s="92"/>
      <c r="VMZ110" s="92"/>
      <c r="VNA110" s="92"/>
      <c r="VNB110" s="92"/>
      <c r="VNC110" s="92"/>
      <c r="VND110" s="92"/>
      <c r="VNE110" s="92"/>
      <c r="VNF110" s="92"/>
      <c r="VNG110" s="92"/>
      <c r="VNH110" s="92"/>
      <c r="VNI110" s="92"/>
      <c r="VNJ110" s="91"/>
      <c r="VNK110" s="92"/>
      <c r="VNL110" s="92"/>
      <c r="VNM110" s="92"/>
      <c r="VNN110" s="92"/>
      <c r="VNO110" s="92"/>
      <c r="VNP110" s="92"/>
      <c r="VNQ110" s="92"/>
      <c r="VNR110" s="92"/>
      <c r="VNS110" s="92"/>
      <c r="VNT110" s="92"/>
      <c r="VNU110" s="92"/>
      <c r="VNV110" s="92"/>
      <c r="VNW110" s="92"/>
      <c r="VNX110" s="92"/>
      <c r="VNY110" s="92"/>
      <c r="VNZ110" s="92"/>
      <c r="VOA110" s="92"/>
      <c r="VOB110" s="92"/>
      <c r="VOC110" s="92"/>
      <c r="VOD110" s="92"/>
      <c r="VOE110" s="92"/>
      <c r="VOF110" s="91"/>
      <c r="VOG110" s="92"/>
      <c r="VOH110" s="92"/>
      <c r="VOI110" s="92"/>
      <c r="VOJ110" s="92"/>
      <c r="VOK110" s="92"/>
      <c r="VOL110" s="92"/>
      <c r="VOM110" s="92"/>
      <c r="VON110" s="92"/>
      <c r="VOO110" s="92"/>
      <c r="VOP110" s="92"/>
      <c r="VOQ110" s="92"/>
      <c r="VOR110" s="92"/>
      <c r="VOS110" s="92"/>
      <c r="VOT110" s="92"/>
      <c r="VOU110" s="92"/>
      <c r="VOV110" s="92"/>
      <c r="VOW110" s="92"/>
      <c r="VOX110" s="92"/>
      <c r="VOY110" s="92"/>
      <c r="VOZ110" s="92"/>
      <c r="VPA110" s="92"/>
      <c r="VPB110" s="91"/>
      <c r="VPC110" s="92"/>
      <c r="VPD110" s="92"/>
      <c r="VPE110" s="92"/>
      <c r="VPF110" s="92"/>
      <c r="VPG110" s="92"/>
      <c r="VPH110" s="92"/>
      <c r="VPI110" s="92"/>
      <c r="VPJ110" s="92"/>
      <c r="VPK110" s="92"/>
      <c r="VPL110" s="92"/>
      <c r="VPM110" s="92"/>
      <c r="VPN110" s="92"/>
      <c r="VPO110" s="92"/>
      <c r="VPP110" s="92"/>
      <c r="VPQ110" s="92"/>
      <c r="VPR110" s="92"/>
      <c r="VPS110" s="92"/>
      <c r="VPT110" s="92"/>
      <c r="VPU110" s="92"/>
      <c r="VPV110" s="92"/>
      <c r="VPW110" s="92"/>
      <c r="VPX110" s="91"/>
      <c r="VPY110" s="92"/>
      <c r="VPZ110" s="92"/>
      <c r="VQA110" s="92"/>
      <c r="VQB110" s="92"/>
      <c r="VQC110" s="92"/>
      <c r="VQD110" s="92"/>
      <c r="VQE110" s="92"/>
      <c r="VQF110" s="92"/>
      <c r="VQG110" s="92"/>
      <c r="VQH110" s="92"/>
      <c r="VQI110" s="92"/>
      <c r="VQJ110" s="92"/>
      <c r="VQK110" s="92"/>
      <c r="VQL110" s="92"/>
      <c r="VQM110" s="92"/>
      <c r="VQN110" s="92"/>
      <c r="VQO110" s="92"/>
      <c r="VQP110" s="92"/>
      <c r="VQQ110" s="92"/>
      <c r="VQR110" s="92"/>
      <c r="VQS110" s="92"/>
      <c r="VQT110" s="91"/>
      <c r="VQU110" s="92"/>
      <c r="VQV110" s="92"/>
      <c r="VQW110" s="92"/>
      <c r="VQX110" s="92"/>
      <c r="VQY110" s="92"/>
      <c r="VQZ110" s="92"/>
      <c r="VRA110" s="92"/>
      <c r="VRB110" s="92"/>
      <c r="VRC110" s="92"/>
      <c r="VRD110" s="92"/>
      <c r="VRE110" s="92"/>
      <c r="VRF110" s="92"/>
      <c r="VRG110" s="92"/>
      <c r="VRH110" s="92"/>
      <c r="VRI110" s="92"/>
      <c r="VRJ110" s="92"/>
      <c r="VRK110" s="92"/>
      <c r="VRL110" s="92"/>
      <c r="VRM110" s="92"/>
      <c r="VRN110" s="92"/>
      <c r="VRO110" s="92"/>
      <c r="VRP110" s="91"/>
      <c r="VRQ110" s="92"/>
      <c r="VRR110" s="92"/>
      <c r="VRS110" s="92"/>
      <c r="VRT110" s="92"/>
      <c r="VRU110" s="92"/>
      <c r="VRV110" s="92"/>
      <c r="VRW110" s="92"/>
      <c r="VRX110" s="92"/>
      <c r="VRY110" s="92"/>
      <c r="VRZ110" s="92"/>
      <c r="VSA110" s="92"/>
      <c r="VSB110" s="92"/>
      <c r="VSC110" s="92"/>
      <c r="VSD110" s="92"/>
      <c r="VSE110" s="92"/>
      <c r="VSF110" s="92"/>
      <c r="VSG110" s="92"/>
      <c r="VSH110" s="92"/>
      <c r="VSI110" s="92"/>
      <c r="VSJ110" s="92"/>
      <c r="VSK110" s="92"/>
      <c r="VSL110" s="91"/>
      <c r="VSM110" s="92"/>
      <c r="VSN110" s="92"/>
      <c r="VSO110" s="92"/>
      <c r="VSP110" s="92"/>
      <c r="VSQ110" s="92"/>
      <c r="VSR110" s="92"/>
      <c r="VSS110" s="92"/>
      <c r="VST110" s="92"/>
      <c r="VSU110" s="92"/>
      <c r="VSV110" s="92"/>
      <c r="VSW110" s="92"/>
      <c r="VSX110" s="92"/>
      <c r="VSY110" s="92"/>
      <c r="VSZ110" s="92"/>
      <c r="VTA110" s="92"/>
      <c r="VTB110" s="92"/>
      <c r="VTC110" s="92"/>
      <c r="VTD110" s="92"/>
      <c r="VTE110" s="92"/>
      <c r="VTF110" s="92"/>
      <c r="VTG110" s="92"/>
      <c r="VTH110" s="91"/>
      <c r="VTI110" s="92"/>
      <c r="VTJ110" s="92"/>
      <c r="VTK110" s="92"/>
      <c r="VTL110" s="92"/>
      <c r="VTM110" s="92"/>
      <c r="VTN110" s="92"/>
      <c r="VTO110" s="92"/>
      <c r="VTP110" s="92"/>
      <c r="VTQ110" s="92"/>
      <c r="VTR110" s="92"/>
      <c r="VTS110" s="92"/>
      <c r="VTT110" s="92"/>
      <c r="VTU110" s="92"/>
      <c r="VTV110" s="92"/>
      <c r="VTW110" s="92"/>
      <c r="VTX110" s="92"/>
      <c r="VTY110" s="92"/>
      <c r="VTZ110" s="92"/>
      <c r="VUA110" s="92"/>
      <c r="VUB110" s="92"/>
      <c r="VUC110" s="92"/>
      <c r="VUD110" s="91"/>
      <c r="VUE110" s="92"/>
      <c r="VUF110" s="92"/>
      <c r="VUG110" s="92"/>
      <c r="VUH110" s="92"/>
      <c r="VUI110" s="92"/>
      <c r="VUJ110" s="92"/>
      <c r="VUK110" s="92"/>
      <c r="VUL110" s="92"/>
      <c r="VUM110" s="92"/>
      <c r="VUN110" s="92"/>
      <c r="VUO110" s="92"/>
      <c r="VUP110" s="92"/>
      <c r="VUQ110" s="92"/>
      <c r="VUR110" s="92"/>
      <c r="VUS110" s="92"/>
      <c r="VUT110" s="92"/>
      <c r="VUU110" s="92"/>
      <c r="VUV110" s="92"/>
      <c r="VUW110" s="92"/>
      <c r="VUX110" s="92"/>
      <c r="VUY110" s="92"/>
      <c r="VUZ110" s="91"/>
      <c r="VVA110" s="92"/>
      <c r="VVB110" s="92"/>
      <c r="VVC110" s="92"/>
      <c r="VVD110" s="92"/>
      <c r="VVE110" s="92"/>
      <c r="VVF110" s="92"/>
      <c r="VVG110" s="92"/>
      <c r="VVH110" s="92"/>
      <c r="VVI110" s="92"/>
      <c r="VVJ110" s="92"/>
      <c r="VVK110" s="92"/>
      <c r="VVL110" s="92"/>
      <c r="VVM110" s="92"/>
      <c r="VVN110" s="92"/>
      <c r="VVO110" s="92"/>
      <c r="VVP110" s="92"/>
      <c r="VVQ110" s="92"/>
      <c r="VVR110" s="92"/>
      <c r="VVS110" s="92"/>
      <c r="VVT110" s="92"/>
      <c r="VVU110" s="92"/>
      <c r="VVV110" s="91"/>
      <c r="VVW110" s="92"/>
      <c r="VVX110" s="92"/>
      <c r="VVY110" s="92"/>
      <c r="VVZ110" s="92"/>
      <c r="VWA110" s="92"/>
      <c r="VWB110" s="92"/>
      <c r="VWC110" s="92"/>
      <c r="VWD110" s="92"/>
      <c r="VWE110" s="92"/>
      <c r="VWF110" s="92"/>
      <c r="VWG110" s="92"/>
      <c r="VWH110" s="92"/>
      <c r="VWI110" s="92"/>
      <c r="VWJ110" s="92"/>
      <c r="VWK110" s="92"/>
      <c r="VWL110" s="92"/>
      <c r="VWM110" s="92"/>
      <c r="VWN110" s="92"/>
      <c r="VWO110" s="92"/>
      <c r="VWP110" s="92"/>
      <c r="VWQ110" s="92"/>
      <c r="VWR110" s="91"/>
      <c r="VWS110" s="92"/>
      <c r="VWT110" s="92"/>
      <c r="VWU110" s="92"/>
      <c r="VWV110" s="92"/>
      <c r="VWW110" s="92"/>
      <c r="VWX110" s="92"/>
      <c r="VWY110" s="92"/>
      <c r="VWZ110" s="92"/>
      <c r="VXA110" s="92"/>
      <c r="VXB110" s="92"/>
      <c r="VXC110" s="92"/>
      <c r="VXD110" s="92"/>
      <c r="VXE110" s="92"/>
      <c r="VXF110" s="92"/>
      <c r="VXG110" s="92"/>
      <c r="VXH110" s="92"/>
      <c r="VXI110" s="92"/>
      <c r="VXJ110" s="92"/>
      <c r="VXK110" s="92"/>
      <c r="VXL110" s="92"/>
      <c r="VXM110" s="92"/>
      <c r="VXN110" s="91"/>
      <c r="VXO110" s="92"/>
      <c r="VXP110" s="92"/>
      <c r="VXQ110" s="92"/>
      <c r="VXR110" s="92"/>
      <c r="VXS110" s="92"/>
      <c r="VXT110" s="92"/>
      <c r="VXU110" s="92"/>
      <c r="VXV110" s="92"/>
      <c r="VXW110" s="92"/>
      <c r="VXX110" s="92"/>
      <c r="VXY110" s="92"/>
      <c r="VXZ110" s="92"/>
      <c r="VYA110" s="92"/>
      <c r="VYB110" s="92"/>
      <c r="VYC110" s="92"/>
      <c r="VYD110" s="92"/>
      <c r="VYE110" s="92"/>
      <c r="VYF110" s="92"/>
      <c r="VYG110" s="92"/>
      <c r="VYH110" s="92"/>
      <c r="VYI110" s="92"/>
      <c r="VYJ110" s="91"/>
      <c r="VYK110" s="92"/>
      <c r="VYL110" s="92"/>
      <c r="VYM110" s="92"/>
      <c r="VYN110" s="92"/>
      <c r="VYO110" s="92"/>
      <c r="VYP110" s="92"/>
      <c r="VYQ110" s="92"/>
      <c r="VYR110" s="92"/>
      <c r="VYS110" s="92"/>
      <c r="VYT110" s="92"/>
      <c r="VYU110" s="92"/>
      <c r="VYV110" s="92"/>
      <c r="VYW110" s="92"/>
      <c r="VYX110" s="92"/>
      <c r="VYY110" s="92"/>
      <c r="VYZ110" s="92"/>
      <c r="VZA110" s="92"/>
      <c r="VZB110" s="92"/>
      <c r="VZC110" s="92"/>
      <c r="VZD110" s="92"/>
      <c r="VZE110" s="92"/>
      <c r="VZF110" s="91"/>
      <c r="VZG110" s="92"/>
      <c r="VZH110" s="92"/>
      <c r="VZI110" s="92"/>
      <c r="VZJ110" s="92"/>
      <c r="VZK110" s="92"/>
      <c r="VZL110" s="92"/>
      <c r="VZM110" s="92"/>
      <c r="VZN110" s="92"/>
      <c r="VZO110" s="92"/>
      <c r="VZP110" s="92"/>
      <c r="VZQ110" s="92"/>
      <c r="VZR110" s="92"/>
      <c r="VZS110" s="92"/>
      <c r="VZT110" s="92"/>
      <c r="VZU110" s="92"/>
      <c r="VZV110" s="92"/>
      <c r="VZW110" s="92"/>
      <c r="VZX110" s="92"/>
      <c r="VZY110" s="92"/>
      <c r="VZZ110" s="92"/>
      <c r="WAA110" s="92"/>
      <c r="WAB110" s="91"/>
      <c r="WAC110" s="92"/>
      <c r="WAD110" s="92"/>
      <c r="WAE110" s="92"/>
      <c r="WAF110" s="92"/>
      <c r="WAG110" s="92"/>
      <c r="WAH110" s="92"/>
      <c r="WAI110" s="92"/>
      <c r="WAJ110" s="92"/>
      <c r="WAK110" s="92"/>
      <c r="WAL110" s="92"/>
      <c r="WAM110" s="92"/>
      <c r="WAN110" s="92"/>
      <c r="WAO110" s="92"/>
      <c r="WAP110" s="92"/>
      <c r="WAQ110" s="92"/>
      <c r="WAR110" s="92"/>
      <c r="WAS110" s="92"/>
      <c r="WAT110" s="92"/>
      <c r="WAU110" s="92"/>
      <c r="WAV110" s="92"/>
      <c r="WAW110" s="92"/>
      <c r="WAX110" s="91"/>
      <c r="WAY110" s="92"/>
      <c r="WAZ110" s="92"/>
      <c r="WBA110" s="92"/>
      <c r="WBB110" s="92"/>
      <c r="WBC110" s="92"/>
      <c r="WBD110" s="92"/>
      <c r="WBE110" s="92"/>
      <c r="WBF110" s="92"/>
      <c r="WBG110" s="92"/>
      <c r="WBH110" s="92"/>
      <c r="WBI110" s="92"/>
      <c r="WBJ110" s="92"/>
      <c r="WBK110" s="92"/>
      <c r="WBL110" s="92"/>
      <c r="WBM110" s="92"/>
      <c r="WBN110" s="92"/>
      <c r="WBO110" s="92"/>
      <c r="WBP110" s="92"/>
      <c r="WBQ110" s="92"/>
      <c r="WBR110" s="92"/>
      <c r="WBS110" s="92"/>
      <c r="WBT110" s="91"/>
      <c r="WBU110" s="92"/>
      <c r="WBV110" s="92"/>
      <c r="WBW110" s="92"/>
      <c r="WBX110" s="92"/>
      <c r="WBY110" s="92"/>
      <c r="WBZ110" s="92"/>
      <c r="WCA110" s="92"/>
      <c r="WCB110" s="92"/>
      <c r="WCC110" s="92"/>
      <c r="WCD110" s="92"/>
      <c r="WCE110" s="92"/>
      <c r="WCF110" s="92"/>
      <c r="WCG110" s="92"/>
      <c r="WCH110" s="92"/>
      <c r="WCI110" s="92"/>
      <c r="WCJ110" s="92"/>
      <c r="WCK110" s="92"/>
      <c r="WCL110" s="92"/>
      <c r="WCM110" s="92"/>
      <c r="WCN110" s="92"/>
      <c r="WCO110" s="92"/>
      <c r="WCP110" s="91"/>
      <c r="WCQ110" s="92"/>
      <c r="WCR110" s="92"/>
      <c r="WCS110" s="92"/>
      <c r="WCT110" s="92"/>
      <c r="WCU110" s="92"/>
      <c r="WCV110" s="92"/>
      <c r="WCW110" s="92"/>
      <c r="WCX110" s="92"/>
      <c r="WCY110" s="92"/>
      <c r="WCZ110" s="92"/>
      <c r="WDA110" s="92"/>
      <c r="WDB110" s="92"/>
      <c r="WDC110" s="92"/>
      <c r="WDD110" s="92"/>
      <c r="WDE110" s="92"/>
      <c r="WDF110" s="92"/>
      <c r="WDG110" s="92"/>
      <c r="WDH110" s="92"/>
      <c r="WDI110" s="92"/>
      <c r="WDJ110" s="92"/>
      <c r="WDK110" s="92"/>
      <c r="WDL110" s="91"/>
      <c r="WDM110" s="92"/>
      <c r="WDN110" s="92"/>
      <c r="WDO110" s="92"/>
      <c r="WDP110" s="92"/>
      <c r="WDQ110" s="92"/>
      <c r="WDR110" s="92"/>
      <c r="WDS110" s="92"/>
      <c r="WDT110" s="92"/>
      <c r="WDU110" s="92"/>
      <c r="WDV110" s="92"/>
      <c r="WDW110" s="92"/>
      <c r="WDX110" s="92"/>
      <c r="WDY110" s="92"/>
      <c r="WDZ110" s="92"/>
      <c r="WEA110" s="92"/>
      <c r="WEB110" s="92"/>
      <c r="WEC110" s="92"/>
      <c r="WED110" s="92"/>
      <c r="WEE110" s="92"/>
      <c r="WEF110" s="92"/>
      <c r="WEG110" s="92"/>
      <c r="WEH110" s="91"/>
      <c r="WEI110" s="92"/>
      <c r="WEJ110" s="92"/>
      <c r="WEK110" s="92"/>
      <c r="WEL110" s="92"/>
      <c r="WEM110" s="92"/>
      <c r="WEN110" s="92"/>
      <c r="WEO110" s="92"/>
      <c r="WEP110" s="92"/>
      <c r="WEQ110" s="92"/>
      <c r="WER110" s="92"/>
      <c r="WES110" s="92"/>
      <c r="WET110" s="92"/>
      <c r="WEU110" s="92"/>
      <c r="WEV110" s="92"/>
      <c r="WEW110" s="92"/>
      <c r="WEX110" s="92"/>
      <c r="WEY110" s="92"/>
      <c r="WEZ110" s="92"/>
      <c r="WFA110" s="92"/>
      <c r="WFB110" s="92"/>
      <c r="WFC110" s="92"/>
      <c r="WFD110" s="91"/>
      <c r="WFE110" s="92"/>
      <c r="WFF110" s="92"/>
      <c r="WFG110" s="92"/>
      <c r="WFH110" s="92"/>
      <c r="WFI110" s="92"/>
      <c r="WFJ110" s="92"/>
      <c r="WFK110" s="92"/>
      <c r="WFL110" s="92"/>
      <c r="WFM110" s="92"/>
      <c r="WFN110" s="92"/>
      <c r="WFO110" s="92"/>
      <c r="WFP110" s="92"/>
      <c r="WFQ110" s="92"/>
      <c r="WFR110" s="92"/>
      <c r="WFS110" s="92"/>
      <c r="WFT110" s="92"/>
      <c r="WFU110" s="92"/>
      <c r="WFV110" s="92"/>
      <c r="WFW110" s="92"/>
      <c r="WFX110" s="92"/>
      <c r="WFY110" s="92"/>
      <c r="WFZ110" s="91"/>
      <c r="WGA110" s="92"/>
      <c r="WGB110" s="92"/>
      <c r="WGC110" s="92"/>
      <c r="WGD110" s="92"/>
      <c r="WGE110" s="92"/>
      <c r="WGF110" s="92"/>
      <c r="WGG110" s="92"/>
      <c r="WGH110" s="92"/>
      <c r="WGI110" s="92"/>
      <c r="WGJ110" s="92"/>
      <c r="WGK110" s="92"/>
      <c r="WGL110" s="92"/>
      <c r="WGM110" s="92"/>
      <c r="WGN110" s="92"/>
      <c r="WGO110" s="92"/>
      <c r="WGP110" s="92"/>
      <c r="WGQ110" s="92"/>
      <c r="WGR110" s="92"/>
      <c r="WGS110" s="92"/>
      <c r="WGT110" s="92"/>
      <c r="WGU110" s="92"/>
      <c r="WGV110" s="91"/>
      <c r="WGW110" s="92"/>
      <c r="WGX110" s="92"/>
      <c r="WGY110" s="92"/>
      <c r="WGZ110" s="92"/>
      <c r="WHA110" s="92"/>
      <c r="WHB110" s="92"/>
      <c r="WHC110" s="92"/>
      <c r="WHD110" s="92"/>
      <c r="WHE110" s="92"/>
      <c r="WHF110" s="92"/>
      <c r="WHG110" s="92"/>
      <c r="WHH110" s="92"/>
      <c r="WHI110" s="92"/>
      <c r="WHJ110" s="92"/>
      <c r="WHK110" s="92"/>
      <c r="WHL110" s="92"/>
      <c r="WHM110" s="92"/>
      <c r="WHN110" s="92"/>
      <c r="WHO110" s="92"/>
      <c r="WHP110" s="92"/>
      <c r="WHQ110" s="92"/>
      <c r="WHR110" s="91"/>
      <c r="WHS110" s="92"/>
      <c r="WHT110" s="92"/>
      <c r="WHU110" s="92"/>
      <c r="WHV110" s="92"/>
      <c r="WHW110" s="92"/>
      <c r="WHX110" s="92"/>
      <c r="WHY110" s="92"/>
      <c r="WHZ110" s="92"/>
      <c r="WIA110" s="92"/>
      <c r="WIB110" s="92"/>
      <c r="WIC110" s="92"/>
      <c r="WID110" s="92"/>
      <c r="WIE110" s="92"/>
      <c r="WIF110" s="92"/>
      <c r="WIG110" s="92"/>
      <c r="WIH110" s="92"/>
      <c r="WII110" s="92"/>
      <c r="WIJ110" s="92"/>
      <c r="WIK110" s="92"/>
      <c r="WIL110" s="92"/>
      <c r="WIM110" s="92"/>
      <c r="WIN110" s="91"/>
      <c r="WIO110" s="92"/>
      <c r="WIP110" s="92"/>
      <c r="WIQ110" s="92"/>
      <c r="WIR110" s="92"/>
      <c r="WIS110" s="92"/>
      <c r="WIT110" s="92"/>
      <c r="WIU110" s="92"/>
      <c r="WIV110" s="92"/>
      <c r="WIW110" s="92"/>
      <c r="WIX110" s="92"/>
      <c r="WIY110" s="92"/>
      <c r="WIZ110" s="92"/>
      <c r="WJA110" s="92"/>
      <c r="WJB110" s="92"/>
      <c r="WJC110" s="92"/>
      <c r="WJD110" s="92"/>
      <c r="WJE110" s="92"/>
      <c r="WJF110" s="92"/>
      <c r="WJG110" s="92"/>
      <c r="WJH110" s="92"/>
      <c r="WJI110" s="92"/>
      <c r="WJJ110" s="91"/>
      <c r="WJK110" s="92"/>
      <c r="WJL110" s="92"/>
      <c r="WJM110" s="92"/>
      <c r="WJN110" s="92"/>
      <c r="WJO110" s="92"/>
      <c r="WJP110" s="92"/>
      <c r="WJQ110" s="92"/>
      <c r="WJR110" s="92"/>
      <c r="WJS110" s="92"/>
      <c r="WJT110" s="92"/>
      <c r="WJU110" s="92"/>
      <c r="WJV110" s="92"/>
      <c r="WJW110" s="92"/>
      <c r="WJX110" s="92"/>
      <c r="WJY110" s="92"/>
      <c r="WJZ110" s="92"/>
      <c r="WKA110" s="92"/>
      <c r="WKB110" s="92"/>
      <c r="WKC110" s="92"/>
      <c r="WKD110" s="92"/>
      <c r="WKE110" s="92"/>
      <c r="WKF110" s="91"/>
      <c r="WKG110" s="92"/>
      <c r="WKH110" s="92"/>
      <c r="WKI110" s="92"/>
      <c r="WKJ110" s="92"/>
      <c r="WKK110" s="92"/>
      <c r="WKL110" s="92"/>
      <c r="WKM110" s="92"/>
      <c r="WKN110" s="92"/>
      <c r="WKO110" s="92"/>
      <c r="WKP110" s="92"/>
      <c r="WKQ110" s="92"/>
      <c r="WKR110" s="92"/>
      <c r="WKS110" s="92"/>
      <c r="WKT110" s="92"/>
      <c r="WKU110" s="92"/>
      <c r="WKV110" s="92"/>
      <c r="WKW110" s="92"/>
      <c r="WKX110" s="92"/>
      <c r="WKY110" s="92"/>
      <c r="WKZ110" s="92"/>
      <c r="WLA110" s="92"/>
      <c r="WLB110" s="91"/>
      <c r="WLC110" s="92"/>
      <c r="WLD110" s="92"/>
      <c r="WLE110" s="92"/>
      <c r="WLF110" s="92"/>
      <c r="WLG110" s="92"/>
      <c r="WLH110" s="92"/>
      <c r="WLI110" s="92"/>
      <c r="WLJ110" s="92"/>
      <c r="WLK110" s="92"/>
      <c r="WLL110" s="92"/>
      <c r="WLM110" s="92"/>
      <c r="WLN110" s="92"/>
      <c r="WLO110" s="92"/>
      <c r="WLP110" s="92"/>
      <c r="WLQ110" s="92"/>
      <c r="WLR110" s="92"/>
      <c r="WLS110" s="92"/>
      <c r="WLT110" s="92"/>
      <c r="WLU110" s="92"/>
      <c r="WLV110" s="92"/>
      <c r="WLW110" s="92"/>
      <c r="WLX110" s="91"/>
      <c r="WLY110" s="92"/>
      <c r="WLZ110" s="92"/>
      <c r="WMA110" s="92"/>
      <c r="WMB110" s="92"/>
      <c r="WMC110" s="92"/>
      <c r="WMD110" s="92"/>
      <c r="WME110" s="92"/>
      <c r="WMF110" s="92"/>
      <c r="WMG110" s="92"/>
      <c r="WMH110" s="92"/>
      <c r="WMI110" s="92"/>
      <c r="WMJ110" s="92"/>
      <c r="WMK110" s="92"/>
      <c r="WML110" s="92"/>
      <c r="WMM110" s="92"/>
      <c r="WMN110" s="92"/>
      <c r="WMO110" s="92"/>
      <c r="WMP110" s="92"/>
      <c r="WMQ110" s="92"/>
      <c r="WMR110" s="92"/>
      <c r="WMS110" s="92"/>
      <c r="WMT110" s="91"/>
      <c r="WMU110" s="92"/>
      <c r="WMV110" s="92"/>
      <c r="WMW110" s="92"/>
      <c r="WMX110" s="92"/>
      <c r="WMY110" s="92"/>
      <c r="WMZ110" s="92"/>
      <c r="WNA110" s="92"/>
      <c r="WNB110" s="92"/>
      <c r="WNC110" s="92"/>
      <c r="WND110" s="92"/>
      <c r="WNE110" s="92"/>
      <c r="WNF110" s="92"/>
      <c r="WNG110" s="92"/>
      <c r="WNH110" s="92"/>
      <c r="WNI110" s="92"/>
      <c r="WNJ110" s="92"/>
      <c r="WNK110" s="92"/>
      <c r="WNL110" s="92"/>
      <c r="WNM110" s="92"/>
      <c r="WNN110" s="92"/>
      <c r="WNO110" s="92"/>
      <c r="WNP110" s="91"/>
      <c r="WNQ110" s="92"/>
      <c r="WNR110" s="92"/>
      <c r="WNS110" s="92"/>
      <c r="WNT110" s="92"/>
      <c r="WNU110" s="92"/>
      <c r="WNV110" s="92"/>
      <c r="WNW110" s="92"/>
      <c r="WNX110" s="92"/>
      <c r="WNY110" s="92"/>
      <c r="WNZ110" s="92"/>
      <c r="WOA110" s="92"/>
      <c r="WOB110" s="92"/>
      <c r="WOC110" s="92"/>
      <c r="WOD110" s="92"/>
      <c r="WOE110" s="92"/>
      <c r="WOF110" s="92"/>
      <c r="WOG110" s="92"/>
      <c r="WOH110" s="92"/>
      <c r="WOI110" s="92"/>
      <c r="WOJ110" s="92"/>
      <c r="WOK110" s="92"/>
      <c r="WOL110" s="91"/>
      <c r="WOM110" s="92"/>
      <c r="WON110" s="92"/>
      <c r="WOO110" s="92"/>
      <c r="WOP110" s="92"/>
      <c r="WOQ110" s="92"/>
      <c r="WOR110" s="92"/>
      <c r="WOS110" s="92"/>
      <c r="WOT110" s="92"/>
      <c r="WOU110" s="92"/>
      <c r="WOV110" s="92"/>
      <c r="WOW110" s="92"/>
      <c r="WOX110" s="92"/>
      <c r="WOY110" s="92"/>
      <c r="WOZ110" s="92"/>
      <c r="WPA110" s="92"/>
      <c r="WPB110" s="92"/>
      <c r="WPC110" s="92"/>
      <c r="WPD110" s="92"/>
      <c r="WPE110" s="92"/>
      <c r="WPF110" s="92"/>
      <c r="WPG110" s="92"/>
      <c r="WPH110" s="91"/>
      <c r="WPI110" s="92"/>
      <c r="WPJ110" s="92"/>
      <c r="WPK110" s="92"/>
      <c r="WPL110" s="92"/>
      <c r="WPM110" s="92"/>
      <c r="WPN110" s="92"/>
      <c r="WPO110" s="92"/>
      <c r="WPP110" s="92"/>
      <c r="WPQ110" s="92"/>
      <c r="WPR110" s="92"/>
      <c r="WPS110" s="92"/>
      <c r="WPT110" s="92"/>
      <c r="WPU110" s="92"/>
      <c r="WPV110" s="92"/>
      <c r="WPW110" s="92"/>
      <c r="WPX110" s="92"/>
      <c r="WPY110" s="92"/>
      <c r="WPZ110" s="92"/>
      <c r="WQA110" s="92"/>
      <c r="WQB110" s="92"/>
      <c r="WQC110" s="92"/>
      <c r="WQD110" s="91"/>
      <c r="WQE110" s="92"/>
      <c r="WQF110" s="92"/>
      <c r="WQG110" s="92"/>
      <c r="WQH110" s="92"/>
      <c r="WQI110" s="92"/>
      <c r="WQJ110" s="92"/>
      <c r="WQK110" s="92"/>
      <c r="WQL110" s="92"/>
      <c r="WQM110" s="92"/>
      <c r="WQN110" s="92"/>
      <c r="WQO110" s="92"/>
      <c r="WQP110" s="92"/>
      <c r="WQQ110" s="92"/>
      <c r="WQR110" s="92"/>
      <c r="WQS110" s="92"/>
      <c r="WQT110" s="92"/>
      <c r="WQU110" s="92"/>
      <c r="WQV110" s="92"/>
      <c r="WQW110" s="92"/>
      <c r="WQX110" s="92"/>
      <c r="WQY110" s="92"/>
      <c r="WQZ110" s="91"/>
      <c r="WRA110" s="92"/>
      <c r="WRB110" s="92"/>
      <c r="WRC110" s="92"/>
      <c r="WRD110" s="92"/>
      <c r="WRE110" s="92"/>
      <c r="WRF110" s="92"/>
      <c r="WRG110" s="92"/>
      <c r="WRH110" s="92"/>
      <c r="WRI110" s="92"/>
      <c r="WRJ110" s="92"/>
      <c r="WRK110" s="92"/>
      <c r="WRL110" s="92"/>
      <c r="WRM110" s="92"/>
      <c r="WRN110" s="92"/>
      <c r="WRO110" s="92"/>
      <c r="WRP110" s="92"/>
      <c r="WRQ110" s="92"/>
      <c r="WRR110" s="92"/>
      <c r="WRS110" s="92"/>
      <c r="WRT110" s="92"/>
      <c r="WRU110" s="92"/>
      <c r="WRV110" s="91"/>
      <c r="WRW110" s="92"/>
      <c r="WRX110" s="92"/>
      <c r="WRY110" s="92"/>
      <c r="WRZ110" s="92"/>
      <c r="WSA110" s="92"/>
      <c r="WSB110" s="92"/>
      <c r="WSC110" s="92"/>
      <c r="WSD110" s="92"/>
      <c r="WSE110" s="92"/>
      <c r="WSF110" s="92"/>
      <c r="WSG110" s="92"/>
      <c r="WSH110" s="92"/>
      <c r="WSI110" s="92"/>
      <c r="WSJ110" s="92"/>
      <c r="WSK110" s="92"/>
      <c r="WSL110" s="92"/>
      <c r="WSM110" s="92"/>
      <c r="WSN110" s="92"/>
      <c r="WSO110" s="92"/>
      <c r="WSP110" s="92"/>
      <c r="WSQ110" s="92"/>
      <c r="WSR110" s="91"/>
      <c r="WSS110" s="92"/>
      <c r="WST110" s="92"/>
      <c r="WSU110" s="92"/>
      <c r="WSV110" s="92"/>
      <c r="WSW110" s="92"/>
      <c r="WSX110" s="92"/>
      <c r="WSY110" s="92"/>
      <c r="WSZ110" s="92"/>
      <c r="WTA110" s="92"/>
      <c r="WTB110" s="92"/>
      <c r="WTC110" s="92"/>
      <c r="WTD110" s="92"/>
      <c r="WTE110" s="92"/>
      <c r="WTF110" s="92"/>
      <c r="WTG110" s="92"/>
      <c r="WTH110" s="92"/>
      <c r="WTI110" s="92"/>
      <c r="WTJ110" s="92"/>
      <c r="WTK110" s="92"/>
      <c r="WTL110" s="92"/>
      <c r="WTM110" s="92"/>
      <c r="WTN110" s="91"/>
      <c r="WTO110" s="92"/>
      <c r="WTP110" s="92"/>
      <c r="WTQ110" s="92"/>
      <c r="WTR110" s="92"/>
      <c r="WTS110" s="92"/>
      <c r="WTT110" s="92"/>
      <c r="WTU110" s="92"/>
      <c r="WTV110" s="92"/>
      <c r="WTW110" s="92"/>
      <c r="WTX110" s="92"/>
      <c r="WTY110" s="92"/>
      <c r="WTZ110" s="92"/>
      <c r="WUA110" s="92"/>
      <c r="WUB110" s="92"/>
      <c r="WUC110" s="92"/>
      <c r="WUD110" s="92"/>
      <c r="WUE110" s="92"/>
      <c r="WUF110" s="92"/>
      <c r="WUG110" s="92"/>
      <c r="WUH110" s="92"/>
      <c r="WUI110" s="92"/>
      <c r="WUJ110" s="91"/>
      <c r="WUK110" s="92"/>
      <c r="WUL110" s="92"/>
      <c r="WUM110" s="92"/>
      <c r="WUN110" s="92"/>
      <c r="WUO110" s="92"/>
      <c r="WUP110" s="92"/>
      <c r="WUQ110" s="92"/>
      <c r="WUR110" s="92"/>
      <c r="WUS110" s="92"/>
      <c r="WUT110" s="92"/>
      <c r="WUU110" s="92"/>
      <c r="WUV110" s="92"/>
      <c r="WUW110" s="92"/>
      <c r="WUX110" s="92"/>
      <c r="WUY110" s="92"/>
      <c r="WUZ110" s="92"/>
      <c r="WVA110" s="92"/>
      <c r="WVB110" s="92"/>
      <c r="WVC110" s="92"/>
      <c r="WVD110" s="92"/>
      <c r="WVE110" s="92"/>
      <c r="WVF110" s="91"/>
      <c r="WVG110" s="92"/>
      <c r="WVH110" s="92"/>
      <c r="WVI110" s="92"/>
      <c r="WVJ110" s="92"/>
      <c r="WVK110" s="92"/>
      <c r="WVL110" s="92"/>
      <c r="WVM110" s="92"/>
      <c r="WVN110" s="92"/>
      <c r="WVO110" s="92"/>
      <c r="WVP110" s="92"/>
      <c r="WVQ110" s="92"/>
      <c r="WVR110" s="92"/>
      <c r="WVS110" s="92"/>
      <c r="WVT110" s="92"/>
      <c r="WVU110" s="92"/>
      <c r="WVV110" s="92"/>
      <c r="WVW110" s="92"/>
      <c r="WVX110" s="92"/>
      <c r="WVY110" s="92"/>
      <c r="WVZ110" s="92"/>
      <c r="WWA110" s="92"/>
      <c r="WWB110" s="91"/>
      <c r="WWC110" s="92"/>
      <c r="WWD110" s="92"/>
      <c r="WWE110" s="92"/>
      <c r="WWF110" s="92"/>
      <c r="WWG110" s="92"/>
      <c r="WWH110" s="92"/>
      <c r="WWI110" s="92"/>
      <c r="WWJ110" s="92"/>
      <c r="WWK110" s="92"/>
      <c r="WWL110" s="92"/>
      <c r="WWM110" s="92"/>
      <c r="WWN110" s="92"/>
      <c r="WWO110" s="92"/>
      <c r="WWP110" s="92"/>
      <c r="WWQ110" s="92"/>
      <c r="WWR110" s="92"/>
      <c r="WWS110" s="92"/>
      <c r="WWT110" s="92"/>
      <c r="WWU110" s="92"/>
      <c r="WWV110" s="92"/>
      <c r="WWW110" s="92"/>
      <c r="WWX110" s="91"/>
      <c r="WWY110" s="92"/>
      <c r="WWZ110" s="92"/>
      <c r="WXA110" s="92"/>
      <c r="WXB110" s="92"/>
      <c r="WXC110" s="92"/>
      <c r="WXD110" s="92"/>
      <c r="WXE110" s="92"/>
      <c r="WXF110" s="92"/>
      <c r="WXG110" s="92"/>
      <c r="WXH110" s="92"/>
      <c r="WXI110" s="92"/>
      <c r="WXJ110" s="92"/>
      <c r="WXK110" s="92"/>
      <c r="WXL110" s="92"/>
      <c r="WXM110" s="92"/>
      <c r="WXN110" s="92"/>
      <c r="WXO110" s="92"/>
      <c r="WXP110" s="92"/>
      <c r="WXQ110" s="92"/>
      <c r="WXR110" s="92"/>
      <c r="WXS110" s="92"/>
      <c r="WXT110" s="91"/>
      <c r="WXU110" s="92"/>
      <c r="WXV110" s="92"/>
      <c r="WXW110" s="92"/>
      <c r="WXX110" s="92"/>
      <c r="WXY110" s="92"/>
      <c r="WXZ110" s="92"/>
      <c r="WYA110" s="92"/>
      <c r="WYB110" s="92"/>
      <c r="WYC110" s="92"/>
      <c r="WYD110" s="92"/>
      <c r="WYE110" s="92"/>
      <c r="WYF110" s="92"/>
      <c r="WYG110" s="92"/>
      <c r="WYH110" s="92"/>
      <c r="WYI110" s="92"/>
      <c r="WYJ110" s="92"/>
      <c r="WYK110" s="92"/>
      <c r="WYL110" s="92"/>
      <c r="WYM110" s="92"/>
      <c r="WYN110" s="92"/>
      <c r="WYO110" s="92"/>
      <c r="WYP110" s="91"/>
      <c r="WYQ110" s="92"/>
      <c r="WYR110" s="92"/>
      <c r="WYS110" s="92"/>
      <c r="WYT110" s="92"/>
      <c r="WYU110" s="92"/>
      <c r="WYV110" s="92"/>
      <c r="WYW110" s="92"/>
      <c r="WYX110" s="92"/>
      <c r="WYY110" s="92"/>
      <c r="WYZ110" s="92"/>
      <c r="WZA110" s="92"/>
      <c r="WZB110" s="92"/>
      <c r="WZC110" s="92"/>
      <c r="WZD110" s="92"/>
      <c r="WZE110" s="92"/>
      <c r="WZF110" s="92"/>
      <c r="WZG110" s="92"/>
      <c r="WZH110" s="92"/>
      <c r="WZI110" s="92"/>
      <c r="WZJ110" s="92"/>
      <c r="WZK110" s="92"/>
      <c r="WZL110" s="91"/>
      <c r="WZM110" s="92"/>
      <c r="WZN110" s="92"/>
      <c r="WZO110" s="92"/>
      <c r="WZP110" s="92"/>
      <c r="WZQ110" s="92"/>
      <c r="WZR110" s="92"/>
      <c r="WZS110" s="92"/>
      <c r="WZT110" s="92"/>
      <c r="WZU110" s="92"/>
      <c r="WZV110" s="92"/>
      <c r="WZW110" s="92"/>
      <c r="WZX110" s="92"/>
      <c r="WZY110" s="92"/>
      <c r="WZZ110" s="92"/>
      <c r="XAA110" s="92"/>
      <c r="XAB110" s="92"/>
      <c r="XAC110" s="92"/>
      <c r="XAD110" s="92"/>
      <c r="XAE110" s="92"/>
      <c r="XAF110" s="92"/>
      <c r="XAG110" s="92"/>
      <c r="XAH110" s="91"/>
      <c r="XAI110" s="92"/>
      <c r="XAJ110" s="92"/>
      <c r="XAK110" s="92"/>
      <c r="XAL110" s="92"/>
      <c r="XAM110" s="92"/>
      <c r="XAN110" s="92"/>
      <c r="XAO110" s="92"/>
      <c r="XAP110" s="92"/>
      <c r="XAQ110" s="92"/>
      <c r="XAR110" s="92"/>
      <c r="XAS110" s="92"/>
      <c r="XAT110" s="92"/>
      <c r="XAU110" s="92"/>
      <c r="XAV110" s="92"/>
      <c r="XAW110" s="92"/>
      <c r="XAX110" s="92"/>
      <c r="XAY110" s="92"/>
      <c r="XAZ110" s="92"/>
      <c r="XBA110" s="92"/>
      <c r="XBB110" s="92"/>
      <c r="XBC110" s="92"/>
      <c r="XBD110" s="91"/>
      <c r="XBE110" s="92"/>
      <c r="XBF110" s="92"/>
      <c r="XBG110" s="92"/>
      <c r="XBH110" s="92"/>
      <c r="XBI110" s="92"/>
      <c r="XBJ110" s="92"/>
      <c r="XBK110" s="92"/>
      <c r="XBL110" s="92"/>
      <c r="XBM110" s="92"/>
      <c r="XBN110" s="92"/>
      <c r="XBO110" s="92"/>
      <c r="XBP110" s="92"/>
      <c r="XBQ110" s="92"/>
      <c r="XBR110" s="92"/>
      <c r="XBS110" s="92"/>
      <c r="XBT110" s="92"/>
      <c r="XBU110" s="92"/>
      <c r="XBV110" s="92"/>
      <c r="XBW110" s="92"/>
      <c r="XBX110" s="92"/>
      <c r="XBY110" s="92"/>
      <c r="XBZ110" s="91"/>
      <c r="XCA110" s="92"/>
      <c r="XCB110" s="92"/>
      <c r="XCC110" s="92"/>
      <c r="XCD110" s="92"/>
      <c r="XCE110" s="92"/>
      <c r="XCF110" s="92"/>
      <c r="XCG110" s="92"/>
      <c r="XCH110" s="92"/>
      <c r="XCI110" s="92"/>
      <c r="XCJ110" s="92"/>
      <c r="XCK110" s="92"/>
      <c r="XCL110" s="92"/>
      <c r="XCM110" s="92"/>
      <c r="XCN110" s="92"/>
      <c r="XCO110" s="92"/>
      <c r="XCP110" s="92"/>
      <c r="XCQ110" s="92"/>
      <c r="XCR110" s="92"/>
      <c r="XCS110" s="92"/>
      <c r="XCT110" s="92"/>
      <c r="XCU110" s="92"/>
      <c r="XCV110" s="91"/>
      <c r="XCW110" s="92"/>
      <c r="XCX110" s="92"/>
      <c r="XCY110" s="92"/>
      <c r="XCZ110" s="92"/>
      <c r="XDA110" s="92"/>
      <c r="XDB110" s="92"/>
      <c r="XDC110" s="92"/>
      <c r="XDD110" s="92"/>
      <c r="XDE110" s="92"/>
      <c r="XDF110" s="92"/>
      <c r="XDG110" s="92"/>
      <c r="XDH110" s="92"/>
      <c r="XDI110" s="92"/>
      <c r="XDJ110" s="92"/>
      <c r="XDK110" s="92"/>
      <c r="XDL110" s="92"/>
      <c r="XDM110" s="92"/>
      <c r="XDN110" s="92"/>
      <c r="XDO110" s="92"/>
      <c r="XDP110" s="92"/>
      <c r="XDQ110" s="92"/>
      <c r="XDR110" s="91"/>
      <c r="XDS110" s="92"/>
      <c r="XDT110" s="92"/>
      <c r="XDU110" s="92"/>
      <c r="XDV110" s="92"/>
      <c r="XDW110" s="92"/>
      <c r="XDX110" s="92"/>
      <c r="XDY110" s="92"/>
      <c r="XDZ110" s="92"/>
      <c r="XEA110" s="92"/>
      <c r="XEB110" s="92"/>
      <c r="XEC110" s="92"/>
      <c r="XED110" s="92"/>
      <c r="XEE110" s="92"/>
      <c r="XEF110" s="92"/>
      <c r="XEG110" s="92"/>
      <c r="XEH110" s="92"/>
      <c r="XEI110" s="92"/>
      <c r="XEJ110" s="92"/>
      <c r="XEK110" s="92"/>
      <c r="XEL110" s="92"/>
      <c r="XEM110" s="92"/>
      <c r="XEN110" s="91"/>
      <c r="XEO110" s="91"/>
      <c r="XEP110" s="91"/>
      <c r="XEQ110" s="91"/>
      <c r="XER110" s="91"/>
      <c r="XES110" s="91"/>
      <c r="XET110" s="91"/>
      <c r="XEU110" s="91"/>
      <c r="XEV110" s="91"/>
      <c r="XEW110" s="91"/>
      <c r="XEX110" s="91"/>
      <c r="XEY110" s="91"/>
      <c r="XEZ110" s="91"/>
      <c r="XFA110" s="91"/>
      <c r="XFB110" s="91"/>
      <c r="XFC110" s="91"/>
    </row>
    <row r="111" spans="1:16383" s="39" customFormat="1" ht="15.95">
      <c r="A111" s="95" t="s">
        <v>110</v>
      </c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5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6"/>
      <c r="BK111" s="96"/>
      <c r="BL111" s="96"/>
      <c r="BM111" s="96"/>
      <c r="BN111" s="95"/>
      <c r="BO111" s="96"/>
      <c r="BP111" s="96"/>
      <c r="BQ111" s="96"/>
      <c r="BR111" s="96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  <c r="CE111" s="96"/>
      <c r="CF111" s="96"/>
      <c r="CG111" s="96"/>
      <c r="CH111" s="96"/>
      <c r="CI111" s="96"/>
      <c r="CJ111" s="95"/>
      <c r="CK111" s="96"/>
      <c r="CL111" s="96"/>
      <c r="CM111" s="96"/>
      <c r="CN111" s="96"/>
      <c r="CO111" s="96"/>
      <c r="CP111" s="96"/>
      <c r="CQ111" s="96"/>
      <c r="CR111" s="96"/>
      <c r="CS111" s="96"/>
      <c r="CT111" s="96"/>
      <c r="CU111" s="96"/>
      <c r="CV111" s="96"/>
      <c r="CW111" s="96"/>
      <c r="CX111" s="96"/>
      <c r="CY111" s="96"/>
      <c r="CZ111" s="96"/>
      <c r="DA111" s="96"/>
      <c r="DB111" s="96"/>
      <c r="DC111" s="96"/>
      <c r="DD111" s="96"/>
      <c r="DE111" s="96"/>
      <c r="DF111" s="95"/>
      <c r="DG111" s="96"/>
      <c r="DH111" s="96"/>
      <c r="DI111" s="96"/>
      <c r="DJ111" s="96"/>
      <c r="DK111" s="96"/>
      <c r="DL111" s="96"/>
      <c r="DM111" s="96"/>
      <c r="DN111" s="96"/>
      <c r="DO111" s="96"/>
      <c r="DP111" s="96"/>
      <c r="DQ111" s="96"/>
      <c r="DR111" s="96"/>
      <c r="DS111" s="96"/>
      <c r="DT111" s="96"/>
      <c r="DU111" s="96"/>
      <c r="DV111" s="96"/>
      <c r="DW111" s="96"/>
      <c r="DX111" s="96"/>
      <c r="DY111" s="96"/>
      <c r="DZ111" s="96"/>
      <c r="EA111" s="96"/>
      <c r="EB111" s="95"/>
      <c r="EC111" s="96"/>
      <c r="ED111" s="96"/>
      <c r="EE111" s="96"/>
      <c r="EF111" s="96"/>
      <c r="EG111" s="96"/>
      <c r="EH111" s="96"/>
      <c r="EI111" s="96"/>
      <c r="EJ111" s="96"/>
      <c r="EK111" s="96"/>
      <c r="EL111" s="96"/>
      <c r="EM111" s="96"/>
      <c r="EN111" s="96"/>
      <c r="EO111" s="96"/>
      <c r="EP111" s="96"/>
      <c r="EQ111" s="96"/>
      <c r="ER111" s="96"/>
      <c r="ES111" s="96"/>
      <c r="ET111" s="96"/>
      <c r="EU111" s="96"/>
      <c r="EV111" s="96"/>
      <c r="EW111" s="96"/>
      <c r="EX111" s="95"/>
      <c r="EY111" s="96"/>
      <c r="EZ111" s="96"/>
      <c r="FA111" s="96"/>
      <c r="FB111" s="96"/>
      <c r="FC111" s="96"/>
      <c r="FD111" s="96"/>
      <c r="FE111" s="96"/>
      <c r="FF111" s="96"/>
      <c r="FG111" s="96"/>
      <c r="FH111" s="96"/>
      <c r="FI111" s="96"/>
      <c r="FJ111" s="96"/>
      <c r="FK111" s="96"/>
      <c r="FL111" s="96"/>
      <c r="FM111" s="96"/>
      <c r="FN111" s="96"/>
      <c r="FO111" s="96"/>
      <c r="FP111" s="96"/>
      <c r="FQ111" s="96"/>
      <c r="FR111" s="96"/>
      <c r="FS111" s="96"/>
      <c r="FT111" s="95"/>
      <c r="FU111" s="96"/>
      <c r="FV111" s="96"/>
      <c r="FW111" s="96"/>
      <c r="FX111" s="96"/>
      <c r="FY111" s="96"/>
      <c r="FZ111" s="96"/>
      <c r="GA111" s="96"/>
      <c r="GB111" s="96"/>
      <c r="GC111" s="96"/>
      <c r="GD111" s="96"/>
      <c r="GE111" s="96"/>
      <c r="GF111" s="96"/>
      <c r="GG111" s="96"/>
      <c r="GH111" s="96"/>
      <c r="GI111" s="96"/>
      <c r="GJ111" s="96"/>
      <c r="GK111" s="96"/>
      <c r="GL111" s="96"/>
      <c r="GM111" s="96"/>
      <c r="GN111" s="96"/>
      <c r="GO111" s="96"/>
      <c r="GP111" s="95"/>
      <c r="GQ111" s="96"/>
      <c r="GR111" s="96"/>
      <c r="GS111" s="96"/>
      <c r="GT111" s="96"/>
      <c r="GU111" s="96"/>
      <c r="GV111" s="96"/>
      <c r="GW111" s="96"/>
      <c r="GX111" s="96"/>
      <c r="GY111" s="96"/>
      <c r="GZ111" s="96"/>
      <c r="HA111" s="96"/>
      <c r="HB111" s="96"/>
      <c r="HC111" s="96"/>
      <c r="HD111" s="96"/>
      <c r="HE111" s="96"/>
      <c r="HF111" s="96"/>
      <c r="HG111" s="96"/>
      <c r="HH111" s="96"/>
      <c r="HI111" s="96"/>
      <c r="HJ111" s="96"/>
      <c r="HK111" s="96"/>
      <c r="HL111" s="95"/>
      <c r="HM111" s="96"/>
      <c r="HN111" s="96"/>
      <c r="HO111" s="96"/>
      <c r="HP111" s="96"/>
      <c r="HQ111" s="96"/>
      <c r="HR111" s="96"/>
      <c r="HS111" s="96"/>
      <c r="HT111" s="96"/>
      <c r="HU111" s="96"/>
      <c r="HV111" s="96"/>
      <c r="HW111" s="96"/>
      <c r="HX111" s="96"/>
      <c r="HY111" s="96"/>
      <c r="HZ111" s="96"/>
      <c r="IA111" s="96"/>
      <c r="IB111" s="96"/>
      <c r="IC111" s="96"/>
      <c r="ID111" s="96"/>
      <c r="IE111" s="96"/>
      <c r="IF111" s="96"/>
      <c r="IG111" s="96"/>
      <c r="IH111" s="95"/>
      <c r="II111" s="96"/>
      <c r="IJ111" s="96"/>
      <c r="IK111" s="96"/>
      <c r="IL111" s="96"/>
      <c r="IM111" s="96"/>
      <c r="IN111" s="96"/>
      <c r="IO111" s="96"/>
      <c r="IP111" s="96"/>
      <c r="IQ111" s="96"/>
      <c r="IR111" s="96"/>
      <c r="IS111" s="96"/>
      <c r="IT111" s="96"/>
      <c r="IU111" s="96"/>
      <c r="IV111" s="96"/>
      <c r="IW111" s="96"/>
      <c r="IX111" s="96"/>
      <c r="IY111" s="96"/>
      <c r="IZ111" s="96"/>
      <c r="JA111" s="96"/>
      <c r="JB111" s="96"/>
      <c r="JC111" s="96"/>
      <c r="JD111" s="95"/>
      <c r="JE111" s="96"/>
      <c r="JF111" s="96"/>
      <c r="JG111" s="96"/>
      <c r="JH111" s="96"/>
      <c r="JI111" s="96"/>
      <c r="JJ111" s="96"/>
      <c r="JK111" s="96"/>
      <c r="JL111" s="96"/>
      <c r="JM111" s="96"/>
      <c r="JN111" s="96"/>
      <c r="JO111" s="96"/>
      <c r="JP111" s="96"/>
      <c r="JQ111" s="96"/>
      <c r="JR111" s="96"/>
      <c r="JS111" s="96"/>
      <c r="JT111" s="96"/>
      <c r="JU111" s="96"/>
      <c r="JV111" s="96"/>
      <c r="JW111" s="96"/>
      <c r="JX111" s="96"/>
      <c r="JY111" s="96"/>
      <c r="JZ111" s="95"/>
      <c r="KA111" s="96"/>
      <c r="KB111" s="96"/>
      <c r="KC111" s="96"/>
      <c r="KD111" s="96"/>
      <c r="KE111" s="96"/>
      <c r="KF111" s="96"/>
      <c r="KG111" s="96"/>
      <c r="KH111" s="96"/>
      <c r="KI111" s="96"/>
      <c r="KJ111" s="96"/>
      <c r="KK111" s="96"/>
      <c r="KL111" s="96"/>
      <c r="KM111" s="96"/>
      <c r="KN111" s="96"/>
      <c r="KO111" s="96"/>
      <c r="KP111" s="96"/>
      <c r="KQ111" s="96"/>
      <c r="KR111" s="96"/>
      <c r="KS111" s="96"/>
      <c r="KT111" s="96"/>
      <c r="KU111" s="96"/>
      <c r="KV111" s="95"/>
      <c r="KW111" s="96"/>
      <c r="KX111" s="96"/>
      <c r="KY111" s="96"/>
      <c r="KZ111" s="96"/>
      <c r="LA111" s="96"/>
      <c r="LB111" s="96"/>
      <c r="LC111" s="96"/>
      <c r="LD111" s="96"/>
      <c r="LE111" s="96"/>
      <c r="LF111" s="96"/>
      <c r="LG111" s="96"/>
      <c r="LH111" s="96"/>
      <c r="LI111" s="96"/>
      <c r="LJ111" s="96"/>
      <c r="LK111" s="96"/>
      <c r="LL111" s="96"/>
      <c r="LM111" s="96"/>
      <c r="LN111" s="96"/>
      <c r="LO111" s="96"/>
      <c r="LP111" s="96"/>
      <c r="LQ111" s="96"/>
      <c r="LR111" s="95"/>
      <c r="LS111" s="96"/>
      <c r="LT111" s="96"/>
      <c r="LU111" s="96"/>
      <c r="LV111" s="96"/>
      <c r="LW111" s="96"/>
      <c r="LX111" s="96"/>
      <c r="LY111" s="96"/>
      <c r="LZ111" s="96"/>
      <c r="MA111" s="96"/>
      <c r="MB111" s="96"/>
      <c r="MC111" s="96"/>
      <c r="MD111" s="96"/>
      <c r="ME111" s="96"/>
      <c r="MF111" s="96"/>
      <c r="MG111" s="96"/>
      <c r="MH111" s="96"/>
      <c r="MI111" s="96"/>
      <c r="MJ111" s="96"/>
      <c r="MK111" s="96"/>
      <c r="ML111" s="96"/>
      <c r="MM111" s="96"/>
      <c r="MN111" s="95"/>
      <c r="MO111" s="96"/>
      <c r="MP111" s="96"/>
      <c r="MQ111" s="96"/>
      <c r="MR111" s="96"/>
      <c r="MS111" s="96"/>
      <c r="MT111" s="96"/>
      <c r="MU111" s="96"/>
      <c r="MV111" s="96"/>
      <c r="MW111" s="96"/>
      <c r="MX111" s="96"/>
      <c r="MY111" s="96"/>
      <c r="MZ111" s="96"/>
      <c r="NA111" s="96"/>
      <c r="NB111" s="96"/>
      <c r="NC111" s="96"/>
      <c r="ND111" s="96"/>
      <c r="NE111" s="96"/>
      <c r="NF111" s="96"/>
      <c r="NG111" s="96"/>
      <c r="NH111" s="96"/>
      <c r="NI111" s="96"/>
      <c r="NJ111" s="95"/>
      <c r="NK111" s="96"/>
      <c r="NL111" s="96"/>
      <c r="NM111" s="96"/>
      <c r="NN111" s="96"/>
      <c r="NO111" s="96"/>
      <c r="NP111" s="96"/>
      <c r="NQ111" s="96"/>
      <c r="NR111" s="96"/>
      <c r="NS111" s="96"/>
      <c r="NT111" s="96"/>
      <c r="NU111" s="96"/>
      <c r="NV111" s="96"/>
      <c r="NW111" s="96"/>
      <c r="NX111" s="96"/>
      <c r="NY111" s="96"/>
      <c r="NZ111" s="96"/>
      <c r="OA111" s="96"/>
      <c r="OB111" s="96"/>
      <c r="OC111" s="96"/>
      <c r="OD111" s="96"/>
      <c r="OE111" s="96"/>
      <c r="OF111" s="95"/>
      <c r="OG111" s="96"/>
      <c r="OH111" s="96"/>
      <c r="OI111" s="96"/>
      <c r="OJ111" s="96"/>
      <c r="OK111" s="96"/>
      <c r="OL111" s="96"/>
      <c r="OM111" s="96"/>
      <c r="ON111" s="96"/>
      <c r="OO111" s="96"/>
      <c r="OP111" s="96"/>
      <c r="OQ111" s="96"/>
      <c r="OR111" s="96"/>
      <c r="OS111" s="96"/>
      <c r="OT111" s="96"/>
      <c r="OU111" s="96"/>
      <c r="OV111" s="96"/>
      <c r="OW111" s="96"/>
      <c r="OX111" s="96"/>
      <c r="OY111" s="96"/>
      <c r="OZ111" s="96"/>
      <c r="PA111" s="96"/>
      <c r="PB111" s="95"/>
      <c r="PC111" s="96"/>
      <c r="PD111" s="96"/>
      <c r="PE111" s="96"/>
      <c r="PF111" s="96"/>
      <c r="PG111" s="96"/>
      <c r="PH111" s="96"/>
      <c r="PI111" s="96"/>
      <c r="PJ111" s="96"/>
      <c r="PK111" s="96"/>
      <c r="PL111" s="96"/>
      <c r="PM111" s="96"/>
      <c r="PN111" s="96"/>
      <c r="PO111" s="96"/>
      <c r="PP111" s="96"/>
      <c r="PQ111" s="96"/>
      <c r="PR111" s="96"/>
      <c r="PS111" s="96"/>
      <c r="PT111" s="96"/>
      <c r="PU111" s="96"/>
      <c r="PV111" s="96"/>
      <c r="PW111" s="96"/>
      <c r="PX111" s="95"/>
      <c r="PY111" s="96"/>
      <c r="PZ111" s="96"/>
      <c r="QA111" s="96"/>
      <c r="QB111" s="96"/>
      <c r="QC111" s="96"/>
      <c r="QD111" s="96"/>
      <c r="QE111" s="96"/>
      <c r="QF111" s="96"/>
      <c r="QG111" s="96"/>
      <c r="QH111" s="96"/>
      <c r="QI111" s="96"/>
      <c r="QJ111" s="96"/>
      <c r="QK111" s="96"/>
      <c r="QL111" s="96"/>
      <c r="QM111" s="96"/>
      <c r="QN111" s="96"/>
      <c r="QO111" s="96"/>
      <c r="QP111" s="96"/>
      <c r="QQ111" s="96"/>
      <c r="QR111" s="96"/>
      <c r="QS111" s="96"/>
      <c r="QT111" s="95"/>
      <c r="QU111" s="96"/>
      <c r="QV111" s="96"/>
      <c r="QW111" s="96"/>
      <c r="QX111" s="96"/>
      <c r="QY111" s="96"/>
      <c r="QZ111" s="96"/>
      <c r="RA111" s="96"/>
      <c r="RB111" s="96"/>
      <c r="RC111" s="96"/>
      <c r="RD111" s="96"/>
      <c r="RE111" s="96"/>
      <c r="RF111" s="96"/>
      <c r="RG111" s="96"/>
      <c r="RH111" s="96"/>
      <c r="RI111" s="96"/>
      <c r="RJ111" s="96"/>
      <c r="RK111" s="96"/>
      <c r="RL111" s="96"/>
      <c r="RM111" s="96"/>
      <c r="RN111" s="96"/>
      <c r="RO111" s="96"/>
      <c r="RP111" s="95"/>
      <c r="RQ111" s="96"/>
      <c r="RR111" s="96"/>
      <c r="RS111" s="96"/>
      <c r="RT111" s="96"/>
      <c r="RU111" s="96"/>
      <c r="RV111" s="96"/>
      <c r="RW111" s="96"/>
      <c r="RX111" s="96"/>
      <c r="RY111" s="96"/>
      <c r="RZ111" s="96"/>
      <c r="SA111" s="96"/>
      <c r="SB111" s="96"/>
      <c r="SC111" s="96"/>
      <c r="SD111" s="96"/>
      <c r="SE111" s="96"/>
      <c r="SF111" s="96"/>
      <c r="SG111" s="96"/>
      <c r="SH111" s="96"/>
      <c r="SI111" s="96"/>
      <c r="SJ111" s="96"/>
      <c r="SK111" s="96"/>
      <c r="SL111" s="95"/>
      <c r="SM111" s="96"/>
      <c r="SN111" s="96"/>
      <c r="SO111" s="96"/>
      <c r="SP111" s="96"/>
      <c r="SQ111" s="96"/>
      <c r="SR111" s="96"/>
      <c r="SS111" s="96"/>
      <c r="ST111" s="96"/>
      <c r="SU111" s="96"/>
      <c r="SV111" s="96"/>
      <c r="SW111" s="96"/>
      <c r="SX111" s="96"/>
      <c r="SY111" s="96"/>
      <c r="SZ111" s="96"/>
      <c r="TA111" s="96"/>
      <c r="TB111" s="96"/>
      <c r="TC111" s="96"/>
      <c r="TD111" s="96"/>
      <c r="TE111" s="96"/>
      <c r="TF111" s="96"/>
      <c r="TG111" s="96"/>
      <c r="TH111" s="95"/>
      <c r="TI111" s="96"/>
      <c r="TJ111" s="96"/>
      <c r="TK111" s="96"/>
      <c r="TL111" s="96"/>
      <c r="TM111" s="96"/>
      <c r="TN111" s="96"/>
      <c r="TO111" s="96"/>
      <c r="TP111" s="96"/>
      <c r="TQ111" s="96"/>
      <c r="TR111" s="96"/>
      <c r="TS111" s="96"/>
      <c r="TT111" s="96"/>
      <c r="TU111" s="96"/>
      <c r="TV111" s="96"/>
      <c r="TW111" s="96"/>
      <c r="TX111" s="96"/>
      <c r="TY111" s="96"/>
      <c r="TZ111" s="96"/>
      <c r="UA111" s="96"/>
      <c r="UB111" s="96"/>
      <c r="UC111" s="96"/>
      <c r="UD111" s="95"/>
      <c r="UE111" s="96"/>
      <c r="UF111" s="96"/>
      <c r="UG111" s="96"/>
      <c r="UH111" s="96"/>
      <c r="UI111" s="96"/>
      <c r="UJ111" s="96"/>
      <c r="UK111" s="96"/>
      <c r="UL111" s="96"/>
      <c r="UM111" s="96"/>
      <c r="UN111" s="96"/>
      <c r="UO111" s="96"/>
      <c r="UP111" s="96"/>
      <c r="UQ111" s="96"/>
      <c r="UR111" s="96"/>
      <c r="US111" s="96"/>
      <c r="UT111" s="96"/>
      <c r="UU111" s="96"/>
      <c r="UV111" s="96"/>
      <c r="UW111" s="96"/>
      <c r="UX111" s="96"/>
      <c r="UY111" s="96"/>
      <c r="UZ111" s="95"/>
      <c r="VA111" s="96"/>
      <c r="VB111" s="96"/>
      <c r="VC111" s="96"/>
      <c r="VD111" s="96"/>
      <c r="VE111" s="96"/>
      <c r="VF111" s="96"/>
      <c r="VG111" s="96"/>
      <c r="VH111" s="96"/>
      <c r="VI111" s="96"/>
      <c r="VJ111" s="96"/>
      <c r="VK111" s="96"/>
      <c r="VL111" s="96"/>
      <c r="VM111" s="96"/>
      <c r="VN111" s="96"/>
      <c r="VO111" s="96"/>
      <c r="VP111" s="96"/>
      <c r="VQ111" s="96"/>
      <c r="VR111" s="96"/>
      <c r="VS111" s="96"/>
      <c r="VT111" s="96"/>
      <c r="VU111" s="96"/>
      <c r="VV111" s="95"/>
      <c r="VW111" s="96"/>
      <c r="VX111" s="96"/>
      <c r="VY111" s="96"/>
      <c r="VZ111" s="96"/>
      <c r="WA111" s="96"/>
      <c r="WB111" s="96"/>
      <c r="WC111" s="96"/>
      <c r="WD111" s="96"/>
      <c r="WE111" s="96"/>
      <c r="WF111" s="96"/>
      <c r="WG111" s="96"/>
      <c r="WH111" s="96"/>
      <c r="WI111" s="96"/>
      <c r="WJ111" s="96"/>
      <c r="WK111" s="96"/>
      <c r="WL111" s="96"/>
      <c r="WM111" s="96"/>
      <c r="WN111" s="96"/>
      <c r="WO111" s="96"/>
      <c r="WP111" s="96"/>
      <c r="WQ111" s="96"/>
      <c r="WR111" s="95"/>
      <c r="WS111" s="96"/>
      <c r="WT111" s="96"/>
      <c r="WU111" s="96"/>
      <c r="WV111" s="96"/>
      <c r="WW111" s="96"/>
      <c r="WX111" s="96"/>
      <c r="WY111" s="96"/>
      <c r="WZ111" s="96"/>
      <c r="XA111" s="96"/>
      <c r="XB111" s="96"/>
      <c r="XC111" s="96"/>
      <c r="XD111" s="96"/>
      <c r="XE111" s="96"/>
      <c r="XF111" s="96"/>
      <c r="XG111" s="96"/>
      <c r="XH111" s="96"/>
      <c r="XI111" s="96"/>
      <c r="XJ111" s="96"/>
      <c r="XK111" s="96"/>
      <c r="XL111" s="96"/>
      <c r="XM111" s="96"/>
      <c r="XN111" s="95"/>
      <c r="XO111" s="96"/>
      <c r="XP111" s="96"/>
      <c r="XQ111" s="96"/>
      <c r="XR111" s="96"/>
      <c r="XS111" s="96"/>
      <c r="XT111" s="96"/>
      <c r="XU111" s="96"/>
      <c r="XV111" s="96"/>
      <c r="XW111" s="96"/>
      <c r="XX111" s="96"/>
      <c r="XY111" s="96"/>
      <c r="XZ111" s="96"/>
      <c r="YA111" s="96"/>
      <c r="YB111" s="96"/>
      <c r="YC111" s="96"/>
      <c r="YD111" s="96"/>
      <c r="YE111" s="96"/>
      <c r="YF111" s="96"/>
      <c r="YG111" s="96"/>
      <c r="YH111" s="96"/>
      <c r="YI111" s="96"/>
      <c r="YJ111" s="95"/>
      <c r="YK111" s="96"/>
      <c r="YL111" s="96"/>
      <c r="YM111" s="96"/>
      <c r="YN111" s="96"/>
      <c r="YO111" s="96"/>
      <c r="YP111" s="96"/>
      <c r="YQ111" s="96"/>
      <c r="YR111" s="96"/>
      <c r="YS111" s="96"/>
      <c r="YT111" s="96"/>
      <c r="YU111" s="96"/>
      <c r="YV111" s="96"/>
      <c r="YW111" s="96"/>
      <c r="YX111" s="96"/>
      <c r="YY111" s="96"/>
      <c r="YZ111" s="96"/>
      <c r="ZA111" s="96"/>
      <c r="ZB111" s="96"/>
      <c r="ZC111" s="96"/>
      <c r="ZD111" s="96"/>
      <c r="ZE111" s="96"/>
      <c r="ZF111" s="95"/>
      <c r="ZG111" s="96"/>
      <c r="ZH111" s="96"/>
      <c r="ZI111" s="96"/>
      <c r="ZJ111" s="96"/>
      <c r="ZK111" s="96"/>
      <c r="ZL111" s="96"/>
      <c r="ZM111" s="96"/>
      <c r="ZN111" s="96"/>
      <c r="ZO111" s="96"/>
      <c r="ZP111" s="96"/>
      <c r="ZQ111" s="96"/>
      <c r="ZR111" s="96"/>
      <c r="ZS111" s="96"/>
      <c r="ZT111" s="96"/>
      <c r="ZU111" s="96"/>
      <c r="ZV111" s="96"/>
      <c r="ZW111" s="96"/>
      <c r="ZX111" s="96"/>
      <c r="ZY111" s="96"/>
      <c r="ZZ111" s="96"/>
      <c r="AAA111" s="96"/>
      <c r="AAB111" s="95"/>
      <c r="AAC111" s="96"/>
      <c r="AAD111" s="96"/>
      <c r="AAE111" s="96"/>
      <c r="AAF111" s="96"/>
      <c r="AAG111" s="96"/>
      <c r="AAH111" s="96"/>
      <c r="AAI111" s="96"/>
      <c r="AAJ111" s="96"/>
      <c r="AAK111" s="96"/>
      <c r="AAL111" s="96"/>
      <c r="AAM111" s="96"/>
      <c r="AAN111" s="96"/>
      <c r="AAO111" s="96"/>
      <c r="AAP111" s="96"/>
      <c r="AAQ111" s="96"/>
      <c r="AAR111" s="96"/>
      <c r="AAS111" s="96"/>
      <c r="AAT111" s="96"/>
      <c r="AAU111" s="96"/>
      <c r="AAV111" s="96"/>
      <c r="AAW111" s="96"/>
      <c r="AAX111" s="95"/>
      <c r="AAY111" s="96"/>
      <c r="AAZ111" s="96"/>
      <c r="ABA111" s="96"/>
      <c r="ABB111" s="96"/>
      <c r="ABC111" s="96"/>
      <c r="ABD111" s="96"/>
      <c r="ABE111" s="96"/>
      <c r="ABF111" s="96"/>
      <c r="ABG111" s="96"/>
      <c r="ABH111" s="96"/>
      <c r="ABI111" s="96"/>
      <c r="ABJ111" s="96"/>
      <c r="ABK111" s="96"/>
      <c r="ABL111" s="96"/>
      <c r="ABM111" s="96"/>
      <c r="ABN111" s="96"/>
      <c r="ABO111" s="96"/>
      <c r="ABP111" s="96"/>
      <c r="ABQ111" s="96"/>
      <c r="ABR111" s="96"/>
      <c r="ABS111" s="96"/>
      <c r="ABT111" s="95"/>
      <c r="ABU111" s="96"/>
      <c r="ABV111" s="96"/>
      <c r="ABW111" s="96"/>
      <c r="ABX111" s="96"/>
      <c r="ABY111" s="96"/>
      <c r="ABZ111" s="96"/>
      <c r="ACA111" s="96"/>
      <c r="ACB111" s="96"/>
      <c r="ACC111" s="96"/>
      <c r="ACD111" s="96"/>
      <c r="ACE111" s="96"/>
      <c r="ACF111" s="96"/>
      <c r="ACG111" s="96"/>
      <c r="ACH111" s="96"/>
      <c r="ACI111" s="96"/>
      <c r="ACJ111" s="96"/>
      <c r="ACK111" s="96"/>
      <c r="ACL111" s="96"/>
      <c r="ACM111" s="96"/>
      <c r="ACN111" s="96"/>
      <c r="ACO111" s="96"/>
      <c r="ACP111" s="95"/>
      <c r="ACQ111" s="96"/>
      <c r="ACR111" s="96"/>
      <c r="ACS111" s="96"/>
      <c r="ACT111" s="96"/>
      <c r="ACU111" s="96"/>
      <c r="ACV111" s="96"/>
      <c r="ACW111" s="96"/>
      <c r="ACX111" s="96"/>
      <c r="ACY111" s="96"/>
      <c r="ACZ111" s="96"/>
      <c r="ADA111" s="96"/>
      <c r="ADB111" s="96"/>
      <c r="ADC111" s="96"/>
      <c r="ADD111" s="96"/>
      <c r="ADE111" s="96"/>
      <c r="ADF111" s="96"/>
      <c r="ADG111" s="96"/>
      <c r="ADH111" s="96"/>
      <c r="ADI111" s="96"/>
      <c r="ADJ111" s="96"/>
      <c r="ADK111" s="96"/>
      <c r="ADL111" s="95"/>
      <c r="ADM111" s="96"/>
      <c r="ADN111" s="96"/>
      <c r="ADO111" s="96"/>
      <c r="ADP111" s="96"/>
      <c r="ADQ111" s="96"/>
      <c r="ADR111" s="96"/>
      <c r="ADS111" s="96"/>
      <c r="ADT111" s="96"/>
      <c r="ADU111" s="96"/>
      <c r="ADV111" s="96"/>
      <c r="ADW111" s="96"/>
      <c r="ADX111" s="96"/>
      <c r="ADY111" s="96"/>
      <c r="ADZ111" s="96"/>
      <c r="AEA111" s="96"/>
      <c r="AEB111" s="96"/>
      <c r="AEC111" s="96"/>
      <c r="AED111" s="96"/>
      <c r="AEE111" s="96"/>
      <c r="AEF111" s="96"/>
      <c r="AEG111" s="96"/>
      <c r="AEH111" s="95"/>
      <c r="AEI111" s="96"/>
      <c r="AEJ111" s="96"/>
      <c r="AEK111" s="96"/>
      <c r="AEL111" s="96"/>
      <c r="AEM111" s="96"/>
      <c r="AEN111" s="96"/>
      <c r="AEO111" s="96"/>
      <c r="AEP111" s="96"/>
      <c r="AEQ111" s="96"/>
      <c r="AER111" s="96"/>
      <c r="AES111" s="96"/>
      <c r="AET111" s="96"/>
      <c r="AEU111" s="96"/>
      <c r="AEV111" s="96"/>
      <c r="AEW111" s="96"/>
      <c r="AEX111" s="96"/>
      <c r="AEY111" s="96"/>
      <c r="AEZ111" s="96"/>
      <c r="AFA111" s="96"/>
      <c r="AFB111" s="96"/>
      <c r="AFC111" s="96"/>
      <c r="AFD111" s="95"/>
      <c r="AFE111" s="96"/>
      <c r="AFF111" s="96"/>
      <c r="AFG111" s="96"/>
      <c r="AFH111" s="96"/>
      <c r="AFI111" s="96"/>
      <c r="AFJ111" s="96"/>
      <c r="AFK111" s="96"/>
      <c r="AFL111" s="96"/>
      <c r="AFM111" s="96"/>
      <c r="AFN111" s="96"/>
      <c r="AFO111" s="96"/>
      <c r="AFP111" s="96"/>
      <c r="AFQ111" s="96"/>
      <c r="AFR111" s="96"/>
      <c r="AFS111" s="96"/>
      <c r="AFT111" s="96"/>
      <c r="AFU111" s="96"/>
      <c r="AFV111" s="96"/>
      <c r="AFW111" s="96"/>
      <c r="AFX111" s="96"/>
      <c r="AFY111" s="96"/>
      <c r="AFZ111" s="95"/>
      <c r="AGA111" s="96"/>
      <c r="AGB111" s="96"/>
      <c r="AGC111" s="96"/>
      <c r="AGD111" s="96"/>
      <c r="AGE111" s="96"/>
      <c r="AGF111" s="96"/>
      <c r="AGG111" s="96"/>
      <c r="AGH111" s="96"/>
      <c r="AGI111" s="96"/>
      <c r="AGJ111" s="96"/>
      <c r="AGK111" s="96"/>
      <c r="AGL111" s="96"/>
      <c r="AGM111" s="96"/>
      <c r="AGN111" s="96"/>
      <c r="AGO111" s="96"/>
      <c r="AGP111" s="96"/>
      <c r="AGQ111" s="96"/>
      <c r="AGR111" s="96"/>
      <c r="AGS111" s="96"/>
      <c r="AGT111" s="96"/>
      <c r="AGU111" s="96"/>
      <c r="AGV111" s="95"/>
      <c r="AGW111" s="96"/>
      <c r="AGX111" s="96"/>
      <c r="AGY111" s="96"/>
      <c r="AGZ111" s="96"/>
      <c r="AHA111" s="96"/>
      <c r="AHB111" s="96"/>
      <c r="AHC111" s="96"/>
      <c r="AHD111" s="96"/>
      <c r="AHE111" s="96"/>
      <c r="AHF111" s="96"/>
      <c r="AHG111" s="96"/>
      <c r="AHH111" s="96"/>
      <c r="AHI111" s="96"/>
      <c r="AHJ111" s="96"/>
      <c r="AHK111" s="96"/>
      <c r="AHL111" s="96"/>
      <c r="AHM111" s="96"/>
      <c r="AHN111" s="96"/>
      <c r="AHO111" s="96"/>
      <c r="AHP111" s="96"/>
      <c r="AHQ111" s="96"/>
      <c r="AHR111" s="95"/>
      <c r="AHS111" s="96"/>
      <c r="AHT111" s="96"/>
      <c r="AHU111" s="96"/>
      <c r="AHV111" s="96"/>
      <c r="AHW111" s="96"/>
      <c r="AHX111" s="96"/>
      <c r="AHY111" s="96"/>
      <c r="AHZ111" s="96"/>
      <c r="AIA111" s="96"/>
      <c r="AIB111" s="96"/>
      <c r="AIC111" s="96"/>
      <c r="AID111" s="96"/>
      <c r="AIE111" s="96"/>
      <c r="AIF111" s="96"/>
      <c r="AIG111" s="96"/>
      <c r="AIH111" s="96"/>
      <c r="AII111" s="96"/>
      <c r="AIJ111" s="96"/>
      <c r="AIK111" s="96"/>
      <c r="AIL111" s="96"/>
      <c r="AIM111" s="96"/>
      <c r="AIN111" s="95"/>
      <c r="AIO111" s="96"/>
      <c r="AIP111" s="96"/>
      <c r="AIQ111" s="96"/>
      <c r="AIR111" s="96"/>
      <c r="AIS111" s="96"/>
      <c r="AIT111" s="96"/>
      <c r="AIU111" s="96"/>
      <c r="AIV111" s="96"/>
      <c r="AIW111" s="96"/>
      <c r="AIX111" s="96"/>
      <c r="AIY111" s="96"/>
      <c r="AIZ111" s="96"/>
      <c r="AJA111" s="96"/>
      <c r="AJB111" s="96"/>
      <c r="AJC111" s="96"/>
      <c r="AJD111" s="96"/>
      <c r="AJE111" s="96"/>
      <c r="AJF111" s="96"/>
      <c r="AJG111" s="96"/>
      <c r="AJH111" s="96"/>
      <c r="AJI111" s="96"/>
      <c r="AJJ111" s="95"/>
      <c r="AJK111" s="96"/>
      <c r="AJL111" s="96"/>
      <c r="AJM111" s="96"/>
      <c r="AJN111" s="96"/>
      <c r="AJO111" s="96"/>
      <c r="AJP111" s="96"/>
      <c r="AJQ111" s="96"/>
      <c r="AJR111" s="96"/>
      <c r="AJS111" s="96"/>
      <c r="AJT111" s="96"/>
      <c r="AJU111" s="96"/>
      <c r="AJV111" s="96"/>
      <c r="AJW111" s="96"/>
      <c r="AJX111" s="96"/>
      <c r="AJY111" s="96"/>
      <c r="AJZ111" s="96"/>
      <c r="AKA111" s="96"/>
      <c r="AKB111" s="96"/>
      <c r="AKC111" s="96"/>
      <c r="AKD111" s="96"/>
      <c r="AKE111" s="96"/>
      <c r="AKF111" s="95"/>
      <c r="AKG111" s="96"/>
      <c r="AKH111" s="96"/>
      <c r="AKI111" s="96"/>
      <c r="AKJ111" s="96"/>
      <c r="AKK111" s="96"/>
      <c r="AKL111" s="96"/>
      <c r="AKM111" s="96"/>
      <c r="AKN111" s="96"/>
      <c r="AKO111" s="96"/>
      <c r="AKP111" s="96"/>
      <c r="AKQ111" s="96"/>
      <c r="AKR111" s="96"/>
      <c r="AKS111" s="96"/>
      <c r="AKT111" s="96"/>
      <c r="AKU111" s="96"/>
      <c r="AKV111" s="96"/>
      <c r="AKW111" s="96"/>
      <c r="AKX111" s="96"/>
      <c r="AKY111" s="96"/>
      <c r="AKZ111" s="96"/>
      <c r="ALA111" s="96"/>
      <c r="ALB111" s="95"/>
      <c r="ALC111" s="96"/>
      <c r="ALD111" s="96"/>
      <c r="ALE111" s="96"/>
      <c r="ALF111" s="96"/>
      <c r="ALG111" s="96"/>
      <c r="ALH111" s="96"/>
      <c r="ALI111" s="96"/>
      <c r="ALJ111" s="96"/>
      <c r="ALK111" s="96"/>
      <c r="ALL111" s="96"/>
      <c r="ALM111" s="96"/>
      <c r="ALN111" s="96"/>
      <c r="ALO111" s="96"/>
      <c r="ALP111" s="96"/>
      <c r="ALQ111" s="96"/>
      <c r="ALR111" s="96"/>
      <c r="ALS111" s="96"/>
      <c r="ALT111" s="96"/>
      <c r="ALU111" s="96"/>
      <c r="ALV111" s="96"/>
      <c r="ALW111" s="96"/>
      <c r="ALX111" s="95"/>
      <c r="ALY111" s="96"/>
      <c r="ALZ111" s="96"/>
      <c r="AMA111" s="96"/>
      <c r="AMB111" s="96"/>
      <c r="AMC111" s="96"/>
      <c r="AMD111" s="96"/>
      <c r="AME111" s="96"/>
      <c r="AMF111" s="96"/>
      <c r="AMG111" s="96"/>
      <c r="AMH111" s="96"/>
      <c r="AMI111" s="96"/>
      <c r="AMJ111" s="96"/>
      <c r="AMK111" s="96"/>
      <c r="AML111" s="96"/>
      <c r="AMM111" s="96"/>
      <c r="AMN111" s="96"/>
      <c r="AMO111" s="96"/>
      <c r="AMP111" s="96"/>
      <c r="AMQ111" s="96"/>
      <c r="AMR111" s="96"/>
      <c r="AMS111" s="96"/>
      <c r="AMT111" s="95"/>
      <c r="AMU111" s="96"/>
      <c r="AMV111" s="96"/>
      <c r="AMW111" s="96"/>
      <c r="AMX111" s="96"/>
      <c r="AMY111" s="96"/>
      <c r="AMZ111" s="96"/>
      <c r="ANA111" s="96"/>
      <c r="ANB111" s="96"/>
      <c r="ANC111" s="96"/>
      <c r="AND111" s="96"/>
      <c r="ANE111" s="96"/>
      <c r="ANF111" s="96"/>
      <c r="ANG111" s="96"/>
      <c r="ANH111" s="96"/>
      <c r="ANI111" s="96"/>
      <c r="ANJ111" s="96"/>
      <c r="ANK111" s="96"/>
      <c r="ANL111" s="96"/>
      <c r="ANM111" s="96"/>
      <c r="ANN111" s="96"/>
      <c r="ANO111" s="96"/>
      <c r="ANP111" s="95"/>
      <c r="ANQ111" s="96"/>
      <c r="ANR111" s="96"/>
      <c r="ANS111" s="96"/>
      <c r="ANT111" s="96"/>
      <c r="ANU111" s="96"/>
      <c r="ANV111" s="96"/>
      <c r="ANW111" s="96"/>
      <c r="ANX111" s="96"/>
      <c r="ANY111" s="96"/>
      <c r="ANZ111" s="96"/>
      <c r="AOA111" s="96"/>
      <c r="AOB111" s="96"/>
      <c r="AOC111" s="96"/>
      <c r="AOD111" s="96"/>
      <c r="AOE111" s="96"/>
      <c r="AOF111" s="96"/>
      <c r="AOG111" s="96"/>
      <c r="AOH111" s="96"/>
      <c r="AOI111" s="96"/>
      <c r="AOJ111" s="96"/>
      <c r="AOK111" s="96"/>
      <c r="AOL111" s="95"/>
      <c r="AOM111" s="96"/>
      <c r="AON111" s="96"/>
      <c r="AOO111" s="96"/>
      <c r="AOP111" s="96"/>
      <c r="AOQ111" s="96"/>
      <c r="AOR111" s="96"/>
      <c r="AOS111" s="96"/>
      <c r="AOT111" s="96"/>
      <c r="AOU111" s="96"/>
      <c r="AOV111" s="96"/>
      <c r="AOW111" s="96"/>
      <c r="AOX111" s="96"/>
      <c r="AOY111" s="96"/>
      <c r="AOZ111" s="96"/>
      <c r="APA111" s="96"/>
      <c r="APB111" s="96"/>
      <c r="APC111" s="96"/>
      <c r="APD111" s="96"/>
      <c r="APE111" s="96"/>
      <c r="APF111" s="96"/>
      <c r="APG111" s="96"/>
      <c r="APH111" s="95"/>
      <c r="API111" s="96"/>
      <c r="APJ111" s="96"/>
      <c r="APK111" s="96"/>
      <c r="APL111" s="96"/>
      <c r="APM111" s="96"/>
      <c r="APN111" s="96"/>
      <c r="APO111" s="96"/>
      <c r="APP111" s="96"/>
      <c r="APQ111" s="96"/>
      <c r="APR111" s="96"/>
      <c r="APS111" s="96"/>
      <c r="APT111" s="96"/>
      <c r="APU111" s="96"/>
      <c r="APV111" s="96"/>
      <c r="APW111" s="96"/>
      <c r="APX111" s="96"/>
      <c r="APY111" s="96"/>
      <c r="APZ111" s="96"/>
      <c r="AQA111" s="96"/>
      <c r="AQB111" s="96"/>
      <c r="AQC111" s="96"/>
      <c r="AQD111" s="95"/>
      <c r="AQE111" s="96"/>
      <c r="AQF111" s="96"/>
      <c r="AQG111" s="96"/>
      <c r="AQH111" s="96"/>
      <c r="AQI111" s="96"/>
      <c r="AQJ111" s="96"/>
      <c r="AQK111" s="96"/>
      <c r="AQL111" s="96"/>
      <c r="AQM111" s="96"/>
      <c r="AQN111" s="96"/>
      <c r="AQO111" s="96"/>
      <c r="AQP111" s="96"/>
      <c r="AQQ111" s="96"/>
      <c r="AQR111" s="96"/>
      <c r="AQS111" s="96"/>
      <c r="AQT111" s="96"/>
      <c r="AQU111" s="96"/>
      <c r="AQV111" s="96"/>
      <c r="AQW111" s="96"/>
      <c r="AQX111" s="96"/>
      <c r="AQY111" s="96"/>
      <c r="AQZ111" s="95"/>
      <c r="ARA111" s="96"/>
      <c r="ARB111" s="96"/>
      <c r="ARC111" s="96"/>
      <c r="ARD111" s="96"/>
      <c r="ARE111" s="96"/>
      <c r="ARF111" s="96"/>
      <c r="ARG111" s="96"/>
      <c r="ARH111" s="96"/>
      <c r="ARI111" s="96"/>
      <c r="ARJ111" s="96"/>
      <c r="ARK111" s="96"/>
      <c r="ARL111" s="96"/>
      <c r="ARM111" s="96"/>
      <c r="ARN111" s="96"/>
      <c r="ARO111" s="96"/>
      <c r="ARP111" s="96"/>
      <c r="ARQ111" s="96"/>
      <c r="ARR111" s="96"/>
      <c r="ARS111" s="96"/>
      <c r="ART111" s="96"/>
      <c r="ARU111" s="96"/>
      <c r="ARV111" s="95"/>
      <c r="ARW111" s="96"/>
      <c r="ARX111" s="96"/>
      <c r="ARY111" s="96"/>
      <c r="ARZ111" s="96"/>
      <c r="ASA111" s="96"/>
      <c r="ASB111" s="96"/>
      <c r="ASC111" s="96"/>
      <c r="ASD111" s="96"/>
      <c r="ASE111" s="96"/>
      <c r="ASF111" s="96"/>
      <c r="ASG111" s="96"/>
      <c r="ASH111" s="96"/>
      <c r="ASI111" s="96"/>
      <c r="ASJ111" s="96"/>
      <c r="ASK111" s="96"/>
      <c r="ASL111" s="96"/>
      <c r="ASM111" s="96"/>
      <c r="ASN111" s="96"/>
      <c r="ASO111" s="96"/>
      <c r="ASP111" s="96"/>
      <c r="ASQ111" s="96"/>
      <c r="ASR111" s="95"/>
      <c r="ASS111" s="96"/>
      <c r="AST111" s="96"/>
      <c r="ASU111" s="96"/>
      <c r="ASV111" s="96"/>
      <c r="ASW111" s="96"/>
      <c r="ASX111" s="96"/>
      <c r="ASY111" s="96"/>
      <c r="ASZ111" s="96"/>
      <c r="ATA111" s="96"/>
      <c r="ATB111" s="96"/>
      <c r="ATC111" s="96"/>
      <c r="ATD111" s="96"/>
      <c r="ATE111" s="96"/>
      <c r="ATF111" s="96"/>
      <c r="ATG111" s="96"/>
      <c r="ATH111" s="96"/>
      <c r="ATI111" s="96"/>
      <c r="ATJ111" s="96"/>
      <c r="ATK111" s="96"/>
      <c r="ATL111" s="96"/>
      <c r="ATM111" s="96"/>
      <c r="ATN111" s="95"/>
      <c r="ATO111" s="96"/>
      <c r="ATP111" s="96"/>
      <c r="ATQ111" s="96"/>
      <c r="ATR111" s="96"/>
      <c r="ATS111" s="96"/>
      <c r="ATT111" s="96"/>
      <c r="ATU111" s="96"/>
      <c r="ATV111" s="96"/>
      <c r="ATW111" s="96"/>
      <c r="ATX111" s="96"/>
      <c r="ATY111" s="96"/>
      <c r="ATZ111" s="96"/>
      <c r="AUA111" s="96"/>
      <c r="AUB111" s="96"/>
      <c r="AUC111" s="96"/>
      <c r="AUD111" s="96"/>
      <c r="AUE111" s="96"/>
      <c r="AUF111" s="96"/>
      <c r="AUG111" s="96"/>
      <c r="AUH111" s="96"/>
      <c r="AUI111" s="96"/>
      <c r="AUJ111" s="95"/>
      <c r="AUK111" s="96"/>
      <c r="AUL111" s="96"/>
      <c r="AUM111" s="96"/>
      <c r="AUN111" s="96"/>
      <c r="AUO111" s="96"/>
      <c r="AUP111" s="96"/>
      <c r="AUQ111" s="96"/>
      <c r="AUR111" s="96"/>
      <c r="AUS111" s="96"/>
      <c r="AUT111" s="96"/>
      <c r="AUU111" s="96"/>
      <c r="AUV111" s="96"/>
      <c r="AUW111" s="96"/>
      <c r="AUX111" s="96"/>
      <c r="AUY111" s="96"/>
      <c r="AUZ111" s="96"/>
      <c r="AVA111" s="96"/>
      <c r="AVB111" s="96"/>
      <c r="AVC111" s="96"/>
      <c r="AVD111" s="96"/>
      <c r="AVE111" s="96"/>
      <c r="AVF111" s="95"/>
      <c r="AVG111" s="96"/>
      <c r="AVH111" s="96"/>
      <c r="AVI111" s="96"/>
      <c r="AVJ111" s="96"/>
      <c r="AVK111" s="96"/>
      <c r="AVL111" s="96"/>
      <c r="AVM111" s="96"/>
      <c r="AVN111" s="96"/>
      <c r="AVO111" s="96"/>
      <c r="AVP111" s="96"/>
      <c r="AVQ111" s="96"/>
      <c r="AVR111" s="96"/>
      <c r="AVS111" s="96"/>
      <c r="AVT111" s="96"/>
      <c r="AVU111" s="96"/>
      <c r="AVV111" s="96"/>
      <c r="AVW111" s="96"/>
      <c r="AVX111" s="96"/>
      <c r="AVY111" s="96"/>
      <c r="AVZ111" s="96"/>
      <c r="AWA111" s="96"/>
      <c r="AWB111" s="95"/>
      <c r="AWC111" s="96"/>
      <c r="AWD111" s="96"/>
      <c r="AWE111" s="96"/>
      <c r="AWF111" s="96"/>
      <c r="AWG111" s="96"/>
      <c r="AWH111" s="96"/>
      <c r="AWI111" s="96"/>
      <c r="AWJ111" s="96"/>
      <c r="AWK111" s="96"/>
      <c r="AWL111" s="96"/>
      <c r="AWM111" s="96"/>
      <c r="AWN111" s="96"/>
      <c r="AWO111" s="96"/>
      <c r="AWP111" s="96"/>
      <c r="AWQ111" s="96"/>
      <c r="AWR111" s="96"/>
      <c r="AWS111" s="96"/>
      <c r="AWT111" s="96"/>
      <c r="AWU111" s="96"/>
      <c r="AWV111" s="96"/>
      <c r="AWW111" s="96"/>
      <c r="AWX111" s="95"/>
      <c r="AWY111" s="96"/>
      <c r="AWZ111" s="96"/>
      <c r="AXA111" s="96"/>
      <c r="AXB111" s="96"/>
      <c r="AXC111" s="96"/>
      <c r="AXD111" s="96"/>
      <c r="AXE111" s="96"/>
      <c r="AXF111" s="96"/>
      <c r="AXG111" s="96"/>
      <c r="AXH111" s="96"/>
      <c r="AXI111" s="96"/>
      <c r="AXJ111" s="96"/>
      <c r="AXK111" s="96"/>
      <c r="AXL111" s="96"/>
      <c r="AXM111" s="96"/>
      <c r="AXN111" s="96"/>
      <c r="AXO111" s="96"/>
      <c r="AXP111" s="96"/>
      <c r="AXQ111" s="96"/>
      <c r="AXR111" s="96"/>
      <c r="AXS111" s="96"/>
      <c r="AXT111" s="95"/>
      <c r="AXU111" s="96"/>
      <c r="AXV111" s="96"/>
      <c r="AXW111" s="96"/>
      <c r="AXX111" s="96"/>
      <c r="AXY111" s="96"/>
      <c r="AXZ111" s="96"/>
      <c r="AYA111" s="96"/>
      <c r="AYB111" s="96"/>
      <c r="AYC111" s="96"/>
      <c r="AYD111" s="96"/>
      <c r="AYE111" s="96"/>
      <c r="AYF111" s="96"/>
      <c r="AYG111" s="96"/>
      <c r="AYH111" s="96"/>
      <c r="AYI111" s="96"/>
      <c r="AYJ111" s="96"/>
      <c r="AYK111" s="96"/>
      <c r="AYL111" s="96"/>
      <c r="AYM111" s="96"/>
      <c r="AYN111" s="96"/>
      <c r="AYO111" s="96"/>
      <c r="AYP111" s="95"/>
      <c r="AYQ111" s="96"/>
      <c r="AYR111" s="96"/>
      <c r="AYS111" s="96"/>
      <c r="AYT111" s="96"/>
      <c r="AYU111" s="96"/>
      <c r="AYV111" s="96"/>
      <c r="AYW111" s="96"/>
      <c r="AYX111" s="96"/>
      <c r="AYY111" s="96"/>
      <c r="AYZ111" s="96"/>
      <c r="AZA111" s="96"/>
      <c r="AZB111" s="96"/>
      <c r="AZC111" s="96"/>
      <c r="AZD111" s="96"/>
      <c r="AZE111" s="96"/>
      <c r="AZF111" s="96"/>
      <c r="AZG111" s="96"/>
      <c r="AZH111" s="96"/>
      <c r="AZI111" s="96"/>
      <c r="AZJ111" s="96"/>
      <c r="AZK111" s="96"/>
      <c r="AZL111" s="95"/>
      <c r="AZM111" s="96"/>
      <c r="AZN111" s="96"/>
      <c r="AZO111" s="96"/>
      <c r="AZP111" s="96"/>
      <c r="AZQ111" s="96"/>
      <c r="AZR111" s="96"/>
      <c r="AZS111" s="96"/>
      <c r="AZT111" s="96"/>
      <c r="AZU111" s="96"/>
      <c r="AZV111" s="96"/>
      <c r="AZW111" s="96"/>
      <c r="AZX111" s="96"/>
      <c r="AZY111" s="96"/>
      <c r="AZZ111" s="96"/>
      <c r="BAA111" s="96"/>
      <c r="BAB111" s="96"/>
      <c r="BAC111" s="96"/>
      <c r="BAD111" s="96"/>
      <c r="BAE111" s="96"/>
      <c r="BAF111" s="96"/>
      <c r="BAG111" s="96"/>
      <c r="BAH111" s="95"/>
      <c r="BAI111" s="96"/>
      <c r="BAJ111" s="96"/>
      <c r="BAK111" s="96"/>
      <c r="BAL111" s="96"/>
      <c r="BAM111" s="96"/>
      <c r="BAN111" s="96"/>
      <c r="BAO111" s="96"/>
      <c r="BAP111" s="96"/>
      <c r="BAQ111" s="96"/>
      <c r="BAR111" s="96"/>
      <c r="BAS111" s="96"/>
      <c r="BAT111" s="96"/>
      <c r="BAU111" s="96"/>
      <c r="BAV111" s="96"/>
      <c r="BAW111" s="96"/>
      <c r="BAX111" s="96"/>
      <c r="BAY111" s="96"/>
      <c r="BAZ111" s="96"/>
      <c r="BBA111" s="96"/>
      <c r="BBB111" s="96"/>
      <c r="BBC111" s="96"/>
      <c r="BBD111" s="95"/>
      <c r="BBE111" s="96"/>
      <c r="BBF111" s="96"/>
      <c r="BBG111" s="96"/>
      <c r="BBH111" s="96"/>
      <c r="BBI111" s="96"/>
      <c r="BBJ111" s="96"/>
      <c r="BBK111" s="96"/>
      <c r="BBL111" s="96"/>
      <c r="BBM111" s="96"/>
      <c r="BBN111" s="96"/>
      <c r="BBO111" s="96"/>
      <c r="BBP111" s="96"/>
      <c r="BBQ111" s="96"/>
      <c r="BBR111" s="96"/>
      <c r="BBS111" s="96"/>
      <c r="BBT111" s="96"/>
      <c r="BBU111" s="96"/>
      <c r="BBV111" s="96"/>
      <c r="BBW111" s="96"/>
      <c r="BBX111" s="96"/>
      <c r="BBY111" s="96"/>
      <c r="BBZ111" s="95"/>
      <c r="BCA111" s="96"/>
      <c r="BCB111" s="96"/>
      <c r="BCC111" s="96"/>
      <c r="BCD111" s="96"/>
      <c r="BCE111" s="96"/>
      <c r="BCF111" s="96"/>
      <c r="BCG111" s="96"/>
      <c r="BCH111" s="96"/>
      <c r="BCI111" s="96"/>
      <c r="BCJ111" s="96"/>
      <c r="BCK111" s="96"/>
      <c r="BCL111" s="96"/>
      <c r="BCM111" s="96"/>
      <c r="BCN111" s="96"/>
      <c r="BCO111" s="96"/>
      <c r="BCP111" s="96"/>
      <c r="BCQ111" s="96"/>
      <c r="BCR111" s="96"/>
      <c r="BCS111" s="96"/>
      <c r="BCT111" s="96"/>
      <c r="BCU111" s="96"/>
      <c r="BCV111" s="95"/>
      <c r="BCW111" s="96"/>
      <c r="BCX111" s="96"/>
      <c r="BCY111" s="96"/>
      <c r="BCZ111" s="96"/>
      <c r="BDA111" s="96"/>
      <c r="BDB111" s="96"/>
      <c r="BDC111" s="96"/>
      <c r="BDD111" s="96"/>
      <c r="BDE111" s="96"/>
      <c r="BDF111" s="96"/>
      <c r="BDG111" s="96"/>
      <c r="BDH111" s="96"/>
      <c r="BDI111" s="96"/>
      <c r="BDJ111" s="96"/>
      <c r="BDK111" s="96"/>
      <c r="BDL111" s="96"/>
      <c r="BDM111" s="96"/>
      <c r="BDN111" s="96"/>
      <c r="BDO111" s="96"/>
      <c r="BDP111" s="96"/>
      <c r="BDQ111" s="96"/>
      <c r="BDR111" s="95"/>
      <c r="BDS111" s="96"/>
      <c r="BDT111" s="96"/>
      <c r="BDU111" s="96"/>
      <c r="BDV111" s="96"/>
      <c r="BDW111" s="96"/>
      <c r="BDX111" s="96"/>
      <c r="BDY111" s="96"/>
      <c r="BDZ111" s="96"/>
      <c r="BEA111" s="96"/>
      <c r="BEB111" s="96"/>
      <c r="BEC111" s="96"/>
      <c r="BED111" s="96"/>
      <c r="BEE111" s="96"/>
      <c r="BEF111" s="96"/>
      <c r="BEG111" s="96"/>
      <c r="BEH111" s="96"/>
      <c r="BEI111" s="96"/>
      <c r="BEJ111" s="96"/>
      <c r="BEK111" s="96"/>
      <c r="BEL111" s="96"/>
      <c r="BEM111" s="96"/>
      <c r="BEN111" s="95"/>
      <c r="BEO111" s="96"/>
      <c r="BEP111" s="96"/>
      <c r="BEQ111" s="96"/>
      <c r="BER111" s="96"/>
      <c r="BES111" s="96"/>
      <c r="BET111" s="96"/>
      <c r="BEU111" s="96"/>
      <c r="BEV111" s="96"/>
      <c r="BEW111" s="96"/>
      <c r="BEX111" s="96"/>
      <c r="BEY111" s="96"/>
      <c r="BEZ111" s="96"/>
      <c r="BFA111" s="96"/>
      <c r="BFB111" s="96"/>
      <c r="BFC111" s="96"/>
      <c r="BFD111" s="96"/>
      <c r="BFE111" s="96"/>
      <c r="BFF111" s="96"/>
      <c r="BFG111" s="96"/>
      <c r="BFH111" s="96"/>
      <c r="BFI111" s="96"/>
      <c r="BFJ111" s="95"/>
      <c r="BFK111" s="96"/>
      <c r="BFL111" s="96"/>
      <c r="BFM111" s="96"/>
      <c r="BFN111" s="96"/>
      <c r="BFO111" s="96"/>
      <c r="BFP111" s="96"/>
      <c r="BFQ111" s="96"/>
      <c r="BFR111" s="96"/>
      <c r="BFS111" s="96"/>
      <c r="BFT111" s="96"/>
      <c r="BFU111" s="96"/>
      <c r="BFV111" s="96"/>
      <c r="BFW111" s="96"/>
      <c r="BFX111" s="96"/>
      <c r="BFY111" s="96"/>
      <c r="BFZ111" s="96"/>
      <c r="BGA111" s="96"/>
      <c r="BGB111" s="96"/>
      <c r="BGC111" s="96"/>
      <c r="BGD111" s="96"/>
      <c r="BGE111" s="96"/>
      <c r="BGF111" s="95"/>
      <c r="BGG111" s="96"/>
      <c r="BGH111" s="96"/>
      <c r="BGI111" s="96"/>
      <c r="BGJ111" s="96"/>
      <c r="BGK111" s="96"/>
      <c r="BGL111" s="96"/>
      <c r="BGM111" s="96"/>
      <c r="BGN111" s="96"/>
      <c r="BGO111" s="96"/>
      <c r="BGP111" s="96"/>
      <c r="BGQ111" s="96"/>
      <c r="BGR111" s="96"/>
      <c r="BGS111" s="96"/>
      <c r="BGT111" s="96"/>
      <c r="BGU111" s="96"/>
      <c r="BGV111" s="96"/>
      <c r="BGW111" s="96"/>
      <c r="BGX111" s="96"/>
      <c r="BGY111" s="96"/>
      <c r="BGZ111" s="96"/>
      <c r="BHA111" s="96"/>
      <c r="BHB111" s="95"/>
      <c r="BHC111" s="96"/>
      <c r="BHD111" s="96"/>
      <c r="BHE111" s="96"/>
      <c r="BHF111" s="96"/>
      <c r="BHG111" s="96"/>
      <c r="BHH111" s="96"/>
      <c r="BHI111" s="96"/>
      <c r="BHJ111" s="96"/>
      <c r="BHK111" s="96"/>
      <c r="BHL111" s="96"/>
      <c r="BHM111" s="96"/>
      <c r="BHN111" s="96"/>
      <c r="BHO111" s="96"/>
      <c r="BHP111" s="96"/>
      <c r="BHQ111" s="96"/>
      <c r="BHR111" s="96"/>
      <c r="BHS111" s="96"/>
      <c r="BHT111" s="96"/>
      <c r="BHU111" s="96"/>
      <c r="BHV111" s="96"/>
      <c r="BHW111" s="96"/>
      <c r="BHX111" s="95"/>
      <c r="BHY111" s="96"/>
      <c r="BHZ111" s="96"/>
      <c r="BIA111" s="96"/>
      <c r="BIB111" s="96"/>
      <c r="BIC111" s="96"/>
      <c r="BID111" s="96"/>
      <c r="BIE111" s="96"/>
      <c r="BIF111" s="96"/>
      <c r="BIG111" s="96"/>
      <c r="BIH111" s="96"/>
      <c r="BII111" s="96"/>
      <c r="BIJ111" s="96"/>
      <c r="BIK111" s="96"/>
      <c r="BIL111" s="96"/>
      <c r="BIM111" s="96"/>
      <c r="BIN111" s="96"/>
      <c r="BIO111" s="96"/>
      <c r="BIP111" s="96"/>
      <c r="BIQ111" s="96"/>
      <c r="BIR111" s="96"/>
      <c r="BIS111" s="96"/>
      <c r="BIT111" s="95"/>
      <c r="BIU111" s="96"/>
      <c r="BIV111" s="96"/>
      <c r="BIW111" s="96"/>
      <c r="BIX111" s="96"/>
      <c r="BIY111" s="96"/>
      <c r="BIZ111" s="96"/>
      <c r="BJA111" s="96"/>
      <c r="BJB111" s="96"/>
      <c r="BJC111" s="96"/>
      <c r="BJD111" s="96"/>
      <c r="BJE111" s="96"/>
      <c r="BJF111" s="96"/>
      <c r="BJG111" s="96"/>
      <c r="BJH111" s="96"/>
      <c r="BJI111" s="96"/>
      <c r="BJJ111" s="96"/>
      <c r="BJK111" s="96"/>
      <c r="BJL111" s="96"/>
      <c r="BJM111" s="96"/>
      <c r="BJN111" s="96"/>
      <c r="BJO111" s="96"/>
      <c r="BJP111" s="95"/>
      <c r="BJQ111" s="96"/>
      <c r="BJR111" s="96"/>
      <c r="BJS111" s="96"/>
      <c r="BJT111" s="96"/>
      <c r="BJU111" s="96"/>
      <c r="BJV111" s="96"/>
      <c r="BJW111" s="96"/>
      <c r="BJX111" s="96"/>
      <c r="BJY111" s="96"/>
      <c r="BJZ111" s="96"/>
      <c r="BKA111" s="96"/>
      <c r="BKB111" s="96"/>
      <c r="BKC111" s="96"/>
      <c r="BKD111" s="96"/>
      <c r="BKE111" s="96"/>
      <c r="BKF111" s="96"/>
      <c r="BKG111" s="96"/>
      <c r="BKH111" s="96"/>
      <c r="BKI111" s="96"/>
      <c r="BKJ111" s="96"/>
      <c r="BKK111" s="96"/>
      <c r="BKL111" s="95"/>
      <c r="BKM111" s="96"/>
      <c r="BKN111" s="96"/>
      <c r="BKO111" s="96"/>
      <c r="BKP111" s="96"/>
      <c r="BKQ111" s="96"/>
      <c r="BKR111" s="96"/>
      <c r="BKS111" s="96"/>
      <c r="BKT111" s="96"/>
      <c r="BKU111" s="96"/>
      <c r="BKV111" s="96"/>
      <c r="BKW111" s="96"/>
      <c r="BKX111" s="96"/>
      <c r="BKY111" s="96"/>
      <c r="BKZ111" s="96"/>
      <c r="BLA111" s="96"/>
      <c r="BLB111" s="96"/>
      <c r="BLC111" s="96"/>
      <c r="BLD111" s="96"/>
      <c r="BLE111" s="96"/>
      <c r="BLF111" s="96"/>
      <c r="BLG111" s="96"/>
      <c r="BLH111" s="95"/>
      <c r="BLI111" s="96"/>
      <c r="BLJ111" s="96"/>
      <c r="BLK111" s="96"/>
      <c r="BLL111" s="96"/>
      <c r="BLM111" s="96"/>
      <c r="BLN111" s="96"/>
      <c r="BLO111" s="96"/>
      <c r="BLP111" s="96"/>
      <c r="BLQ111" s="96"/>
      <c r="BLR111" s="96"/>
      <c r="BLS111" s="96"/>
      <c r="BLT111" s="96"/>
      <c r="BLU111" s="96"/>
      <c r="BLV111" s="96"/>
      <c r="BLW111" s="96"/>
      <c r="BLX111" s="96"/>
      <c r="BLY111" s="96"/>
      <c r="BLZ111" s="96"/>
      <c r="BMA111" s="96"/>
      <c r="BMB111" s="96"/>
      <c r="BMC111" s="96"/>
      <c r="BMD111" s="95"/>
      <c r="BME111" s="96"/>
      <c r="BMF111" s="96"/>
      <c r="BMG111" s="96"/>
      <c r="BMH111" s="96"/>
      <c r="BMI111" s="96"/>
      <c r="BMJ111" s="96"/>
      <c r="BMK111" s="96"/>
      <c r="BML111" s="96"/>
      <c r="BMM111" s="96"/>
      <c r="BMN111" s="96"/>
      <c r="BMO111" s="96"/>
      <c r="BMP111" s="96"/>
      <c r="BMQ111" s="96"/>
      <c r="BMR111" s="96"/>
      <c r="BMS111" s="96"/>
      <c r="BMT111" s="96"/>
      <c r="BMU111" s="96"/>
      <c r="BMV111" s="96"/>
      <c r="BMW111" s="96"/>
      <c r="BMX111" s="96"/>
      <c r="BMY111" s="96"/>
      <c r="BMZ111" s="95"/>
      <c r="BNA111" s="96"/>
      <c r="BNB111" s="96"/>
      <c r="BNC111" s="96"/>
      <c r="BND111" s="96"/>
      <c r="BNE111" s="96"/>
      <c r="BNF111" s="96"/>
      <c r="BNG111" s="96"/>
      <c r="BNH111" s="96"/>
      <c r="BNI111" s="96"/>
      <c r="BNJ111" s="96"/>
      <c r="BNK111" s="96"/>
      <c r="BNL111" s="96"/>
      <c r="BNM111" s="96"/>
      <c r="BNN111" s="96"/>
      <c r="BNO111" s="96"/>
      <c r="BNP111" s="96"/>
      <c r="BNQ111" s="96"/>
      <c r="BNR111" s="96"/>
      <c r="BNS111" s="96"/>
      <c r="BNT111" s="96"/>
      <c r="BNU111" s="96"/>
      <c r="BNV111" s="95"/>
      <c r="BNW111" s="96"/>
      <c r="BNX111" s="96"/>
      <c r="BNY111" s="96"/>
      <c r="BNZ111" s="96"/>
      <c r="BOA111" s="96"/>
      <c r="BOB111" s="96"/>
      <c r="BOC111" s="96"/>
      <c r="BOD111" s="96"/>
      <c r="BOE111" s="96"/>
      <c r="BOF111" s="96"/>
      <c r="BOG111" s="96"/>
      <c r="BOH111" s="96"/>
      <c r="BOI111" s="96"/>
      <c r="BOJ111" s="96"/>
      <c r="BOK111" s="96"/>
      <c r="BOL111" s="96"/>
      <c r="BOM111" s="96"/>
      <c r="BON111" s="96"/>
      <c r="BOO111" s="96"/>
      <c r="BOP111" s="96"/>
      <c r="BOQ111" s="96"/>
      <c r="BOR111" s="95"/>
      <c r="BOS111" s="96"/>
      <c r="BOT111" s="96"/>
      <c r="BOU111" s="96"/>
      <c r="BOV111" s="96"/>
      <c r="BOW111" s="96"/>
      <c r="BOX111" s="96"/>
      <c r="BOY111" s="96"/>
      <c r="BOZ111" s="96"/>
      <c r="BPA111" s="96"/>
      <c r="BPB111" s="96"/>
      <c r="BPC111" s="96"/>
      <c r="BPD111" s="96"/>
      <c r="BPE111" s="96"/>
      <c r="BPF111" s="96"/>
      <c r="BPG111" s="96"/>
      <c r="BPH111" s="96"/>
      <c r="BPI111" s="96"/>
      <c r="BPJ111" s="96"/>
      <c r="BPK111" s="96"/>
      <c r="BPL111" s="96"/>
      <c r="BPM111" s="96"/>
      <c r="BPN111" s="95"/>
      <c r="BPO111" s="96"/>
      <c r="BPP111" s="96"/>
      <c r="BPQ111" s="96"/>
      <c r="BPR111" s="96"/>
      <c r="BPS111" s="96"/>
      <c r="BPT111" s="96"/>
      <c r="BPU111" s="96"/>
      <c r="BPV111" s="96"/>
      <c r="BPW111" s="96"/>
      <c r="BPX111" s="96"/>
      <c r="BPY111" s="96"/>
      <c r="BPZ111" s="96"/>
      <c r="BQA111" s="96"/>
      <c r="BQB111" s="96"/>
      <c r="BQC111" s="96"/>
      <c r="BQD111" s="96"/>
      <c r="BQE111" s="96"/>
      <c r="BQF111" s="96"/>
      <c r="BQG111" s="96"/>
      <c r="BQH111" s="96"/>
      <c r="BQI111" s="96"/>
      <c r="BQJ111" s="95"/>
      <c r="BQK111" s="96"/>
      <c r="BQL111" s="96"/>
      <c r="BQM111" s="96"/>
      <c r="BQN111" s="96"/>
      <c r="BQO111" s="96"/>
      <c r="BQP111" s="96"/>
      <c r="BQQ111" s="96"/>
      <c r="BQR111" s="96"/>
      <c r="BQS111" s="96"/>
      <c r="BQT111" s="96"/>
      <c r="BQU111" s="96"/>
      <c r="BQV111" s="96"/>
      <c r="BQW111" s="96"/>
      <c r="BQX111" s="96"/>
      <c r="BQY111" s="96"/>
      <c r="BQZ111" s="96"/>
      <c r="BRA111" s="96"/>
      <c r="BRB111" s="96"/>
      <c r="BRC111" s="96"/>
      <c r="BRD111" s="96"/>
      <c r="BRE111" s="96"/>
      <c r="BRF111" s="95"/>
      <c r="BRG111" s="96"/>
      <c r="BRH111" s="96"/>
      <c r="BRI111" s="96"/>
      <c r="BRJ111" s="96"/>
      <c r="BRK111" s="96"/>
      <c r="BRL111" s="96"/>
      <c r="BRM111" s="96"/>
      <c r="BRN111" s="96"/>
      <c r="BRO111" s="96"/>
      <c r="BRP111" s="96"/>
      <c r="BRQ111" s="96"/>
      <c r="BRR111" s="96"/>
      <c r="BRS111" s="96"/>
      <c r="BRT111" s="96"/>
      <c r="BRU111" s="96"/>
      <c r="BRV111" s="96"/>
      <c r="BRW111" s="96"/>
      <c r="BRX111" s="96"/>
      <c r="BRY111" s="96"/>
      <c r="BRZ111" s="96"/>
      <c r="BSA111" s="96"/>
      <c r="BSB111" s="95"/>
      <c r="BSC111" s="96"/>
      <c r="BSD111" s="96"/>
      <c r="BSE111" s="96"/>
      <c r="BSF111" s="96"/>
      <c r="BSG111" s="96"/>
      <c r="BSH111" s="96"/>
      <c r="BSI111" s="96"/>
      <c r="BSJ111" s="96"/>
      <c r="BSK111" s="96"/>
      <c r="BSL111" s="96"/>
      <c r="BSM111" s="96"/>
      <c r="BSN111" s="96"/>
      <c r="BSO111" s="96"/>
      <c r="BSP111" s="96"/>
      <c r="BSQ111" s="96"/>
      <c r="BSR111" s="96"/>
      <c r="BSS111" s="96"/>
      <c r="BST111" s="96"/>
      <c r="BSU111" s="96"/>
      <c r="BSV111" s="96"/>
      <c r="BSW111" s="96"/>
      <c r="BSX111" s="95"/>
      <c r="BSY111" s="96"/>
      <c r="BSZ111" s="96"/>
      <c r="BTA111" s="96"/>
      <c r="BTB111" s="96"/>
      <c r="BTC111" s="96"/>
      <c r="BTD111" s="96"/>
      <c r="BTE111" s="96"/>
      <c r="BTF111" s="96"/>
      <c r="BTG111" s="96"/>
      <c r="BTH111" s="96"/>
      <c r="BTI111" s="96"/>
      <c r="BTJ111" s="96"/>
      <c r="BTK111" s="96"/>
      <c r="BTL111" s="96"/>
      <c r="BTM111" s="96"/>
      <c r="BTN111" s="96"/>
      <c r="BTO111" s="96"/>
      <c r="BTP111" s="96"/>
      <c r="BTQ111" s="96"/>
      <c r="BTR111" s="96"/>
      <c r="BTS111" s="96"/>
      <c r="BTT111" s="95"/>
      <c r="BTU111" s="96"/>
      <c r="BTV111" s="96"/>
      <c r="BTW111" s="96"/>
      <c r="BTX111" s="96"/>
      <c r="BTY111" s="96"/>
      <c r="BTZ111" s="96"/>
      <c r="BUA111" s="96"/>
      <c r="BUB111" s="96"/>
      <c r="BUC111" s="96"/>
      <c r="BUD111" s="96"/>
      <c r="BUE111" s="96"/>
      <c r="BUF111" s="96"/>
      <c r="BUG111" s="96"/>
      <c r="BUH111" s="96"/>
      <c r="BUI111" s="96"/>
      <c r="BUJ111" s="96"/>
      <c r="BUK111" s="96"/>
      <c r="BUL111" s="96"/>
      <c r="BUM111" s="96"/>
      <c r="BUN111" s="96"/>
      <c r="BUO111" s="96"/>
      <c r="BUP111" s="95"/>
      <c r="BUQ111" s="96"/>
      <c r="BUR111" s="96"/>
      <c r="BUS111" s="96"/>
      <c r="BUT111" s="96"/>
      <c r="BUU111" s="96"/>
      <c r="BUV111" s="96"/>
      <c r="BUW111" s="96"/>
      <c r="BUX111" s="96"/>
      <c r="BUY111" s="96"/>
      <c r="BUZ111" s="96"/>
      <c r="BVA111" s="96"/>
      <c r="BVB111" s="96"/>
      <c r="BVC111" s="96"/>
      <c r="BVD111" s="96"/>
      <c r="BVE111" s="96"/>
      <c r="BVF111" s="96"/>
      <c r="BVG111" s="96"/>
      <c r="BVH111" s="96"/>
      <c r="BVI111" s="96"/>
      <c r="BVJ111" s="96"/>
      <c r="BVK111" s="96"/>
      <c r="BVL111" s="95"/>
      <c r="BVM111" s="96"/>
      <c r="BVN111" s="96"/>
      <c r="BVO111" s="96"/>
      <c r="BVP111" s="96"/>
      <c r="BVQ111" s="96"/>
      <c r="BVR111" s="96"/>
      <c r="BVS111" s="96"/>
      <c r="BVT111" s="96"/>
      <c r="BVU111" s="96"/>
      <c r="BVV111" s="96"/>
      <c r="BVW111" s="96"/>
      <c r="BVX111" s="96"/>
      <c r="BVY111" s="96"/>
      <c r="BVZ111" s="96"/>
      <c r="BWA111" s="96"/>
      <c r="BWB111" s="96"/>
      <c r="BWC111" s="96"/>
      <c r="BWD111" s="96"/>
      <c r="BWE111" s="96"/>
      <c r="BWF111" s="96"/>
      <c r="BWG111" s="96"/>
      <c r="BWH111" s="95"/>
      <c r="BWI111" s="96"/>
      <c r="BWJ111" s="96"/>
      <c r="BWK111" s="96"/>
      <c r="BWL111" s="96"/>
      <c r="BWM111" s="96"/>
      <c r="BWN111" s="96"/>
      <c r="BWO111" s="96"/>
      <c r="BWP111" s="96"/>
      <c r="BWQ111" s="96"/>
      <c r="BWR111" s="96"/>
      <c r="BWS111" s="96"/>
      <c r="BWT111" s="96"/>
      <c r="BWU111" s="96"/>
      <c r="BWV111" s="96"/>
      <c r="BWW111" s="96"/>
      <c r="BWX111" s="96"/>
      <c r="BWY111" s="96"/>
      <c r="BWZ111" s="96"/>
      <c r="BXA111" s="96"/>
      <c r="BXB111" s="96"/>
      <c r="BXC111" s="96"/>
      <c r="BXD111" s="95"/>
      <c r="BXE111" s="96"/>
      <c r="BXF111" s="96"/>
      <c r="BXG111" s="96"/>
      <c r="BXH111" s="96"/>
      <c r="BXI111" s="96"/>
      <c r="BXJ111" s="96"/>
      <c r="BXK111" s="96"/>
      <c r="BXL111" s="96"/>
      <c r="BXM111" s="96"/>
      <c r="BXN111" s="96"/>
      <c r="BXO111" s="96"/>
      <c r="BXP111" s="96"/>
      <c r="BXQ111" s="96"/>
      <c r="BXR111" s="96"/>
      <c r="BXS111" s="96"/>
      <c r="BXT111" s="96"/>
      <c r="BXU111" s="96"/>
      <c r="BXV111" s="96"/>
      <c r="BXW111" s="96"/>
      <c r="BXX111" s="96"/>
      <c r="BXY111" s="96"/>
      <c r="BXZ111" s="95"/>
      <c r="BYA111" s="96"/>
      <c r="BYB111" s="96"/>
      <c r="BYC111" s="96"/>
      <c r="BYD111" s="96"/>
      <c r="BYE111" s="96"/>
      <c r="BYF111" s="96"/>
      <c r="BYG111" s="96"/>
      <c r="BYH111" s="96"/>
      <c r="BYI111" s="96"/>
      <c r="BYJ111" s="96"/>
      <c r="BYK111" s="96"/>
      <c r="BYL111" s="96"/>
      <c r="BYM111" s="96"/>
      <c r="BYN111" s="96"/>
      <c r="BYO111" s="96"/>
      <c r="BYP111" s="96"/>
      <c r="BYQ111" s="96"/>
      <c r="BYR111" s="96"/>
      <c r="BYS111" s="96"/>
      <c r="BYT111" s="96"/>
      <c r="BYU111" s="96"/>
      <c r="BYV111" s="95"/>
      <c r="BYW111" s="96"/>
      <c r="BYX111" s="96"/>
      <c r="BYY111" s="96"/>
      <c r="BYZ111" s="96"/>
      <c r="BZA111" s="96"/>
      <c r="BZB111" s="96"/>
      <c r="BZC111" s="96"/>
      <c r="BZD111" s="96"/>
      <c r="BZE111" s="96"/>
      <c r="BZF111" s="96"/>
      <c r="BZG111" s="96"/>
      <c r="BZH111" s="96"/>
      <c r="BZI111" s="96"/>
      <c r="BZJ111" s="96"/>
      <c r="BZK111" s="96"/>
      <c r="BZL111" s="96"/>
      <c r="BZM111" s="96"/>
      <c r="BZN111" s="96"/>
      <c r="BZO111" s="96"/>
      <c r="BZP111" s="96"/>
      <c r="BZQ111" s="96"/>
      <c r="BZR111" s="95"/>
      <c r="BZS111" s="96"/>
      <c r="BZT111" s="96"/>
      <c r="BZU111" s="96"/>
      <c r="BZV111" s="96"/>
      <c r="BZW111" s="96"/>
      <c r="BZX111" s="96"/>
      <c r="BZY111" s="96"/>
      <c r="BZZ111" s="96"/>
      <c r="CAA111" s="96"/>
      <c r="CAB111" s="96"/>
      <c r="CAC111" s="96"/>
      <c r="CAD111" s="96"/>
      <c r="CAE111" s="96"/>
      <c r="CAF111" s="96"/>
      <c r="CAG111" s="96"/>
      <c r="CAH111" s="96"/>
      <c r="CAI111" s="96"/>
      <c r="CAJ111" s="96"/>
      <c r="CAK111" s="96"/>
      <c r="CAL111" s="96"/>
      <c r="CAM111" s="96"/>
      <c r="CAN111" s="95"/>
      <c r="CAO111" s="96"/>
      <c r="CAP111" s="96"/>
      <c r="CAQ111" s="96"/>
      <c r="CAR111" s="96"/>
      <c r="CAS111" s="96"/>
      <c r="CAT111" s="96"/>
      <c r="CAU111" s="96"/>
      <c r="CAV111" s="96"/>
      <c r="CAW111" s="96"/>
      <c r="CAX111" s="96"/>
      <c r="CAY111" s="96"/>
      <c r="CAZ111" s="96"/>
      <c r="CBA111" s="96"/>
      <c r="CBB111" s="96"/>
      <c r="CBC111" s="96"/>
      <c r="CBD111" s="96"/>
      <c r="CBE111" s="96"/>
      <c r="CBF111" s="96"/>
      <c r="CBG111" s="96"/>
      <c r="CBH111" s="96"/>
      <c r="CBI111" s="96"/>
      <c r="CBJ111" s="95"/>
      <c r="CBK111" s="96"/>
      <c r="CBL111" s="96"/>
      <c r="CBM111" s="96"/>
      <c r="CBN111" s="96"/>
      <c r="CBO111" s="96"/>
      <c r="CBP111" s="96"/>
      <c r="CBQ111" s="96"/>
      <c r="CBR111" s="96"/>
      <c r="CBS111" s="96"/>
      <c r="CBT111" s="96"/>
      <c r="CBU111" s="96"/>
      <c r="CBV111" s="96"/>
      <c r="CBW111" s="96"/>
      <c r="CBX111" s="96"/>
      <c r="CBY111" s="96"/>
      <c r="CBZ111" s="96"/>
      <c r="CCA111" s="96"/>
      <c r="CCB111" s="96"/>
      <c r="CCC111" s="96"/>
      <c r="CCD111" s="96"/>
      <c r="CCE111" s="96"/>
      <c r="CCF111" s="95"/>
      <c r="CCG111" s="96"/>
      <c r="CCH111" s="96"/>
      <c r="CCI111" s="96"/>
      <c r="CCJ111" s="96"/>
      <c r="CCK111" s="96"/>
      <c r="CCL111" s="96"/>
      <c r="CCM111" s="96"/>
      <c r="CCN111" s="96"/>
      <c r="CCO111" s="96"/>
      <c r="CCP111" s="96"/>
      <c r="CCQ111" s="96"/>
      <c r="CCR111" s="96"/>
      <c r="CCS111" s="96"/>
      <c r="CCT111" s="96"/>
      <c r="CCU111" s="96"/>
      <c r="CCV111" s="96"/>
      <c r="CCW111" s="96"/>
      <c r="CCX111" s="96"/>
      <c r="CCY111" s="96"/>
      <c r="CCZ111" s="96"/>
      <c r="CDA111" s="96"/>
      <c r="CDB111" s="95"/>
      <c r="CDC111" s="96"/>
      <c r="CDD111" s="96"/>
      <c r="CDE111" s="96"/>
      <c r="CDF111" s="96"/>
      <c r="CDG111" s="96"/>
      <c r="CDH111" s="96"/>
      <c r="CDI111" s="96"/>
      <c r="CDJ111" s="96"/>
      <c r="CDK111" s="96"/>
      <c r="CDL111" s="96"/>
      <c r="CDM111" s="96"/>
      <c r="CDN111" s="96"/>
      <c r="CDO111" s="96"/>
      <c r="CDP111" s="96"/>
      <c r="CDQ111" s="96"/>
      <c r="CDR111" s="96"/>
      <c r="CDS111" s="96"/>
      <c r="CDT111" s="96"/>
      <c r="CDU111" s="96"/>
      <c r="CDV111" s="96"/>
      <c r="CDW111" s="96"/>
      <c r="CDX111" s="95"/>
      <c r="CDY111" s="96"/>
      <c r="CDZ111" s="96"/>
      <c r="CEA111" s="96"/>
      <c r="CEB111" s="96"/>
      <c r="CEC111" s="96"/>
      <c r="CED111" s="96"/>
      <c r="CEE111" s="96"/>
      <c r="CEF111" s="96"/>
      <c r="CEG111" s="96"/>
      <c r="CEH111" s="96"/>
      <c r="CEI111" s="96"/>
      <c r="CEJ111" s="96"/>
      <c r="CEK111" s="96"/>
      <c r="CEL111" s="96"/>
      <c r="CEM111" s="96"/>
      <c r="CEN111" s="96"/>
      <c r="CEO111" s="96"/>
      <c r="CEP111" s="96"/>
      <c r="CEQ111" s="96"/>
      <c r="CER111" s="96"/>
      <c r="CES111" s="96"/>
      <c r="CET111" s="95"/>
      <c r="CEU111" s="96"/>
      <c r="CEV111" s="96"/>
      <c r="CEW111" s="96"/>
      <c r="CEX111" s="96"/>
      <c r="CEY111" s="96"/>
      <c r="CEZ111" s="96"/>
      <c r="CFA111" s="96"/>
      <c r="CFB111" s="96"/>
      <c r="CFC111" s="96"/>
      <c r="CFD111" s="96"/>
      <c r="CFE111" s="96"/>
      <c r="CFF111" s="96"/>
      <c r="CFG111" s="96"/>
      <c r="CFH111" s="96"/>
      <c r="CFI111" s="96"/>
      <c r="CFJ111" s="96"/>
      <c r="CFK111" s="96"/>
      <c r="CFL111" s="96"/>
      <c r="CFM111" s="96"/>
      <c r="CFN111" s="96"/>
      <c r="CFO111" s="96"/>
      <c r="CFP111" s="95"/>
      <c r="CFQ111" s="96"/>
      <c r="CFR111" s="96"/>
      <c r="CFS111" s="96"/>
      <c r="CFT111" s="96"/>
      <c r="CFU111" s="96"/>
      <c r="CFV111" s="96"/>
      <c r="CFW111" s="96"/>
      <c r="CFX111" s="96"/>
      <c r="CFY111" s="96"/>
      <c r="CFZ111" s="96"/>
      <c r="CGA111" s="96"/>
      <c r="CGB111" s="96"/>
      <c r="CGC111" s="96"/>
      <c r="CGD111" s="96"/>
      <c r="CGE111" s="96"/>
      <c r="CGF111" s="96"/>
      <c r="CGG111" s="96"/>
      <c r="CGH111" s="96"/>
      <c r="CGI111" s="96"/>
      <c r="CGJ111" s="96"/>
      <c r="CGK111" s="96"/>
      <c r="CGL111" s="95"/>
      <c r="CGM111" s="96"/>
      <c r="CGN111" s="96"/>
      <c r="CGO111" s="96"/>
      <c r="CGP111" s="96"/>
      <c r="CGQ111" s="96"/>
      <c r="CGR111" s="96"/>
      <c r="CGS111" s="96"/>
      <c r="CGT111" s="96"/>
      <c r="CGU111" s="96"/>
      <c r="CGV111" s="96"/>
      <c r="CGW111" s="96"/>
      <c r="CGX111" s="96"/>
      <c r="CGY111" s="96"/>
      <c r="CGZ111" s="96"/>
      <c r="CHA111" s="96"/>
      <c r="CHB111" s="96"/>
      <c r="CHC111" s="96"/>
      <c r="CHD111" s="96"/>
      <c r="CHE111" s="96"/>
      <c r="CHF111" s="96"/>
      <c r="CHG111" s="96"/>
      <c r="CHH111" s="95"/>
      <c r="CHI111" s="96"/>
      <c r="CHJ111" s="96"/>
      <c r="CHK111" s="96"/>
      <c r="CHL111" s="96"/>
      <c r="CHM111" s="96"/>
      <c r="CHN111" s="96"/>
      <c r="CHO111" s="96"/>
      <c r="CHP111" s="96"/>
      <c r="CHQ111" s="96"/>
      <c r="CHR111" s="96"/>
      <c r="CHS111" s="96"/>
      <c r="CHT111" s="96"/>
      <c r="CHU111" s="96"/>
      <c r="CHV111" s="96"/>
      <c r="CHW111" s="96"/>
      <c r="CHX111" s="96"/>
      <c r="CHY111" s="96"/>
      <c r="CHZ111" s="96"/>
      <c r="CIA111" s="96"/>
      <c r="CIB111" s="96"/>
      <c r="CIC111" s="96"/>
      <c r="CID111" s="95"/>
      <c r="CIE111" s="96"/>
      <c r="CIF111" s="96"/>
      <c r="CIG111" s="96"/>
      <c r="CIH111" s="96"/>
      <c r="CII111" s="96"/>
      <c r="CIJ111" s="96"/>
      <c r="CIK111" s="96"/>
      <c r="CIL111" s="96"/>
      <c r="CIM111" s="96"/>
      <c r="CIN111" s="96"/>
      <c r="CIO111" s="96"/>
      <c r="CIP111" s="96"/>
      <c r="CIQ111" s="96"/>
      <c r="CIR111" s="96"/>
      <c r="CIS111" s="96"/>
      <c r="CIT111" s="96"/>
      <c r="CIU111" s="96"/>
      <c r="CIV111" s="96"/>
      <c r="CIW111" s="96"/>
      <c r="CIX111" s="96"/>
      <c r="CIY111" s="96"/>
      <c r="CIZ111" s="95"/>
      <c r="CJA111" s="96"/>
      <c r="CJB111" s="96"/>
      <c r="CJC111" s="96"/>
      <c r="CJD111" s="96"/>
      <c r="CJE111" s="96"/>
      <c r="CJF111" s="96"/>
      <c r="CJG111" s="96"/>
      <c r="CJH111" s="96"/>
      <c r="CJI111" s="96"/>
      <c r="CJJ111" s="96"/>
      <c r="CJK111" s="96"/>
      <c r="CJL111" s="96"/>
      <c r="CJM111" s="96"/>
      <c r="CJN111" s="96"/>
      <c r="CJO111" s="96"/>
      <c r="CJP111" s="96"/>
      <c r="CJQ111" s="96"/>
      <c r="CJR111" s="96"/>
      <c r="CJS111" s="96"/>
      <c r="CJT111" s="96"/>
      <c r="CJU111" s="96"/>
      <c r="CJV111" s="95"/>
      <c r="CJW111" s="96"/>
      <c r="CJX111" s="96"/>
      <c r="CJY111" s="96"/>
      <c r="CJZ111" s="96"/>
      <c r="CKA111" s="96"/>
      <c r="CKB111" s="96"/>
      <c r="CKC111" s="96"/>
      <c r="CKD111" s="96"/>
      <c r="CKE111" s="96"/>
      <c r="CKF111" s="96"/>
      <c r="CKG111" s="96"/>
      <c r="CKH111" s="96"/>
      <c r="CKI111" s="96"/>
      <c r="CKJ111" s="96"/>
      <c r="CKK111" s="96"/>
      <c r="CKL111" s="96"/>
      <c r="CKM111" s="96"/>
      <c r="CKN111" s="96"/>
      <c r="CKO111" s="96"/>
      <c r="CKP111" s="96"/>
      <c r="CKQ111" s="96"/>
      <c r="CKR111" s="95"/>
      <c r="CKS111" s="96"/>
      <c r="CKT111" s="96"/>
      <c r="CKU111" s="96"/>
      <c r="CKV111" s="96"/>
      <c r="CKW111" s="96"/>
      <c r="CKX111" s="96"/>
      <c r="CKY111" s="96"/>
      <c r="CKZ111" s="96"/>
      <c r="CLA111" s="96"/>
      <c r="CLB111" s="96"/>
      <c r="CLC111" s="96"/>
      <c r="CLD111" s="96"/>
      <c r="CLE111" s="96"/>
      <c r="CLF111" s="96"/>
      <c r="CLG111" s="96"/>
      <c r="CLH111" s="96"/>
      <c r="CLI111" s="96"/>
      <c r="CLJ111" s="96"/>
      <c r="CLK111" s="96"/>
      <c r="CLL111" s="96"/>
      <c r="CLM111" s="96"/>
      <c r="CLN111" s="95"/>
      <c r="CLO111" s="96"/>
      <c r="CLP111" s="96"/>
      <c r="CLQ111" s="96"/>
      <c r="CLR111" s="96"/>
      <c r="CLS111" s="96"/>
      <c r="CLT111" s="96"/>
      <c r="CLU111" s="96"/>
      <c r="CLV111" s="96"/>
      <c r="CLW111" s="96"/>
      <c r="CLX111" s="96"/>
      <c r="CLY111" s="96"/>
      <c r="CLZ111" s="96"/>
      <c r="CMA111" s="96"/>
      <c r="CMB111" s="96"/>
      <c r="CMC111" s="96"/>
      <c r="CMD111" s="96"/>
      <c r="CME111" s="96"/>
      <c r="CMF111" s="96"/>
      <c r="CMG111" s="96"/>
      <c r="CMH111" s="96"/>
      <c r="CMI111" s="96"/>
      <c r="CMJ111" s="95"/>
      <c r="CMK111" s="96"/>
      <c r="CML111" s="96"/>
      <c r="CMM111" s="96"/>
      <c r="CMN111" s="96"/>
      <c r="CMO111" s="96"/>
      <c r="CMP111" s="96"/>
      <c r="CMQ111" s="96"/>
      <c r="CMR111" s="96"/>
      <c r="CMS111" s="96"/>
      <c r="CMT111" s="96"/>
      <c r="CMU111" s="96"/>
      <c r="CMV111" s="96"/>
      <c r="CMW111" s="96"/>
      <c r="CMX111" s="96"/>
      <c r="CMY111" s="96"/>
      <c r="CMZ111" s="96"/>
      <c r="CNA111" s="96"/>
      <c r="CNB111" s="96"/>
      <c r="CNC111" s="96"/>
      <c r="CND111" s="96"/>
      <c r="CNE111" s="96"/>
      <c r="CNF111" s="95"/>
      <c r="CNG111" s="96"/>
      <c r="CNH111" s="96"/>
      <c r="CNI111" s="96"/>
      <c r="CNJ111" s="96"/>
      <c r="CNK111" s="96"/>
      <c r="CNL111" s="96"/>
      <c r="CNM111" s="96"/>
      <c r="CNN111" s="96"/>
      <c r="CNO111" s="96"/>
      <c r="CNP111" s="96"/>
      <c r="CNQ111" s="96"/>
      <c r="CNR111" s="96"/>
      <c r="CNS111" s="96"/>
      <c r="CNT111" s="96"/>
      <c r="CNU111" s="96"/>
      <c r="CNV111" s="96"/>
      <c r="CNW111" s="96"/>
      <c r="CNX111" s="96"/>
      <c r="CNY111" s="96"/>
      <c r="CNZ111" s="96"/>
      <c r="COA111" s="96"/>
      <c r="COB111" s="95"/>
      <c r="COC111" s="96"/>
      <c r="COD111" s="96"/>
      <c r="COE111" s="96"/>
      <c r="COF111" s="96"/>
      <c r="COG111" s="96"/>
      <c r="COH111" s="96"/>
      <c r="COI111" s="96"/>
      <c r="COJ111" s="96"/>
      <c r="COK111" s="96"/>
      <c r="COL111" s="96"/>
      <c r="COM111" s="96"/>
      <c r="CON111" s="96"/>
      <c r="COO111" s="96"/>
      <c r="COP111" s="96"/>
      <c r="COQ111" s="96"/>
      <c r="COR111" s="96"/>
      <c r="COS111" s="96"/>
      <c r="COT111" s="96"/>
      <c r="COU111" s="96"/>
      <c r="COV111" s="96"/>
      <c r="COW111" s="96"/>
      <c r="COX111" s="95"/>
      <c r="COY111" s="96"/>
      <c r="COZ111" s="96"/>
      <c r="CPA111" s="96"/>
      <c r="CPB111" s="96"/>
      <c r="CPC111" s="96"/>
      <c r="CPD111" s="96"/>
      <c r="CPE111" s="96"/>
      <c r="CPF111" s="96"/>
      <c r="CPG111" s="96"/>
      <c r="CPH111" s="96"/>
      <c r="CPI111" s="96"/>
      <c r="CPJ111" s="96"/>
      <c r="CPK111" s="96"/>
      <c r="CPL111" s="96"/>
      <c r="CPM111" s="96"/>
      <c r="CPN111" s="96"/>
      <c r="CPO111" s="96"/>
      <c r="CPP111" s="96"/>
      <c r="CPQ111" s="96"/>
      <c r="CPR111" s="96"/>
      <c r="CPS111" s="96"/>
      <c r="CPT111" s="95"/>
      <c r="CPU111" s="96"/>
      <c r="CPV111" s="96"/>
      <c r="CPW111" s="96"/>
      <c r="CPX111" s="96"/>
      <c r="CPY111" s="96"/>
      <c r="CPZ111" s="96"/>
      <c r="CQA111" s="96"/>
      <c r="CQB111" s="96"/>
      <c r="CQC111" s="96"/>
      <c r="CQD111" s="96"/>
      <c r="CQE111" s="96"/>
      <c r="CQF111" s="96"/>
      <c r="CQG111" s="96"/>
      <c r="CQH111" s="96"/>
      <c r="CQI111" s="96"/>
      <c r="CQJ111" s="96"/>
      <c r="CQK111" s="96"/>
      <c r="CQL111" s="96"/>
      <c r="CQM111" s="96"/>
      <c r="CQN111" s="96"/>
      <c r="CQO111" s="96"/>
      <c r="CQP111" s="95"/>
      <c r="CQQ111" s="96"/>
      <c r="CQR111" s="96"/>
      <c r="CQS111" s="96"/>
      <c r="CQT111" s="96"/>
      <c r="CQU111" s="96"/>
      <c r="CQV111" s="96"/>
      <c r="CQW111" s="96"/>
      <c r="CQX111" s="96"/>
      <c r="CQY111" s="96"/>
      <c r="CQZ111" s="96"/>
      <c r="CRA111" s="96"/>
      <c r="CRB111" s="96"/>
      <c r="CRC111" s="96"/>
      <c r="CRD111" s="96"/>
      <c r="CRE111" s="96"/>
      <c r="CRF111" s="96"/>
      <c r="CRG111" s="96"/>
      <c r="CRH111" s="96"/>
      <c r="CRI111" s="96"/>
      <c r="CRJ111" s="96"/>
      <c r="CRK111" s="96"/>
      <c r="CRL111" s="95"/>
      <c r="CRM111" s="96"/>
      <c r="CRN111" s="96"/>
      <c r="CRO111" s="96"/>
      <c r="CRP111" s="96"/>
      <c r="CRQ111" s="96"/>
      <c r="CRR111" s="96"/>
      <c r="CRS111" s="96"/>
      <c r="CRT111" s="96"/>
      <c r="CRU111" s="96"/>
      <c r="CRV111" s="96"/>
      <c r="CRW111" s="96"/>
      <c r="CRX111" s="96"/>
      <c r="CRY111" s="96"/>
      <c r="CRZ111" s="96"/>
      <c r="CSA111" s="96"/>
      <c r="CSB111" s="96"/>
      <c r="CSC111" s="96"/>
      <c r="CSD111" s="96"/>
      <c r="CSE111" s="96"/>
      <c r="CSF111" s="96"/>
      <c r="CSG111" s="96"/>
      <c r="CSH111" s="95"/>
      <c r="CSI111" s="96"/>
      <c r="CSJ111" s="96"/>
      <c r="CSK111" s="96"/>
      <c r="CSL111" s="96"/>
      <c r="CSM111" s="96"/>
      <c r="CSN111" s="96"/>
      <c r="CSO111" s="96"/>
      <c r="CSP111" s="96"/>
      <c r="CSQ111" s="96"/>
      <c r="CSR111" s="96"/>
      <c r="CSS111" s="96"/>
      <c r="CST111" s="96"/>
      <c r="CSU111" s="96"/>
      <c r="CSV111" s="96"/>
      <c r="CSW111" s="96"/>
      <c r="CSX111" s="96"/>
      <c r="CSY111" s="96"/>
      <c r="CSZ111" s="96"/>
      <c r="CTA111" s="96"/>
      <c r="CTB111" s="96"/>
      <c r="CTC111" s="96"/>
      <c r="CTD111" s="95"/>
      <c r="CTE111" s="96"/>
      <c r="CTF111" s="96"/>
      <c r="CTG111" s="96"/>
      <c r="CTH111" s="96"/>
      <c r="CTI111" s="96"/>
      <c r="CTJ111" s="96"/>
      <c r="CTK111" s="96"/>
      <c r="CTL111" s="96"/>
      <c r="CTM111" s="96"/>
      <c r="CTN111" s="96"/>
      <c r="CTO111" s="96"/>
      <c r="CTP111" s="96"/>
      <c r="CTQ111" s="96"/>
      <c r="CTR111" s="96"/>
      <c r="CTS111" s="96"/>
      <c r="CTT111" s="96"/>
      <c r="CTU111" s="96"/>
      <c r="CTV111" s="96"/>
      <c r="CTW111" s="96"/>
      <c r="CTX111" s="96"/>
      <c r="CTY111" s="96"/>
      <c r="CTZ111" s="95"/>
      <c r="CUA111" s="96"/>
      <c r="CUB111" s="96"/>
      <c r="CUC111" s="96"/>
      <c r="CUD111" s="96"/>
      <c r="CUE111" s="96"/>
      <c r="CUF111" s="96"/>
      <c r="CUG111" s="96"/>
      <c r="CUH111" s="96"/>
      <c r="CUI111" s="96"/>
      <c r="CUJ111" s="96"/>
      <c r="CUK111" s="96"/>
      <c r="CUL111" s="96"/>
      <c r="CUM111" s="96"/>
      <c r="CUN111" s="96"/>
      <c r="CUO111" s="96"/>
      <c r="CUP111" s="96"/>
      <c r="CUQ111" s="96"/>
      <c r="CUR111" s="96"/>
      <c r="CUS111" s="96"/>
      <c r="CUT111" s="96"/>
      <c r="CUU111" s="96"/>
      <c r="CUV111" s="95"/>
      <c r="CUW111" s="96"/>
      <c r="CUX111" s="96"/>
      <c r="CUY111" s="96"/>
      <c r="CUZ111" s="96"/>
      <c r="CVA111" s="96"/>
      <c r="CVB111" s="96"/>
      <c r="CVC111" s="96"/>
      <c r="CVD111" s="96"/>
      <c r="CVE111" s="96"/>
      <c r="CVF111" s="96"/>
      <c r="CVG111" s="96"/>
      <c r="CVH111" s="96"/>
      <c r="CVI111" s="96"/>
      <c r="CVJ111" s="96"/>
      <c r="CVK111" s="96"/>
      <c r="CVL111" s="96"/>
      <c r="CVM111" s="96"/>
      <c r="CVN111" s="96"/>
      <c r="CVO111" s="96"/>
      <c r="CVP111" s="96"/>
      <c r="CVQ111" s="96"/>
      <c r="CVR111" s="95"/>
      <c r="CVS111" s="96"/>
      <c r="CVT111" s="96"/>
      <c r="CVU111" s="96"/>
      <c r="CVV111" s="96"/>
      <c r="CVW111" s="96"/>
      <c r="CVX111" s="96"/>
      <c r="CVY111" s="96"/>
      <c r="CVZ111" s="96"/>
      <c r="CWA111" s="96"/>
      <c r="CWB111" s="96"/>
      <c r="CWC111" s="96"/>
      <c r="CWD111" s="96"/>
      <c r="CWE111" s="96"/>
      <c r="CWF111" s="96"/>
      <c r="CWG111" s="96"/>
      <c r="CWH111" s="96"/>
      <c r="CWI111" s="96"/>
      <c r="CWJ111" s="96"/>
      <c r="CWK111" s="96"/>
      <c r="CWL111" s="96"/>
      <c r="CWM111" s="96"/>
      <c r="CWN111" s="95"/>
      <c r="CWO111" s="96"/>
      <c r="CWP111" s="96"/>
      <c r="CWQ111" s="96"/>
      <c r="CWR111" s="96"/>
      <c r="CWS111" s="96"/>
      <c r="CWT111" s="96"/>
      <c r="CWU111" s="96"/>
      <c r="CWV111" s="96"/>
      <c r="CWW111" s="96"/>
      <c r="CWX111" s="96"/>
      <c r="CWY111" s="96"/>
      <c r="CWZ111" s="96"/>
      <c r="CXA111" s="96"/>
      <c r="CXB111" s="96"/>
      <c r="CXC111" s="96"/>
      <c r="CXD111" s="96"/>
      <c r="CXE111" s="96"/>
      <c r="CXF111" s="96"/>
      <c r="CXG111" s="96"/>
      <c r="CXH111" s="96"/>
      <c r="CXI111" s="96"/>
      <c r="CXJ111" s="95"/>
      <c r="CXK111" s="96"/>
      <c r="CXL111" s="96"/>
      <c r="CXM111" s="96"/>
      <c r="CXN111" s="96"/>
      <c r="CXO111" s="96"/>
      <c r="CXP111" s="96"/>
      <c r="CXQ111" s="96"/>
      <c r="CXR111" s="96"/>
      <c r="CXS111" s="96"/>
      <c r="CXT111" s="96"/>
      <c r="CXU111" s="96"/>
      <c r="CXV111" s="96"/>
      <c r="CXW111" s="96"/>
      <c r="CXX111" s="96"/>
      <c r="CXY111" s="96"/>
      <c r="CXZ111" s="96"/>
      <c r="CYA111" s="96"/>
      <c r="CYB111" s="96"/>
      <c r="CYC111" s="96"/>
      <c r="CYD111" s="96"/>
      <c r="CYE111" s="96"/>
      <c r="CYF111" s="95"/>
      <c r="CYG111" s="96"/>
      <c r="CYH111" s="96"/>
      <c r="CYI111" s="96"/>
      <c r="CYJ111" s="96"/>
      <c r="CYK111" s="96"/>
      <c r="CYL111" s="96"/>
      <c r="CYM111" s="96"/>
      <c r="CYN111" s="96"/>
      <c r="CYO111" s="96"/>
      <c r="CYP111" s="96"/>
      <c r="CYQ111" s="96"/>
      <c r="CYR111" s="96"/>
      <c r="CYS111" s="96"/>
      <c r="CYT111" s="96"/>
      <c r="CYU111" s="96"/>
      <c r="CYV111" s="96"/>
      <c r="CYW111" s="96"/>
      <c r="CYX111" s="96"/>
      <c r="CYY111" s="96"/>
      <c r="CYZ111" s="96"/>
      <c r="CZA111" s="96"/>
      <c r="CZB111" s="95"/>
      <c r="CZC111" s="96"/>
      <c r="CZD111" s="96"/>
      <c r="CZE111" s="96"/>
      <c r="CZF111" s="96"/>
      <c r="CZG111" s="96"/>
      <c r="CZH111" s="96"/>
      <c r="CZI111" s="96"/>
      <c r="CZJ111" s="96"/>
      <c r="CZK111" s="96"/>
      <c r="CZL111" s="96"/>
      <c r="CZM111" s="96"/>
      <c r="CZN111" s="96"/>
      <c r="CZO111" s="96"/>
      <c r="CZP111" s="96"/>
      <c r="CZQ111" s="96"/>
      <c r="CZR111" s="96"/>
      <c r="CZS111" s="96"/>
      <c r="CZT111" s="96"/>
      <c r="CZU111" s="96"/>
      <c r="CZV111" s="96"/>
      <c r="CZW111" s="96"/>
      <c r="CZX111" s="95"/>
      <c r="CZY111" s="96"/>
      <c r="CZZ111" s="96"/>
      <c r="DAA111" s="96"/>
      <c r="DAB111" s="96"/>
      <c r="DAC111" s="96"/>
      <c r="DAD111" s="96"/>
      <c r="DAE111" s="96"/>
      <c r="DAF111" s="96"/>
      <c r="DAG111" s="96"/>
      <c r="DAH111" s="96"/>
      <c r="DAI111" s="96"/>
      <c r="DAJ111" s="96"/>
      <c r="DAK111" s="96"/>
      <c r="DAL111" s="96"/>
      <c r="DAM111" s="96"/>
      <c r="DAN111" s="96"/>
      <c r="DAO111" s="96"/>
      <c r="DAP111" s="96"/>
      <c r="DAQ111" s="96"/>
      <c r="DAR111" s="96"/>
      <c r="DAS111" s="96"/>
      <c r="DAT111" s="95"/>
      <c r="DAU111" s="96"/>
      <c r="DAV111" s="96"/>
      <c r="DAW111" s="96"/>
      <c r="DAX111" s="96"/>
      <c r="DAY111" s="96"/>
      <c r="DAZ111" s="96"/>
      <c r="DBA111" s="96"/>
      <c r="DBB111" s="96"/>
      <c r="DBC111" s="96"/>
      <c r="DBD111" s="96"/>
      <c r="DBE111" s="96"/>
      <c r="DBF111" s="96"/>
      <c r="DBG111" s="96"/>
      <c r="DBH111" s="96"/>
      <c r="DBI111" s="96"/>
      <c r="DBJ111" s="96"/>
      <c r="DBK111" s="96"/>
      <c r="DBL111" s="96"/>
      <c r="DBM111" s="96"/>
      <c r="DBN111" s="96"/>
      <c r="DBO111" s="96"/>
      <c r="DBP111" s="95"/>
      <c r="DBQ111" s="96"/>
      <c r="DBR111" s="96"/>
      <c r="DBS111" s="96"/>
      <c r="DBT111" s="96"/>
      <c r="DBU111" s="96"/>
      <c r="DBV111" s="96"/>
      <c r="DBW111" s="96"/>
      <c r="DBX111" s="96"/>
      <c r="DBY111" s="96"/>
      <c r="DBZ111" s="96"/>
      <c r="DCA111" s="96"/>
      <c r="DCB111" s="96"/>
      <c r="DCC111" s="96"/>
      <c r="DCD111" s="96"/>
      <c r="DCE111" s="96"/>
      <c r="DCF111" s="96"/>
      <c r="DCG111" s="96"/>
      <c r="DCH111" s="96"/>
      <c r="DCI111" s="96"/>
      <c r="DCJ111" s="96"/>
      <c r="DCK111" s="96"/>
      <c r="DCL111" s="95"/>
      <c r="DCM111" s="96"/>
      <c r="DCN111" s="96"/>
      <c r="DCO111" s="96"/>
      <c r="DCP111" s="96"/>
      <c r="DCQ111" s="96"/>
      <c r="DCR111" s="96"/>
      <c r="DCS111" s="96"/>
      <c r="DCT111" s="96"/>
      <c r="DCU111" s="96"/>
      <c r="DCV111" s="96"/>
      <c r="DCW111" s="96"/>
      <c r="DCX111" s="96"/>
      <c r="DCY111" s="96"/>
      <c r="DCZ111" s="96"/>
      <c r="DDA111" s="96"/>
      <c r="DDB111" s="96"/>
      <c r="DDC111" s="96"/>
      <c r="DDD111" s="96"/>
      <c r="DDE111" s="96"/>
      <c r="DDF111" s="96"/>
      <c r="DDG111" s="96"/>
      <c r="DDH111" s="95"/>
      <c r="DDI111" s="96"/>
      <c r="DDJ111" s="96"/>
      <c r="DDK111" s="96"/>
      <c r="DDL111" s="96"/>
      <c r="DDM111" s="96"/>
      <c r="DDN111" s="96"/>
      <c r="DDO111" s="96"/>
      <c r="DDP111" s="96"/>
      <c r="DDQ111" s="96"/>
      <c r="DDR111" s="96"/>
      <c r="DDS111" s="96"/>
      <c r="DDT111" s="96"/>
      <c r="DDU111" s="96"/>
      <c r="DDV111" s="96"/>
      <c r="DDW111" s="96"/>
      <c r="DDX111" s="96"/>
      <c r="DDY111" s="96"/>
      <c r="DDZ111" s="96"/>
      <c r="DEA111" s="96"/>
      <c r="DEB111" s="96"/>
      <c r="DEC111" s="96"/>
      <c r="DED111" s="95"/>
      <c r="DEE111" s="96"/>
      <c r="DEF111" s="96"/>
      <c r="DEG111" s="96"/>
      <c r="DEH111" s="96"/>
      <c r="DEI111" s="96"/>
      <c r="DEJ111" s="96"/>
      <c r="DEK111" s="96"/>
      <c r="DEL111" s="96"/>
      <c r="DEM111" s="96"/>
      <c r="DEN111" s="96"/>
      <c r="DEO111" s="96"/>
      <c r="DEP111" s="96"/>
      <c r="DEQ111" s="96"/>
      <c r="DER111" s="96"/>
      <c r="DES111" s="96"/>
      <c r="DET111" s="96"/>
      <c r="DEU111" s="96"/>
      <c r="DEV111" s="96"/>
      <c r="DEW111" s="96"/>
      <c r="DEX111" s="96"/>
      <c r="DEY111" s="96"/>
      <c r="DEZ111" s="95"/>
      <c r="DFA111" s="96"/>
      <c r="DFB111" s="96"/>
      <c r="DFC111" s="96"/>
      <c r="DFD111" s="96"/>
      <c r="DFE111" s="96"/>
      <c r="DFF111" s="96"/>
      <c r="DFG111" s="96"/>
      <c r="DFH111" s="96"/>
      <c r="DFI111" s="96"/>
      <c r="DFJ111" s="96"/>
      <c r="DFK111" s="96"/>
      <c r="DFL111" s="96"/>
      <c r="DFM111" s="96"/>
      <c r="DFN111" s="96"/>
      <c r="DFO111" s="96"/>
      <c r="DFP111" s="96"/>
      <c r="DFQ111" s="96"/>
      <c r="DFR111" s="96"/>
      <c r="DFS111" s="96"/>
      <c r="DFT111" s="96"/>
      <c r="DFU111" s="96"/>
      <c r="DFV111" s="95"/>
      <c r="DFW111" s="96"/>
      <c r="DFX111" s="96"/>
      <c r="DFY111" s="96"/>
      <c r="DFZ111" s="96"/>
      <c r="DGA111" s="96"/>
      <c r="DGB111" s="96"/>
      <c r="DGC111" s="96"/>
      <c r="DGD111" s="96"/>
      <c r="DGE111" s="96"/>
      <c r="DGF111" s="96"/>
      <c r="DGG111" s="96"/>
      <c r="DGH111" s="96"/>
      <c r="DGI111" s="96"/>
      <c r="DGJ111" s="96"/>
      <c r="DGK111" s="96"/>
      <c r="DGL111" s="96"/>
      <c r="DGM111" s="96"/>
      <c r="DGN111" s="96"/>
      <c r="DGO111" s="96"/>
      <c r="DGP111" s="96"/>
      <c r="DGQ111" s="96"/>
      <c r="DGR111" s="95"/>
      <c r="DGS111" s="96"/>
      <c r="DGT111" s="96"/>
      <c r="DGU111" s="96"/>
      <c r="DGV111" s="96"/>
      <c r="DGW111" s="96"/>
      <c r="DGX111" s="96"/>
      <c r="DGY111" s="96"/>
      <c r="DGZ111" s="96"/>
      <c r="DHA111" s="96"/>
      <c r="DHB111" s="96"/>
      <c r="DHC111" s="96"/>
      <c r="DHD111" s="96"/>
      <c r="DHE111" s="96"/>
      <c r="DHF111" s="96"/>
      <c r="DHG111" s="96"/>
      <c r="DHH111" s="96"/>
      <c r="DHI111" s="96"/>
      <c r="DHJ111" s="96"/>
      <c r="DHK111" s="96"/>
      <c r="DHL111" s="96"/>
      <c r="DHM111" s="96"/>
      <c r="DHN111" s="95"/>
      <c r="DHO111" s="96"/>
      <c r="DHP111" s="96"/>
      <c r="DHQ111" s="96"/>
      <c r="DHR111" s="96"/>
      <c r="DHS111" s="96"/>
      <c r="DHT111" s="96"/>
      <c r="DHU111" s="96"/>
      <c r="DHV111" s="96"/>
      <c r="DHW111" s="96"/>
      <c r="DHX111" s="96"/>
      <c r="DHY111" s="96"/>
      <c r="DHZ111" s="96"/>
      <c r="DIA111" s="96"/>
      <c r="DIB111" s="96"/>
      <c r="DIC111" s="96"/>
      <c r="DID111" s="96"/>
      <c r="DIE111" s="96"/>
      <c r="DIF111" s="96"/>
      <c r="DIG111" s="96"/>
      <c r="DIH111" s="96"/>
      <c r="DII111" s="96"/>
      <c r="DIJ111" s="95"/>
      <c r="DIK111" s="96"/>
      <c r="DIL111" s="96"/>
      <c r="DIM111" s="96"/>
      <c r="DIN111" s="96"/>
      <c r="DIO111" s="96"/>
      <c r="DIP111" s="96"/>
      <c r="DIQ111" s="96"/>
      <c r="DIR111" s="96"/>
      <c r="DIS111" s="96"/>
      <c r="DIT111" s="96"/>
      <c r="DIU111" s="96"/>
      <c r="DIV111" s="96"/>
      <c r="DIW111" s="96"/>
      <c r="DIX111" s="96"/>
      <c r="DIY111" s="96"/>
      <c r="DIZ111" s="96"/>
      <c r="DJA111" s="96"/>
      <c r="DJB111" s="96"/>
      <c r="DJC111" s="96"/>
      <c r="DJD111" s="96"/>
      <c r="DJE111" s="96"/>
      <c r="DJF111" s="95"/>
      <c r="DJG111" s="96"/>
      <c r="DJH111" s="96"/>
      <c r="DJI111" s="96"/>
      <c r="DJJ111" s="96"/>
      <c r="DJK111" s="96"/>
      <c r="DJL111" s="96"/>
      <c r="DJM111" s="96"/>
      <c r="DJN111" s="96"/>
      <c r="DJO111" s="96"/>
      <c r="DJP111" s="96"/>
      <c r="DJQ111" s="96"/>
      <c r="DJR111" s="96"/>
      <c r="DJS111" s="96"/>
      <c r="DJT111" s="96"/>
      <c r="DJU111" s="96"/>
      <c r="DJV111" s="96"/>
      <c r="DJW111" s="96"/>
      <c r="DJX111" s="96"/>
      <c r="DJY111" s="96"/>
      <c r="DJZ111" s="96"/>
      <c r="DKA111" s="96"/>
      <c r="DKB111" s="95"/>
      <c r="DKC111" s="96"/>
      <c r="DKD111" s="96"/>
      <c r="DKE111" s="96"/>
      <c r="DKF111" s="96"/>
      <c r="DKG111" s="96"/>
      <c r="DKH111" s="96"/>
      <c r="DKI111" s="96"/>
      <c r="DKJ111" s="96"/>
      <c r="DKK111" s="96"/>
      <c r="DKL111" s="96"/>
      <c r="DKM111" s="96"/>
      <c r="DKN111" s="96"/>
      <c r="DKO111" s="96"/>
      <c r="DKP111" s="96"/>
      <c r="DKQ111" s="96"/>
      <c r="DKR111" s="96"/>
      <c r="DKS111" s="96"/>
      <c r="DKT111" s="96"/>
      <c r="DKU111" s="96"/>
      <c r="DKV111" s="96"/>
      <c r="DKW111" s="96"/>
      <c r="DKX111" s="95"/>
      <c r="DKY111" s="96"/>
      <c r="DKZ111" s="96"/>
      <c r="DLA111" s="96"/>
      <c r="DLB111" s="96"/>
      <c r="DLC111" s="96"/>
      <c r="DLD111" s="96"/>
      <c r="DLE111" s="96"/>
      <c r="DLF111" s="96"/>
      <c r="DLG111" s="96"/>
      <c r="DLH111" s="96"/>
      <c r="DLI111" s="96"/>
      <c r="DLJ111" s="96"/>
      <c r="DLK111" s="96"/>
      <c r="DLL111" s="96"/>
      <c r="DLM111" s="96"/>
      <c r="DLN111" s="96"/>
      <c r="DLO111" s="96"/>
      <c r="DLP111" s="96"/>
      <c r="DLQ111" s="96"/>
      <c r="DLR111" s="96"/>
      <c r="DLS111" s="96"/>
      <c r="DLT111" s="95"/>
      <c r="DLU111" s="96"/>
      <c r="DLV111" s="96"/>
      <c r="DLW111" s="96"/>
      <c r="DLX111" s="96"/>
      <c r="DLY111" s="96"/>
      <c r="DLZ111" s="96"/>
      <c r="DMA111" s="96"/>
      <c r="DMB111" s="96"/>
      <c r="DMC111" s="96"/>
      <c r="DMD111" s="96"/>
      <c r="DME111" s="96"/>
      <c r="DMF111" s="96"/>
      <c r="DMG111" s="96"/>
      <c r="DMH111" s="96"/>
      <c r="DMI111" s="96"/>
      <c r="DMJ111" s="96"/>
      <c r="DMK111" s="96"/>
      <c r="DML111" s="96"/>
      <c r="DMM111" s="96"/>
      <c r="DMN111" s="96"/>
      <c r="DMO111" s="96"/>
      <c r="DMP111" s="95"/>
      <c r="DMQ111" s="96"/>
      <c r="DMR111" s="96"/>
      <c r="DMS111" s="96"/>
      <c r="DMT111" s="96"/>
      <c r="DMU111" s="96"/>
      <c r="DMV111" s="96"/>
      <c r="DMW111" s="96"/>
      <c r="DMX111" s="96"/>
      <c r="DMY111" s="96"/>
      <c r="DMZ111" s="96"/>
      <c r="DNA111" s="96"/>
      <c r="DNB111" s="96"/>
      <c r="DNC111" s="96"/>
      <c r="DND111" s="96"/>
      <c r="DNE111" s="96"/>
      <c r="DNF111" s="96"/>
      <c r="DNG111" s="96"/>
      <c r="DNH111" s="96"/>
      <c r="DNI111" s="96"/>
      <c r="DNJ111" s="96"/>
      <c r="DNK111" s="96"/>
      <c r="DNL111" s="95"/>
      <c r="DNM111" s="96"/>
      <c r="DNN111" s="96"/>
      <c r="DNO111" s="96"/>
      <c r="DNP111" s="96"/>
      <c r="DNQ111" s="96"/>
      <c r="DNR111" s="96"/>
      <c r="DNS111" s="96"/>
      <c r="DNT111" s="96"/>
      <c r="DNU111" s="96"/>
      <c r="DNV111" s="96"/>
      <c r="DNW111" s="96"/>
      <c r="DNX111" s="96"/>
      <c r="DNY111" s="96"/>
      <c r="DNZ111" s="96"/>
      <c r="DOA111" s="96"/>
      <c r="DOB111" s="96"/>
      <c r="DOC111" s="96"/>
      <c r="DOD111" s="96"/>
      <c r="DOE111" s="96"/>
      <c r="DOF111" s="96"/>
      <c r="DOG111" s="96"/>
      <c r="DOH111" s="95"/>
      <c r="DOI111" s="96"/>
      <c r="DOJ111" s="96"/>
      <c r="DOK111" s="96"/>
      <c r="DOL111" s="96"/>
      <c r="DOM111" s="96"/>
      <c r="DON111" s="96"/>
      <c r="DOO111" s="96"/>
      <c r="DOP111" s="96"/>
      <c r="DOQ111" s="96"/>
      <c r="DOR111" s="96"/>
      <c r="DOS111" s="96"/>
      <c r="DOT111" s="96"/>
      <c r="DOU111" s="96"/>
      <c r="DOV111" s="96"/>
      <c r="DOW111" s="96"/>
      <c r="DOX111" s="96"/>
      <c r="DOY111" s="96"/>
      <c r="DOZ111" s="96"/>
      <c r="DPA111" s="96"/>
      <c r="DPB111" s="96"/>
      <c r="DPC111" s="96"/>
      <c r="DPD111" s="95"/>
      <c r="DPE111" s="96"/>
      <c r="DPF111" s="96"/>
      <c r="DPG111" s="96"/>
      <c r="DPH111" s="96"/>
      <c r="DPI111" s="96"/>
      <c r="DPJ111" s="96"/>
      <c r="DPK111" s="96"/>
      <c r="DPL111" s="96"/>
      <c r="DPM111" s="96"/>
      <c r="DPN111" s="96"/>
      <c r="DPO111" s="96"/>
      <c r="DPP111" s="96"/>
      <c r="DPQ111" s="96"/>
      <c r="DPR111" s="96"/>
      <c r="DPS111" s="96"/>
      <c r="DPT111" s="96"/>
      <c r="DPU111" s="96"/>
      <c r="DPV111" s="96"/>
      <c r="DPW111" s="96"/>
      <c r="DPX111" s="96"/>
      <c r="DPY111" s="96"/>
      <c r="DPZ111" s="95"/>
      <c r="DQA111" s="96"/>
      <c r="DQB111" s="96"/>
      <c r="DQC111" s="96"/>
      <c r="DQD111" s="96"/>
      <c r="DQE111" s="96"/>
      <c r="DQF111" s="96"/>
      <c r="DQG111" s="96"/>
      <c r="DQH111" s="96"/>
      <c r="DQI111" s="96"/>
      <c r="DQJ111" s="96"/>
      <c r="DQK111" s="96"/>
      <c r="DQL111" s="96"/>
      <c r="DQM111" s="96"/>
      <c r="DQN111" s="96"/>
      <c r="DQO111" s="96"/>
      <c r="DQP111" s="96"/>
      <c r="DQQ111" s="96"/>
      <c r="DQR111" s="96"/>
      <c r="DQS111" s="96"/>
      <c r="DQT111" s="96"/>
      <c r="DQU111" s="96"/>
      <c r="DQV111" s="95"/>
      <c r="DQW111" s="96"/>
      <c r="DQX111" s="96"/>
      <c r="DQY111" s="96"/>
      <c r="DQZ111" s="96"/>
      <c r="DRA111" s="96"/>
      <c r="DRB111" s="96"/>
      <c r="DRC111" s="96"/>
      <c r="DRD111" s="96"/>
      <c r="DRE111" s="96"/>
      <c r="DRF111" s="96"/>
      <c r="DRG111" s="96"/>
      <c r="DRH111" s="96"/>
      <c r="DRI111" s="96"/>
      <c r="DRJ111" s="96"/>
      <c r="DRK111" s="96"/>
      <c r="DRL111" s="96"/>
      <c r="DRM111" s="96"/>
      <c r="DRN111" s="96"/>
      <c r="DRO111" s="96"/>
      <c r="DRP111" s="96"/>
      <c r="DRQ111" s="96"/>
      <c r="DRR111" s="95"/>
      <c r="DRS111" s="96"/>
      <c r="DRT111" s="96"/>
      <c r="DRU111" s="96"/>
      <c r="DRV111" s="96"/>
      <c r="DRW111" s="96"/>
      <c r="DRX111" s="96"/>
      <c r="DRY111" s="96"/>
      <c r="DRZ111" s="96"/>
      <c r="DSA111" s="96"/>
      <c r="DSB111" s="96"/>
      <c r="DSC111" s="96"/>
      <c r="DSD111" s="96"/>
      <c r="DSE111" s="96"/>
      <c r="DSF111" s="96"/>
      <c r="DSG111" s="96"/>
      <c r="DSH111" s="96"/>
      <c r="DSI111" s="96"/>
      <c r="DSJ111" s="96"/>
      <c r="DSK111" s="96"/>
      <c r="DSL111" s="96"/>
      <c r="DSM111" s="96"/>
      <c r="DSN111" s="95"/>
      <c r="DSO111" s="96"/>
      <c r="DSP111" s="96"/>
      <c r="DSQ111" s="96"/>
      <c r="DSR111" s="96"/>
      <c r="DSS111" s="96"/>
      <c r="DST111" s="96"/>
      <c r="DSU111" s="96"/>
      <c r="DSV111" s="96"/>
      <c r="DSW111" s="96"/>
      <c r="DSX111" s="96"/>
      <c r="DSY111" s="96"/>
      <c r="DSZ111" s="96"/>
      <c r="DTA111" s="96"/>
      <c r="DTB111" s="96"/>
      <c r="DTC111" s="96"/>
      <c r="DTD111" s="96"/>
      <c r="DTE111" s="96"/>
      <c r="DTF111" s="96"/>
      <c r="DTG111" s="96"/>
      <c r="DTH111" s="96"/>
      <c r="DTI111" s="96"/>
      <c r="DTJ111" s="95"/>
      <c r="DTK111" s="96"/>
      <c r="DTL111" s="96"/>
      <c r="DTM111" s="96"/>
      <c r="DTN111" s="96"/>
      <c r="DTO111" s="96"/>
      <c r="DTP111" s="96"/>
      <c r="DTQ111" s="96"/>
      <c r="DTR111" s="96"/>
      <c r="DTS111" s="96"/>
      <c r="DTT111" s="96"/>
      <c r="DTU111" s="96"/>
      <c r="DTV111" s="96"/>
      <c r="DTW111" s="96"/>
      <c r="DTX111" s="96"/>
      <c r="DTY111" s="96"/>
      <c r="DTZ111" s="96"/>
      <c r="DUA111" s="96"/>
      <c r="DUB111" s="96"/>
      <c r="DUC111" s="96"/>
      <c r="DUD111" s="96"/>
      <c r="DUE111" s="96"/>
      <c r="DUF111" s="95"/>
      <c r="DUG111" s="96"/>
      <c r="DUH111" s="96"/>
      <c r="DUI111" s="96"/>
      <c r="DUJ111" s="96"/>
      <c r="DUK111" s="96"/>
      <c r="DUL111" s="96"/>
      <c r="DUM111" s="96"/>
      <c r="DUN111" s="96"/>
      <c r="DUO111" s="96"/>
      <c r="DUP111" s="96"/>
      <c r="DUQ111" s="96"/>
      <c r="DUR111" s="96"/>
      <c r="DUS111" s="96"/>
      <c r="DUT111" s="96"/>
      <c r="DUU111" s="96"/>
      <c r="DUV111" s="96"/>
      <c r="DUW111" s="96"/>
      <c r="DUX111" s="96"/>
      <c r="DUY111" s="96"/>
      <c r="DUZ111" s="96"/>
      <c r="DVA111" s="96"/>
      <c r="DVB111" s="95"/>
      <c r="DVC111" s="96"/>
      <c r="DVD111" s="96"/>
      <c r="DVE111" s="96"/>
      <c r="DVF111" s="96"/>
      <c r="DVG111" s="96"/>
      <c r="DVH111" s="96"/>
      <c r="DVI111" s="96"/>
      <c r="DVJ111" s="96"/>
      <c r="DVK111" s="96"/>
      <c r="DVL111" s="96"/>
      <c r="DVM111" s="96"/>
      <c r="DVN111" s="96"/>
      <c r="DVO111" s="96"/>
      <c r="DVP111" s="96"/>
      <c r="DVQ111" s="96"/>
      <c r="DVR111" s="96"/>
      <c r="DVS111" s="96"/>
      <c r="DVT111" s="96"/>
      <c r="DVU111" s="96"/>
      <c r="DVV111" s="96"/>
      <c r="DVW111" s="96"/>
      <c r="DVX111" s="95"/>
      <c r="DVY111" s="96"/>
      <c r="DVZ111" s="96"/>
      <c r="DWA111" s="96"/>
      <c r="DWB111" s="96"/>
      <c r="DWC111" s="96"/>
      <c r="DWD111" s="96"/>
      <c r="DWE111" s="96"/>
      <c r="DWF111" s="96"/>
      <c r="DWG111" s="96"/>
      <c r="DWH111" s="96"/>
      <c r="DWI111" s="96"/>
      <c r="DWJ111" s="96"/>
      <c r="DWK111" s="96"/>
      <c r="DWL111" s="96"/>
      <c r="DWM111" s="96"/>
      <c r="DWN111" s="96"/>
      <c r="DWO111" s="96"/>
      <c r="DWP111" s="96"/>
      <c r="DWQ111" s="96"/>
      <c r="DWR111" s="96"/>
      <c r="DWS111" s="96"/>
      <c r="DWT111" s="95"/>
      <c r="DWU111" s="96"/>
      <c r="DWV111" s="96"/>
      <c r="DWW111" s="96"/>
      <c r="DWX111" s="96"/>
      <c r="DWY111" s="96"/>
      <c r="DWZ111" s="96"/>
      <c r="DXA111" s="96"/>
      <c r="DXB111" s="96"/>
      <c r="DXC111" s="96"/>
      <c r="DXD111" s="96"/>
      <c r="DXE111" s="96"/>
      <c r="DXF111" s="96"/>
      <c r="DXG111" s="96"/>
      <c r="DXH111" s="96"/>
      <c r="DXI111" s="96"/>
      <c r="DXJ111" s="96"/>
      <c r="DXK111" s="96"/>
      <c r="DXL111" s="96"/>
      <c r="DXM111" s="96"/>
      <c r="DXN111" s="96"/>
      <c r="DXO111" s="96"/>
      <c r="DXP111" s="95"/>
      <c r="DXQ111" s="96"/>
      <c r="DXR111" s="96"/>
      <c r="DXS111" s="96"/>
      <c r="DXT111" s="96"/>
      <c r="DXU111" s="96"/>
      <c r="DXV111" s="96"/>
      <c r="DXW111" s="96"/>
      <c r="DXX111" s="96"/>
      <c r="DXY111" s="96"/>
      <c r="DXZ111" s="96"/>
      <c r="DYA111" s="96"/>
      <c r="DYB111" s="96"/>
      <c r="DYC111" s="96"/>
      <c r="DYD111" s="96"/>
      <c r="DYE111" s="96"/>
      <c r="DYF111" s="96"/>
      <c r="DYG111" s="96"/>
      <c r="DYH111" s="96"/>
      <c r="DYI111" s="96"/>
      <c r="DYJ111" s="96"/>
      <c r="DYK111" s="96"/>
      <c r="DYL111" s="95"/>
      <c r="DYM111" s="96"/>
      <c r="DYN111" s="96"/>
      <c r="DYO111" s="96"/>
      <c r="DYP111" s="96"/>
      <c r="DYQ111" s="96"/>
      <c r="DYR111" s="96"/>
      <c r="DYS111" s="96"/>
      <c r="DYT111" s="96"/>
      <c r="DYU111" s="96"/>
      <c r="DYV111" s="96"/>
      <c r="DYW111" s="96"/>
      <c r="DYX111" s="96"/>
      <c r="DYY111" s="96"/>
      <c r="DYZ111" s="96"/>
      <c r="DZA111" s="96"/>
      <c r="DZB111" s="96"/>
      <c r="DZC111" s="96"/>
      <c r="DZD111" s="96"/>
      <c r="DZE111" s="96"/>
      <c r="DZF111" s="96"/>
      <c r="DZG111" s="96"/>
      <c r="DZH111" s="95"/>
      <c r="DZI111" s="96"/>
      <c r="DZJ111" s="96"/>
      <c r="DZK111" s="96"/>
      <c r="DZL111" s="96"/>
      <c r="DZM111" s="96"/>
      <c r="DZN111" s="96"/>
      <c r="DZO111" s="96"/>
      <c r="DZP111" s="96"/>
      <c r="DZQ111" s="96"/>
      <c r="DZR111" s="96"/>
      <c r="DZS111" s="96"/>
      <c r="DZT111" s="96"/>
      <c r="DZU111" s="96"/>
      <c r="DZV111" s="96"/>
      <c r="DZW111" s="96"/>
      <c r="DZX111" s="96"/>
      <c r="DZY111" s="96"/>
      <c r="DZZ111" s="96"/>
      <c r="EAA111" s="96"/>
      <c r="EAB111" s="96"/>
      <c r="EAC111" s="96"/>
      <c r="EAD111" s="95"/>
      <c r="EAE111" s="96"/>
      <c r="EAF111" s="96"/>
      <c r="EAG111" s="96"/>
      <c r="EAH111" s="96"/>
      <c r="EAI111" s="96"/>
      <c r="EAJ111" s="96"/>
      <c r="EAK111" s="96"/>
      <c r="EAL111" s="96"/>
      <c r="EAM111" s="96"/>
      <c r="EAN111" s="96"/>
      <c r="EAO111" s="96"/>
      <c r="EAP111" s="96"/>
      <c r="EAQ111" s="96"/>
      <c r="EAR111" s="96"/>
      <c r="EAS111" s="96"/>
      <c r="EAT111" s="96"/>
      <c r="EAU111" s="96"/>
      <c r="EAV111" s="96"/>
      <c r="EAW111" s="96"/>
      <c r="EAX111" s="96"/>
      <c r="EAY111" s="96"/>
      <c r="EAZ111" s="95"/>
      <c r="EBA111" s="96"/>
      <c r="EBB111" s="96"/>
      <c r="EBC111" s="96"/>
      <c r="EBD111" s="96"/>
      <c r="EBE111" s="96"/>
      <c r="EBF111" s="96"/>
      <c r="EBG111" s="96"/>
      <c r="EBH111" s="96"/>
      <c r="EBI111" s="96"/>
      <c r="EBJ111" s="96"/>
      <c r="EBK111" s="96"/>
      <c r="EBL111" s="96"/>
      <c r="EBM111" s="96"/>
      <c r="EBN111" s="96"/>
      <c r="EBO111" s="96"/>
      <c r="EBP111" s="96"/>
      <c r="EBQ111" s="96"/>
      <c r="EBR111" s="96"/>
      <c r="EBS111" s="96"/>
      <c r="EBT111" s="96"/>
      <c r="EBU111" s="96"/>
      <c r="EBV111" s="95"/>
      <c r="EBW111" s="96"/>
      <c r="EBX111" s="96"/>
      <c r="EBY111" s="96"/>
      <c r="EBZ111" s="96"/>
      <c r="ECA111" s="96"/>
      <c r="ECB111" s="96"/>
      <c r="ECC111" s="96"/>
      <c r="ECD111" s="96"/>
      <c r="ECE111" s="96"/>
      <c r="ECF111" s="96"/>
      <c r="ECG111" s="96"/>
      <c r="ECH111" s="96"/>
      <c r="ECI111" s="96"/>
      <c r="ECJ111" s="96"/>
      <c r="ECK111" s="96"/>
      <c r="ECL111" s="96"/>
      <c r="ECM111" s="96"/>
      <c r="ECN111" s="96"/>
      <c r="ECO111" s="96"/>
      <c r="ECP111" s="96"/>
      <c r="ECQ111" s="96"/>
      <c r="ECR111" s="95"/>
      <c r="ECS111" s="96"/>
      <c r="ECT111" s="96"/>
      <c r="ECU111" s="96"/>
      <c r="ECV111" s="96"/>
      <c r="ECW111" s="96"/>
      <c r="ECX111" s="96"/>
      <c r="ECY111" s="96"/>
      <c r="ECZ111" s="96"/>
      <c r="EDA111" s="96"/>
      <c r="EDB111" s="96"/>
      <c r="EDC111" s="96"/>
      <c r="EDD111" s="96"/>
      <c r="EDE111" s="96"/>
      <c r="EDF111" s="96"/>
      <c r="EDG111" s="96"/>
      <c r="EDH111" s="96"/>
      <c r="EDI111" s="96"/>
      <c r="EDJ111" s="96"/>
      <c r="EDK111" s="96"/>
      <c r="EDL111" s="96"/>
      <c r="EDM111" s="96"/>
      <c r="EDN111" s="95"/>
      <c r="EDO111" s="96"/>
      <c r="EDP111" s="96"/>
      <c r="EDQ111" s="96"/>
      <c r="EDR111" s="96"/>
      <c r="EDS111" s="96"/>
      <c r="EDT111" s="96"/>
      <c r="EDU111" s="96"/>
      <c r="EDV111" s="96"/>
      <c r="EDW111" s="96"/>
      <c r="EDX111" s="96"/>
      <c r="EDY111" s="96"/>
      <c r="EDZ111" s="96"/>
      <c r="EEA111" s="96"/>
      <c r="EEB111" s="96"/>
      <c r="EEC111" s="96"/>
      <c r="EED111" s="96"/>
      <c r="EEE111" s="96"/>
      <c r="EEF111" s="96"/>
      <c r="EEG111" s="96"/>
      <c r="EEH111" s="96"/>
      <c r="EEI111" s="96"/>
      <c r="EEJ111" s="95"/>
      <c r="EEK111" s="96"/>
      <c r="EEL111" s="96"/>
      <c r="EEM111" s="96"/>
      <c r="EEN111" s="96"/>
      <c r="EEO111" s="96"/>
      <c r="EEP111" s="96"/>
      <c r="EEQ111" s="96"/>
      <c r="EER111" s="96"/>
      <c r="EES111" s="96"/>
      <c r="EET111" s="96"/>
      <c r="EEU111" s="96"/>
      <c r="EEV111" s="96"/>
      <c r="EEW111" s="96"/>
      <c r="EEX111" s="96"/>
      <c r="EEY111" s="96"/>
      <c r="EEZ111" s="96"/>
      <c r="EFA111" s="96"/>
      <c r="EFB111" s="96"/>
      <c r="EFC111" s="96"/>
      <c r="EFD111" s="96"/>
      <c r="EFE111" s="96"/>
      <c r="EFF111" s="95"/>
      <c r="EFG111" s="96"/>
      <c r="EFH111" s="96"/>
      <c r="EFI111" s="96"/>
      <c r="EFJ111" s="96"/>
      <c r="EFK111" s="96"/>
      <c r="EFL111" s="96"/>
      <c r="EFM111" s="96"/>
      <c r="EFN111" s="96"/>
      <c r="EFO111" s="96"/>
      <c r="EFP111" s="96"/>
      <c r="EFQ111" s="96"/>
      <c r="EFR111" s="96"/>
      <c r="EFS111" s="96"/>
      <c r="EFT111" s="96"/>
      <c r="EFU111" s="96"/>
      <c r="EFV111" s="96"/>
      <c r="EFW111" s="96"/>
      <c r="EFX111" s="96"/>
      <c r="EFY111" s="96"/>
      <c r="EFZ111" s="96"/>
      <c r="EGA111" s="96"/>
      <c r="EGB111" s="95"/>
      <c r="EGC111" s="96"/>
      <c r="EGD111" s="96"/>
      <c r="EGE111" s="96"/>
      <c r="EGF111" s="96"/>
      <c r="EGG111" s="96"/>
      <c r="EGH111" s="96"/>
      <c r="EGI111" s="96"/>
      <c r="EGJ111" s="96"/>
      <c r="EGK111" s="96"/>
      <c r="EGL111" s="96"/>
      <c r="EGM111" s="96"/>
      <c r="EGN111" s="96"/>
      <c r="EGO111" s="96"/>
      <c r="EGP111" s="96"/>
      <c r="EGQ111" s="96"/>
      <c r="EGR111" s="96"/>
      <c r="EGS111" s="96"/>
      <c r="EGT111" s="96"/>
      <c r="EGU111" s="96"/>
      <c r="EGV111" s="96"/>
      <c r="EGW111" s="96"/>
      <c r="EGX111" s="95"/>
      <c r="EGY111" s="96"/>
      <c r="EGZ111" s="96"/>
      <c r="EHA111" s="96"/>
      <c r="EHB111" s="96"/>
      <c r="EHC111" s="96"/>
      <c r="EHD111" s="96"/>
      <c r="EHE111" s="96"/>
      <c r="EHF111" s="96"/>
      <c r="EHG111" s="96"/>
      <c r="EHH111" s="96"/>
      <c r="EHI111" s="96"/>
      <c r="EHJ111" s="96"/>
      <c r="EHK111" s="96"/>
      <c r="EHL111" s="96"/>
      <c r="EHM111" s="96"/>
      <c r="EHN111" s="96"/>
      <c r="EHO111" s="96"/>
      <c r="EHP111" s="96"/>
      <c r="EHQ111" s="96"/>
      <c r="EHR111" s="96"/>
      <c r="EHS111" s="96"/>
      <c r="EHT111" s="95"/>
      <c r="EHU111" s="96"/>
      <c r="EHV111" s="96"/>
      <c r="EHW111" s="96"/>
      <c r="EHX111" s="96"/>
      <c r="EHY111" s="96"/>
      <c r="EHZ111" s="96"/>
      <c r="EIA111" s="96"/>
      <c r="EIB111" s="96"/>
      <c r="EIC111" s="96"/>
      <c r="EID111" s="96"/>
      <c r="EIE111" s="96"/>
      <c r="EIF111" s="96"/>
      <c r="EIG111" s="96"/>
      <c r="EIH111" s="96"/>
      <c r="EII111" s="96"/>
      <c r="EIJ111" s="96"/>
      <c r="EIK111" s="96"/>
      <c r="EIL111" s="96"/>
      <c r="EIM111" s="96"/>
      <c r="EIN111" s="96"/>
      <c r="EIO111" s="96"/>
      <c r="EIP111" s="95"/>
      <c r="EIQ111" s="96"/>
      <c r="EIR111" s="96"/>
      <c r="EIS111" s="96"/>
      <c r="EIT111" s="96"/>
      <c r="EIU111" s="96"/>
      <c r="EIV111" s="96"/>
      <c r="EIW111" s="96"/>
      <c r="EIX111" s="96"/>
      <c r="EIY111" s="96"/>
      <c r="EIZ111" s="96"/>
      <c r="EJA111" s="96"/>
      <c r="EJB111" s="96"/>
      <c r="EJC111" s="96"/>
      <c r="EJD111" s="96"/>
      <c r="EJE111" s="96"/>
      <c r="EJF111" s="96"/>
      <c r="EJG111" s="96"/>
      <c r="EJH111" s="96"/>
      <c r="EJI111" s="96"/>
      <c r="EJJ111" s="96"/>
      <c r="EJK111" s="96"/>
      <c r="EJL111" s="95"/>
      <c r="EJM111" s="96"/>
      <c r="EJN111" s="96"/>
      <c r="EJO111" s="96"/>
      <c r="EJP111" s="96"/>
      <c r="EJQ111" s="96"/>
      <c r="EJR111" s="96"/>
      <c r="EJS111" s="96"/>
      <c r="EJT111" s="96"/>
      <c r="EJU111" s="96"/>
      <c r="EJV111" s="96"/>
      <c r="EJW111" s="96"/>
      <c r="EJX111" s="96"/>
      <c r="EJY111" s="96"/>
      <c r="EJZ111" s="96"/>
      <c r="EKA111" s="96"/>
      <c r="EKB111" s="96"/>
      <c r="EKC111" s="96"/>
      <c r="EKD111" s="96"/>
      <c r="EKE111" s="96"/>
      <c r="EKF111" s="96"/>
      <c r="EKG111" s="96"/>
      <c r="EKH111" s="95"/>
      <c r="EKI111" s="96"/>
      <c r="EKJ111" s="96"/>
      <c r="EKK111" s="96"/>
      <c r="EKL111" s="96"/>
      <c r="EKM111" s="96"/>
      <c r="EKN111" s="96"/>
      <c r="EKO111" s="96"/>
      <c r="EKP111" s="96"/>
      <c r="EKQ111" s="96"/>
      <c r="EKR111" s="96"/>
      <c r="EKS111" s="96"/>
      <c r="EKT111" s="96"/>
      <c r="EKU111" s="96"/>
      <c r="EKV111" s="96"/>
      <c r="EKW111" s="96"/>
      <c r="EKX111" s="96"/>
      <c r="EKY111" s="96"/>
      <c r="EKZ111" s="96"/>
      <c r="ELA111" s="96"/>
      <c r="ELB111" s="96"/>
      <c r="ELC111" s="96"/>
      <c r="ELD111" s="95"/>
      <c r="ELE111" s="96"/>
      <c r="ELF111" s="96"/>
      <c r="ELG111" s="96"/>
      <c r="ELH111" s="96"/>
      <c r="ELI111" s="96"/>
      <c r="ELJ111" s="96"/>
      <c r="ELK111" s="96"/>
      <c r="ELL111" s="96"/>
      <c r="ELM111" s="96"/>
      <c r="ELN111" s="96"/>
      <c r="ELO111" s="96"/>
      <c r="ELP111" s="96"/>
      <c r="ELQ111" s="96"/>
      <c r="ELR111" s="96"/>
      <c r="ELS111" s="96"/>
      <c r="ELT111" s="96"/>
      <c r="ELU111" s="96"/>
      <c r="ELV111" s="96"/>
      <c r="ELW111" s="96"/>
      <c r="ELX111" s="96"/>
      <c r="ELY111" s="96"/>
      <c r="ELZ111" s="95"/>
      <c r="EMA111" s="96"/>
      <c r="EMB111" s="96"/>
      <c r="EMC111" s="96"/>
      <c r="EMD111" s="96"/>
      <c r="EME111" s="96"/>
      <c r="EMF111" s="96"/>
      <c r="EMG111" s="96"/>
      <c r="EMH111" s="96"/>
      <c r="EMI111" s="96"/>
      <c r="EMJ111" s="96"/>
      <c r="EMK111" s="96"/>
      <c r="EML111" s="96"/>
      <c r="EMM111" s="96"/>
      <c r="EMN111" s="96"/>
      <c r="EMO111" s="96"/>
      <c r="EMP111" s="96"/>
      <c r="EMQ111" s="96"/>
      <c r="EMR111" s="96"/>
      <c r="EMS111" s="96"/>
      <c r="EMT111" s="96"/>
      <c r="EMU111" s="96"/>
      <c r="EMV111" s="95"/>
      <c r="EMW111" s="96"/>
      <c r="EMX111" s="96"/>
      <c r="EMY111" s="96"/>
      <c r="EMZ111" s="96"/>
      <c r="ENA111" s="96"/>
      <c r="ENB111" s="96"/>
      <c r="ENC111" s="96"/>
      <c r="END111" s="96"/>
      <c r="ENE111" s="96"/>
      <c r="ENF111" s="96"/>
      <c r="ENG111" s="96"/>
      <c r="ENH111" s="96"/>
      <c r="ENI111" s="96"/>
      <c r="ENJ111" s="96"/>
      <c r="ENK111" s="96"/>
      <c r="ENL111" s="96"/>
      <c r="ENM111" s="96"/>
      <c r="ENN111" s="96"/>
      <c r="ENO111" s="96"/>
      <c r="ENP111" s="96"/>
      <c r="ENQ111" s="96"/>
      <c r="ENR111" s="95"/>
      <c r="ENS111" s="96"/>
      <c r="ENT111" s="96"/>
      <c r="ENU111" s="96"/>
      <c r="ENV111" s="96"/>
      <c r="ENW111" s="96"/>
      <c r="ENX111" s="96"/>
      <c r="ENY111" s="96"/>
      <c r="ENZ111" s="96"/>
      <c r="EOA111" s="96"/>
      <c r="EOB111" s="96"/>
      <c r="EOC111" s="96"/>
      <c r="EOD111" s="96"/>
      <c r="EOE111" s="96"/>
      <c r="EOF111" s="96"/>
      <c r="EOG111" s="96"/>
      <c r="EOH111" s="96"/>
      <c r="EOI111" s="96"/>
      <c r="EOJ111" s="96"/>
      <c r="EOK111" s="96"/>
      <c r="EOL111" s="96"/>
      <c r="EOM111" s="96"/>
      <c r="EON111" s="95"/>
      <c r="EOO111" s="96"/>
      <c r="EOP111" s="96"/>
      <c r="EOQ111" s="96"/>
      <c r="EOR111" s="96"/>
      <c r="EOS111" s="96"/>
      <c r="EOT111" s="96"/>
      <c r="EOU111" s="96"/>
      <c r="EOV111" s="96"/>
      <c r="EOW111" s="96"/>
      <c r="EOX111" s="96"/>
      <c r="EOY111" s="96"/>
      <c r="EOZ111" s="96"/>
      <c r="EPA111" s="96"/>
      <c r="EPB111" s="96"/>
      <c r="EPC111" s="96"/>
      <c r="EPD111" s="96"/>
      <c r="EPE111" s="96"/>
      <c r="EPF111" s="96"/>
      <c r="EPG111" s="96"/>
      <c r="EPH111" s="96"/>
      <c r="EPI111" s="96"/>
      <c r="EPJ111" s="95"/>
      <c r="EPK111" s="96"/>
      <c r="EPL111" s="96"/>
      <c r="EPM111" s="96"/>
      <c r="EPN111" s="96"/>
      <c r="EPO111" s="96"/>
      <c r="EPP111" s="96"/>
      <c r="EPQ111" s="96"/>
      <c r="EPR111" s="96"/>
      <c r="EPS111" s="96"/>
      <c r="EPT111" s="96"/>
      <c r="EPU111" s="96"/>
      <c r="EPV111" s="96"/>
      <c r="EPW111" s="96"/>
      <c r="EPX111" s="96"/>
      <c r="EPY111" s="96"/>
      <c r="EPZ111" s="96"/>
      <c r="EQA111" s="96"/>
      <c r="EQB111" s="96"/>
      <c r="EQC111" s="96"/>
      <c r="EQD111" s="96"/>
      <c r="EQE111" s="96"/>
      <c r="EQF111" s="95"/>
      <c r="EQG111" s="96"/>
      <c r="EQH111" s="96"/>
      <c r="EQI111" s="96"/>
      <c r="EQJ111" s="96"/>
      <c r="EQK111" s="96"/>
      <c r="EQL111" s="96"/>
      <c r="EQM111" s="96"/>
      <c r="EQN111" s="96"/>
      <c r="EQO111" s="96"/>
      <c r="EQP111" s="96"/>
      <c r="EQQ111" s="96"/>
      <c r="EQR111" s="96"/>
      <c r="EQS111" s="96"/>
      <c r="EQT111" s="96"/>
      <c r="EQU111" s="96"/>
      <c r="EQV111" s="96"/>
      <c r="EQW111" s="96"/>
      <c r="EQX111" s="96"/>
      <c r="EQY111" s="96"/>
      <c r="EQZ111" s="96"/>
      <c r="ERA111" s="96"/>
      <c r="ERB111" s="95"/>
      <c r="ERC111" s="96"/>
      <c r="ERD111" s="96"/>
      <c r="ERE111" s="96"/>
      <c r="ERF111" s="96"/>
      <c r="ERG111" s="96"/>
      <c r="ERH111" s="96"/>
      <c r="ERI111" s="96"/>
      <c r="ERJ111" s="96"/>
      <c r="ERK111" s="96"/>
      <c r="ERL111" s="96"/>
      <c r="ERM111" s="96"/>
      <c r="ERN111" s="96"/>
      <c r="ERO111" s="96"/>
      <c r="ERP111" s="96"/>
      <c r="ERQ111" s="96"/>
      <c r="ERR111" s="96"/>
      <c r="ERS111" s="96"/>
      <c r="ERT111" s="96"/>
      <c r="ERU111" s="96"/>
      <c r="ERV111" s="96"/>
      <c r="ERW111" s="96"/>
      <c r="ERX111" s="95"/>
      <c r="ERY111" s="96"/>
      <c r="ERZ111" s="96"/>
      <c r="ESA111" s="96"/>
      <c r="ESB111" s="96"/>
      <c r="ESC111" s="96"/>
      <c r="ESD111" s="96"/>
      <c r="ESE111" s="96"/>
      <c r="ESF111" s="96"/>
      <c r="ESG111" s="96"/>
      <c r="ESH111" s="96"/>
      <c r="ESI111" s="96"/>
      <c r="ESJ111" s="96"/>
      <c r="ESK111" s="96"/>
      <c r="ESL111" s="96"/>
      <c r="ESM111" s="96"/>
      <c r="ESN111" s="96"/>
      <c r="ESO111" s="96"/>
      <c r="ESP111" s="96"/>
      <c r="ESQ111" s="96"/>
      <c r="ESR111" s="96"/>
      <c r="ESS111" s="96"/>
      <c r="EST111" s="95"/>
      <c r="ESU111" s="96"/>
      <c r="ESV111" s="96"/>
      <c r="ESW111" s="96"/>
      <c r="ESX111" s="96"/>
      <c r="ESY111" s="96"/>
      <c r="ESZ111" s="96"/>
      <c r="ETA111" s="96"/>
      <c r="ETB111" s="96"/>
      <c r="ETC111" s="96"/>
      <c r="ETD111" s="96"/>
      <c r="ETE111" s="96"/>
      <c r="ETF111" s="96"/>
      <c r="ETG111" s="96"/>
      <c r="ETH111" s="96"/>
      <c r="ETI111" s="96"/>
      <c r="ETJ111" s="96"/>
      <c r="ETK111" s="96"/>
      <c r="ETL111" s="96"/>
      <c r="ETM111" s="96"/>
      <c r="ETN111" s="96"/>
      <c r="ETO111" s="96"/>
      <c r="ETP111" s="95"/>
      <c r="ETQ111" s="96"/>
      <c r="ETR111" s="96"/>
      <c r="ETS111" s="96"/>
      <c r="ETT111" s="96"/>
      <c r="ETU111" s="96"/>
      <c r="ETV111" s="96"/>
      <c r="ETW111" s="96"/>
      <c r="ETX111" s="96"/>
      <c r="ETY111" s="96"/>
      <c r="ETZ111" s="96"/>
      <c r="EUA111" s="96"/>
      <c r="EUB111" s="96"/>
      <c r="EUC111" s="96"/>
      <c r="EUD111" s="96"/>
      <c r="EUE111" s="96"/>
      <c r="EUF111" s="96"/>
      <c r="EUG111" s="96"/>
      <c r="EUH111" s="96"/>
      <c r="EUI111" s="96"/>
      <c r="EUJ111" s="96"/>
      <c r="EUK111" s="96"/>
      <c r="EUL111" s="95"/>
      <c r="EUM111" s="96"/>
      <c r="EUN111" s="96"/>
      <c r="EUO111" s="96"/>
      <c r="EUP111" s="96"/>
      <c r="EUQ111" s="96"/>
      <c r="EUR111" s="96"/>
      <c r="EUS111" s="96"/>
      <c r="EUT111" s="96"/>
      <c r="EUU111" s="96"/>
      <c r="EUV111" s="96"/>
      <c r="EUW111" s="96"/>
      <c r="EUX111" s="96"/>
      <c r="EUY111" s="96"/>
      <c r="EUZ111" s="96"/>
      <c r="EVA111" s="96"/>
      <c r="EVB111" s="96"/>
      <c r="EVC111" s="96"/>
      <c r="EVD111" s="96"/>
      <c r="EVE111" s="96"/>
      <c r="EVF111" s="96"/>
      <c r="EVG111" s="96"/>
      <c r="EVH111" s="95"/>
      <c r="EVI111" s="96"/>
      <c r="EVJ111" s="96"/>
      <c r="EVK111" s="96"/>
      <c r="EVL111" s="96"/>
      <c r="EVM111" s="96"/>
      <c r="EVN111" s="96"/>
      <c r="EVO111" s="96"/>
      <c r="EVP111" s="96"/>
      <c r="EVQ111" s="96"/>
      <c r="EVR111" s="96"/>
      <c r="EVS111" s="96"/>
      <c r="EVT111" s="96"/>
      <c r="EVU111" s="96"/>
      <c r="EVV111" s="96"/>
      <c r="EVW111" s="96"/>
      <c r="EVX111" s="96"/>
      <c r="EVY111" s="96"/>
      <c r="EVZ111" s="96"/>
      <c r="EWA111" s="96"/>
      <c r="EWB111" s="96"/>
      <c r="EWC111" s="96"/>
      <c r="EWD111" s="95"/>
      <c r="EWE111" s="96"/>
      <c r="EWF111" s="96"/>
      <c r="EWG111" s="96"/>
      <c r="EWH111" s="96"/>
      <c r="EWI111" s="96"/>
      <c r="EWJ111" s="96"/>
      <c r="EWK111" s="96"/>
      <c r="EWL111" s="96"/>
      <c r="EWM111" s="96"/>
      <c r="EWN111" s="96"/>
      <c r="EWO111" s="96"/>
      <c r="EWP111" s="96"/>
      <c r="EWQ111" s="96"/>
      <c r="EWR111" s="96"/>
      <c r="EWS111" s="96"/>
      <c r="EWT111" s="96"/>
      <c r="EWU111" s="96"/>
      <c r="EWV111" s="96"/>
      <c r="EWW111" s="96"/>
      <c r="EWX111" s="96"/>
      <c r="EWY111" s="96"/>
      <c r="EWZ111" s="95"/>
      <c r="EXA111" s="96"/>
      <c r="EXB111" s="96"/>
      <c r="EXC111" s="96"/>
      <c r="EXD111" s="96"/>
      <c r="EXE111" s="96"/>
      <c r="EXF111" s="96"/>
      <c r="EXG111" s="96"/>
      <c r="EXH111" s="96"/>
      <c r="EXI111" s="96"/>
      <c r="EXJ111" s="96"/>
      <c r="EXK111" s="96"/>
      <c r="EXL111" s="96"/>
      <c r="EXM111" s="96"/>
      <c r="EXN111" s="96"/>
      <c r="EXO111" s="96"/>
      <c r="EXP111" s="96"/>
      <c r="EXQ111" s="96"/>
      <c r="EXR111" s="96"/>
      <c r="EXS111" s="96"/>
      <c r="EXT111" s="96"/>
      <c r="EXU111" s="96"/>
      <c r="EXV111" s="95"/>
      <c r="EXW111" s="96"/>
      <c r="EXX111" s="96"/>
      <c r="EXY111" s="96"/>
      <c r="EXZ111" s="96"/>
      <c r="EYA111" s="96"/>
      <c r="EYB111" s="96"/>
      <c r="EYC111" s="96"/>
      <c r="EYD111" s="96"/>
      <c r="EYE111" s="96"/>
      <c r="EYF111" s="96"/>
      <c r="EYG111" s="96"/>
      <c r="EYH111" s="96"/>
      <c r="EYI111" s="96"/>
      <c r="EYJ111" s="96"/>
      <c r="EYK111" s="96"/>
      <c r="EYL111" s="96"/>
      <c r="EYM111" s="96"/>
      <c r="EYN111" s="96"/>
      <c r="EYO111" s="96"/>
      <c r="EYP111" s="96"/>
      <c r="EYQ111" s="96"/>
      <c r="EYR111" s="95"/>
      <c r="EYS111" s="96"/>
      <c r="EYT111" s="96"/>
      <c r="EYU111" s="96"/>
      <c r="EYV111" s="96"/>
      <c r="EYW111" s="96"/>
      <c r="EYX111" s="96"/>
      <c r="EYY111" s="96"/>
      <c r="EYZ111" s="96"/>
      <c r="EZA111" s="96"/>
      <c r="EZB111" s="96"/>
      <c r="EZC111" s="96"/>
      <c r="EZD111" s="96"/>
      <c r="EZE111" s="96"/>
      <c r="EZF111" s="96"/>
      <c r="EZG111" s="96"/>
      <c r="EZH111" s="96"/>
      <c r="EZI111" s="96"/>
      <c r="EZJ111" s="96"/>
      <c r="EZK111" s="96"/>
      <c r="EZL111" s="96"/>
      <c r="EZM111" s="96"/>
      <c r="EZN111" s="95"/>
      <c r="EZO111" s="96"/>
      <c r="EZP111" s="96"/>
      <c r="EZQ111" s="96"/>
      <c r="EZR111" s="96"/>
      <c r="EZS111" s="96"/>
      <c r="EZT111" s="96"/>
      <c r="EZU111" s="96"/>
      <c r="EZV111" s="96"/>
      <c r="EZW111" s="96"/>
      <c r="EZX111" s="96"/>
      <c r="EZY111" s="96"/>
      <c r="EZZ111" s="96"/>
      <c r="FAA111" s="96"/>
      <c r="FAB111" s="96"/>
      <c r="FAC111" s="96"/>
      <c r="FAD111" s="96"/>
      <c r="FAE111" s="96"/>
      <c r="FAF111" s="96"/>
      <c r="FAG111" s="96"/>
      <c r="FAH111" s="96"/>
      <c r="FAI111" s="96"/>
      <c r="FAJ111" s="95"/>
      <c r="FAK111" s="96"/>
      <c r="FAL111" s="96"/>
      <c r="FAM111" s="96"/>
      <c r="FAN111" s="96"/>
      <c r="FAO111" s="96"/>
      <c r="FAP111" s="96"/>
      <c r="FAQ111" s="96"/>
      <c r="FAR111" s="96"/>
      <c r="FAS111" s="96"/>
      <c r="FAT111" s="96"/>
      <c r="FAU111" s="96"/>
      <c r="FAV111" s="96"/>
      <c r="FAW111" s="96"/>
      <c r="FAX111" s="96"/>
      <c r="FAY111" s="96"/>
      <c r="FAZ111" s="96"/>
      <c r="FBA111" s="96"/>
      <c r="FBB111" s="96"/>
      <c r="FBC111" s="96"/>
      <c r="FBD111" s="96"/>
      <c r="FBE111" s="96"/>
      <c r="FBF111" s="95"/>
      <c r="FBG111" s="96"/>
      <c r="FBH111" s="96"/>
      <c r="FBI111" s="96"/>
      <c r="FBJ111" s="96"/>
      <c r="FBK111" s="96"/>
      <c r="FBL111" s="96"/>
      <c r="FBM111" s="96"/>
      <c r="FBN111" s="96"/>
      <c r="FBO111" s="96"/>
      <c r="FBP111" s="96"/>
      <c r="FBQ111" s="96"/>
      <c r="FBR111" s="96"/>
      <c r="FBS111" s="96"/>
      <c r="FBT111" s="96"/>
      <c r="FBU111" s="96"/>
      <c r="FBV111" s="96"/>
      <c r="FBW111" s="96"/>
      <c r="FBX111" s="96"/>
      <c r="FBY111" s="96"/>
      <c r="FBZ111" s="96"/>
      <c r="FCA111" s="96"/>
      <c r="FCB111" s="95"/>
      <c r="FCC111" s="96"/>
      <c r="FCD111" s="96"/>
      <c r="FCE111" s="96"/>
      <c r="FCF111" s="96"/>
      <c r="FCG111" s="96"/>
      <c r="FCH111" s="96"/>
      <c r="FCI111" s="96"/>
      <c r="FCJ111" s="96"/>
      <c r="FCK111" s="96"/>
      <c r="FCL111" s="96"/>
      <c r="FCM111" s="96"/>
      <c r="FCN111" s="96"/>
      <c r="FCO111" s="96"/>
      <c r="FCP111" s="96"/>
      <c r="FCQ111" s="96"/>
      <c r="FCR111" s="96"/>
      <c r="FCS111" s="96"/>
      <c r="FCT111" s="96"/>
      <c r="FCU111" s="96"/>
      <c r="FCV111" s="96"/>
      <c r="FCW111" s="96"/>
      <c r="FCX111" s="95"/>
      <c r="FCY111" s="96"/>
      <c r="FCZ111" s="96"/>
      <c r="FDA111" s="96"/>
      <c r="FDB111" s="96"/>
      <c r="FDC111" s="96"/>
      <c r="FDD111" s="96"/>
      <c r="FDE111" s="96"/>
      <c r="FDF111" s="96"/>
      <c r="FDG111" s="96"/>
      <c r="FDH111" s="96"/>
      <c r="FDI111" s="96"/>
      <c r="FDJ111" s="96"/>
      <c r="FDK111" s="96"/>
      <c r="FDL111" s="96"/>
      <c r="FDM111" s="96"/>
      <c r="FDN111" s="96"/>
      <c r="FDO111" s="96"/>
      <c r="FDP111" s="96"/>
      <c r="FDQ111" s="96"/>
      <c r="FDR111" s="96"/>
      <c r="FDS111" s="96"/>
      <c r="FDT111" s="95"/>
      <c r="FDU111" s="96"/>
      <c r="FDV111" s="96"/>
      <c r="FDW111" s="96"/>
      <c r="FDX111" s="96"/>
      <c r="FDY111" s="96"/>
      <c r="FDZ111" s="96"/>
      <c r="FEA111" s="96"/>
      <c r="FEB111" s="96"/>
      <c r="FEC111" s="96"/>
      <c r="FED111" s="96"/>
      <c r="FEE111" s="96"/>
      <c r="FEF111" s="96"/>
      <c r="FEG111" s="96"/>
      <c r="FEH111" s="96"/>
      <c r="FEI111" s="96"/>
      <c r="FEJ111" s="96"/>
      <c r="FEK111" s="96"/>
      <c r="FEL111" s="96"/>
      <c r="FEM111" s="96"/>
      <c r="FEN111" s="96"/>
      <c r="FEO111" s="96"/>
      <c r="FEP111" s="95"/>
      <c r="FEQ111" s="96"/>
      <c r="FER111" s="96"/>
      <c r="FES111" s="96"/>
      <c r="FET111" s="96"/>
      <c r="FEU111" s="96"/>
      <c r="FEV111" s="96"/>
      <c r="FEW111" s="96"/>
      <c r="FEX111" s="96"/>
      <c r="FEY111" s="96"/>
      <c r="FEZ111" s="96"/>
      <c r="FFA111" s="96"/>
      <c r="FFB111" s="96"/>
      <c r="FFC111" s="96"/>
      <c r="FFD111" s="96"/>
      <c r="FFE111" s="96"/>
      <c r="FFF111" s="96"/>
      <c r="FFG111" s="96"/>
      <c r="FFH111" s="96"/>
      <c r="FFI111" s="96"/>
      <c r="FFJ111" s="96"/>
      <c r="FFK111" s="96"/>
      <c r="FFL111" s="95"/>
      <c r="FFM111" s="96"/>
      <c r="FFN111" s="96"/>
      <c r="FFO111" s="96"/>
      <c r="FFP111" s="96"/>
      <c r="FFQ111" s="96"/>
      <c r="FFR111" s="96"/>
      <c r="FFS111" s="96"/>
      <c r="FFT111" s="96"/>
      <c r="FFU111" s="96"/>
      <c r="FFV111" s="96"/>
      <c r="FFW111" s="96"/>
      <c r="FFX111" s="96"/>
      <c r="FFY111" s="96"/>
      <c r="FFZ111" s="96"/>
      <c r="FGA111" s="96"/>
      <c r="FGB111" s="96"/>
      <c r="FGC111" s="96"/>
      <c r="FGD111" s="96"/>
      <c r="FGE111" s="96"/>
      <c r="FGF111" s="96"/>
      <c r="FGG111" s="96"/>
      <c r="FGH111" s="95"/>
      <c r="FGI111" s="96"/>
      <c r="FGJ111" s="96"/>
      <c r="FGK111" s="96"/>
      <c r="FGL111" s="96"/>
      <c r="FGM111" s="96"/>
      <c r="FGN111" s="96"/>
      <c r="FGO111" s="96"/>
      <c r="FGP111" s="96"/>
      <c r="FGQ111" s="96"/>
      <c r="FGR111" s="96"/>
      <c r="FGS111" s="96"/>
      <c r="FGT111" s="96"/>
      <c r="FGU111" s="96"/>
      <c r="FGV111" s="96"/>
      <c r="FGW111" s="96"/>
      <c r="FGX111" s="96"/>
      <c r="FGY111" s="96"/>
      <c r="FGZ111" s="96"/>
      <c r="FHA111" s="96"/>
      <c r="FHB111" s="96"/>
      <c r="FHC111" s="96"/>
      <c r="FHD111" s="95"/>
      <c r="FHE111" s="96"/>
      <c r="FHF111" s="96"/>
      <c r="FHG111" s="96"/>
      <c r="FHH111" s="96"/>
      <c r="FHI111" s="96"/>
      <c r="FHJ111" s="96"/>
      <c r="FHK111" s="96"/>
      <c r="FHL111" s="96"/>
      <c r="FHM111" s="96"/>
      <c r="FHN111" s="96"/>
      <c r="FHO111" s="96"/>
      <c r="FHP111" s="96"/>
      <c r="FHQ111" s="96"/>
      <c r="FHR111" s="96"/>
      <c r="FHS111" s="96"/>
      <c r="FHT111" s="96"/>
      <c r="FHU111" s="96"/>
      <c r="FHV111" s="96"/>
      <c r="FHW111" s="96"/>
      <c r="FHX111" s="96"/>
      <c r="FHY111" s="96"/>
      <c r="FHZ111" s="95"/>
      <c r="FIA111" s="96"/>
      <c r="FIB111" s="96"/>
      <c r="FIC111" s="96"/>
      <c r="FID111" s="96"/>
      <c r="FIE111" s="96"/>
      <c r="FIF111" s="96"/>
      <c r="FIG111" s="96"/>
      <c r="FIH111" s="96"/>
      <c r="FII111" s="96"/>
      <c r="FIJ111" s="96"/>
      <c r="FIK111" s="96"/>
      <c r="FIL111" s="96"/>
      <c r="FIM111" s="96"/>
      <c r="FIN111" s="96"/>
      <c r="FIO111" s="96"/>
      <c r="FIP111" s="96"/>
      <c r="FIQ111" s="96"/>
      <c r="FIR111" s="96"/>
      <c r="FIS111" s="96"/>
      <c r="FIT111" s="96"/>
      <c r="FIU111" s="96"/>
      <c r="FIV111" s="95"/>
      <c r="FIW111" s="96"/>
      <c r="FIX111" s="96"/>
      <c r="FIY111" s="96"/>
      <c r="FIZ111" s="96"/>
      <c r="FJA111" s="96"/>
      <c r="FJB111" s="96"/>
      <c r="FJC111" s="96"/>
      <c r="FJD111" s="96"/>
      <c r="FJE111" s="96"/>
      <c r="FJF111" s="96"/>
      <c r="FJG111" s="96"/>
      <c r="FJH111" s="96"/>
      <c r="FJI111" s="96"/>
      <c r="FJJ111" s="96"/>
      <c r="FJK111" s="96"/>
      <c r="FJL111" s="96"/>
      <c r="FJM111" s="96"/>
      <c r="FJN111" s="96"/>
      <c r="FJO111" s="96"/>
      <c r="FJP111" s="96"/>
      <c r="FJQ111" s="96"/>
      <c r="FJR111" s="95"/>
      <c r="FJS111" s="96"/>
      <c r="FJT111" s="96"/>
      <c r="FJU111" s="96"/>
      <c r="FJV111" s="96"/>
      <c r="FJW111" s="96"/>
      <c r="FJX111" s="96"/>
      <c r="FJY111" s="96"/>
      <c r="FJZ111" s="96"/>
      <c r="FKA111" s="96"/>
      <c r="FKB111" s="96"/>
      <c r="FKC111" s="96"/>
      <c r="FKD111" s="96"/>
      <c r="FKE111" s="96"/>
      <c r="FKF111" s="96"/>
      <c r="FKG111" s="96"/>
      <c r="FKH111" s="96"/>
      <c r="FKI111" s="96"/>
      <c r="FKJ111" s="96"/>
      <c r="FKK111" s="96"/>
      <c r="FKL111" s="96"/>
      <c r="FKM111" s="96"/>
      <c r="FKN111" s="95"/>
      <c r="FKO111" s="96"/>
      <c r="FKP111" s="96"/>
      <c r="FKQ111" s="96"/>
      <c r="FKR111" s="96"/>
      <c r="FKS111" s="96"/>
      <c r="FKT111" s="96"/>
      <c r="FKU111" s="96"/>
      <c r="FKV111" s="96"/>
      <c r="FKW111" s="96"/>
      <c r="FKX111" s="96"/>
      <c r="FKY111" s="96"/>
      <c r="FKZ111" s="96"/>
      <c r="FLA111" s="96"/>
      <c r="FLB111" s="96"/>
      <c r="FLC111" s="96"/>
      <c r="FLD111" s="96"/>
      <c r="FLE111" s="96"/>
      <c r="FLF111" s="96"/>
      <c r="FLG111" s="96"/>
      <c r="FLH111" s="96"/>
      <c r="FLI111" s="96"/>
      <c r="FLJ111" s="95"/>
      <c r="FLK111" s="96"/>
      <c r="FLL111" s="96"/>
      <c r="FLM111" s="96"/>
      <c r="FLN111" s="96"/>
      <c r="FLO111" s="96"/>
      <c r="FLP111" s="96"/>
      <c r="FLQ111" s="96"/>
      <c r="FLR111" s="96"/>
      <c r="FLS111" s="96"/>
      <c r="FLT111" s="96"/>
      <c r="FLU111" s="96"/>
      <c r="FLV111" s="96"/>
      <c r="FLW111" s="96"/>
      <c r="FLX111" s="96"/>
      <c r="FLY111" s="96"/>
      <c r="FLZ111" s="96"/>
      <c r="FMA111" s="96"/>
      <c r="FMB111" s="96"/>
      <c r="FMC111" s="96"/>
      <c r="FMD111" s="96"/>
      <c r="FME111" s="96"/>
      <c r="FMF111" s="95"/>
      <c r="FMG111" s="96"/>
      <c r="FMH111" s="96"/>
      <c r="FMI111" s="96"/>
      <c r="FMJ111" s="96"/>
      <c r="FMK111" s="96"/>
      <c r="FML111" s="96"/>
      <c r="FMM111" s="96"/>
      <c r="FMN111" s="96"/>
      <c r="FMO111" s="96"/>
      <c r="FMP111" s="96"/>
      <c r="FMQ111" s="96"/>
      <c r="FMR111" s="96"/>
      <c r="FMS111" s="96"/>
      <c r="FMT111" s="96"/>
      <c r="FMU111" s="96"/>
      <c r="FMV111" s="96"/>
      <c r="FMW111" s="96"/>
      <c r="FMX111" s="96"/>
      <c r="FMY111" s="96"/>
      <c r="FMZ111" s="96"/>
      <c r="FNA111" s="96"/>
      <c r="FNB111" s="95"/>
      <c r="FNC111" s="96"/>
      <c r="FND111" s="96"/>
      <c r="FNE111" s="96"/>
      <c r="FNF111" s="96"/>
      <c r="FNG111" s="96"/>
      <c r="FNH111" s="96"/>
      <c r="FNI111" s="96"/>
      <c r="FNJ111" s="96"/>
      <c r="FNK111" s="96"/>
      <c r="FNL111" s="96"/>
      <c r="FNM111" s="96"/>
      <c r="FNN111" s="96"/>
      <c r="FNO111" s="96"/>
      <c r="FNP111" s="96"/>
      <c r="FNQ111" s="96"/>
      <c r="FNR111" s="96"/>
      <c r="FNS111" s="96"/>
      <c r="FNT111" s="96"/>
      <c r="FNU111" s="96"/>
      <c r="FNV111" s="96"/>
      <c r="FNW111" s="96"/>
      <c r="FNX111" s="95"/>
      <c r="FNY111" s="96"/>
      <c r="FNZ111" s="96"/>
      <c r="FOA111" s="96"/>
      <c r="FOB111" s="96"/>
      <c r="FOC111" s="96"/>
      <c r="FOD111" s="96"/>
      <c r="FOE111" s="96"/>
      <c r="FOF111" s="96"/>
      <c r="FOG111" s="96"/>
      <c r="FOH111" s="96"/>
      <c r="FOI111" s="96"/>
      <c r="FOJ111" s="96"/>
      <c r="FOK111" s="96"/>
      <c r="FOL111" s="96"/>
      <c r="FOM111" s="96"/>
      <c r="FON111" s="96"/>
      <c r="FOO111" s="96"/>
      <c r="FOP111" s="96"/>
      <c r="FOQ111" s="96"/>
      <c r="FOR111" s="96"/>
      <c r="FOS111" s="96"/>
      <c r="FOT111" s="95"/>
      <c r="FOU111" s="96"/>
      <c r="FOV111" s="96"/>
      <c r="FOW111" s="96"/>
      <c r="FOX111" s="96"/>
      <c r="FOY111" s="96"/>
      <c r="FOZ111" s="96"/>
      <c r="FPA111" s="96"/>
      <c r="FPB111" s="96"/>
      <c r="FPC111" s="96"/>
      <c r="FPD111" s="96"/>
      <c r="FPE111" s="96"/>
      <c r="FPF111" s="96"/>
      <c r="FPG111" s="96"/>
      <c r="FPH111" s="96"/>
      <c r="FPI111" s="96"/>
      <c r="FPJ111" s="96"/>
      <c r="FPK111" s="96"/>
      <c r="FPL111" s="96"/>
      <c r="FPM111" s="96"/>
      <c r="FPN111" s="96"/>
      <c r="FPO111" s="96"/>
      <c r="FPP111" s="95"/>
      <c r="FPQ111" s="96"/>
      <c r="FPR111" s="96"/>
      <c r="FPS111" s="96"/>
      <c r="FPT111" s="96"/>
      <c r="FPU111" s="96"/>
      <c r="FPV111" s="96"/>
      <c r="FPW111" s="96"/>
      <c r="FPX111" s="96"/>
      <c r="FPY111" s="96"/>
      <c r="FPZ111" s="96"/>
      <c r="FQA111" s="96"/>
      <c r="FQB111" s="96"/>
      <c r="FQC111" s="96"/>
      <c r="FQD111" s="96"/>
      <c r="FQE111" s="96"/>
      <c r="FQF111" s="96"/>
      <c r="FQG111" s="96"/>
      <c r="FQH111" s="96"/>
      <c r="FQI111" s="96"/>
      <c r="FQJ111" s="96"/>
      <c r="FQK111" s="96"/>
      <c r="FQL111" s="95"/>
      <c r="FQM111" s="96"/>
      <c r="FQN111" s="96"/>
      <c r="FQO111" s="96"/>
      <c r="FQP111" s="96"/>
      <c r="FQQ111" s="96"/>
      <c r="FQR111" s="96"/>
      <c r="FQS111" s="96"/>
      <c r="FQT111" s="96"/>
      <c r="FQU111" s="96"/>
      <c r="FQV111" s="96"/>
      <c r="FQW111" s="96"/>
      <c r="FQX111" s="96"/>
      <c r="FQY111" s="96"/>
      <c r="FQZ111" s="96"/>
      <c r="FRA111" s="96"/>
      <c r="FRB111" s="96"/>
      <c r="FRC111" s="96"/>
      <c r="FRD111" s="96"/>
      <c r="FRE111" s="96"/>
      <c r="FRF111" s="96"/>
      <c r="FRG111" s="96"/>
      <c r="FRH111" s="95"/>
      <c r="FRI111" s="96"/>
      <c r="FRJ111" s="96"/>
      <c r="FRK111" s="96"/>
      <c r="FRL111" s="96"/>
      <c r="FRM111" s="96"/>
      <c r="FRN111" s="96"/>
      <c r="FRO111" s="96"/>
      <c r="FRP111" s="96"/>
      <c r="FRQ111" s="96"/>
      <c r="FRR111" s="96"/>
      <c r="FRS111" s="96"/>
      <c r="FRT111" s="96"/>
      <c r="FRU111" s="96"/>
      <c r="FRV111" s="96"/>
      <c r="FRW111" s="96"/>
      <c r="FRX111" s="96"/>
      <c r="FRY111" s="96"/>
      <c r="FRZ111" s="96"/>
      <c r="FSA111" s="96"/>
      <c r="FSB111" s="96"/>
      <c r="FSC111" s="96"/>
      <c r="FSD111" s="95"/>
      <c r="FSE111" s="96"/>
      <c r="FSF111" s="96"/>
      <c r="FSG111" s="96"/>
      <c r="FSH111" s="96"/>
      <c r="FSI111" s="96"/>
      <c r="FSJ111" s="96"/>
      <c r="FSK111" s="96"/>
      <c r="FSL111" s="96"/>
      <c r="FSM111" s="96"/>
      <c r="FSN111" s="96"/>
      <c r="FSO111" s="96"/>
      <c r="FSP111" s="96"/>
      <c r="FSQ111" s="96"/>
      <c r="FSR111" s="96"/>
      <c r="FSS111" s="96"/>
      <c r="FST111" s="96"/>
      <c r="FSU111" s="96"/>
      <c r="FSV111" s="96"/>
      <c r="FSW111" s="96"/>
      <c r="FSX111" s="96"/>
      <c r="FSY111" s="96"/>
      <c r="FSZ111" s="95"/>
      <c r="FTA111" s="96"/>
      <c r="FTB111" s="96"/>
      <c r="FTC111" s="96"/>
      <c r="FTD111" s="96"/>
      <c r="FTE111" s="96"/>
      <c r="FTF111" s="96"/>
      <c r="FTG111" s="96"/>
      <c r="FTH111" s="96"/>
      <c r="FTI111" s="96"/>
      <c r="FTJ111" s="96"/>
      <c r="FTK111" s="96"/>
      <c r="FTL111" s="96"/>
      <c r="FTM111" s="96"/>
      <c r="FTN111" s="96"/>
      <c r="FTO111" s="96"/>
      <c r="FTP111" s="96"/>
      <c r="FTQ111" s="96"/>
      <c r="FTR111" s="96"/>
      <c r="FTS111" s="96"/>
      <c r="FTT111" s="96"/>
      <c r="FTU111" s="96"/>
      <c r="FTV111" s="95"/>
      <c r="FTW111" s="96"/>
      <c r="FTX111" s="96"/>
      <c r="FTY111" s="96"/>
      <c r="FTZ111" s="96"/>
      <c r="FUA111" s="96"/>
      <c r="FUB111" s="96"/>
      <c r="FUC111" s="96"/>
      <c r="FUD111" s="96"/>
      <c r="FUE111" s="96"/>
      <c r="FUF111" s="96"/>
      <c r="FUG111" s="96"/>
      <c r="FUH111" s="96"/>
      <c r="FUI111" s="96"/>
      <c r="FUJ111" s="96"/>
      <c r="FUK111" s="96"/>
      <c r="FUL111" s="96"/>
      <c r="FUM111" s="96"/>
      <c r="FUN111" s="96"/>
      <c r="FUO111" s="96"/>
      <c r="FUP111" s="96"/>
      <c r="FUQ111" s="96"/>
      <c r="FUR111" s="95"/>
      <c r="FUS111" s="96"/>
      <c r="FUT111" s="96"/>
      <c r="FUU111" s="96"/>
      <c r="FUV111" s="96"/>
      <c r="FUW111" s="96"/>
      <c r="FUX111" s="96"/>
      <c r="FUY111" s="96"/>
      <c r="FUZ111" s="96"/>
      <c r="FVA111" s="96"/>
      <c r="FVB111" s="96"/>
      <c r="FVC111" s="96"/>
      <c r="FVD111" s="96"/>
      <c r="FVE111" s="96"/>
      <c r="FVF111" s="96"/>
      <c r="FVG111" s="96"/>
      <c r="FVH111" s="96"/>
      <c r="FVI111" s="96"/>
      <c r="FVJ111" s="96"/>
      <c r="FVK111" s="96"/>
      <c r="FVL111" s="96"/>
      <c r="FVM111" s="96"/>
      <c r="FVN111" s="95"/>
      <c r="FVO111" s="96"/>
      <c r="FVP111" s="96"/>
      <c r="FVQ111" s="96"/>
      <c r="FVR111" s="96"/>
      <c r="FVS111" s="96"/>
      <c r="FVT111" s="96"/>
      <c r="FVU111" s="96"/>
      <c r="FVV111" s="96"/>
      <c r="FVW111" s="96"/>
      <c r="FVX111" s="96"/>
      <c r="FVY111" s="96"/>
      <c r="FVZ111" s="96"/>
      <c r="FWA111" s="96"/>
      <c r="FWB111" s="96"/>
      <c r="FWC111" s="96"/>
      <c r="FWD111" s="96"/>
      <c r="FWE111" s="96"/>
      <c r="FWF111" s="96"/>
      <c r="FWG111" s="96"/>
      <c r="FWH111" s="96"/>
      <c r="FWI111" s="96"/>
      <c r="FWJ111" s="95"/>
      <c r="FWK111" s="96"/>
      <c r="FWL111" s="96"/>
      <c r="FWM111" s="96"/>
      <c r="FWN111" s="96"/>
      <c r="FWO111" s="96"/>
      <c r="FWP111" s="96"/>
      <c r="FWQ111" s="96"/>
      <c r="FWR111" s="96"/>
      <c r="FWS111" s="96"/>
      <c r="FWT111" s="96"/>
      <c r="FWU111" s="96"/>
      <c r="FWV111" s="96"/>
      <c r="FWW111" s="96"/>
      <c r="FWX111" s="96"/>
      <c r="FWY111" s="96"/>
      <c r="FWZ111" s="96"/>
      <c r="FXA111" s="96"/>
      <c r="FXB111" s="96"/>
      <c r="FXC111" s="96"/>
      <c r="FXD111" s="96"/>
      <c r="FXE111" s="96"/>
      <c r="FXF111" s="95"/>
      <c r="FXG111" s="96"/>
      <c r="FXH111" s="96"/>
      <c r="FXI111" s="96"/>
      <c r="FXJ111" s="96"/>
      <c r="FXK111" s="96"/>
      <c r="FXL111" s="96"/>
      <c r="FXM111" s="96"/>
      <c r="FXN111" s="96"/>
      <c r="FXO111" s="96"/>
      <c r="FXP111" s="96"/>
      <c r="FXQ111" s="96"/>
      <c r="FXR111" s="96"/>
      <c r="FXS111" s="96"/>
      <c r="FXT111" s="96"/>
      <c r="FXU111" s="96"/>
      <c r="FXV111" s="96"/>
      <c r="FXW111" s="96"/>
      <c r="FXX111" s="96"/>
      <c r="FXY111" s="96"/>
      <c r="FXZ111" s="96"/>
      <c r="FYA111" s="96"/>
      <c r="FYB111" s="95"/>
      <c r="FYC111" s="96"/>
      <c r="FYD111" s="96"/>
      <c r="FYE111" s="96"/>
      <c r="FYF111" s="96"/>
      <c r="FYG111" s="96"/>
      <c r="FYH111" s="96"/>
      <c r="FYI111" s="96"/>
      <c r="FYJ111" s="96"/>
      <c r="FYK111" s="96"/>
      <c r="FYL111" s="96"/>
      <c r="FYM111" s="96"/>
      <c r="FYN111" s="96"/>
      <c r="FYO111" s="96"/>
      <c r="FYP111" s="96"/>
      <c r="FYQ111" s="96"/>
      <c r="FYR111" s="96"/>
      <c r="FYS111" s="96"/>
      <c r="FYT111" s="96"/>
      <c r="FYU111" s="96"/>
      <c r="FYV111" s="96"/>
      <c r="FYW111" s="96"/>
      <c r="FYX111" s="95"/>
      <c r="FYY111" s="96"/>
      <c r="FYZ111" s="96"/>
      <c r="FZA111" s="96"/>
      <c r="FZB111" s="96"/>
      <c r="FZC111" s="96"/>
      <c r="FZD111" s="96"/>
      <c r="FZE111" s="96"/>
      <c r="FZF111" s="96"/>
      <c r="FZG111" s="96"/>
      <c r="FZH111" s="96"/>
      <c r="FZI111" s="96"/>
      <c r="FZJ111" s="96"/>
      <c r="FZK111" s="96"/>
      <c r="FZL111" s="96"/>
      <c r="FZM111" s="96"/>
      <c r="FZN111" s="96"/>
      <c r="FZO111" s="96"/>
      <c r="FZP111" s="96"/>
      <c r="FZQ111" s="96"/>
      <c r="FZR111" s="96"/>
      <c r="FZS111" s="96"/>
      <c r="FZT111" s="95"/>
      <c r="FZU111" s="96"/>
      <c r="FZV111" s="96"/>
      <c r="FZW111" s="96"/>
      <c r="FZX111" s="96"/>
      <c r="FZY111" s="96"/>
      <c r="FZZ111" s="96"/>
      <c r="GAA111" s="96"/>
      <c r="GAB111" s="96"/>
      <c r="GAC111" s="96"/>
      <c r="GAD111" s="96"/>
      <c r="GAE111" s="96"/>
      <c r="GAF111" s="96"/>
      <c r="GAG111" s="96"/>
      <c r="GAH111" s="96"/>
      <c r="GAI111" s="96"/>
      <c r="GAJ111" s="96"/>
      <c r="GAK111" s="96"/>
      <c r="GAL111" s="96"/>
      <c r="GAM111" s="96"/>
      <c r="GAN111" s="96"/>
      <c r="GAO111" s="96"/>
      <c r="GAP111" s="95"/>
      <c r="GAQ111" s="96"/>
      <c r="GAR111" s="96"/>
      <c r="GAS111" s="96"/>
      <c r="GAT111" s="96"/>
      <c r="GAU111" s="96"/>
      <c r="GAV111" s="96"/>
      <c r="GAW111" s="96"/>
      <c r="GAX111" s="96"/>
      <c r="GAY111" s="96"/>
      <c r="GAZ111" s="96"/>
      <c r="GBA111" s="96"/>
      <c r="GBB111" s="96"/>
      <c r="GBC111" s="96"/>
      <c r="GBD111" s="96"/>
      <c r="GBE111" s="96"/>
      <c r="GBF111" s="96"/>
      <c r="GBG111" s="96"/>
      <c r="GBH111" s="96"/>
      <c r="GBI111" s="96"/>
      <c r="GBJ111" s="96"/>
      <c r="GBK111" s="96"/>
      <c r="GBL111" s="95"/>
      <c r="GBM111" s="96"/>
      <c r="GBN111" s="96"/>
      <c r="GBO111" s="96"/>
      <c r="GBP111" s="96"/>
      <c r="GBQ111" s="96"/>
      <c r="GBR111" s="96"/>
      <c r="GBS111" s="96"/>
      <c r="GBT111" s="96"/>
      <c r="GBU111" s="96"/>
      <c r="GBV111" s="96"/>
      <c r="GBW111" s="96"/>
      <c r="GBX111" s="96"/>
      <c r="GBY111" s="96"/>
      <c r="GBZ111" s="96"/>
      <c r="GCA111" s="96"/>
      <c r="GCB111" s="96"/>
      <c r="GCC111" s="96"/>
      <c r="GCD111" s="96"/>
      <c r="GCE111" s="96"/>
      <c r="GCF111" s="96"/>
      <c r="GCG111" s="96"/>
      <c r="GCH111" s="95"/>
      <c r="GCI111" s="96"/>
      <c r="GCJ111" s="96"/>
      <c r="GCK111" s="96"/>
      <c r="GCL111" s="96"/>
      <c r="GCM111" s="96"/>
      <c r="GCN111" s="96"/>
      <c r="GCO111" s="96"/>
      <c r="GCP111" s="96"/>
      <c r="GCQ111" s="96"/>
      <c r="GCR111" s="96"/>
      <c r="GCS111" s="96"/>
      <c r="GCT111" s="96"/>
      <c r="GCU111" s="96"/>
      <c r="GCV111" s="96"/>
      <c r="GCW111" s="96"/>
      <c r="GCX111" s="96"/>
      <c r="GCY111" s="96"/>
      <c r="GCZ111" s="96"/>
      <c r="GDA111" s="96"/>
      <c r="GDB111" s="96"/>
      <c r="GDC111" s="96"/>
      <c r="GDD111" s="95"/>
      <c r="GDE111" s="96"/>
      <c r="GDF111" s="96"/>
      <c r="GDG111" s="96"/>
      <c r="GDH111" s="96"/>
      <c r="GDI111" s="96"/>
      <c r="GDJ111" s="96"/>
      <c r="GDK111" s="96"/>
      <c r="GDL111" s="96"/>
      <c r="GDM111" s="96"/>
      <c r="GDN111" s="96"/>
      <c r="GDO111" s="96"/>
      <c r="GDP111" s="96"/>
      <c r="GDQ111" s="96"/>
      <c r="GDR111" s="96"/>
      <c r="GDS111" s="96"/>
      <c r="GDT111" s="96"/>
      <c r="GDU111" s="96"/>
      <c r="GDV111" s="96"/>
      <c r="GDW111" s="96"/>
      <c r="GDX111" s="96"/>
      <c r="GDY111" s="96"/>
      <c r="GDZ111" s="95"/>
      <c r="GEA111" s="96"/>
      <c r="GEB111" s="96"/>
      <c r="GEC111" s="96"/>
      <c r="GED111" s="96"/>
      <c r="GEE111" s="96"/>
      <c r="GEF111" s="96"/>
      <c r="GEG111" s="96"/>
      <c r="GEH111" s="96"/>
      <c r="GEI111" s="96"/>
      <c r="GEJ111" s="96"/>
      <c r="GEK111" s="96"/>
      <c r="GEL111" s="96"/>
      <c r="GEM111" s="96"/>
      <c r="GEN111" s="96"/>
      <c r="GEO111" s="96"/>
      <c r="GEP111" s="96"/>
      <c r="GEQ111" s="96"/>
      <c r="GER111" s="96"/>
      <c r="GES111" s="96"/>
      <c r="GET111" s="96"/>
      <c r="GEU111" s="96"/>
      <c r="GEV111" s="95"/>
      <c r="GEW111" s="96"/>
      <c r="GEX111" s="96"/>
      <c r="GEY111" s="96"/>
      <c r="GEZ111" s="96"/>
      <c r="GFA111" s="96"/>
      <c r="GFB111" s="96"/>
      <c r="GFC111" s="96"/>
      <c r="GFD111" s="96"/>
      <c r="GFE111" s="96"/>
      <c r="GFF111" s="96"/>
      <c r="GFG111" s="96"/>
      <c r="GFH111" s="96"/>
      <c r="GFI111" s="96"/>
      <c r="GFJ111" s="96"/>
      <c r="GFK111" s="96"/>
      <c r="GFL111" s="96"/>
      <c r="GFM111" s="96"/>
      <c r="GFN111" s="96"/>
      <c r="GFO111" s="96"/>
      <c r="GFP111" s="96"/>
      <c r="GFQ111" s="96"/>
      <c r="GFR111" s="95"/>
      <c r="GFS111" s="96"/>
      <c r="GFT111" s="96"/>
      <c r="GFU111" s="96"/>
      <c r="GFV111" s="96"/>
      <c r="GFW111" s="96"/>
      <c r="GFX111" s="96"/>
      <c r="GFY111" s="96"/>
      <c r="GFZ111" s="96"/>
      <c r="GGA111" s="96"/>
      <c r="GGB111" s="96"/>
      <c r="GGC111" s="96"/>
      <c r="GGD111" s="96"/>
      <c r="GGE111" s="96"/>
      <c r="GGF111" s="96"/>
      <c r="GGG111" s="96"/>
      <c r="GGH111" s="96"/>
      <c r="GGI111" s="96"/>
      <c r="GGJ111" s="96"/>
      <c r="GGK111" s="96"/>
      <c r="GGL111" s="96"/>
      <c r="GGM111" s="96"/>
      <c r="GGN111" s="95"/>
      <c r="GGO111" s="96"/>
      <c r="GGP111" s="96"/>
      <c r="GGQ111" s="96"/>
      <c r="GGR111" s="96"/>
      <c r="GGS111" s="96"/>
      <c r="GGT111" s="96"/>
      <c r="GGU111" s="96"/>
      <c r="GGV111" s="96"/>
      <c r="GGW111" s="96"/>
      <c r="GGX111" s="96"/>
      <c r="GGY111" s="96"/>
      <c r="GGZ111" s="96"/>
      <c r="GHA111" s="96"/>
      <c r="GHB111" s="96"/>
      <c r="GHC111" s="96"/>
      <c r="GHD111" s="96"/>
      <c r="GHE111" s="96"/>
      <c r="GHF111" s="96"/>
      <c r="GHG111" s="96"/>
      <c r="GHH111" s="96"/>
      <c r="GHI111" s="96"/>
      <c r="GHJ111" s="95"/>
      <c r="GHK111" s="96"/>
      <c r="GHL111" s="96"/>
      <c r="GHM111" s="96"/>
      <c r="GHN111" s="96"/>
      <c r="GHO111" s="96"/>
      <c r="GHP111" s="96"/>
      <c r="GHQ111" s="96"/>
      <c r="GHR111" s="96"/>
      <c r="GHS111" s="96"/>
      <c r="GHT111" s="96"/>
      <c r="GHU111" s="96"/>
      <c r="GHV111" s="96"/>
      <c r="GHW111" s="96"/>
      <c r="GHX111" s="96"/>
      <c r="GHY111" s="96"/>
      <c r="GHZ111" s="96"/>
      <c r="GIA111" s="96"/>
      <c r="GIB111" s="96"/>
      <c r="GIC111" s="96"/>
      <c r="GID111" s="96"/>
      <c r="GIE111" s="96"/>
      <c r="GIF111" s="95"/>
      <c r="GIG111" s="96"/>
      <c r="GIH111" s="96"/>
      <c r="GII111" s="96"/>
      <c r="GIJ111" s="96"/>
      <c r="GIK111" s="96"/>
      <c r="GIL111" s="96"/>
      <c r="GIM111" s="96"/>
      <c r="GIN111" s="96"/>
      <c r="GIO111" s="96"/>
      <c r="GIP111" s="96"/>
      <c r="GIQ111" s="96"/>
      <c r="GIR111" s="96"/>
      <c r="GIS111" s="96"/>
      <c r="GIT111" s="96"/>
      <c r="GIU111" s="96"/>
      <c r="GIV111" s="96"/>
      <c r="GIW111" s="96"/>
      <c r="GIX111" s="96"/>
      <c r="GIY111" s="96"/>
      <c r="GIZ111" s="96"/>
      <c r="GJA111" s="96"/>
      <c r="GJB111" s="95"/>
      <c r="GJC111" s="96"/>
      <c r="GJD111" s="96"/>
      <c r="GJE111" s="96"/>
      <c r="GJF111" s="96"/>
      <c r="GJG111" s="96"/>
      <c r="GJH111" s="96"/>
      <c r="GJI111" s="96"/>
      <c r="GJJ111" s="96"/>
      <c r="GJK111" s="96"/>
      <c r="GJL111" s="96"/>
      <c r="GJM111" s="96"/>
      <c r="GJN111" s="96"/>
      <c r="GJO111" s="96"/>
      <c r="GJP111" s="96"/>
      <c r="GJQ111" s="96"/>
      <c r="GJR111" s="96"/>
      <c r="GJS111" s="96"/>
      <c r="GJT111" s="96"/>
      <c r="GJU111" s="96"/>
      <c r="GJV111" s="96"/>
      <c r="GJW111" s="96"/>
      <c r="GJX111" s="95"/>
      <c r="GJY111" s="96"/>
      <c r="GJZ111" s="96"/>
      <c r="GKA111" s="96"/>
      <c r="GKB111" s="96"/>
      <c r="GKC111" s="96"/>
      <c r="GKD111" s="96"/>
      <c r="GKE111" s="96"/>
      <c r="GKF111" s="96"/>
      <c r="GKG111" s="96"/>
      <c r="GKH111" s="96"/>
      <c r="GKI111" s="96"/>
      <c r="GKJ111" s="96"/>
      <c r="GKK111" s="96"/>
      <c r="GKL111" s="96"/>
      <c r="GKM111" s="96"/>
      <c r="GKN111" s="96"/>
      <c r="GKO111" s="96"/>
      <c r="GKP111" s="96"/>
      <c r="GKQ111" s="96"/>
      <c r="GKR111" s="96"/>
      <c r="GKS111" s="96"/>
      <c r="GKT111" s="95"/>
      <c r="GKU111" s="96"/>
      <c r="GKV111" s="96"/>
      <c r="GKW111" s="96"/>
      <c r="GKX111" s="96"/>
      <c r="GKY111" s="96"/>
      <c r="GKZ111" s="96"/>
      <c r="GLA111" s="96"/>
      <c r="GLB111" s="96"/>
      <c r="GLC111" s="96"/>
      <c r="GLD111" s="96"/>
      <c r="GLE111" s="96"/>
      <c r="GLF111" s="96"/>
      <c r="GLG111" s="96"/>
      <c r="GLH111" s="96"/>
      <c r="GLI111" s="96"/>
      <c r="GLJ111" s="96"/>
      <c r="GLK111" s="96"/>
      <c r="GLL111" s="96"/>
      <c r="GLM111" s="96"/>
      <c r="GLN111" s="96"/>
      <c r="GLO111" s="96"/>
      <c r="GLP111" s="95"/>
      <c r="GLQ111" s="96"/>
      <c r="GLR111" s="96"/>
      <c r="GLS111" s="96"/>
      <c r="GLT111" s="96"/>
      <c r="GLU111" s="96"/>
      <c r="GLV111" s="96"/>
      <c r="GLW111" s="96"/>
      <c r="GLX111" s="96"/>
      <c r="GLY111" s="96"/>
      <c r="GLZ111" s="96"/>
      <c r="GMA111" s="96"/>
      <c r="GMB111" s="96"/>
      <c r="GMC111" s="96"/>
      <c r="GMD111" s="96"/>
      <c r="GME111" s="96"/>
      <c r="GMF111" s="96"/>
      <c r="GMG111" s="96"/>
      <c r="GMH111" s="96"/>
      <c r="GMI111" s="96"/>
      <c r="GMJ111" s="96"/>
      <c r="GMK111" s="96"/>
      <c r="GML111" s="95"/>
      <c r="GMM111" s="96"/>
      <c r="GMN111" s="96"/>
      <c r="GMO111" s="96"/>
      <c r="GMP111" s="96"/>
      <c r="GMQ111" s="96"/>
      <c r="GMR111" s="96"/>
      <c r="GMS111" s="96"/>
      <c r="GMT111" s="96"/>
      <c r="GMU111" s="96"/>
      <c r="GMV111" s="96"/>
      <c r="GMW111" s="96"/>
      <c r="GMX111" s="96"/>
      <c r="GMY111" s="96"/>
      <c r="GMZ111" s="96"/>
      <c r="GNA111" s="96"/>
      <c r="GNB111" s="96"/>
      <c r="GNC111" s="96"/>
      <c r="GND111" s="96"/>
      <c r="GNE111" s="96"/>
      <c r="GNF111" s="96"/>
      <c r="GNG111" s="96"/>
      <c r="GNH111" s="95"/>
      <c r="GNI111" s="96"/>
      <c r="GNJ111" s="96"/>
      <c r="GNK111" s="96"/>
      <c r="GNL111" s="96"/>
      <c r="GNM111" s="96"/>
      <c r="GNN111" s="96"/>
      <c r="GNO111" s="96"/>
      <c r="GNP111" s="96"/>
      <c r="GNQ111" s="96"/>
      <c r="GNR111" s="96"/>
      <c r="GNS111" s="96"/>
      <c r="GNT111" s="96"/>
      <c r="GNU111" s="96"/>
      <c r="GNV111" s="96"/>
      <c r="GNW111" s="96"/>
      <c r="GNX111" s="96"/>
      <c r="GNY111" s="96"/>
      <c r="GNZ111" s="96"/>
      <c r="GOA111" s="96"/>
      <c r="GOB111" s="96"/>
      <c r="GOC111" s="96"/>
      <c r="GOD111" s="95"/>
      <c r="GOE111" s="96"/>
      <c r="GOF111" s="96"/>
      <c r="GOG111" s="96"/>
      <c r="GOH111" s="96"/>
      <c r="GOI111" s="96"/>
      <c r="GOJ111" s="96"/>
      <c r="GOK111" s="96"/>
      <c r="GOL111" s="96"/>
      <c r="GOM111" s="96"/>
      <c r="GON111" s="96"/>
      <c r="GOO111" s="96"/>
      <c r="GOP111" s="96"/>
      <c r="GOQ111" s="96"/>
      <c r="GOR111" s="96"/>
      <c r="GOS111" s="96"/>
      <c r="GOT111" s="96"/>
      <c r="GOU111" s="96"/>
      <c r="GOV111" s="96"/>
      <c r="GOW111" s="96"/>
      <c r="GOX111" s="96"/>
      <c r="GOY111" s="96"/>
      <c r="GOZ111" s="95"/>
      <c r="GPA111" s="96"/>
      <c r="GPB111" s="96"/>
      <c r="GPC111" s="96"/>
      <c r="GPD111" s="96"/>
      <c r="GPE111" s="96"/>
      <c r="GPF111" s="96"/>
      <c r="GPG111" s="96"/>
      <c r="GPH111" s="96"/>
      <c r="GPI111" s="96"/>
      <c r="GPJ111" s="96"/>
      <c r="GPK111" s="96"/>
      <c r="GPL111" s="96"/>
      <c r="GPM111" s="96"/>
      <c r="GPN111" s="96"/>
      <c r="GPO111" s="96"/>
      <c r="GPP111" s="96"/>
      <c r="GPQ111" s="96"/>
      <c r="GPR111" s="96"/>
      <c r="GPS111" s="96"/>
      <c r="GPT111" s="96"/>
      <c r="GPU111" s="96"/>
      <c r="GPV111" s="95"/>
      <c r="GPW111" s="96"/>
      <c r="GPX111" s="96"/>
      <c r="GPY111" s="96"/>
      <c r="GPZ111" s="96"/>
      <c r="GQA111" s="96"/>
      <c r="GQB111" s="96"/>
      <c r="GQC111" s="96"/>
      <c r="GQD111" s="96"/>
      <c r="GQE111" s="96"/>
      <c r="GQF111" s="96"/>
      <c r="GQG111" s="96"/>
      <c r="GQH111" s="96"/>
      <c r="GQI111" s="96"/>
      <c r="GQJ111" s="96"/>
      <c r="GQK111" s="96"/>
      <c r="GQL111" s="96"/>
      <c r="GQM111" s="96"/>
      <c r="GQN111" s="96"/>
      <c r="GQO111" s="96"/>
      <c r="GQP111" s="96"/>
      <c r="GQQ111" s="96"/>
      <c r="GQR111" s="95"/>
      <c r="GQS111" s="96"/>
      <c r="GQT111" s="96"/>
      <c r="GQU111" s="96"/>
      <c r="GQV111" s="96"/>
      <c r="GQW111" s="96"/>
      <c r="GQX111" s="96"/>
      <c r="GQY111" s="96"/>
      <c r="GQZ111" s="96"/>
      <c r="GRA111" s="96"/>
      <c r="GRB111" s="96"/>
      <c r="GRC111" s="96"/>
      <c r="GRD111" s="96"/>
      <c r="GRE111" s="96"/>
      <c r="GRF111" s="96"/>
      <c r="GRG111" s="96"/>
      <c r="GRH111" s="96"/>
      <c r="GRI111" s="96"/>
      <c r="GRJ111" s="96"/>
      <c r="GRK111" s="96"/>
      <c r="GRL111" s="96"/>
      <c r="GRM111" s="96"/>
      <c r="GRN111" s="95"/>
      <c r="GRO111" s="96"/>
      <c r="GRP111" s="96"/>
      <c r="GRQ111" s="96"/>
      <c r="GRR111" s="96"/>
      <c r="GRS111" s="96"/>
      <c r="GRT111" s="96"/>
      <c r="GRU111" s="96"/>
      <c r="GRV111" s="96"/>
      <c r="GRW111" s="96"/>
      <c r="GRX111" s="96"/>
      <c r="GRY111" s="96"/>
      <c r="GRZ111" s="96"/>
      <c r="GSA111" s="96"/>
      <c r="GSB111" s="96"/>
      <c r="GSC111" s="96"/>
      <c r="GSD111" s="96"/>
      <c r="GSE111" s="96"/>
      <c r="GSF111" s="96"/>
      <c r="GSG111" s="96"/>
      <c r="GSH111" s="96"/>
      <c r="GSI111" s="96"/>
      <c r="GSJ111" s="95"/>
      <c r="GSK111" s="96"/>
      <c r="GSL111" s="96"/>
      <c r="GSM111" s="96"/>
      <c r="GSN111" s="96"/>
      <c r="GSO111" s="96"/>
      <c r="GSP111" s="96"/>
      <c r="GSQ111" s="96"/>
      <c r="GSR111" s="96"/>
      <c r="GSS111" s="96"/>
      <c r="GST111" s="96"/>
      <c r="GSU111" s="96"/>
      <c r="GSV111" s="96"/>
      <c r="GSW111" s="96"/>
      <c r="GSX111" s="96"/>
      <c r="GSY111" s="96"/>
      <c r="GSZ111" s="96"/>
      <c r="GTA111" s="96"/>
      <c r="GTB111" s="96"/>
      <c r="GTC111" s="96"/>
      <c r="GTD111" s="96"/>
      <c r="GTE111" s="96"/>
      <c r="GTF111" s="95"/>
      <c r="GTG111" s="96"/>
      <c r="GTH111" s="96"/>
      <c r="GTI111" s="96"/>
      <c r="GTJ111" s="96"/>
      <c r="GTK111" s="96"/>
      <c r="GTL111" s="96"/>
      <c r="GTM111" s="96"/>
      <c r="GTN111" s="96"/>
      <c r="GTO111" s="96"/>
      <c r="GTP111" s="96"/>
      <c r="GTQ111" s="96"/>
      <c r="GTR111" s="96"/>
      <c r="GTS111" s="96"/>
      <c r="GTT111" s="96"/>
      <c r="GTU111" s="96"/>
      <c r="GTV111" s="96"/>
      <c r="GTW111" s="96"/>
      <c r="GTX111" s="96"/>
      <c r="GTY111" s="96"/>
      <c r="GTZ111" s="96"/>
      <c r="GUA111" s="96"/>
      <c r="GUB111" s="95"/>
      <c r="GUC111" s="96"/>
      <c r="GUD111" s="96"/>
      <c r="GUE111" s="96"/>
      <c r="GUF111" s="96"/>
      <c r="GUG111" s="96"/>
      <c r="GUH111" s="96"/>
      <c r="GUI111" s="96"/>
      <c r="GUJ111" s="96"/>
      <c r="GUK111" s="96"/>
      <c r="GUL111" s="96"/>
      <c r="GUM111" s="96"/>
      <c r="GUN111" s="96"/>
      <c r="GUO111" s="96"/>
      <c r="GUP111" s="96"/>
      <c r="GUQ111" s="96"/>
      <c r="GUR111" s="96"/>
      <c r="GUS111" s="96"/>
      <c r="GUT111" s="96"/>
      <c r="GUU111" s="96"/>
      <c r="GUV111" s="96"/>
      <c r="GUW111" s="96"/>
      <c r="GUX111" s="95"/>
      <c r="GUY111" s="96"/>
      <c r="GUZ111" s="96"/>
      <c r="GVA111" s="96"/>
      <c r="GVB111" s="96"/>
      <c r="GVC111" s="96"/>
      <c r="GVD111" s="96"/>
      <c r="GVE111" s="96"/>
      <c r="GVF111" s="96"/>
      <c r="GVG111" s="96"/>
      <c r="GVH111" s="96"/>
      <c r="GVI111" s="96"/>
      <c r="GVJ111" s="96"/>
      <c r="GVK111" s="96"/>
      <c r="GVL111" s="96"/>
      <c r="GVM111" s="96"/>
      <c r="GVN111" s="96"/>
      <c r="GVO111" s="96"/>
      <c r="GVP111" s="96"/>
      <c r="GVQ111" s="96"/>
      <c r="GVR111" s="96"/>
      <c r="GVS111" s="96"/>
      <c r="GVT111" s="95"/>
      <c r="GVU111" s="96"/>
      <c r="GVV111" s="96"/>
      <c r="GVW111" s="96"/>
      <c r="GVX111" s="96"/>
      <c r="GVY111" s="96"/>
      <c r="GVZ111" s="96"/>
      <c r="GWA111" s="96"/>
      <c r="GWB111" s="96"/>
      <c r="GWC111" s="96"/>
      <c r="GWD111" s="96"/>
      <c r="GWE111" s="96"/>
      <c r="GWF111" s="96"/>
      <c r="GWG111" s="96"/>
      <c r="GWH111" s="96"/>
      <c r="GWI111" s="96"/>
      <c r="GWJ111" s="96"/>
      <c r="GWK111" s="96"/>
      <c r="GWL111" s="96"/>
      <c r="GWM111" s="96"/>
      <c r="GWN111" s="96"/>
      <c r="GWO111" s="96"/>
      <c r="GWP111" s="95"/>
      <c r="GWQ111" s="96"/>
      <c r="GWR111" s="96"/>
      <c r="GWS111" s="96"/>
      <c r="GWT111" s="96"/>
      <c r="GWU111" s="96"/>
      <c r="GWV111" s="96"/>
      <c r="GWW111" s="96"/>
      <c r="GWX111" s="96"/>
      <c r="GWY111" s="96"/>
      <c r="GWZ111" s="96"/>
      <c r="GXA111" s="96"/>
      <c r="GXB111" s="96"/>
      <c r="GXC111" s="96"/>
      <c r="GXD111" s="96"/>
      <c r="GXE111" s="96"/>
      <c r="GXF111" s="96"/>
      <c r="GXG111" s="96"/>
      <c r="GXH111" s="96"/>
      <c r="GXI111" s="96"/>
      <c r="GXJ111" s="96"/>
      <c r="GXK111" s="96"/>
      <c r="GXL111" s="95"/>
      <c r="GXM111" s="96"/>
      <c r="GXN111" s="96"/>
      <c r="GXO111" s="96"/>
      <c r="GXP111" s="96"/>
      <c r="GXQ111" s="96"/>
      <c r="GXR111" s="96"/>
      <c r="GXS111" s="96"/>
      <c r="GXT111" s="96"/>
      <c r="GXU111" s="96"/>
      <c r="GXV111" s="96"/>
      <c r="GXW111" s="96"/>
      <c r="GXX111" s="96"/>
      <c r="GXY111" s="96"/>
      <c r="GXZ111" s="96"/>
      <c r="GYA111" s="96"/>
      <c r="GYB111" s="96"/>
      <c r="GYC111" s="96"/>
      <c r="GYD111" s="96"/>
      <c r="GYE111" s="96"/>
      <c r="GYF111" s="96"/>
      <c r="GYG111" s="96"/>
      <c r="GYH111" s="95"/>
      <c r="GYI111" s="96"/>
      <c r="GYJ111" s="96"/>
      <c r="GYK111" s="96"/>
      <c r="GYL111" s="96"/>
      <c r="GYM111" s="96"/>
      <c r="GYN111" s="96"/>
      <c r="GYO111" s="96"/>
      <c r="GYP111" s="96"/>
      <c r="GYQ111" s="96"/>
      <c r="GYR111" s="96"/>
      <c r="GYS111" s="96"/>
      <c r="GYT111" s="96"/>
      <c r="GYU111" s="96"/>
      <c r="GYV111" s="96"/>
      <c r="GYW111" s="96"/>
      <c r="GYX111" s="96"/>
      <c r="GYY111" s="96"/>
      <c r="GYZ111" s="96"/>
      <c r="GZA111" s="96"/>
      <c r="GZB111" s="96"/>
      <c r="GZC111" s="96"/>
      <c r="GZD111" s="95"/>
      <c r="GZE111" s="96"/>
      <c r="GZF111" s="96"/>
      <c r="GZG111" s="96"/>
      <c r="GZH111" s="96"/>
      <c r="GZI111" s="96"/>
      <c r="GZJ111" s="96"/>
      <c r="GZK111" s="96"/>
      <c r="GZL111" s="96"/>
      <c r="GZM111" s="96"/>
      <c r="GZN111" s="96"/>
      <c r="GZO111" s="96"/>
      <c r="GZP111" s="96"/>
      <c r="GZQ111" s="96"/>
      <c r="GZR111" s="96"/>
      <c r="GZS111" s="96"/>
      <c r="GZT111" s="96"/>
      <c r="GZU111" s="96"/>
      <c r="GZV111" s="96"/>
      <c r="GZW111" s="96"/>
      <c r="GZX111" s="96"/>
      <c r="GZY111" s="96"/>
      <c r="GZZ111" s="95"/>
      <c r="HAA111" s="96"/>
      <c r="HAB111" s="96"/>
      <c r="HAC111" s="96"/>
      <c r="HAD111" s="96"/>
      <c r="HAE111" s="96"/>
      <c r="HAF111" s="96"/>
      <c r="HAG111" s="96"/>
      <c r="HAH111" s="96"/>
      <c r="HAI111" s="96"/>
      <c r="HAJ111" s="96"/>
      <c r="HAK111" s="96"/>
      <c r="HAL111" s="96"/>
      <c r="HAM111" s="96"/>
      <c r="HAN111" s="96"/>
      <c r="HAO111" s="96"/>
      <c r="HAP111" s="96"/>
      <c r="HAQ111" s="96"/>
      <c r="HAR111" s="96"/>
      <c r="HAS111" s="96"/>
      <c r="HAT111" s="96"/>
      <c r="HAU111" s="96"/>
      <c r="HAV111" s="95"/>
      <c r="HAW111" s="96"/>
      <c r="HAX111" s="96"/>
      <c r="HAY111" s="96"/>
      <c r="HAZ111" s="96"/>
      <c r="HBA111" s="96"/>
      <c r="HBB111" s="96"/>
      <c r="HBC111" s="96"/>
      <c r="HBD111" s="96"/>
      <c r="HBE111" s="96"/>
      <c r="HBF111" s="96"/>
      <c r="HBG111" s="96"/>
      <c r="HBH111" s="96"/>
      <c r="HBI111" s="96"/>
      <c r="HBJ111" s="96"/>
      <c r="HBK111" s="96"/>
      <c r="HBL111" s="96"/>
      <c r="HBM111" s="96"/>
      <c r="HBN111" s="96"/>
      <c r="HBO111" s="96"/>
      <c r="HBP111" s="96"/>
      <c r="HBQ111" s="96"/>
      <c r="HBR111" s="95"/>
      <c r="HBS111" s="96"/>
      <c r="HBT111" s="96"/>
      <c r="HBU111" s="96"/>
      <c r="HBV111" s="96"/>
      <c r="HBW111" s="96"/>
      <c r="HBX111" s="96"/>
      <c r="HBY111" s="96"/>
      <c r="HBZ111" s="96"/>
      <c r="HCA111" s="96"/>
      <c r="HCB111" s="96"/>
      <c r="HCC111" s="96"/>
      <c r="HCD111" s="96"/>
      <c r="HCE111" s="96"/>
      <c r="HCF111" s="96"/>
      <c r="HCG111" s="96"/>
      <c r="HCH111" s="96"/>
      <c r="HCI111" s="96"/>
      <c r="HCJ111" s="96"/>
      <c r="HCK111" s="96"/>
      <c r="HCL111" s="96"/>
      <c r="HCM111" s="96"/>
      <c r="HCN111" s="95"/>
      <c r="HCO111" s="96"/>
      <c r="HCP111" s="96"/>
      <c r="HCQ111" s="96"/>
      <c r="HCR111" s="96"/>
      <c r="HCS111" s="96"/>
      <c r="HCT111" s="96"/>
      <c r="HCU111" s="96"/>
      <c r="HCV111" s="96"/>
      <c r="HCW111" s="96"/>
      <c r="HCX111" s="96"/>
      <c r="HCY111" s="96"/>
      <c r="HCZ111" s="96"/>
      <c r="HDA111" s="96"/>
      <c r="HDB111" s="96"/>
      <c r="HDC111" s="96"/>
      <c r="HDD111" s="96"/>
      <c r="HDE111" s="96"/>
      <c r="HDF111" s="96"/>
      <c r="HDG111" s="96"/>
      <c r="HDH111" s="96"/>
      <c r="HDI111" s="96"/>
      <c r="HDJ111" s="95"/>
      <c r="HDK111" s="96"/>
      <c r="HDL111" s="96"/>
      <c r="HDM111" s="96"/>
      <c r="HDN111" s="96"/>
      <c r="HDO111" s="96"/>
      <c r="HDP111" s="96"/>
      <c r="HDQ111" s="96"/>
      <c r="HDR111" s="96"/>
      <c r="HDS111" s="96"/>
      <c r="HDT111" s="96"/>
      <c r="HDU111" s="96"/>
      <c r="HDV111" s="96"/>
      <c r="HDW111" s="96"/>
      <c r="HDX111" s="96"/>
      <c r="HDY111" s="96"/>
      <c r="HDZ111" s="96"/>
      <c r="HEA111" s="96"/>
      <c r="HEB111" s="96"/>
      <c r="HEC111" s="96"/>
      <c r="HED111" s="96"/>
      <c r="HEE111" s="96"/>
      <c r="HEF111" s="95"/>
      <c r="HEG111" s="96"/>
      <c r="HEH111" s="96"/>
      <c r="HEI111" s="96"/>
      <c r="HEJ111" s="96"/>
      <c r="HEK111" s="96"/>
      <c r="HEL111" s="96"/>
      <c r="HEM111" s="96"/>
      <c r="HEN111" s="96"/>
      <c r="HEO111" s="96"/>
      <c r="HEP111" s="96"/>
      <c r="HEQ111" s="96"/>
      <c r="HER111" s="96"/>
      <c r="HES111" s="96"/>
      <c r="HET111" s="96"/>
      <c r="HEU111" s="96"/>
      <c r="HEV111" s="96"/>
      <c r="HEW111" s="96"/>
      <c r="HEX111" s="96"/>
      <c r="HEY111" s="96"/>
      <c r="HEZ111" s="96"/>
      <c r="HFA111" s="96"/>
      <c r="HFB111" s="95"/>
      <c r="HFC111" s="96"/>
      <c r="HFD111" s="96"/>
      <c r="HFE111" s="96"/>
      <c r="HFF111" s="96"/>
      <c r="HFG111" s="96"/>
      <c r="HFH111" s="96"/>
      <c r="HFI111" s="96"/>
      <c r="HFJ111" s="96"/>
      <c r="HFK111" s="96"/>
      <c r="HFL111" s="96"/>
      <c r="HFM111" s="96"/>
      <c r="HFN111" s="96"/>
      <c r="HFO111" s="96"/>
      <c r="HFP111" s="96"/>
      <c r="HFQ111" s="96"/>
      <c r="HFR111" s="96"/>
      <c r="HFS111" s="96"/>
      <c r="HFT111" s="96"/>
      <c r="HFU111" s="96"/>
      <c r="HFV111" s="96"/>
      <c r="HFW111" s="96"/>
      <c r="HFX111" s="95"/>
      <c r="HFY111" s="96"/>
      <c r="HFZ111" s="96"/>
      <c r="HGA111" s="96"/>
      <c r="HGB111" s="96"/>
      <c r="HGC111" s="96"/>
      <c r="HGD111" s="96"/>
      <c r="HGE111" s="96"/>
      <c r="HGF111" s="96"/>
      <c r="HGG111" s="96"/>
      <c r="HGH111" s="96"/>
      <c r="HGI111" s="96"/>
      <c r="HGJ111" s="96"/>
      <c r="HGK111" s="96"/>
      <c r="HGL111" s="96"/>
      <c r="HGM111" s="96"/>
      <c r="HGN111" s="96"/>
      <c r="HGO111" s="96"/>
      <c r="HGP111" s="96"/>
      <c r="HGQ111" s="96"/>
      <c r="HGR111" s="96"/>
      <c r="HGS111" s="96"/>
      <c r="HGT111" s="95"/>
      <c r="HGU111" s="96"/>
      <c r="HGV111" s="96"/>
      <c r="HGW111" s="96"/>
      <c r="HGX111" s="96"/>
      <c r="HGY111" s="96"/>
      <c r="HGZ111" s="96"/>
      <c r="HHA111" s="96"/>
      <c r="HHB111" s="96"/>
      <c r="HHC111" s="96"/>
      <c r="HHD111" s="96"/>
      <c r="HHE111" s="96"/>
      <c r="HHF111" s="96"/>
      <c r="HHG111" s="96"/>
      <c r="HHH111" s="96"/>
      <c r="HHI111" s="96"/>
      <c r="HHJ111" s="96"/>
      <c r="HHK111" s="96"/>
      <c r="HHL111" s="96"/>
      <c r="HHM111" s="96"/>
      <c r="HHN111" s="96"/>
      <c r="HHO111" s="96"/>
      <c r="HHP111" s="95"/>
      <c r="HHQ111" s="96"/>
      <c r="HHR111" s="96"/>
      <c r="HHS111" s="96"/>
      <c r="HHT111" s="96"/>
      <c r="HHU111" s="96"/>
      <c r="HHV111" s="96"/>
      <c r="HHW111" s="96"/>
      <c r="HHX111" s="96"/>
      <c r="HHY111" s="96"/>
      <c r="HHZ111" s="96"/>
      <c r="HIA111" s="96"/>
      <c r="HIB111" s="96"/>
      <c r="HIC111" s="96"/>
      <c r="HID111" s="96"/>
      <c r="HIE111" s="96"/>
      <c r="HIF111" s="96"/>
      <c r="HIG111" s="96"/>
      <c r="HIH111" s="96"/>
      <c r="HII111" s="96"/>
      <c r="HIJ111" s="96"/>
      <c r="HIK111" s="96"/>
      <c r="HIL111" s="95"/>
      <c r="HIM111" s="96"/>
      <c r="HIN111" s="96"/>
      <c r="HIO111" s="96"/>
      <c r="HIP111" s="96"/>
      <c r="HIQ111" s="96"/>
      <c r="HIR111" s="96"/>
      <c r="HIS111" s="96"/>
      <c r="HIT111" s="96"/>
      <c r="HIU111" s="96"/>
      <c r="HIV111" s="96"/>
      <c r="HIW111" s="96"/>
      <c r="HIX111" s="96"/>
      <c r="HIY111" s="96"/>
      <c r="HIZ111" s="96"/>
      <c r="HJA111" s="96"/>
      <c r="HJB111" s="96"/>
      <c r="HJC111" s="96"/>
      <c r="HJD111" s="96"/>
      <c r="HJE111" s="96"/>
      <c r="HJF111" s="96"/>
      <c r="HJG111" s="96"/>
      <c r="HJH111" s="95"/>
      <c r="HJI111" s="96"/>
      <c r="HJJ111" s="96"/>
      <c r="HJK111" s="96"/>
      <c r="HJL111" s="96"/>
      <c r="HJM111" s="96"/>
      <c r="HJN111" s="96"/>
      <c r="HJO111" s="96"/>
      <c r="HJP111" s="96"/>
      <c r="HJQ111" s="96"/>
      <c r="HJR111" s="96"/>
      <c r="HJS111" s="96"/>
      <c r="HJT111" s="96"/>
      <c r="HJU111" s="96"/>
      <c r="HJV111" s="96"/>
      <c r="HJW111" s="96"/>
      <c r="HJX111" s="96"/>
      <c r="HJY111" s="96"/>
      <c r="HJZ111" s="96"/>
      <c r="HKA111" s="96"/>
      <c r="HKB111" s="96"/>
      <c r="HKC111" s="96"/>
      <c r="HKD111" s="95"/>
      <c r="HKE111" s="96"/>
      <c r="HKF111" s="96"/>
      <c r="HKG111" s="96"/>
      <c r="HKH111" s="96"/>
      <c r="HKI111" s="96"/>
      <c r="HKJ111" s="96"/>
      <c r="HKK111" s="96"/>
      <c r="HKL111" s="96"/>
      <c r="HKM111" s="96"/>
      <c r="HKN111" s="96"/>
      <c r="HKO111" s="96"/>
      <c r="HKP111" s="96"/>
      <c r="HKQ111" s="96"/>
      <c r="HKR111" s="96"/>
      <c r="HKS111" s="96"/>
      <c r="HKT111" s="96"/>
      <c r="HKU111" s="96"/>
      <c r="HKV111" s="96"/>
      <c r="HKW111" s="96"/>
      <c r="HKX111" s="96"/>
      <c r="HKY111" s="96"/>
      <c r="HKZ111" s="95"/>
      <c r="HLA111" s="96"/>
      <c r="HLB111" s="96"/>
      <c r="HLC111" s="96"/>
      <c r="HLD111" s="96"/>
      <c r="HLE111" s="96"/>
      <c r="HLF111" s="96"/>
      <c r="HLG111" s="96"/>
      <c r="HLH111" s="96"/>
      <c r="HLI111" s="96"/>
      <c r="HLJ111" s="96"/>
      <c r="HLK111" s="96"/>
      <c r="HLL111" s="96"/>
      <c r="HLM111" s="96"/>
      <c r="HLN111" s="96"/>
      <c r="HLO111" s="96"/>
      <c r="HLP111" s="96"/>
      <c r="HLQ111" s="96"/>
      <c r="HLR111" s="96"/>
      <c r="HLS111" s="96"/>
      <c r="HLT111" s="96"/>
      <c r="HLU111" s="96"/>
      <c r="HLV111" s="95"/>
      <c r="HLW111" s="96"/>
      <c r="HLX111" s="96"/>
      <c r="HLY111" s="96"/>
      <c r="HLZ111" s="96"/>
      <c r="HMA111" s="96"/>
      <c r="HMB111" s="96"/>
      <c r="HMC111" s="96"/>
      <c r="HMD111" s="96"/>
      <c r="HME111" s="96"/>
      <c r="HMF111" s="96"/>
      <c r="HMG111" s="96"/>
      <c r="HMH111" s="96"/>
      <c r="HMI111" s="96"/>
      <c r="HMJ111" s="96"/>
      <c r="HMK111" s="96"/>
      <c r="HML111" s="96"/>
      <c r="HMM111" s="96"/>
      <c r="HMN111" s="96"/>
      <c r="HMO111" s="96"/>
      <c r="HMP111" s="96"/>
      <c r="HMQ111" s="96"/>
      <c r="HMR111" s="95"/>
      <c r="HMS111" s="96"/>
      <c r="HMT111" s="96"/>
      <c r="HMU111" s="96"/>
      <c r="HMV111" s="96"/>
      <c r="HMW111" s="96"/>
      <c r="HMX111" s="96"/>
      <c r="HMY111" s="96"/>
      <c r="HMZ111" s="96"/>
      <c r="HNA111" s="96"/>
      <c r="HNB111" s="96"/>
      <c r="HNC111" s="96"/>
      <c r="HND111" s="96"/>
      <c r="HNE111" s="96"/>
      <c r="HNF111" s="96"/>
      <c r="HNG111" s="96"/>
      <c r="HNH111" s="96"/>
      <c r="HNI111" s="96"/>
      <c r="HNJ111" s="96"/>
      <c r="HNK111" s="96"/>
      <c r="HNL111" s="96"/>
      <c r="HNM111" s="96"/>
      <c r="HNN111" s="95"/>
      <c r="HNO111" s="96"/>
      <c r="HNP111" s="96"/>
      <c r="HNQ111" s="96"/>
      <c r="HNR111" s="96"/>
      <c r="HNS111" s="96"/>
      <c r="HNT111" s="96"/>
      <c r="HNU111" s="96"/>
      <c r="HNV111" s="96"/>
      <c r="HNW111" s="96"/>
      <c r="HNX111" s="96"/>
      <c r="HNY111" s="96"/>
      <c r="HNZ111" s="96"/>
      <c r="HOA111" s="96"/>
      <c r="HOB111" s="96"/>
      <c r="HOC111" s="96"/>
      <c r="HOD111" s="96"/>
      <c r="HOE111" s="96"/>
      <c r="HOF111" s="96"/>
      <c r="HOG111" s="96"/>
      <c r="HOH111" s="96"/>
      <c r="HOI111" s="96"/>
      <c r="HOJ111" s="95"/>
      <c r="HOK111" s="96"/>
      <c r="HOL111" s="96"/>
      <c r="HOM111" s="96"/>
      <c r="HON111" s="96"/>
      <c r="HOO111" s="96"/>
      <c r="HOP111" s="96"/>
      <c r="HOQ111" s="96"/>
      <c r="HOR111" s="96"/>
      <c r="HOS111" s="96"/>
      <c r="HOT111" s="96"/>
      <c r="HOU111" s="96"/>
      <c r="HOV111" s="96"/>
      <c r="HOW111" s="96"/>
      <c r="HOX111" s="96"/>
      <c r="HOY111" s="96"/>
      <c r="HOZ111" s="96"/>
      <c r="HPA111" s="96"/>
      <c r="HPB111" s="96"/>
      <c r="HPC111" s="96"/>
      <c r="HPD111" s="96"/>
      <c r="HPE111" s="96"/>
      <c r="HPF111" s="95"/>
      <c r="HPG111" s="96"/>
      <c r="HPH111" s="96"/>
      <c r="HPI111" s="96"/>
      <c r="HPJ111" s="96"/>
      <c r="HPK111" s="96"/>
      <c r="HPL111" s="96"/>
      <c r="HPM111" s="96"/>
      <c r="HPN111" s="96"/>
      <c r="HPO111" s="96"/>
      <c r="HPP111" s="96"/>
      <c r="HPQ111" s="96"/>
      <c r="HPR111" s="96"/>
      <c r="HPS111" s="96"/>
      <c r="HPT111" s="96"/>
      <c r="HPU111" s="96"/>
      <c r="HPV111" s="96"/>
      <c r="HPW111" s="96"/>
      <c r="HPX111" s="96"/>
      <c r="HPY111" s="96"/>
      <c r="HPZ111" s="96"/>
      <c r="HQA111" s="96"/>
      <c r="HQB111" s="95"/>
      <c r="HQC111" s="96"/>
      <c r="HQD111" s="96"/>
      <c r="HQE111" s="96"/>
      <c r="HQF111" s="96"/>
      <c r="HQG111" s="96"/>
      <c r="HQH111" s="96"/>
      <c r="HQI111" s="96"/>
      <c r="HQJ111" s="96"/>
      <c r="HQK111" s="96"/>
      <c r="HQL111" s="96"/>
      <c r="HQM111" s="96"/>
      <c r="HQN111" s="96"/>
      <c r="HQO111" s="96"/>
      <c r="HQP111" s="96"/>
      <c r="HQQ111" s="96"/>
      <c r="HQR111" s="96"/>
      <c r="HQS111" s="96"/>
      <c r="HQT111" s="96"/>
      <c r="HQU111" s="96"/>
      <c r="HQV111" s="96"/>
      <c r="HQW111" s="96"/>
      <c r="HQX111" s="95"/>
      <c r="HQY111" s="96"/>
      <c r="HQZ111" s="96"/>
      <c r="HRA111" s="96"/>
      <c r="HRB111" s="96"/>
      <c r="HRC111" s="96"/>
      <c r="HRD111" s="96"/>
      <c r="HRE111" s="96"/>
      <c r="HRF111" s="96"/>
      <c r="HRG111" s="96"/>
      <c r="HRH111" s="96"/>
      <c r="HRI111" s="96"/>
      <c r="HRJ111" s="96"/>
      <c r="HRK111" s="96"/>
      <c r="HRL111" s="96"/>
      <c r="HRM111" s="96"/>
      <c r="HRN111" s="96"/>
      <c r="HRO111" s="96"/>
      <c r="HRP111" s="96"/>
      <c r="HRQ111" s="96"/>
      <c r="HRR111" s="96"/>
      <c r="HRS111" s="96"/>
      <c r="HRT111" s="95"/>
      <c r="HRU111" s="96"/>
      <c r="HRV111" s="96"/>
      <c r="HRW111" s="96"/>
      <c r="HRX111" s="96"/>
      <c r="HRY111" s="96"/>
      <c r="HRZ111" s="96"/>
      <c r="HSA111" s="96"/>
      <c r="HSB111" s="96"/>
      <c r="HSC111" s="96"/>
      <c r="HSD111" s="96"/>
      <c r="HSE111" s="96"/>
      <c r="HSF111" s="96"/>
      <c r="HSG111" s="96"/>
      <c r="HSH111" s="96"/>
      <c r="HSI111" s="96"/>
      <c r="HSJ111" s="96"/>
      <c r="HSK111" s="96"/>
      <c r="HSL111" s="96"/>
      <c r="HSM111" s="96"/>
      <c r="HSN111" s="96"/>
      <c r="HSO111" s="96"/>
      <c r="HSP111" s="95"/>
      <c r="HSQ111" s="96"/>
      <c r="HSR111" s="96"/>
      <c r="HSS111" s="96"/>
      <c r="HST111" s="96"/>
      <c r="HSU111" s="96"/>
      <c r="HSV111" s="96"/>
      <c r="HSW111" s="96"/>
      <c r="HSX111" s="96"/>
      <c r="HSY111" s="96"/>
      <c r="HSZ111" s="96"/>
      <c r="HTA111" s="96"/>
      <c r="HTB111" s="96"/>
      <c r="HTC111" s="96"/>
      <c r="HTD111" s="96"/>
      <c r="HTE111" s="96"/>
      <c r="HTF111" s="96"/>
      <c r="HTG111" s="96"/>
      <c r="HTH111" s="96"/>
      <c r="HTI111" s="96"/>
      <c r="HTJ111" s="96"/>
      <c r="HTK111" s="96"/>
      <c r="HTL111" s="95"/>
      <c r="HTM111" s="96"/>
      <c r="HTN111" s="96"/>
      <c r="HTO111" s="96"/>
      <c r="HTP111" s="96"/>
      <c r="HTQ111" s="96"/>
      <c r="HTR111" s="96"/>
      <c r="HTS111" s="96"/>
      <c r="HTT111" s="96"/>
      <c r="HTU111" s="96"/>
      <c r="HTV111" s="96"/>
      <c r="HTW111" s="96"/>
      <c r="HTX111" s="96"/>
      <c r="HTY111" s="96"/>
      <c r="HTZ111" s="96"/>
      <c r="HUA111" s="96"/>
      <c r="HUB111" s="96"/>
      <c r="HUC111" s="96"/>
      <c r="HUD111" s="96"/>
      <c r="HUE111" s="96"/>
      <c r="HUF111" s="96"/>
      <c r="HUG111" s="96"/>
      <c r="HUH111" s="95"/>
      <c r="HUI111" s="96"/>
      <c r="HUJ111" s="96"/>
      <c r="HUK111" s="96"/>
      <c r="HUL111" s="96"/>
      <c r="HUM111" s="96"/>
      <c r="HUN111" s="96"/>
      <c r="HUO111" s="96"/>
      <c r="HUP111" s="96"/>
      <c r="HUQ111" s="96"/>
      <c r="HUR111" s="96"/>
      <c r="HUS111" s="96"/>
      <c r="HUT111" s="96"/>
      <c r="HUU111" s="96"/>
      <c r="HUV111" s="96"/>
      <c r="HUW111" s="96"/>
      <c r="HUX111" s="96"/>
      <c r="HUY111" s="96"/>
      <c r="HUZ111" s="96"/>
      <c r="HVA111" s="96"/>
      <c r="HVB111" s="96"/>
      <c r="HVC111" s="96"/>
      <c r="HVD111" s="95"/>
      <c r="HVE111" s="96"/>
      <c r="HVF111" s="96"/>
      <c r="HVG111" s="96"/>
      <c r="HVH111" s="96"/>
      <c r="HVI111" s="96"/>
      <c r="HVJ111" s="96"/>
      <c r="HVK111" s="96"/>
      <c r="HVL111" s="96"/>
      <c r="HVM111" s="96"/>
      <c r="HVN111" s="96"/>
      <c r="HVO111" s="96"/>
      <c r="HVP111" s="96"/>
      <c r="HVQ111" s="96"/>
      <c r="HVR111" s="96"/>
      <c r="HVS111" s="96"/>
      <c r="HVT111" s="96"/>
      <c r="HVU111" s="96"/>
      <c r="HVV111" s="96"/>
      <c r="HVW111" s="96"/>
      <c r="HVX111" s="96"/>
      <c r="HVY111" s="96"/>
      <c r="HVZ111" s="95"/>
      <c r="HWA111" s="96"/>
      <c r="HWB111" s="96"/>
      <c r="HWC111" s="96"/>
      <c r="HWD111" s="96"/>
      <c r="HWE111" s="96"/>
      <c r="HWF111" s="96"/>
      <c r="HWG111" s="96"/>
      <c r="HWH111" s="96"/>
      <c r="HWI111" s="96"/>
      <c r="HWJ111" s="96"/>
      <c r="HWK111" s="96"/>
      <c r="HWL111" s="96"/>
      <c r="HWM111" s="96"/>
      <c r="HWN111" s="96"/>
      <c r="HWO111" s="96"/>
      <c r="HWP111" s="96"/>
      <c r="HWQ111" s="96"/>
      <c r="HWR111" s="96"/>
      <c r="HWS111" s="96"/>
      <c r="HWT111" s="96"/>
      <c r="HWU111" s="96"/>
      <c r="HWV111" s="95"/>
      <c r="HWW111" s="96"/>
      <c r="HWX111" s="96"/>
      <c r="HWY111" s="96"/>
      <c r="HWZ111" s="96"/>
      <c r="HXA111" s="96"/>
      <c r="HXB111" s="96"/>
      <c r="HXC111" s="96"/>
      <c r="HXD111" s="96"/>
      <c r="HXE111" s="96"/>
      <c r="HXF111" s="96"/>
      <c r="HXG111" s="96"/>
      <c r="HXH111" s="96"/>
      <c r="HXI111" s="96"/>
      <c r="HXJ111" s="96"/>
      <c r="HXK111" s="96"/>
      <c r="HXL111" s="96"/>
      <c r="HXM111" s="96"/>
      <c r="HXN111" s="96"/>
      <c r="HXO111" s="96"/>
      <c r="HXP111" s="96"/>
      <c r="HXQ111" s="96"/>
      <c r="HXR111" s="95"/>
      <c r="HXS111" s="96"/>
      <c r="HXT111" s="96"/>
      <c r="HXU111" s="96"/>
      <c r="HXV111" s="96"/>
      <c r="HXW111" s="96"/>
      <c r="HXX111" s="96"/>
      <c r="HXY111" s="96"/>
      <c r="HXZ111" s="96"/>
      <c r="HYA111" s="96"/>
      <c r="HYB111" s="96"/>
      <c r="HYC111" s="96"/>
      <c r="HYD111" s="96"/>
      <c r="HYE111" s="96"/>
      <c r="HYF111" s="96"/>
      <c r="HYG111" s="96"/>
      <c r="HYH111" s="96"/>
      <c r="HYI111" s="96"/>
      <c r="HYJ111" s="96"/>
      <c r="HYK111" s="96"/>
      <c r="HYL111" s="96"/>
      <c r="HYM111" s="96"/>
      <c r="HYN111" s="95"/>
      <c r="HYO111" s="96"/>
      <c r="HYP111" s="96"/>
      <c r="HYQ111" s="96"/>
      <c r="HYR111" s="96"/>
      <c r="HYS111" s="96"/>
      <c r="HYT111" s="96"/>
      <c r="HYU111" s="96"/>
      <c r="HYV111" s="96"/>
      <c r="HYW111" s="96"/>
      <c r="HYX111" s="96"/>
      <c r="HYY111" s="96"/>
      <c r="HYZ111" s="96"/>
      <c r="HZA111" s="96"/>
      <c r="HZB111" s="96"/>
      <c r="HZC111" s="96"/>
      <c r="HZD111" s="96"/>
      <c r="HZE111" s="96"/>
      <c r="HZF111" s="96"/>
      <c r="HZG111" s="96"/>
      <c r="HZH111" s="96"/>
      <c r="HZI111" s="96"/>
      <c r="HZJ111" s="95"/>
      <c r="HZK111" s="96"/>
      <c r="HZL111" s="96"/>
      <c r="HZM111" s="96"/>
      <c r="HZN111" s="96"/>
      <c r="HZO111" s="96"/>
      <c r="HZP111" s="96"/>
      <c r="HZQ111" s="96"/>
      <c r="HZR111" s="96"/>
      <c r="HZS111" s="96"/>
      <c r="HZT111" s="96"/>
      <c r="HZU111" s="96"/>
      <c r="HZV111" s="96"/>
      <c r="HZW111" s="96"/>
      <c r="HZX111" s="96"/>
      <c r="HZY111" s="96"/>
      <c r="HZZ111" s="96"/>
      <c r="IAA111" s="96"/>
      <c r="IAB111" s="96"/>
      <c r="IAC111" s="96"/>
      <c r="IAD111" s="96"/>
      <c r="IAE111" s="96"/>
      <c r="IAF111" s="95"/>
      <c r="IAG111" s="96"/>
      <c r="IAH111" s="96"/>
      <c r="IAI111" s="96"/>
      <c r="IAJ111" s="96"/>
      <c r="IAK111" s="96"/>
      <c r="IAL111" s="96"/>
      <c r="IAM111" s="96"/>
      <c r="IAN111" s="96"/>
      <c r="IAO111" s="96"/>
      <c r="IAP111" s="96"/>
      <c r="IAQ111" s="96"/>
      <c r="IAR111" s="96"/>
      <c r="IAS111" s="96"/>
      <c r="IAT111" s="96"/>
      <c r="IAU111" s="96"/>
      <c r="IAV111" s="96"/>
      <c r="IAW111" s="96"/>
      <c r="IAX111" s="96"/>
      <c r="IAY111" s="96"/>
      <c r="IAZ111" s="96"/>
      <c r="IBA111" s="96"/>
      <c r="IBB111" s="95"/>
      <c r="IBC111" s="96"/>
      <c r="IBD111" s="96"/>
      <c r="IBE111" s="96"/>
      <c r="IBF111" s="96"/>
      <c r="IBG111" s="96"/>
      <c r="IBH111" s="96"/>
      <c r="IBI111" s="96"/>
      <c r="IBJ111" s="96"/>
      <c r="IBK111" s="96"/>
      <c r="IBL111" s="96"/>
      <c r="IBM111" s="96"/>
      <c r="IBN111" s="96"/>
      <c r="IBO111" s="96"/>
      <c r="IBP111" s="96"/>
      <c r="IBQ111" s="96"/>
      <c r="IBR111" s="96"/>
      <c r="IBS111" s="96"/>
      <c r="IBT111" s="96"/>
      <c r="IBU111" s="96"/>
      <c r="IBV111" s="96"/>
      <c r="IBW111" s="96"/>
      <c r="IBX111" s="95"/>
      <c r="IBY111" s="96"/>
      <c r="IBZ111" s="96"/>
      <c r="ICA111" s="96"/>
      <c r="ICB111" s="96"/>
      <c r="ICC111" s="96"/>
      <c r="ICD111" s="96"/>
      <c r="ICE111" s="96"/>
      <c r="ICF111" s="96"/>
      <c r="ICG111" s="96"/>
      <c r="ICH111" s="96"/>
      <c r="ICI111" s="96"/>
      <c r="ICJ111" s="96"/>
      <c r="ICK111" s="96"/>
      <c r="ICL111" s="96"/>
      <c r="ICM111" s="96"/>
      <c r="ICN111" s="96"/>
      <c r="ICO111" s="96"/>
      <c r="ICP111" s="96"/>
      <c r="ICQ111" s="96"/>
      <c r="ICR111" s="96"/>
      <c r="ICS111" s="96"/>
      <c r="ICT111" s="95"/>
      <c r="ICU111" s="96"/>
      <c r="ICV111" s="96"/>
      <c r="ICW111" s="96"/>
      <c r="ICX111" s="96"/>
      <c r="ICY111" s="96"/>
      <c r="ICZ111" s="96"/>
      <c r="IDA111" s="96"/>
      <c r="IDB111" s="96"/>
      <c r="IDC111" s="96"/>
      <c r="IDD111" s="96"/>
      <c r="IDE111" s="96"/>
      <c r="IDF111" s="96"/>
      <c r="IDG111" s="96"/>
      <c r="IDH111" s="96"/>
      <c r="IDI111" s="96"/>
      <c r="IDJ111" s="96"/>
      <c r="IDK111" s="96"/>
      <c r="IDL111" s="96"/>
      <c r="IDM111" s="96"/>
      <c r="IDN111" s="96"/>
      <c r="IDO111" s="96"/>
      <c r="IDP111" s="95"/>
      <c r="IDQ111" s="96"/>
      <c r="IDR111" s="96"/>
      <c r="IDS111" s="96"/>
      <c r="IDT111" s="96"/>
      <c r="IDU111" s="96"/>
      <c r="IDV111" s="96"/>
      <c r="IDW111" s="96"/>
      <c r="IDX111" s="96"/>
      <c r="IDY111" s="96"/>
      <c r="IDZ111" s="96"/>
      <c r="IEA111" s="96"/>
      <c r="IEB111" s="96"/>
      <c r="IEC111" s="96"/>
      <c r="IED111" s="96"/>
      <c r="IEE111" s="96"/>
      <c r="IEF111" s="96"/>
      <c r="IEG111" s="96"/>
      <c r="IEH111" s="96"/>
      <c r="IEI111" s="96"/>
      <c r="IEJ111" s="96"/>
      <c r="IEK111" s="96"/>
      <c r="IEL111" s="95"/>
      <c r="IEM111" s="96"/>
      <c r="IEN111" s="96"/>
      <c r="IEO111" s="96"/>
      <c r="IEP111" s="96"/>
      <c r="IEQ111" s="96"/>
      <c r="IER111" s="96"/>
      <c r="IES111" s="96"/>
      <c r="IET111" s="96"/>
      <c r="IEU111" s="96"/>
      <c r="IEV111" s="96"/>
      <c r="IEW111" s="96"/>
      <c r="IEX111" s="96"/>
      <c r="IEY111" s="96"/>
      <c r="IEZ111" s="96"/>
      <c r="IFA111" s="96"/>
      <c r="IFB111" s="96"/>
      <c r="IFC111" s="96"/>
      <c r="IFD111" s="96"/>
      <c r="IFE111" s="96"/>
      <c r="IFF111" s="96"/>
      <c r="IFG111" s="96"/>
      <c r="IFH111" s="95"/>
      <c r="IFI111" s="96"/>
      <c r="IFJ111" s="96"/>
      <c r="IFK111" s="96"/>
      <c r="IFL111" s="96"/>
      <c r="IFM111" s="96"/>
      <c r="IFN111" s="96"/>
      <c r="IFO111" s="96"/>
      <c r="IFP111" s="96"/>
      <c r="IFQ111" s="96"/>
      <c r="IFR111" s="96"/>
      <c r="IFS111" s="96"/>
      <c r="IFT111" s="96"/>
      <c r="IFU111" s="96"/>
      <c r="IFV111" s="96"/>
      <c r="IFW111" s="96"/>
      <c r="IFX111" s="96"/>
      <c r="IFY111" s="96"/>
      <c r="IFZ111" s="96"/>
      <c r="IGA111" s="96"/>
      <c r="IGB111" s="96"/>
      <c r="IGC111" s="96"/>
      <c r="IGD111" s="95"/>
      <c r="IGE111" s="96"/>
      <c r="IGF111" s="96"/>
      <c r="IGG111" s="96"/>
      <c r="IGH111" s="96"/>
      <c r="IGI111" s="96"/>
      <c r="IGJ111" s="96"/>
      <c r="IGK111" s="96"/>
      <c r="IGL111" s="96"/>
      <c r="IGM111" s="96"/>
      <c r="IGN111" s="96"/>
      <c r="IGO111" s="96"/>
      <c r="IGP111" s="96"/>
      <c r="IGQ111" s="96"/>
      <c r="IGR111" s="96"/>
      <c r="IGS111" s="96"/>
      <c r="IGT111" s="96"/>
      <c r="IGU111" s="96"/>
      <c r="IGV111" s="96"/>
      <c r="IGW111" s="96"/>
      <c r="IGX111" s="96"/>
      <c r="IGY111" s="96"/>
      <c r="IGZ111" s="95"/>
      <c r="IHA111" s="96"/>
      <c r="IHB111" s="96"/>
      <c r="IHC111" s="96"/>
      <c r="IHD111" s="96"/>
      <c r="IHE111" s="96"/>
      <c r="IHF111" s="96"/>
      <c r="IHG111" s="96"/>
      <c r="IHH111" s="96"/>
      <c r="IHI111" s="96"/>
      <c r="IHJ111" s="96"/>
      <c r="IHK111" s="96"/>
      <c r="IHL111" s="96"/>
      <c r="IHM111" s="96"/>
      <c r="IHN111" s="96"/>
      <c r="IHO111" s="96"/>
      <c r="IHP111" s="96"/>
      <c r="IHQ111" s="96"/>
      <c r="IHR111" s="96"/>
      <c r="IHS111" s="96"/>
      <c r="IHT111" s="96"/>
      <c r="IHU111" s="96"/>
      <c r="IHV111" s="95"/>
      <c r="IHW111" s="96"/>
      <c r="IHX111" s="96"/>
      <c r="IHY111" s="96"/>
      <c r="IHZ111" s="96"/>
      <c r="IIA111" s="96"/>
      <c r="IIB111" s="96"/>
      <c r="IIC111" s="96"/>
      <c r="IID111" s="96"/>
      <c r="IIE111" s="96"/>
      <c r="IIF111" s="96"/>
      <c r="IIG111" s="96"/>
      <c r="IIH111" s="96"/>
      <c r="III111" s="96"/>
      <c r="IIJ111" s="96"/>
      <c r="IIK111" s="96"/>
      <c r="IIL111" s="96"/>
      <c r="IIM111" s="96"/>
      <c r="IIN111" s="96"/>
      <c r="IIO111" s="96"/>
      <c r="IIP111" s="96"/>
      <c r="IIQ111" s="96"/>
      <c r="IIR111" s="95"/>
      <c r="IIS111" s="96"/>
      <c r="IIT111" s="96"/>
      <c r="IIU111" s="96"/>
      <c r="IIV111" s="96"/>
      <c r="IIW111" s="96"/>
      <c r="IIX111" s="96"/>
      <c r="IIY111" s="96"/>
      <c r="IIZ111" s="96"/>
      <c r="IJA111" s="96"/>
      <c r="IJB111" s="96"/>
      <c r="IJC111" s="96"/>
      <c r="IJD111" s="96"/>
      <c r="IJE111" s="96"/>
      <c r="IJF111" s="96"/>
      <c r="IJG111" s="96"/>
      <c r="IJH111" s="96"/>
      <c r="IJI111" s="96"/>
      <c r="IJJ111" s="96"/>
      <c r="IJK111" s="96"/>
      <c r="IJL111" s="96"/>
      <c r="IJM111" s="96"/>
      <c r="IJN111" s="95"/>
      <c r="IJO111" s="96"/>
      <c r="IJP111" s="96"/>
      <c r="IJQ111" s="96"/>
      <c r="IJR111" s="96"/>
      <c r="IJS111" s="96"/>
      <c r="IJT111" s="96"/>
      <c r="IJU111" s="96"/>
      <c r="IJV111" s="96"/>
      <c r="IJW111" s="96"/>
      <c r="IJX111" s="96"/>
      <c r="IJY111" s="96"/>
      <c r="IJZ111" s="96"/>
      <c r="IKA111" s="96"/>
      <c r="IKB111" s="96"/>
      <c r="IKC111" s="96"/>
      <c r="IKD111" s="96"/>
      <c r="IKE111" s="96"/>
      <c r="IKF111" s="96"/>
      <c r="IKG111" s="96"/>
      <c r="IKH111" s="96"/>
      <c r="IKI111" s="96"/>
      <c r="IKJ111" s="95"/>
      <c r="IKK111" s="96"/>
      <c r="IKL111" s="96"/>
      <c r="IKM111" s="96"/>
      <c r="IKN111" s="96"/>
      <c r="IKO111" s="96"/>
      <c r="IKP111" s="96"/>
      <c r="IKQ111" s="96"/>
      <c r="IKR111" s="96"/>
      <c r="IKS111" s="96"/>
      <c r="IKT111" s="96"/>
      <c r="IKU111" s="96"/>
      <c r="IKV111" s="96"/>
      <c r="IKW111" s="96"/>
      <c r="IKX111" s="96"/>
      <c r="IKY111" s="96"/>
      <c r="IKZ111" s="96"/>
      <c r="ILA111" s="96"/>
      <c r="ILB111" s="96"/>
      <c r="ILC111" s="96"/>
      <c r="ILD111" s="96"/>
      <c r="ILE111" s="96"/>
      <c r="ILF111" s="95"/>
      <c r="ILG111" s="96"/>
      <c r="ILH111" s="96"/>
      <c r="ILI111" s="96"/>
      <c r="ILJ111" s="96"/>
      <c r="ILK111" s="96"/>
      <c r="ILL111" s="96"/>
      <c r="ILM111" s="96"/>
      <c r="ILN111" s="96"/>
      <c r="ILO111" s="96"/>
      <c r="ILP111" s="96"/>
      <c r="ILQ111" s="96"/>
      <c r="ILR111" s="96"/>
      <c r="ILS111" s="96"/>
      <c r="ILT111" s="96"/>
      <c r="ILU111" s="96"/>
      <c r="ILV111" s="96"/>
      <c r="ILW111" s="96"/>
      <c r="ILX111" s="96"/>
      <c r="ILY111" s="96"/>
      <c r="ILZ111" s="96"/>
      <c r="IMA111" s="96"/>
      <c r="IMB111" s="95"/>
      <c r="IMC111" s="96"/>
      <c r="IMD111" s="96"/>
      <c r="IME111" s="96"/>
      <c r="IMF111" s="96"/>
      <c r="IMG111" s="96"/>
      <c r="IMH111" s="96"/>
      <c r="IMI111" s="96"/>
      <c r="IMJ111" s="96"/>
      <c r="IMK111" s="96"/>
      <c r="IML111" s="96"/>
      <c r="IMM111" s="96"/>
      <c r="IMN111" s="96"/>
      <c r="IMO111" s="96"/>
      <c r="IMP111" s="96"/>
      <c r="IMQ111" s="96"/>
      <c r="IMR111" s="96"/>
      <c r="IMS111" s="96"/>
      <c r="IMT111" s="96"/>
      <c r="IMU111" s="96"/>
      <c r="IMV111" s="96"/>
      <c r="IMW111" s="96"/>
      <c r="IMX111" s="95"/>
      <c r="IMY111" s="96"/>
      <c r="IMZ111" s="96"/>
      <c r="INA111" s="96"/>
      <c r="INB111" s="96"/>
      <c r="INC111" s="96"/>
      <c r="IND111" s="96"/>
      <c r="INE111" s="96"/>
      <c r="INF111" s="96"/>
      <c r="ING111" s="96"/>
      <c r="INH111" s="96"/>
      <c r="INI111" s="96"/>
      <c r="INJ111" s="96"/>
      <c r="INK111" s="96"/>
      <c r="INL111" s="96"/>
      <c r="INM111" s="96"/>
      <c r="INN111" s="96"/>
      <c r="INO111" s="96"/>
      <c r="INP111" s="96"/>
      <c r="INQ111" s="96"/>
      <c r="INR111" s="96"/>
      <c r="INS111" s="96"/>
      <c r="INT111" s="95"/>
      <c r="INU111" s="96"/>
      <c r="INV111" s="96"/>
      <c r="INW111" s="96"/>
      <c r="INX111" s="96"/>
      <c r="INY111" s="96"/>
      <c r="INZ111" s="96"/>
      <c r="IOA111" s="96"/>
      <c r="IOB111" s="96"/>
      <c r="IOC111" s="96"/>
      <c r="IOD111" s="96"/>
      <c r="IOE111" s="96"/>
      <c r="IOF111" s="96"/>
      <c r="IOG111" s="96"/>
      <c r="IOH111" s="96"/>
      <c r="IOI111" s="96"/>
      <c r="IOJ111" s="96"/>
      <c r="IOK111" s="96"/>
      <c r="IOL111" s="96"/>
      <c r="IOM111" s="96"/>
      <c r="ION111" s="96"/>
      <c r="IOO111" s="96"/>
      <c r="IOP111" s="95"/>
      <c r="IOQ111" s="96"/>
      <c r="IOR111" s="96"/>
      <c r="IOS111" s="96"/>
      <c r="IOT111" s="96"/>
      <c r="IOU111" s="96"/>
      <c r="IOV111" s="96"/>
      <c r="IOW111" s="96"/>
      <c r="IOX111" s="96"/>
      <c r="IOY111" s="96"/>
      <c r="IOZ111" s="96"/>
      <c r="IPA111" s="96"/>
      <c r="IPB111" s="96"/>
      <c r="IPC111" s="96"/>
      <c r="IPD111" s="96"/>
      <c r="IPE111" s="96"/>
      <c r="IPF111" s="96"/>
      <c r="IPG111" s="96"/>
      <c r="IPH111" s="96"/>
      <c r="IPI111" s="96"/>
      <c r="IPJ111" s="96"/>
      <c r="IPK111" s="96"/>
      <c r="IPL111" s="95"/>
      <c r="IPM111" s="96"/>
      <c r="IPN111" s="96"/>
      <c r="IPO111" s="96"/>
      <c r="IPP111" s="96"/>
      <c r="IPQ111" s="96"/>
      <c r="IPR111" s="96"/>
      <c r="IPS111" s="96"/>
      <c r="IPT111" s="96"/>
      <c r="IPU111" s="96"/>
      <c r="IPV111" s="96"/>
      <c r="IPW111" s="96"/>
      <c r="IPX111" s="96"/>
      <c r="IPY111" s="96"/>
      <c r="IPZ111" s="96"/>
      <c r="IQA111" s="96"/>
      <c r="IQB111" s="96"/>
      <c r="IQC111" s="96"/>
      <c r="IQD111" s="96"/>
      <c r="IQE111" s="96"/>
      <c r="IQF111" s="96"/>
      <c r="IQG111" s="96"/>
      <c r="IQH111" s="95"/>
      <c r="IQI111" s="96"/>
      <c r="IQJ111" s="96"/>
      <c r="IQK111" s="96"/>
      <c r="IQL111" s="96"/>
      <c r="IQM111" s="96"/>
      <c r="IQN111" s="96"/>
      <c r="IQO111" s="96"/>
      <c r="IQP111" s="96"/>
      <c r="IQQ111" s="96"/>
      <c r="IQR111" s="96"/>
      <c r="IQS111" s="96"/>
      <c r="IQT111" s="96"/>
      <c r="IQU111" s="96"/>
      <c r="IQV111" s="96"/>
      <c r="IQW111" s="96"/>
      <c r="IQX111" s="96"/>
      <c r="IQY111" s="96"/>
      <c r="IQZ111" s="96"/>
      <c r="IRA111" s="96"/>
      <c r="IRB111" s="96"/>
      <c r="IRC111" s="96"/>
      <c r="IRD111" s="95"/>
      <c r="IRE111" s="96"/>
      <c r="IRF111" s="96"/>
      <c r="IRG111" s="96"/>
      <c r="IRH111" s="96"/>
      <c r="IRI111" s="96"/>
      <c r="IRJ111" s="96"/>
      <c r="IRK111" s="96"/>
      <c r="IRL111" s="96"/>
      <c r="IRM111" s="96"/>
      <c r="IRN111" s="96"/>
      <c r="IRO111" s="96"/>
      <c r="IRP111" s="96"/>
      <c r="IRQ111" s="96"/>
      <c r="IRR111" s="96"/>
      <c r="IRS111" s="96"/>
      <c r="IRT111" s="96"/>
      <c r="IRU111" s="96"/>
      <c r="IRV111" s="96"/>
      <c r="IRW111" s="96"/>
      <c r="IRX111" s="96"/>
      <c r="IRY111" s="96"/>
      <c r="IRZ111" s="95"/>
      <c r="ISA111" s="96"/>
      <c r="ISB111" s="96"/>
      <c r="ISC111" s="96"/>
      <c r="ISD111" s="96"/>
      <c r="ISE111" s="96"/>
      <c r="ISF111" s="96"/>
      <c r="ISG111" s="96"/>
      <c r="ISH111" s="96"/>
      <c r="ISI111" s="96"/>
      <c r="ISJ111" s="96"/>
      <c r="ISK111" s="96"/>
      <c r="ISL111" s="96"/>
      <c r="ISM111" s="96"/>
      <c r="ISN111" s="96"/>
      <c r="ISO111" s="96"/>
      <c r="ISP111" s="96"/>
      <c r="ISQ111" s="96"/>
      <c r="ISR111" s="96"/>
      <c r="ISS111" s="96"/>
      <c r="IST111" s="96"/>
      <c r="ISU111" s="96"/>
      <c r="ISV111" s="95"/>
      <c r="ISW111" s="96"/>
      <c r="ISX111" s="96"/>
      <c r="ISY111" s="96"/>
      <c r="ISZ111" s="96"/>
      <c r="ITA111" s="96"/>
      <c r="ITB111" s="96"/>
      <c r="ITC111" s="96"/>
      <c r="ITD111" s="96"/>
      <c r="ITE111" s="96"/>
      <c r="ITF111" s="96"/>
      <c r="ITG111" s="96"/>
      <c r="ITH111" s="96"/>
      <c r="ITI111" s="96"/>
      <c r="ITJ111" s="96"/>
      <c r="ITK111" s="96"/>
      <c r="ITL111" s="96"/>
      <c r="ITM111" s="96"/>
      <c r="ITN111" s="96"/>
      <c r="ITO111" s="96"/>
      <c r="ITP111" s="96"/>
      <c r="ITQ111" s="96"/>
      <c r="ITR111" s="95"/>
      <c r="ITS111" s="96"/>
      <c r="ITT111" s="96"/>
      <c r="ITU111" s="96"/>
      <c r="ITV111" s="96"/>
      <c r="ITW111" s="96"/>
      <c r="ITX111" s="96"/>
      <c r="ITY111" s="96"/>
      <c r="ITZ111" s="96"/>
      <c r="IUA111" s="96"/>
      <c r="IUB111" s="96"/>
      <c r="IUC111" s="96"/>
      <c r="IUD111" s="96"/>
      <c r="IUE111" s="96"/>
      <c r="IUF111" s="96"/>
      <c r="IUG111" s="96"/>
      <c r="IUH111" s="96"/>
      <c r="IUI111" s="96"/>
      <c r="IUJ111" s="96"/>
      <c r="IUK111" s="96"/>
      <c r="IUL111" s="96"/>
      <c r="IUM111" s="96"/>
      <c r="IUN111" s="95"/>
      <c r="IUO111" s="96"/>
      <c r="IUP111" s="96"/>
      <c r="IUQ111" s="96"/>
      <c r="IUR111" s="96"/>
      <c r="IUS111" s="96"/>
      <c r="IUT111" s="96"/>
      <c r="IUU111" s="96"/>
      <c r="IUV111" s="96"/>
      <c r="IUW111" s="96"/>
      <c r="IUX111" s="96"/>
      <c r="IUY111" s="96"/>
      <c r="IUZ111" s="96"/>
      <c r="IVA111" s="96"/>
      <c r="IVB111" s="96"/>
      <c r="IVC111" s="96"/>
      <c r="IVD111" s="96"/>
      <c r="IVE111" s="96"/>
      <c r="IVF111" s="96"/>
      <c r="IVG111" s="96"/>
      <c r="IVH111" s="96"/>
      <c r="IVI111" s="96"/>
      <c r="IVJ111" s="95"/>
      <c r="IVK111" s="96"/>
      <c r="IVL111" s="96"/>
      <c r="IVM111" s="96"/>
      <c r="IVN111" s="96"/>
      <c r="IVO111" s="96"/>
      <c r="IVP111" s="96"/>
      <c r="IVQ111" s="96"/>
      <c r="IVR111" s="96"/>
      <c r="IVS111" s="96"/>
      <c r="IVT111" s="96"/>
      <c r="IVU111" s="96"/>
      <c r="IVV111" s="96"/>
      <c r="IVW111" s="96"/>
      <c r="IVX111" s="96"/>
      <c r="IVY111" s="96"/>
      <c r="IVZ111" s="96"/>
      <c r="IWA111" s="96"/>
      <c r="IWB111" s="96"/>
      <c r="IWC111" s="96"/>
      <c r="IWD111" s="96"/>
      <c r="IWE111" s="96"/>
      <c r="IWF111" s="95"/>
      <c r="IWG111" s="96"/>
      <c r="IWH111" s="96"/>
      <c r="IWI111" s="96"/>
      <c r="IWJ111" s="96"/>
      <c r="IWK111" s="96"/>
      <c r="IWL111" s="96"/>
      <c r="IWM111" s="96"/>
      <c r="IWN111" s="96"/>
      <c r="IWO111" s="96"/>
      <c r="IWP111" s="96"/>
      <c r="IWQ111" s="96"/>
      <c r="IWR111" s="96"/>
      <c r="IWS111" s="96"/>
      <c r="IWT111" s="96"/>
      <c r="IWU111" s="96"/>
      <c r="IWV111" s="96"/>
      <c r="IWW111" s="96"/>
      <c r="IWX111" s="96"/>
      <c r="IWY111" s="96"/>
      <c r="IWZ111" s="96"/>
      <c r="IXA111" s="96"/>
      <c r="IXB111" s="95"/>
      <c r="IXC111" s="96"/>
      <c r="IXD111" s="96"/>
      <c r="IXE111" s="96"/>
      <c r="IXF111" s="96"/>
      <c r="IXG111" s="96"/>
      <c r="IXH111" s="96"/>
      <c r="IXI111" s="96"/>
      <c r="IXJ111" s="96"/>
      <c r="IXK111" s="96"/>
      <c r="IXL111" s="96"/>
      <c r="IXM111" s="96"/>
      <c r="IXN111" s="96"/>
      <c r="IXO111" s="96"/>
      <c r="IXP111" s="96"/>
      <c r="IXQ111" s="96"/>
      <c r="IXR111" s="96"/>
      <c r="IXS111" s="96"/>
      <c r="IXT111" s="96"/>
      <c r="IXU111" s="96"/>
      <c r="IXV111" s="96"/>
      <c r="IXW111" s="96"/>
      <c r="IXX111" s="95"/>
      <c r="IXY111" s="96"/>
      <c r="IXZ111" s="96"/>
      <c r="IYA111" s="96"/>
      <c r="IYB111" s="96"/>
      <c r="IYC111" s="96"/>
      <c r="IYD111" s="96"/>
      <c r="IYE111" s="96"/>
      <c r="IYF111" s="96"/>
      <c r="IYG111" s="96"/>
      <c r="IYH111" s="96"/>
      <c r="IYI111" s="96"/>
      <c r="IYJ111" s="96"/>
      <c r="IYK111" s="96"/>
      <c r="IYL111" s="96"/>
      <c r="IYM111" s="96"/>
      <c r="IYN111" s="96"/>
      <c r="IYO111" s="96"/>
      <c r="IYP111" s="96"/>
      <c r="IYQ111" s="96"/>
      <c r="IYR111" s="96"/>
      <c r="IYS111" s="96"/>
      <c r="IYT111" s="95"/>
      <c r="IYU111" s="96"/>
      <c r="IYV111" s="96"/>
      <c r="IYW111" s="96"/>
      <c r="IYX111" s="96"/>
      <c r="IYY111" s="96"/>
      <c r="IYZ111" s="96"/>
      <c r="IZA111" s="96"/>
      <c r="IZB111" s="96"/>
      <c r="IZC111" s="96"/>
      <c r="IZD111" s="96"/>
      <c r="IZE111" s="96"/>
      <c r="IZF111" s="96"/>
      <c r="IZG111" s="96"/>
      <c r="IZH111" s="96"/>
      <c r="IZI111" s="96"/>
      <c r="IZJ111" s="96"/>
      <c r="IZK111" s="96"/>
      <c r="IZL111" s="96"/>
      <c r="IZM111" s="96"/>
      <c r="IZN111" s="96"/>
      <c r="IZO111" s="96"/>
      <c r="IZP111" s="95"/>
      <c r="IZQ111" s="96"/>
      <c r="IZR111" s="96"/>
      <c r="IZS111" s="96"/>
      <c r="IZT111" s="96"/>
      <c r="IZU111" s="96"/>
      <c r="IZV111" s="96"/>
      <c r="IZW111" s="96"/>
      <c r="IZX111" s="96"/>
      <c r="IZY111" s="96"/>
      <c r="IZZ111" s="96"/>
      <c r="JAA111" s="96"/>
      <c r="JAB111" s="96"/>
      <c r="JAC111" s="96"/>
      <c r="JAD111" s="96"/>
      <c r="JAE111" s="96"/>
      <c r="JAF111" s="96"/>
      <c r="JAG111" s="96"/>
      <c r="JAH111" s="96"/>
      <c r="JAI111" s="96"/>
      <c r="JAJ111" s="96"/>
      <c r="JAK111" s="96"/>
      <c r="JAL111" s="95"/>
      <c r="JAM111" s="96"/>
      <c r="JAN111" s="96"/>
      <c r="JAO111" s="96"/>
      <c r="JAP111" s="96"/>
      <c r="JAQ111" s="96"/>
      <c r="JAR111" s="96"/>
      <c r="JAS111" s="96"/>
      <c r="JAT111" s="96"/>
      <c r="JAU111" s="96"/>
      <c r="JAV111" s="96"/>
      <c r="JAW111" s="96"/>
      <c r="JAX111" s="96"/>
      <c r="JAY111" s="96"/>
      <c r="JAZ111" s="96"/>
      <c r="JBA111" s="96"/>
      <c r="JBB111" s="96"/>
      <c r="JBC111" s="96"/>
      <c r="JBD111" s="96"/>
      <c r="JBE111" s="96"/>
      <c r="JBF111" s="96"/>
      <c r="JBG111" s="96"/>
      <c r="JBH111" s="95"/>
      <c r="JBI111" s="96"/>
      <c r="JBJ111" s="96"/>
      <c r="JBK111" s="96"/>
      <c r="JBL111" s="96"/>
      <c r="JBM111" s="96"/>
      <c r="JBN111" s="96"/>
      <c r="JBO111" s="96"/>
      <c r="JBP111" s="96"/>
      <c r="JBQ111" s="96"/>
      <c r="JBR111" s="96"/>
      <c r="JBS111" s="96"/>
      <c r="JBT111" s="96"/>
      <c r="JBU111" s="96"/>
      <c r="JBV111" s="96"/>
      <c r="JBW111" s="96"/>
      <c r="JBX111" s="96"/>
      <c r="JBY111" s="96"/>
      <c r="JBZ111" s="96"/>
      <c r="JCA111" s="96"/>
      <c r="JCB111" s="96"/>
      <c r="JCC111" s="96"/>
      <c r="JCD111" s="95"/>
      <c r="JCE111" s="96"/>
      <c r="JCF111" s="96"/>
      <c r="JCG111" s="96"/>
      <c r="JCH111" s="96"/>
      <c r="JCI111" s="96"/>
      <c r="JCJ111" s="96"/>
      <c r="JCK111" s="96"/>
      <c r="JCL111" s="96"/>
      <c r="JCM111" s="96"/>
      <c r="JCN111" s="96"/>
      <c r="JCO111" s="96"/>
      <c r="JCP111" s="96"/>
      <c r="JCQ111" s="96"/>
      <c r="JCR111" s="96"/>
      <c r="JCS111" s="96"/>
      <c r="JCT111" s="96"/>
      <c r="JCU111" s="96"/>
      <c r="JCV111" s="96"/>
      <c r="JCW111" s="96"/>
      <c r="JCX111" s="96"/>
      <c r="JCY111" s="96"/>
      <c r="JCZ111" s="95"/>
      <c r="JDA111" s="96"/>
      <c r="JDB111" s="96"/>
      <c r="JDC111" s="96"/>
      <c r="JDD111" s="96"/>
      <c r="JDE111" s="96"/>
      <c r="JDF111" s="96"/>
      <c r="JDG111" s="96"/>
      <c r="JDH111" s="96"/>
      <c r="JDI111" s="96"/>
      <c r="JDJ111" s="96"/>
      <c r="JDK111" s="96"/>
      <c r="JDL111" s="96"/>
      <c r="JDM111" s="96"/>
      <c r="JDN111" s="96"/>
      <c r="JDO111" s="96"/>
      <c r="JDP111" s="96"/>
      <c r="JDQ111" s="96"/>
      <c r="JDR111" s="96"/>
      <c r="JDS111" s="96"/>
      <c r="JDT111" s="96"/>
      <c r="JDU111" s="96"/>
      <c r="JDV111" s="95"/>
      <c r="JDW111" s="96"/>
      <c r="JDX111" s="96"/>
      <c r="JDY111" s="96"/>
      <c r="JDZ111" s="96"/>
      <c r="JEA111" s="96"/>
      <c r="JEB111" s="96"/>
      <c r="JEC111" s="96"/>
      <c r="JED111" s="96"/>
      <c r="JEE111" s="96"/>
      <c r="JEF111" s="96"/>
      <c r="JEG111" s="96"/>
      <c r="JEH111" s="96"/>
      <c r="JEI111" s="96"/>
      <c r="JEJ111" s="96"/>
      <c r="JEK111" s="96"/>
      <c r="JEL111" s="96"/>
      <c r="JEM111" s="96"/>
      <c r="JEN111" s="96"/>
      <c r="JEO111" s="96"/>
      <c r="JEP111" s="96"/>
      <c r="JEQ111" s="96"/>
      <c r="JER111" s="95"/>
      <c r="JES111" s="96"/>
      <c r="JET111" s="96"/>
      <c r="JEU111" s="96"/>
      <c r="JEV111" s="96"/>
      <c r="JEW111" s="96"/>
      <c r="JEX111" s="96"/>
      <c r="JEY111" s="96"/>
      <c r="JEZ111" s="96"/>
      <c r="JFA111" s="96"/>
      <c r="JFB111" s="96"/>
      <c r="JFC111" s="96"/>
      <c r="JFD111" s="96"/>
      <c r="JFE111" s="96"/>
      <c r="JFF111" s="96"/>
      <c r="JFG111" s="96"/>
      <c r="JFH111" s="96"/>
      <c r="JFI111" s="96"/>
      <c r="JFJ111" s="96"/>
      <c r="JFK111" s="96"/>
      <c r="JFL111" s="96"/>
      <c r="JFM111" s="96"/>
      <c r="JFN111" s="95"/>
      <c r="JFO111" s="96"/>
      <c r="JFP111" s="96"/>
      <c r="JFQ111" s="96"/>
      <c r="JFR111" s="96"/>
      <c r="JFS111" s="96"/>
      <c r="JFT111" s="96"/>
      <c r="JFU111" s="96"/>
      <c r="JFV111" s="96"/>
      <c r="JFW111" s="96"/>
      <c r="JFX111" s="96"/>
      <c r="JFY111" s="96"/>
      <c r="JFZ111" s="96"/>
      <c r="JGA111" s="96"/>
      <c r="JGB111" s="96"/>
      <c r="JGC111" s="96"/>
      <c r="JGD111" s="96"/>
      <c r="JGE111" s="96"/>
      <c r="JGF111" s="96"/>
      <c r="JGG111" s="96"/>
      <c r="JGH111" s="96"/>
      <c r="JGI111" s="96"/>
      <c r="JGJ111" s="95"/>
      <c r="JGK111" s="96"/>
      <c r="JGL111" s="96"/>
      <c r="JGM111" s="96"/>
      <c r="JGN111" s="96"/>
      <c r="JGO111" s="96"/>
      <c r="JGP111" s="96"/>
      <c r="JGQ111" s="96"/>
      <c r="JGR111" s="96"/>
      <c r="JGS111" s="96"/>
      <c r="JGT111" s="96"/>
      <c r="JGU111" s="96"/>
      <c r="JGV111" s="96"/>
      <c r="JGW111" s="96"/>
      <c r="JGX111" s="96"/>
      <c r="JGY111" s="96"/>
      <c r="JGZ111" s="96"/>
      <c r="JHA111" s="96"/>
      <c r="JHB111" s="96"/>
      <c r="JHC111" s="96"/>
      <c r="JHD111" s="96"/>
      <c r="JHE111" s="96"/>
      <c r="JHF111" s="95"/>
      <c r="JHG111" s="96"/>
      <c r="JHH111" s="96"/>
      <c r="JHI111" s="96"/>
      <c r="JHJ111" s="96"/>
      <c r="JHK111" s="96"/>
      <c r="JHL111" s="96"/>
      <c r="JHM111" s="96"/>
      <c r="JHN111" s="96"/>
      <c r="JHO111" s="96"/>
      <c r="JHP111" s="96"/>
      <c r="JHQ111" s="96"/>
      <c r="JHR111" s="96"/>
      <c r="JHS111" s="96"/>
      <c r="JHT111" s="96"/>
      <c r="JHU111" s="96"/>
      <c r="JHV111" s="96"/>
      <c r="JHW111" s="96"/>
      <c r="JHX111" s="96"/>
      <c r="JHY111" s="96"/>
      <c r="JHZ111" s="96"/>
      <c r="JIA111" s="96"/>
      <c r="JIB111" s="95"/>
      <c r="JIC111" s="96"/>
      <c r="JID111" s="96"/>
      <c r="JIE111" s="96"/>
      <c r="JIF111" s="96"/>
      <c r="JIG111" s="96"/>
      <c r="JIH111" s="96"/>
      <c r="JII111" s="96"/>
      <c r="JIJ111" s="96"/>
      <c r="JIK111" s="96"/>
      <c r="JIL111" s="96"/>
      <c r="JIM111" s="96"/>
      <c r="JIN111" s="96"/>
      <c r="JIO111" s="96"/>
      <c r="JIP111" s="96"/>
      <c r="JIQ111" s="96"/>
      <c r="JIR111" s="96"/>
      <c r="JIS111" s="96"/>
      <c r="JIT111" s="96"/>
      <c r="JIU111" s="96"/>
      <c r="JIV111" s="96"/>
      <c r="JIW111" s="96"/>
      <c r="JIX111" s="95"/>
      <c r="JIY111" s="96"/>
      <c r="JIZ111" s="96"/>
      <c r="JJA111" s="96"/>
      <c r="JJB111" s="96"/>
      <c r="JJC111" s="96"/>
      <c r="JJD111" s="96"/>
      <c r="JJE111" s="96"/>
      <c r="JJF111" s="96"/>
      <c r="JJG111" s="96"/>
      <c r="JJH111" s="96"/>
      <c r="JJI111" s="96"/>
      <c r="JJJ111" s="96"/>
      <c r="JJK111" s="96"/>
      <c r="JJL111" s="96"/>
      <c r="JJM111" s="96"/>
      <c r="JJN111" s="96"/>
      <c r="JJO111" s="96"/>
      <c r="JJP111" s="96"/>
      <c r="JJQ111" s="96"/>
      <c r="JJR111" s="96"/>
      <c r="JJS111" s="96"/>
      <c r="JJT111" s="95"/>
      <c r="JJU111" s="96"/>
      <c r="JJV111" s="96"/>
      <c r="JJW111" s="96"/>
      <c r="JJX111" s="96"/>
      <c r="JJY111" s="96"/>
      <c r="JJZ111" s="96"/>
      <c r="JKA111" s="96"/>
      <c r="JKB111" s="96"/>
      <c r="JKC111" s="96"/>
      <c r="JKD111" s="96"/>
      <c r="JKE111" s="96"/>
      <c r="JKF111" s="96"/>
      <c r="JKG111" s="96"/>
      <c r="JKH111" s="96"/>
      <c r="JKI111" s="96"/>
      <c r="JKJ111" s="96"/>
      <c r="JKK111" s="96"/>
      <c r="JKL111" s="96"/>
      <c r="JKM111" s="96"/>
      <c r="JKN111" s="96"/>
      <c r="JKO111" s="96"/>
      <c r="JKP111" s="95"/>
      <c r="JKQ111" s="96"/>
      <c r="JKR111" s="96"/>
      <c r="JKS111" s="96"/>
      <c r="JKT111" s="96"/>
      <c r="JKU111" s="96"/>
      <c r="JKV111" s="96"/>
      <c r="JKW111" s="96"/>
      <c r="JKX111" s="96"/>
      <c r="JKY111" s="96"/>
      <c r="JKZ111" s="96"/>
      <c r="JLA111" s="96"/>
      <c r="JLB111" s="96"/>
      <c r="JLC111" s="96"/>
      <c r="JLD111" s="96"/>
      <c r="JLE111" s="96"/>
      <c r="JLF111" s="96"/>
      <c r="JLG111" s="96"/>
      <c r="JLH111" s="96"/>
      <c r="JLI111" s="96"/>
      <c r="JLJ111" s="96"/>
      <c r="JLK111" s="96"/>
      <c r="JLL111" s="95"/>
      <c r="JLM111" s="96"/>
      <c r="JLN111" s="96"/>
      <c r="JLO111" s="96"/>
      <c r="JLP111" s="96"/>
      <c r="JLQ111" s="96"/>
      <c r="JLR111" s="96"/>
      <c r="JLS111" s="96"/>
      <c r="JLT111" s="96"/>
      <c r="JLU111" s="96"/>
      <c r="JLV111" s="96"/>
      <c r="JLW111" s="96"/>
      <c r="JLX111" s="96"/>
      <c r="JLY111" s="96"/>
      <c r="JLZ111" s="96"/>
      <c r="JMA111" s="96"/>
      <c r="JMB111" s="96"/>
      <c r="JMC111" s="96"/>
      <c r="JMD111" s="96"/>
      <c r="JME111" s="96"/>
      <c r="JMF111" s="96"/>
      <c r="JMG111" s="96"/>
      <c r="JMH111" s="95"/>
      <c r="JMI111" s="96"/>
      <c r="JMJ111" s="96"/>
      <c r="JMK111" s="96"/>
      <c r="JML111" s="96"/>
      <c r="JMM111" s="96"/>
      <c r="JMN111" s="96"/>
      <c r="JMO111" s="96"/>
      <c r="JMP111" s="96"/>
      <c r="JMQ111" s="96"/>
      <c r="JMR111" s="96"/>
      <c r="JMS111" s="96"/>
      <c r="JMT111" s="96"/>
      <c r="JMU111" s="96"/>
      <c r="JMV111" s="96"/>
      <c r="JMW111" s="96"/>
      <c r="JMX111" s="96"/>
      <c r="JMY111" s="96"/>
      <c r="JMZ111" s="96"/>
      <c r="JNA111" s="96"/>
      <c r="JNB111" s="96"/>
      <c r="JNC111" s="96"/>
      <c r="JND111" s="95"/>
      <c r="JNE111" s="96"/>
      <c r="JNF111" s="96"/>
      <c r="JNG111" s="96"/>
      <c r="JNH111" s="96"/>
      <c r="JNI111" s="96"/>
      <c r="JNJ111" s="96"/>
      <c r="JNK111" s="96"/>
      <c r="JNL111" s="96"/>
      <c r="JNM111" s="96"/>
      <c r="JNN111" s="96"/>
      <c r="JNO111" s="96"/>
      <c r="JNP111" s="96"/>
      <c r="JNQ111" s="96"/>
      <c r="JNR111" s="96"/>
      <c r="JNS111" s="96"/>
      <c r="JNT111" s="96"/>
      <c r="JNU111" s="96"/>
      <c r="JNV111" s="96"/>
      <c r="JNW111" s="96"/>
      <c r="JNX111" s="96"/>
      <c r="JNY111" s="96"/>
      <c r="JNZ111" s="95"/>
      <c r="JOA111" s="96"/>
      <c r="JOB111" s="96"/>
      <c r="JOC111" s="96"/>
      <c r="JOD111" s="96"/>
      <c r="JOE111" s="96"/>
      <c r="JOF111" s="96"/>
      <c r="JOG111" s="96"/>
      <c r="JOH111" s="96"/>
      <c r="JOI111" s="96"/>
      <c r="JOJ111" s="96"/>
      <c r="JOK111" s="96"/>
      <c r="JOL111" s="96"/>
      <c r="JOM111" s="96"/>
      <c r="JON111" s="96"/>
      <c r="JOO111" s="96"/>
      <c r="JOP111" s="96"/>
      <c r="JOQ111" s="96"/>
      <c r="JOR111" s="96"/>
      <c r="JOS111" s="96"/>
      <c r="JOT111" s="96"/>
      <c r="JOU111" s="96"/>
      <c r="JOV111" s="95"/>
      <c r="JOW111" s="96"/>
      <c r="JOX111" s="96"/>
      <c r="JOY111" s="96"/>
      <c r="JOZ111" s="96"/>
      <c r="JPA111" s="96"/>
      <c r="JPB111" s="96"/>
      <c r="JPC111" s="96"/>
      <c r="JPD111" s="96"/>
      <c r="JPE111" s="96"/>
      <c r="JPF111" s="96"/>
      <c r="JPG111" s="96"/>
      <c r="JPH111" s="96"/>
      <c r="JPI111" s="96"/>
      <c r="JPJ111" s="96"/>
      <c r="JPK111" s="96"/>
      <c r="JPL111" s="96"/>
      <c r="JPM111" s="96"/>
      <c r="JPN111" s="96"/>
      <c r="JPO111" s="96"/>
      <c r="JPP111" s="96"/>
      <c r="JPQ111" s="96"/>
      <c r="JPR111" s="95"/>
      <c r="JPS111" s="96"/>
      <c r="JPT111" s="96"/>
      <c r="JPU111" s="96"/>
      <c r="JPV111" s="96"/>
      <c r="JPW111" s="96"/>
      <c r="JPX111" s="96"/>
      <c r="JPY111" s="96"/>
      <c r="JPZ111" s="96"/>
      <c r="JQA111" s="96"/>
      <c r="JQB111" s="96"/>
      <c r="JQC111" s="96"/>
      <c r="JQD111" s="96"/>
      <c r="JQE111" s="96"/>
      <c r="JQF111" s="96"/>
      <c r="JQG111" s="96"/>
      <c r="JQH111" s="96"/>
      <c r="JQI111" s="96"/>
      <c r="JQJ111" s="96"/>
      <c r="JQK111" s="96"/>
      <c r="JQL111" s="96"/>
      <c r="JQM111" s="96"/>
      <c r="JQN111" s="95"/>
      <c r="JQO111" s="96"/>
      <c r="JQP111" s="96"/>
      <c r="JQQ111" s="96"/>
      <c r="JQR111" s="96"/>
      <c r="JQS111" s="96"/>
      <c r="JQT111" s="96"/>
      <c r="JQU111" s="96"/>
      <c r="JQV111" s="96"/>
      <c r="JQW111" s="96"/>
      <c r="JQX111" s="96"/>
      <c r="JQY111" s="96"/>
      <c r="JQZ111" s="96"/>
      <c r="JRA111" s="96"/>
      <c r="JRB111" s="96"/>
      <c r="JRC111" s="96"/>
      <c r="JRD111" s="96"/>
      <c r="JRE111" s="96"/>
      <c r="JRF111" s="96"/>
      <c r="JRG111" s="96"/>
      <c r="JRH111" s="96"/>
      <c r="JRI111" s="96"/>
      <c r="JRJ111" s="95"/>
      <c r="JRK111" s="96"/>
      <c r="JRL111" s="96"/>
      <c r="JRM111" s="96"/>
      <c r="JRN111" s="96"/>
      <c r="JRO111" s="96"/>
      <c r="JRP111" s="96"/>
      <c r="JRQ111" s="96"/>
      <c r="JRR111" s="96"/>
      <c r="JRS111" s="96"/>
      <c r="JRT111" s="96"/>
      <c r="JRU111" s="96"/>
      <c r="JRV111" s="96"/>
      <c r="JRW111" s="96"/>
      <c r="JRX111" s="96"/>
      <c r="JRY111" s="96"/>
      <c r="JRZ111" s="96"/>
      <c r="JSA111" s="96"/>
      <c r="JSB111" s="96"/>
      <c r="JSC111" s="96"/>
      <c r="JSD111" s="96"/>
      <c r="JSE111" s="96"/>
      <c r="JSF111" s="95"/>
      <c r="JSG111" s="96"/>
      <c r="JSH111" s="96"/>
      <c r="JSI111" s="96"/>
      <c r="JSJ111" s="96"/>
      <c r="JSK111" s="96"/>
      <c r="JSL111" s="96"/>
      <c r="JSM111" s="96"/>
      <c r="JSN111" s="96"/>
      <c r="JSO111" s="96"/>
      <c r="JSP111" s="96"/>
      <c r="JSQ111" s="96"/>
      <c r="JSR111" s="96"/>
      <c r="JSS111" s="96"/>
      <c r="JST111" s="96"/>
      <c r="JSU111" s="96"/>
      <c r="JSV111" s="96"/>
      <c r="JSW111" s="96"/>
      <c r="JSX111" s="96"/>
      <c r="JSY111" s="96"/>
      <c r="JSZ111" s="96"/>
      <c r="JTA111" s="96"/>
      <c r="JTB111" s="95"/>
      <c r="JTC111" s="96"/>
      <c r="JTD111" s="96"/>
      <c r="JTE111" s="96"/>
      <c r="JTF111" s="96"/>
      <c r="JTG111" s="96"/>
      <c r="JTH111" s="96"/>
      <c r="JTI111" s="96"/>
      <c r="JTJ111" s="96"/>
      <c r="JTK111" s="96"/>
      <c r="JTL111" s="96"/>
      <c r="JTM111" s="96"/>
      <c r="JTN111" s="96"/>
      <c r="JTO111" s="96"/>
      <c r="JTP111" s="96"/>
      <c r="JTQ111" s="96"/>
      <c r="JTR111" s="96"/>
      <c r="JTS111" s="96"/>
      <c r="JTT111" s="96"/>
      <c r="JTU111" s="96"/>
      <c r="JTV111" s="96"/>
      <c r="JTW111" s="96"/>
      <c r="JTX111" s="95"/>
      <c r="JTY111" s="96"/>
      <c r="JTZ111" s="96"/>
      <c r="JUA111" s="96"/>
      <c r="JUB111" s="96"/>
      <c r="JUC111" s="96"/>
      <c r="JUD111" s="96"/>
      <c r="JUE111" s="96"/>
      <c r="JUF111" s="96"/>
      <c r="JUG111" s="96"/>
      <c r="JUH111" s="96"/>
      <c r="JUI111" s="96"/>
      <c r="JUJ111" s="96"/>
      <c r="JUK111" s="96"/>
      <c r="JUL111" s="96"/>
      <c r="JUM111" s="96"/>
      <c r="JUN111" s="96"/>
      <c r="JUO111" s="96"/>
      <c r="JUP111" s="96"/>
      <c r="JUQ111" s="96"/>
      <c r="JUR111" s="96"/>
      <c r="JUS111" s="96"/>
      <c r="JUT111" s="95"/>
      <c r="JUU111" s="96"/>
      <c r="JUV111" s="96"/>
      <c r="JUW111" s="96"/>
      <c r="JUX111" s="96"/>
      <c r="JUY111" s="96"/>
      <c r="JUZ111" s="96"/>
      <c r="JVA111" s="96"/>
      <c r="JVB111" s="96"/>
      <c r="JVC111" s="96"/>
      <c r="JVD111" s="96"/>
      <c r="JVE111" s="96"/>
      <c r="JVF111" s="96"/>
      <c r="JVG111" s="96"/>
      <c r="JVH111" s="96"/>
      <c r="JVI111" s="96"/>
      <c r="JVJ111" s="96"/>
      <c r="JVK111" s="96"/>
      <c r="JVL111" s="96"/>
      <c r="JVM111" s="96"/>
      <c r="JVN111" s="96"/>
      <c r="JVO111" s="96"/>
      <c r="JVP111" s="95"/>
      <c r="JVQ111" s="96"/>
      <c r="JVR111" s="96"/>
      <c r="JVS111" s="96"/>
      <c r="JVT111" s="96"/>
      <c r="JVU111" s="96"/>
      <c r="JVV111" s="96"/>
      <c r="JVW111" s="96"/>
      <c r="JVX111" s="96"/>
      <c r="JVY111" s="96"/>
      <c r="JVZ111" s="96"/>
      <c r="JWA111" s="96"/>
      <c r="JWB111" s="96"/>
      <c r="JWC111" s="96"/>
      <c r="JWD111" s="96"/>
      <c r="JWE111" s="96"/>
      <c r="JWF111" s="96"/>
      <c r="JWG111" s="96"/>
      <c r="JWH111" s="96"/>
      <c r="JWI111" s="96"/>
      <c r="JWJ111" s="96"/>
      <c r="JWK111" s="96"/>
      <c r="JWL111" s="95"/>
      <c r="JWM111" s="96"/>
      <c r="JWN111" s="96"/>
      <c r="JWO111" s="96"/>
      <c r="JWP111" s="96"/>
      <c r="JWQ111" s="96"/>
      <c r="JWR111" s="96"/>
      <c r="JWS111" s="96"/>
      <c r="JWT111" s="96"/>
      <c r="JWU111" s="96"/>
      <c r="JWV111" s="96"/>
      <c r="JWW111" s="96"/>
      <c r="JWX111" s="96"/>
      <c r="JWY111" s="96"/>
      <c r="JWZ111" s="96"/>
      <c r="JXA111" s="96"/>
      <c r="JXB111" s="96"/>
      <c r="JXC111" s="96"/>
      <c r="JXD111" s="96"/>
      <c r="JXE111" s="96"/>
      <c r="JXF111" s="96"/>
      <c r="JXG111" s="96"/>
      <c r="JXH111" s="95"/>
      <c r="JXI111" s="96"/>
      <c r="JXJ111" s="96"/>
      <c r="JXK111" s="96"/>
      <c r="JXL111" s="96"/>
      <c r="JXM111" s="96"/>
      <c r="JXN111" s="96"/>
      <c r="JXO111" s="96"/>
      <c r="JXP111" s="96"/>
      <c r="JXQ111" s="96"/>
      <c r="JXR111" s="96"/>
      <c r="JXS111" s="96"/>
      <c r="JXT111" s="96"/>
      <c r="JXU111" s="96"/>
      <c r="JXV111" s="96"/>
      <c r="JXW111" s="96"/>
      <c r="JXX111" s="96"/>
      <c r="JXY111" s="96"/>
      <c r="JXZ111" s="96"/>
      <c r="JYA111" s="96"/>
      <c r="JYB111" s="96"/>
      <c r="JYC111" s="96"/>
      <c r="JYD111" s="95"/>
      <c r="JYE111" s="96"/>
      <c r="JYF111" s="96"/>
      <c r="JYG111" s="96"/>
      <c r="JYH111" s="96"/>
      <c r="JYI111" s="96"/>
      <c r="JYJ111" s="96"/>
      <c r="JYK111" s="96"/>
      <c r="JYL111" s="96"/>
      <c r="JYM111" s="96"/>
      <c r="JYN111" s="96"/>
      <c r="JYO111" s="96"/>
      <c r="JYP111" s="96"/>
      <c r="JYQ111" s="96"/>
      <c r="JYR111" s="96"/>
      <c r="JYS111" s="96"/>
      <c r="JYT111" s="96"/>
      <c r="JYU111" s="96"/>
      <c r="JYV111" s="96"/>
      <c r="JYW111" s="96"/>
      <c r="JYX111" s="96"/>
      <c r="JYY111" s="96"/>
      <c r="JYZ111" s="95"/>
      <c r="JZA111" s="96"/>
      <c r="JZB111" s="96"/>
      <c r="JZC111" s="96"/>
      <c r="JZD111" s="96"/>
      <c r="JZE111" s="96"/>
      <c r="JZF111" s="96"/>
      <c r="JZG111" s="96"/>
      <c r="JZH111" s="96"/>
      <c r="JZI111" s="96"/>
      <c r="JZJ111" s="96"/>
      <c r="JZK111" s="96"/>
      <c r="JZL111" s="96"/>
      <c r="JZM111" s="96"/>
      <c r="JZN111" s="96"/>
      <c r="JZO111" s="96"/>
      <c r="JZP111" s="96"/>
      <c r="JZQ111" s="96"/>
      <c r="JZR111" s="96"/>
      <c r="JZS111" s="96"/>
      <c r="JZT111" s="96"/>
      <c r="JZU111" s="96"/>
      <c r="JZV111" s="95"/>
      <c r="JZW111" s="96"/>
      <c r="JZX111" s="96"/>
      <c r="JZY111" s="96"/>
      <c r="JZZ111" s="96"/>
      <c r="KAA111" s="96"/>
      <c r="KAB111" s="96"/>
      <c r="KAC111" s="96"/>
      <c r="KAD111" s="96"/>
      <c r="KAE111" s="96"/>
      <c r="KAF111" s="96"/>
      <c r="KAG111" s="96"/>
      <c r="KAH111" s="96"/>
      <c r="KAI111" s="96"/>
      <c r="KAJ111" s="96"/>
      <c r="KAK111" s="96"/>
      <c r="KAL111" s="96"/>
      <c r="KAM111" s="96"/>
      <c r="KAN111" s="96"/>
      <c r="KAO111" s="96"/>
      <c r="KAP111" s="96"/>
      <c r="KAQ111" s="96"/>
      <c r="KAR111" s="95"/>
      <c r="KAS111" s="96"/>
      <c r="KAT111" s="96"/>
      <c r="KAU111" s="96"/>
      <c r="KAV111" s="96"/>
      <c r="KAW111" s="96"/>
      <c r="KAX111" s="96"/>
      <c r="KAY111" s="96"/>
      <c r="KAZ111" s="96"/>
      <c r="KBA111" s="96"/>
      <c r="KBB111" s="96"/>
      <c r="KBC111" s="96"/>
      <c r="KBD111" s="96"/>
      <c r="KBE111" s="96"/>
      <c r="KBF111" s="96"/>
      <c r="KBG111" s="96"/>
      <c r="KBH111" s="96"/>
      <c r="KBI111" s="96"/>
      <c r="KBJ111" s="96"/>
      <c r="KBK111" s="96"/>
      <c r="KBL111" s="96"/>
      <c r="KBM111" s="96"/>
      <c r="KBN111" s="95"/>
      <c r="KBO111" s="96"/>
      <c r="KBP111" s="96"/>
      <c r="KBQ111" s="96"/>
      <c r="KBR111" s="96"/>
      <c r="KBS111" s="96"/>
      <c r="KBT111" s="96"/>
      <c r="KBU111" s="96"/>
      <c r="KBV111" s="96"/>
      <c r="KBW111" s="96"/>
      <c r="KBX111" s="96"/>
      <c r="KBY111" s="96"/>
      <c r="KBZ111" s="96"/>
      <c r="KCA111" s="96"/>
      <c r="KCB111" s="96"/>
      <c r="KCC111" s="96"/>
      <c r="KCD111" s="96"/>
      <c r="KCE111" s="96"/>
      <c r="KCF111" s="96"/>
      <c r="KCG111" s="96"/>
      <c r="KCH111" s="96"/>
      <c r="KCI111" s="96"/>
      <c r="KCJ111" s="95"/>
      <c r="KCK111" s="96"/>
      <c r="KCL111" s="96"/>
      <c r="KCM111" s="96"/>
      <c r="KCN111" s="96"/>
      <c r="KCO111" s="96"/>
      <c r="KCP111" s="96"/>
      <c r="KCQ111" s="96"/>
      <c r="KCR111" s="96"/>
      <c r="KCS111" s="96"/>
      <c r="KCT111" s="96"/>
      <c r="KCU111" s="96"/>
      <c r="KCV111" s="96"/>
      <c r="KCW111" s="96"/>
      <c r="KCX111" s="96"/>
      <c r="KCY111" s="96"/>
      <c r="KCZ111" s="96"/>
      <c r="KDA111" s="96"/>
      <c r="KDB111" s="96"/>
      <c r="KDC111" s="96"/>
      <c r="KDD111" s="96"/>
      <c r="KDE111" s="96"/>
      <c r="KDF111" s="95"/>
      <c r="KDG111" s="96"/>
      <c r="KDH111" s="96"/>
      <c r="KDI111" s="96"/>
      <c r="KDJ111" s="96"/>
      <c r="KDK111" s="96"/>
      <c r="KDL111" s="96"/>
      <c r="KDM111" s="96"/>
      <c r="KDN111" s="96"/>
      <c r="KDO111" s="96"/>
      <c r="KDP111" s="96"/>
      <c r="KDQ111" s="96"/>
      <c r="KDR111" s="96"/>
      <c r="KDS111" s="96"/>
      <c r="KDT111" s="96"/>
      <c r="KDU111" s="96"/>
      <c r="KDV111" s="96"/>
      <c r="KDW111" s="96"/>
      <c r="KDX111" s="96"/>
      <c r="KDY111" s="96"/>
      <c r="KDZ111" s="96"/>
      <c r="KEA111" s="96"/>
      <c r="KEB111" s="95"/>
      <c r="KEC111" s="96"/>
      <c r="KED111" s="96"/>
      <c r="KEE111" s="96"/>
      <c r="KEF111" s="96"/>
      <c r="KEG111" s="96"/>
      <c r="KEH111" s="96"/>
      <c r="KEI111" s="96"/>
      <c r="KEJ111" s="96"/>
      <c r="KEK111" s="96"/>
      <c r="KEL111" s="96"/>
      <c r="KEM111" s="96"/>
      <c r="KEN111" s="96"/>
      <c r="KEO111" s="96"/>
      <c r="KEP111" s="96"/>
      <c r="KEQ111" s="96"/>
      <c r="KER111" s="96"/>
      <c r="KES111" s="96"/>
      <c r="KET111" s="96"/>
      <c r="KEU111" s="96"/>
      <c r="KEV111" s="96"/>
      <c r="KEW111" s="96"/>
      <c r="KEX111" s="95"/>
      <c r="KEY111" s="96"/>
      <c r="KEZ111" s="96"/>
      <c r="KFA111" s="96"/>
      <c r="KFB111" s="96"/>
      <c r="KFC111" s="96"/>
      <c r="KFD111" s="96"/>
      <c r="KFE111" s="96"/>
      <c r="KFF111" s="96"/>
      <c r="KFG111" s="96"/>
      <c r="KFH111" s="96"/>
      <c r="KFI111" s="96"/>
      <c r="KFJ111" s="96"/>
      <c r="KFK111" s="96"/>
      <c r="KFL111" s="96"/>
      <c r="KFM111" s="96"/>
      <c r="KFN111" s="96"/>
      <c r="KFO111" s="96"/>
      <c r="KFP111" s="96"/>
      <c r="KFQ111" s="96"/>
      <c r="KFR111" s="96"/>
      <c r="KFS111" s="96"/>
      <c r="KFT111" s="95"/>
      <c r="KFU111" s="96"/>
      <c r="KFV111" s="96"/>
      <c r="KFW111" s="96"/>
      <c r="KFX111" s="96"/>
      <c r="KFY111" s="96"/>
      <c r="KFZ111" s="96"/>
      <c r="KGA111" s="96"/>
      <c r="KGB111" s="96"/>
      <c r="KGC111" s="96"/>
      <c r="KGD111" s="96"/>
      <c r="KGE111" s="96"/>
      <c r="KGF111" s="96"/>
      <c r="KGG111" s="96"/>
      <c r="KGH111" s="96"/>
      <c r="KGI111" s="96"/>
      <c r="KGJ111" s="96"/>
      <c r="KGK111" s="96"/>
      <c r="KGL111" s="96"/>
      <c r="KGM111" s="96"/>
      <c r="KGN111" s="96"/>
      <c r="KGO111" s="96"/>
      <c r="KGP111" s="95"/>
      <c r="KGQ111" s="96"/>
      <c r="KGR111" s="96"/>
      <c r="KGS111" s="96"/>
      <c r="KGT111" s="96"/>
      <c r="KGU111" s="96"/>
      <c r="KGV111" s="96"/>
      <c r="KGW111" s="96"/>
      <c r="KGX111" s="96"/>
      <c r="KGY111" s="96"/>
      <c r="KGZ111" s="96"/>
      <c r="KHA111" s="96"/>
      <c r="KHB111" s="96"/>
      <c r="KHC111" s="96"/>
      <c r="KHD111" s="96"/>
      <c r="KHE111" s="96"/>
      <c r="KHF111" s="96"/>
      <c r="KHG111" s="96"/>
      <c r="KHH111" s="96"/>
      <c r="KHI111" s="96"/>
      <c r="KHJ111" s="96"/>
      <c r="KHK111" s="96"/>
      <c r="KHL111" s="95"/>
      <c r="KHM111" s="96"/>
      <c r="KHN111" s="96"/>
      <c r="KHO111" s="96"/>
      <c r="KHP111" s="96"/>
      <c r="KHQ111" s="96"/>
      <c r="KHR111" s="96"/>
      <c r="KHS111" s="96"/>
      <c r="KHT111" s="96"/>
      <c r="KHU111" s="96"/>
      <c r="KHV111" s="96"/>
      <c r="KHW111" s="96"/>
      <c r="KHX111" s="96"/>
      <c r="KHY111" s="96"/>
      <c r="KHZ111" s="96"/>
      <c r="KIA111" s="96"/>
      <c r="KIB111" s="96"/>
      <c r="KIC111" s="96"/>
      <c r="KID111" s="96"/>
      <c r="KIE111" s="96"/>
      <c r="KIF111" s="96"/>
      <c r="KIG111" s="96"/>
      <c r="KIH111" s="95"/>
      <c r="KII111" s="96"/>
      <c r="KIJ111" s="96"/>
      <c r="KIK111" s="96"/>
      <c r="KIL111" s="96"/>
      <c r="KIM111" s="96"/>
      <c r="KIN111" s="96"/>
      <c r="KIO111" s="96"/>
      <c r="KIP111" s="96"/>
      <c r="KIQ111" s="96"/>
      <c r="KIR111" s="96"/>
      <c r="KIS111" s="96"/>
      <c r="KIT111" s="96"/>
      <c r="KIU111" s="96"/>
      <c r="KIV111" s="96"/>
      <c r="KIW111" s="96"/>
      <c r="KIX111" s="96"/>
      <c r="KIY111" s="96"/>
      <c r="KIZ111" s="96"/>
      <c r="KJA111" s="96"/>
      <c r="KJB111" s="96"/>
      <c r="KJC111" s="96"/>
      <c r="KJD111" s="95"/>
      <c r="KJE111" s="96"/>
      <c r="KJF111" s="96"/>
      <c r="KJG111" s="96"/>
      <c r="KJH111" s="96"/>
      <c r="KJI111" s="96"/>
      <c r="KJJ111" s="96"/>
      <c r="KJK111" s="96"/>
      <c r="KJL111" s="96"/>
      <c r="KJM111" s="96"/>
      <c r="KJN111" s="96"/>
      <c r="KJO111" s="96"/>
      <c r="KJP111" s="96"/>
      <c r="KJQ111" s="96"/>
      <c r="KJR111" s="96"/>
      <c r="KJS111" s="96"/>
      <c r="KJT111" s="96"/>
      <c r="KJU111" s="96"/>
      <c r="KJV111" s="96"/>
      <c r="KJW111" s="96"/>
      <c r="KJX111" s="96"/>
      <c r="KJY111" s="96"/>
      <c r="KJZ111" s="95"/>
      <c r="KKA111" s="96"/>
      <c r="KKB111" s="96"/>
      <c r="KKC111" s="96"/>
      <c r="KKD111" s="96"/>
      <c r="KKE111" s="96"/>
      <c r="KKF111" s="96"/>
      <c r="KKG111" s="96"/>
      <c r="KKH111" s="96"/>
      <c r="KKI111" s="96"/>
      <c r="KKJ111" s="96"/>
      <c r="KKK111" s="96"/>
      <c r="KKL111" s="96"/>
      <c r="KKM111" s="96"/>
      <c r="KKN111" s="96"/>
      <c r="KKO111" s="96"/>
      <c r="KKP111" s="96"/>
      <c r="KKQ111" s="96"/>
      <c r="KKR111" s="96"/>
      <c r="KKS111" s="96"/>
      <c r="KKT111" s="96"/>
      <c r="KKU111" s="96"/>
      <c r="KKV111" s="95"/>
      <c r="KKW111" s="96"/>
      <c r="KKX111" s="96"/>
      <c r="KKY111" s="96"/>
      <c r="KKZ111" s="96"/>
      <c r="KLA111" s="96"/>
      <c r="KLB111" s="96"/>
      <c r="KLC111" s="96"/>
      <c r="KLD111" s="96"/>
      <c r="KLE111" s="96"/>
      <c r="KLF111" s="96"/>
      <c r="KLG111" s="96"/>
      <c r="KLH111" s="96"/>
      <c r="KLI111" s="96"/>
      <c r="KLJ111" s="96"/>
      <c r="KLK111" s="96"/>
      <c r="KLL111" s="96"/>
      <c r="KLM111" s="96"/>
      <c r="KLN111" s="96"/>
      <c r="KLO111" s="96"/>
      <c r="KLP111" s="96"/>
      <c r="KLQ111" s="96"/>
      <c r="KLR111" s="95"/>
      <c r="KLS111" s="96"/>
      <c r="KLT111" s="96"/>
      <c r="KLU111" s="96"/>
      <c r="KLV111" s="96"/>
      <c r="KLW111" s="96"/>
      <c r="KLX111" s="96"/>
      <c r="KLY111" s="96"/>
      <c r="KLZ111" s="96"/>
      <c r="KMA111" s="96"/>
      <c r="KMB111" s="96"/>
      <c r="KMC111" s="96"/>
      <c r="KMD111" s="96"/>
      <c r="KME111" s="96"/>
      <c r="KMF111" s="96"/>
      <c r="KMG111" s="96"/>
      <c r="KMH111" s="96"/>
      <c r="KMI111" s="96"/>
      <c r="KMJ111" s="96"/>
      <c r="KMK111" s="96"/>
      <c r="KML111" s="96"/>
      <c r="KMM111" s="96"/>
      <c r="KMN111" s="95"/>
      <c r="KMO111" s="96"/>
      <c r="KMP111" s="96"/>
      <c r="KMQ111" s="96"/>
      <c r="KMR111" s="96"/>
      <c r="KMS111" s="96"/>
      <c r="KMT111" s="96"/>
      <c r="KMU111" s="96"/>
      <c r="KMV111" s="96"/>
      <c r="KMW111" s="96"/>
      <c r="KMX111" s="96"/>
      <c r="KMY111" s="96"/>
      <c r="KMZ111" s="96"/>
      <c r="KNA111" s="96"/>
      <c r="KNB111" s="96"/>
      <c r="KNC111" s="96"/>
      <c r="KND111" s="96"/>
      <c r="KNE111" s="96"/>
      <c r="KNF111" s="96"/>
      <c r="KNG111" s="96"/>
      <c r="KNH111" s="96"/>
      <c r="KNI111" s="96"/>
      <c r="KNJ111" s="95"/>
      <c r="KNK111" s="96"/>
      <c r="KNL111" s="96"/>
      <c r="KNM111" s="96"/>
      <c r="KNN111" s="96"/>
      <c r="KNO111" s="96"/>
      <c r="KNP111" s="96"/>
      <c r="KNQ111" s="96"/>
      <c r="KNR111" s="96"/>
      <c r="KNS111" s="96"/>
      <c r="KNT111" s="96"/>
      <c r="KNU111" s="96"/>
      <c r="KNV111" s="96"/>
      <c r="KNW111" s="96"/>
      <c r="KNX111" s="96"/>
      <c r="KNY111" s="96"/>
      <c r="KNZ111" s="96"/>
      <c r="KOA111" s="96"/>
      <c r="KOB111" s="96"/>
      <c r="KOC111" s="96"/>
      <c r="KOD111" s="96"/>
      <c r="KOE111" s="96"/>
      <c r="KOF111" s="95"/>
      <c r="KOG111" s="96"/>
      <c r="KOH111" s="96"/>
      <c r="KOI111" s="96"/>
      <c r="KOJ111" s="96"/>
      <c r="KOK111" s="96"/>
      <c r="KOL111" s="96"/>
      <c r="KOM111" s="96"/>
      <c r="KON111" s="96"/>
      <c r="KOO111" s="96"/>
      <c r="KOP111" s="96"/>
      <c r="KOQ111" s="96"/>
      <c r="KOR111" s="96"/>
      <c r="KOS111" s="96"/>
      <c r="KOT111" s="96"/>
      <c r="KOU111" s="96"/>
      <c r="KOV111" s="96"/>
      <c r="KOW111" s="96"/>
      <c r="KOX111" s="96"/>
      <c r="KOY111" s="96"/>
      <c r="KOZ111" s="96"/>
      <c r="KPA111" s="96"/>
      <c r="KPB111" s="95"/>
      <c r="KPC111" s="96"/>
      <c r="KPD111" s="96"/>
      <c r="KPE111" s="96"/>
      <c r="KPF111" s="96"/>
      <c r="KPG111" s="96"/>
      <c r="KPH111" s="96"/>
      <c r="KPI111" s="96"/>
      <c r="KPJ111" s="96"/>
      <c r="KPK111" s="96"/>
      <c r="KPL111" s="96"/>
      <c r="KPM111" s="96"/>
      <c r="KPN111" s="96"/>
      <c r="KPO111" s="96"/>
      <c r="KPP111" s="96"/>
      <c r="KPQ111" s="96"/>
      <c r="KPR111" s="96"/>
      <c r="KPS111" s="96"/>
      <c r="KPT111" s="96"/>
      <c r="KPU111" s="96"/>
      <c r="KPV111" s="96"/>
      <c r="KPW111" s="96"/>
      <c r="KPX111" s="95"/>
      <c r="KPY111" s="96"/>
      <c r="KPZ111" s="96"/>
      <c r="KQA111" s="96"/>
      <c r="KQB111" s="96"/>
      <c r="KQC111" s="96"/>
      <c r="KQD111" s="96"/>
      <c r="KQE111" s="96"/>
      <c r="KQF111" s="96"/>
      <c r="KQG111" s="96"/>
      <c r="KQH111" s="96"/>
      <c r="KQI111" s="96"/>
      <c r="KQJ111" s="96"/>
      <c r="KQK111" s="96"/>
      <c r="KQL111" s="96"/>
      <c r="KQM111" s="96"/>
      <c r="KQN111" s="96"/>
      <c r="KQO111" s="96"/>
      <c r="KQP111" s="96"/>
      <c r="KQQ111" s="96"/>
      <c r="KQR111" s="96"/>
      <c r="KQS111" s="96"/>
      <c r="KQT111" s="95"/>
      <c r="KQU111" s="96"/>
      <c r="KQV111" s="96"/>
      <c r="KQW111" s="96"/>
      <c r="KQX111" s="96"/>
      <c r="KQY111" s="96"/>
      <c r="KQZ111" s="96"/>
      <c r="KRA111" s="96"/>
      <c r="KRB111" s="96"/>
      <c r="KRC111" s="96"/>
      <c r="KRD111" s="96"/>
      <c r="KRE111" s="96"/>
      <c r="KRF111" s="96"/>
      <c r="KRG111" s="96"/>
      <c r="KRH111" s="96"/>
      <c r="KRI111" s="96"/>
      <c r="KRJ111" s="96"/>
      <c r="KRK111" s="96"/>
      <c r="KRL111" s="96"/>
      <c r="KRM111" s="96"/>
      <c r="KRN111" s="96"/>
      <c r="KRO111" s="96"/>
      <c r="KRP111" s="95"/>
      <c r="KRQ111" s="96"/>
      <c r="KRR111" s="96"/>
      <c r="KRS111" s="96"/>
      <c r="KRT111" s="96"/>
      <c r="KRU111" s="96"/>
      <c r="KRV111" s="96"/>
      <c r="KRW111" s="96"/>
      <c r="KRX111" s="96"/>
      <c r="KRY111" s="96"/>
      <c r="KRZ111" s="96"/>
      <c r="KSA111" s="96"/>
      <c r="KSB111" s="96"/>
      <c r="KSC111" s="96"/>
      <c r="KSD111" s="96"/>
      <c r="KSE111" s="96"/>
      <c r="KSF111" s="96"/>
      <c r="KSG111" s="96"/>
      <c r="KSH111" s="96"/>
      <c r="KSI111" s="96"/>
      <c r="KSJ111" s="96"/>
      <c r="KSK111" s="96"/>
      <c r="KSL111" s="95"/>
      <c r="KSM111" s="96"/>
      <c r="KSN111" s="96"/>
      <c r="KSO111" s="96"/>
      <c r="KSP111" s="96"/>
      <c r="KSQ111" s="96"/>
      <c r="KSR111" s="96"/>
      <c r="KSS111" s="96"/>
      <c r="KST111" s="96"/>
      <c r="KSU111" s="96"/>
      <c r="KSV111" s="96"/>
      <c r="KSW111" s="96"/>
      <c r="KSX111" s="96"/>
      <c r="KSY111" s="96"/>
      <c r="KSZ111" s="96"/>
      <c r="KTA111" s="96"/>
      <c r="KTB111" s="96"/>
      <c r="KTC111" s="96"/>
      <c r="KTD111" s="96"/>
      <c r="KTE111" s="96"/>
      <c r="KTF111" s="96"/>
      <c r="KTG111" s="96"/>
      <c r="KTH111" s="95"/>
      <c r="KTI111" s="96"/>
      <c r="KTJ111" s="96"/>
      <c r="KTK111" s="96"/>
      <c r="KTL111" s="96"/>
      <c r="KTM111" s="96"/>
      <c r="KTN111" s="96"/>
      <c r="KTO111" s="96"/>
      <c r="KTP111" s="96"/>
      <c r="KTQ111" s="96"/>
      <c r="KTR111" s="96"/>
      <c r="KTS111" s="96"/>
      <c r="KTT111" s="96"/>
      <c r="KTU111" s="96"/>
      <c r="KTV111" s="96"/>
      <c r="KTW111" s="96"/>
      <c r="KTX111" s="96"/>
      <c r="KTY111" s="96"/>
      <c r="KTZ111" s="96"/>
      <c r="KUA111" s="96"/>
      <c r="KUB111" s="96"/>
      <c r="KUC111" s="96"/>
      <c r="KUD111" s="95"/>
      <c r="KUE111" s="96"/>
      <c r="KUF111" s="96"/>
      <c r="KUG111" s="96"/>
      <c r="KUH111" s="96"/>
      <c r="KUI111" s="96"/>
      <c r="KUJ111" s="96"/>
      <c r="KUK111" s="96"/>
      <c r="KUL111" s="96"/>
      <c r="KUM111" s="96"/>
      <c r="KUN111" s="96"/>
      <c r="KUO111" s="96"/>
      <c r="KUP111" s="96"/>
      <c r="KUQ111" s="96"/>
      <c r="KUR111" s="96"/>
      <c r="KUS111" s="96"/>
      <c r="KUT111" s="96"/>
      <c r="KUU111" s="96"/>
      <c r="KUV111" s="96"/>
      <c r="KUW111" s="96"/>
      <c r="KUX111" s="96"/>
      <c r="KUY111" s="96"/>
      <c r="KUZ111" s="95"/>
      <c r="KVA111" s="96"/>
      <c r="KVB111" s="96"/>
      <c r="KVC111" s="96"/>
      <c r="KVD111" s="96"/>
      <c r="KVE111" s="96"/>
      <c r="KVF111" s="96"/>
      <c r="KVG111" s="96"/>
      <c r="KVH111" s="96"/>
      <c r="KVI111" s="96"/>
      <c r="KVJ111" s="96"/>
      <c r="KVK111" s="96"/>
      <c r="KVL111" s="96"/>
      <c r="KVM111" s="96"/>
      <c r="KVN111" s="96"/>
      <c r="KVO111" s="96"/>
      <c r="KVP111" s="96"/>
      <c r="KVQ111" s="96"/>
      <c r="KVR111" s="96"/>
      <c r="KVS111" s="96"/>
      <c r="KVT111" s="96"/>
      <c r="KVU111" s="96"/>
      <c r="KVV111" s="95"/>
      <c r="KVW111" s="96"/>
      <c r="KVX111" s="96"/>
      <c r="KVY111" s="96"/>
      <c r="KVZ111" s="96"/>
      <c r="KWA111" s="96"/>
      <c r="KWB111" s="96"/>
      <c r="KWC111" s="96"/>
      <c r="KWD111" s="96"/>
      <c r="KWE111" s="96"/>
      <c r="KWF111" s="96"/>
      <c r="KWG111" s="96"/>
      <c r="KWH111" s="96"/>
      <c r="KWI111" s="96"/>
      <c r="KWJ111" s="96"/>
      <c r="KWK111" s="96"/>
      <c r="KWL111" s="96"/>
      <c r="KWM111" s="96"/>
      <c r="KWN111" s="96"/>
      <c r="KWO111" s="96"/>
      <c r="KWP111" s="96"/>
      <c r="KWQ111" s="96"/>
      <c r="KWR111" s="95"/>
      <c r="KWS111" s="96"/>
      <c r="KWT111" s="96"/>
      <c r="KWU111" s="96"/>
      <c r="KWV111" s="96"/>
      <c r="KWW111" s="96"/>
      <c r="KWX111" s="96"/>
      <c r="KWY111" s="96"/>
      <c r="KWZ111" s="96"/>
      <c r="KXA111" s="96"/>
      <c r="KXB111" s="96"/>
      <c r="KXC111" s="96"/>
      <c r="KXD111" s="96"/>
      <c r="KXE111" s="96"/>
      <c r="KXF111" s="96"/>
      <c r="KXG111" s="96"/>
      <c r="KXH111" s="96"/>
      <c r="KXI111" s="96"/>
      <c r="KXJ111" s="96"/>
      <c r="KXK111" s="96"/>
      <c r="KXL111" s="96"/>
      <c r="KXM111" s="96"/>
      <c r="KXN111" s="95"/>
      <c r="KXO111" s="96"/>
      <c r="KXP111" s="96"/>
      <c r="KXQ111" s="96"/>
      <c r="KXR111" s="96"/>
      <c r="KXS111" s="96"/>
      <c r="KXT111" s="96"/>
      <c r="KXU111" s="96"/>
      <c r="KXV111" s="96"/>
      <c r="KXW111" s="96"/>
      <c r="KXX111" s="96"/>
      <c r="KXY111" s="96"/>
      <c r="KXZ111" s="96"/>
      <c r="KYA111" s="96"/>
      <c r="KYB111" s="96"/>
      <c r="KYC111" s="96"/>
      <c r="KYD111" s="96"/>
      <c r="KYE111" s="96"/>
      <c r="KYF111" s="96"/>
      <c r="KYG111" s="96"/>
      <c r="KYH111" s="96"/>
      <c r="KYI111" s="96"/>
      <c r="KYJ111" s="95"/>
      <c r="KYK111" s="96"/>
      <c r="KYL111" s="96"/>
      <c r="KYM111" s="96"/>
      <c r="KYN111" s="96"/>
      <c r="KYO111" s="96"/>
      <c r="KYP111" s="96"/>
      <c r="KYQ111" s="96"/>
      <c r="KYR111" s="96"/>
      <c r="KYS111" s="96"/>
      <c r="KYT111" s="96"/>
      <c r="KYU111" s="96"/>
      <c r="KYV111" s="96"/>
      <c r="KYW111" s="96"/>
      <c r="KYX111" s="96"/>
      <c r="KYY111" s="96"/>
      <c r="KYZ111" s="96"/>
      <c r="KZA111" s="96"/>
      <c r="KZB111" s="96"/>
      <c r="KZC111" s="96"/>
      <c r="KZD111" s="96"/>
      <c r="KZE111" s="96"/>
      <c r="KZF111" s="95"/>
      <c r="KZG111" s="96"/>
      <c r="KZH111" s="96"/>
      <c r="KZI111" s="96"/>
      <c r="KZJ111" s="96"/>
      <c r="KZK111" s="96"/>
      <c r="KZL111" s="96"/>
      <c r="KZM111" s="96"/>
      <c r="KZN111" s="96"/>
      <c r="KZO111" s="96"/>
      <c r="KZP111" s="96"/>
      <c r="KZQ111" s="96"/>
      <c r="KZR111" s="96"/>
      <c r="KZS111" s="96"/>
      <c r="KZT111" s="96"/>
      <c r="KZU111" s="96"/>
      <c r="KZV111" s="96"/>
      <c r="KZW111" s="96"/>
      <c r="KZX111" s="96"/>
      <c r="KZY111" s="96"/>
      <c r="KZZ111" s="96"/>
      <c r="LAA111" s="96"/>
      <c r="LAB111" s="95"/>
      <c r="LAC111" s="96"/>
      <c r="LAD111" s="96"/>
      <c r="LAE111" s="96"/>
      <c r="LAF111" s="96"/>
      <c r="LAG111" s="96"/>
      <c r="LAH111" s="96"/>
      <c r="LAI111" s="96"/>
      <c r="LAJ111" s="96"/>
      <c r="LAK111" s="96"/>
      <c r="LAL111" s="96"/>
      <c r="LAM111" s="96"/>
      <c r="LAN111" s="96"/>
      <c r="LAO111" s="96"/>
      <c r="LAP111" s="96"/>
      <c r="LAQ111" s="96"/>
      <c r="LAR111" s="96"/>
      <c r="LAS111" s="96"/>
      <c r="LAT111" s="96"/>
      <c r="LAU111" s="96"/>
      <c r="LAV111" s="96"/>
      <c r="LAW111" s="96"/>
      <c r="LAX111" s="95"/>
      <c r="LAY111" s="96"/>
      <c r="LAZ111" s="96"/>
      <c r="LBA111" s="96"/>
      <c r="LBB111" s="96"/>
      <c r="LBC111" s="96"/>
      <c r="LBD111" s="96"/>
      <c r="LBE111" s="96"/>
      <c r="LBF111" s="96"/>
      <c r="LBG111" s="96"/>
      <c r="LBH111" s="96"/>
      <c r="LBI111" s="96"/>
      <c r="LBJ111" s="96"/>
      <c r="LBK111" s="96"/>
      <c r="LBL111" s="96"/>
      <c r="LBM111" s="96"/>
      <c r="LBN111" s="96"/>
      <c r="LBO111" s="96"/>
      <c r="LBP111" s="96"/>
      <c r="LBQ111" s="96"/>
      <c r="LBR111" s="96"/>
      <c r="LBS111" s="96"/>
      <c r="LBT111" s="95"/>
      <c r="LBU111" s="96"/>
      <c r="LBV111" s="96"/>
      <c r="LBW111" s="96"/>
      <c r="LBX111" s="96"/>
      <c r="LBY111" s="96"/>
      <c r="LBZ111" s="96"/>
      <c r="LCA111" s="96"/>
      <c r="LCB111" s="96"/>
      <c r="LCC111" s="96"/>
      <c r="LCD111" s="96"/>
      <c r="LCE111" s="96"/>
      <c r="LCF111" s="96"/>
      <c r="LCG111" s="96"/>
      <c r="LCH111" s="96"/>
      <c r="LCI111" s="96"/>
      <c r="LCJ111" s="96"/>
      <c r="LCK111" s="96"/>
      <c r="LCL111" s="96"/>
      <c r="LCM111" s="96"/>
      <c r="LCN111" s="96"/>
      <c r="LCO111" s="96"/>
      <c r="LCP111" s="95"/>
      <c r="LCQ111" s="96"/>
      <c r="LCR111" s="96"/>
      <c r="LCS111" s="96"/>
      <c r="LCT111" s="96"/>
      <c r="LCU111" s="96"/>
      <c r="LCV111" s="96"/>
      <c r="LCW111" s="96"/>
      <c r="LCX111" s="96"/>
      <c r="LCY111" s="96"/>
      <c r="LCZ111" s="96"/>
      <c r="LDA111" s="96"/>
      <c r="LDB111" s="96"/>
      <c r="LDC111" s="96"/>
      <c r="LDD111" s="96"/>
      <c r="LDE111" s="96"/>
      <c r="LDF111" s="96"/>
      <c r="LDG111" s="96"/>
      <c r="LDH111" s="96"/>
      <c r="LDI111" s="96"/>
      <c r="LDJ111" s="96"/>
      <c r="LDK111" s="96"/>
      <c r="LDL111" s="95"/>
      <c r="LDM111" s="96"/>
      <c r="LDN111" s="96"/>
      <c r="LDO111" s="96"/>
      <c r="LDP111" s="96"/>
      <c r="LDQ111" s="96"/>
      <c r="LDR111" s="96"/>
      <c r="LDS111" s="96"/>
      <c r="LDT111" s="96"/>
      <c r="LDU111" s="96"/>
      <c r="LDV111" s="96"/>
      <c r="LDW111" s="96"/>
      <c r="LDX111" s="96"/>
      <c r="LDY111" s="96"/>
      <c r="LDZ111" s="96"/>
      <c r="LEA111" s="96"/>
      <c r="LEB111" s="96"/>
      <c r="LEC111" s="96"/>
      <c r="LED111" s="96"/>
      <c r="LEE111" s="96"/>
      <c r="LEF111" s="96"/>
      <c r="LEG111" s="96"/>
      <c r="LEH111" s="95"/>
      <c r="LEI111" s="96"/>
      <c r="LEJ111" s="96"/>
      <c r="LEK111" s="96"/>
      <c r="LEL111" s="96"/>
      <c r="LEM111" s="96"/>
      <c r="LEN111" s="96"/>
      <c r="LEO111" s="96"/>
      <c r="LEP111" s="96"/>
      <c r="LEQ111" s="96"/>
      <c r="LER111" s="96"/>
      <c r="LES111" s="96"/>
      <c r="LET111" s="96"/>
      <c r="LEU111" s="96"/>
      <c r="LEV111" s="96"/>
      <c r="LEW111" s="96"/>
      <c r="LEX111" s="96"/>
      <c r="LEY111" s="96"/>
      <c r="LEZ111" s="96"/>
      <c r="LFA111" s="96"/>
      <c r="LFB111" s="96"/>
      <c r="LFC111" s="96"/>
      <c r="LFD111" s="95"/>
      <c r="LFE111" s="96"/>
      <c r="LFF111" s="96"/>
      <c r="LFG111" s="96"/>
      <c r="LFH111" s="96"/>
      <c r="LFI111" s="96"/>
      <c r="LFJ111" s="96"/>
      <c r="LFK111" s="96"/>
      <c r="LFL111" s="96"/>
      <c r="LFM111" s="96"/>
      <c r="LFN111" s="96"/>
      <c r="LFO111" s="96"/>
      <c r="LFP111" s="96"/>
      <c r="LFQ111" s="96"/>
      <c r="LFR111" s="96"/>
      <c r="LFS111" s="96"/>
      <c r="LFT111" s="96"/>
      <c r="LFU111" s="96"/>
      <c r="LFV111" s="96"/>
      <c r="LFW111" s="96"/>
      <c r="LFX111" s="96"/>
      <c r="LFY111" s="96"/>
      <c r="LFZ111" s="95"/>
      <c r="LGA111" s="96"/>
      <c r="LGB111" s="96"/>
      <c r="LGC111" s="96"/>
      <c r="LGD111" s="96"/>
      <c r="LGE111" s="96"/>
      <c r="LGF111" s="96"/>
      <c r="LGG111" s="96"/>
      <c r="LGH111" s="96"/>
      <c r="LGI111" s="96"/>
      <c r="LGJ111" s="96"/>
      <c r="LGK111" s="96"/>
      <c r="LGL111" s="96"/>
      <c r="LGM111" s="96"/>
      <c r="LGN111" s="96"/>
      <c r="LGO111" s="96"/>
      <c r="LGP111" s="96"/>
      <c r="LGQ111" s="96"/>
      <c r="LGR111" s="96"/>
      <c r="LGS111" s="96"/>
      <c r="LGT111" s="96"/>
      <c r="LGU111" s="96"/>
      <c r="LGV111" s="95"/>
      <c r="LGW111" s="96"/>
      <c r="LGX111" s="96"/>
      <c r="LGY111" s="96"/>
      <c r="LGZ111" s="96"/>
      <c r="LHA111" s="96"/>
      <c r="LHB111" s="96"/>
      <c r="LHC111" s="96"/>
      <c r="LHD111" s="96"/>
      <c r="LHE111" s="96"/>
      <c r="LHF111" s="96"/>
      <c r="LHG111" s="96"/>
      <c r="LHH111" s="96"/>
      <c r="LHI111" s="96"/>
      <c r="LHJ111" s="96"/>
      <c r="LHK111" s="96"/>
      <c r="LHL111" s="96"/>
      <c r="LHM111" s="96"/>
      <c r="LHN111" s="96"/>
      <c r="LHO111" s="96"/>
      <c r="LHP111" s="96"/>
      <c r="LHQ111" s="96"/>
      <c r="LHR111" s="95"/>
      <c r="LHS111" s="96"/>
      <c r="LHT111" s="96"/>
      <c r="LHU111" s="96"/>
      <c r="LHV111" s="96"/>
      <c r="LHW111" s="96"/>
      <c r="LHX111" s="96"/>
      <c r="LHY111" s="96"/>
      <c r="LHZ111" s="96"/>
      <c r="LIA111" s="96"/>
      <c r="LIB111" s="96"/>
      <c r="LIC111" s="96"/>
      <c r="LID111" s="96"/>
      <c r="LIE111" s="96"/>
      <c r="LIF111" s="96"/>
      <c r="LIG111" s="96"/>
      <c r="LIH111" s="96"/>
      <c r="LII111" s="96"/>
      <c r="LIJ111" s="96"/>
      <c r="LIK111" s="96"/>
      <c r="LIL111" s="96"/>
      <c r="LIM111" s="96"/>
      <c r="LIN111" s="95"/>
      <c r="LIO111" s="96"/>
      <c r="LIP111" s="96"/>
      <c r="LIQ111" s="96"/>
      <c r="LIR111" s="96"/>
      <c r="LIS111" s="96"/>
      <c r="LIT111" s="96"/>
      <c r="LIU111" s="96"/>
      <c r="LIV111" s="96"/>
      <c r="LIW111" s="96"/>
      <c r="LIX111" s="96"/>
      <c r="LIY111" s="96"/>
      <c r="LIZ111" s="96"/>
      <c r="LJA111" s="96"/>
      <c r="LJB111" s="96"/>
      <c r="LJC111" s="96"/>
      <c r="LJD111" s="96"/>
      <c r="LJE111" s="96"/>
      <c r="LJF111" s="96"/>
      <c r="LJG111" s="96"/>
      <c r="LJH111" s="96"/>
      <c r="LJI111" s="96"/>
      <c r="LJJ111" s="95"/>
      <c r="LJK111" s="96"/>
      <c r="LJL111" s="96"/>
      <c r="LJM111" s="96"/>
      <c r="LJN111" s="96"/>
      <c r="LJO111" s="96"/>
      <c r="LJP111" s="96"/>
      <c r="LJQ111" s="96"/>
      <c r="LJR111" s="96"/>
      <c r="LJS111" s="96"/>
      <c r="LJT111" s="96"/>
      <c r="LJU111" s="96"/>
      <c r="LJV111" s="96"/>
      <c r="LJW111" s="96"/>
      <c r="LJX111" s="96"/>
      <c r="LJY111" s="96"/>
      <c r="LJZ111" s="96"/>
      <c r="LKA111" s="96"/>
      <c r="LKB111" s="96"/>
      <c r="LKC111" s="96"/>
      <c r="LKD111" s="96"/>
      <c r="LKE111" s="96"/>
      <c r="LKF111" s="95"/>
      <c r="LKG111" s="96"/>
      <c r="LKH111" s="96"/>
      <c r="LKI111" s="96"/>
      <c r="LKJ111" s="96"/>
      <c r="LKK111" s="96"/>
      <c r="LKL111" s="96"/>
      <c r="LKM111" s="96"/>
      <c r="LKN111" s="96"/>
      <c r="LKO111" s="96"/>
      <c r="LKP111" s="96"/>
      <c r="LKQ111" s="96"/>
      <c r="LKR111" s="96"/>
      <c r="LKS111" s="96"/>
      <c r="LKT111" s="96"/>
      <c r="LKU111" s="96"/>
      <c r="LKV111" s="96"/>
      <c r="LKW111" s="96"/>
      <c r="LKX111" s="96"/>
      <c r="LKY111" s="96"/>
      <c r="LKZ111" s="96"/>
      <c r="LLA111" s="96"/>
      <c r="LLB111" s="95"/>
      <c r="LLC111" s="96"/>
      <c r="LLD111" s="96"/>
      <c r="LLE111" s="96"/>
      <c r="LLF111" s="96"/>
      <c r="LLG111" s="96"/>
      <c r="LLH111" s="96"/>
      <c r="LLI111" s="96"/>
      <c r="LLJ111" s="96"/>
      <c r="LLK111" s="96"/>
      <c r="LLL111" s="96"/>
      <c r="LLM111" s="96"/>
      <c r="LLN111" s="96"/>
      <c r="LLO111" s="96"/>
      <c r="LLP111" s="96"/>
      <c r="LLQ111" s="96"/>
      <c r="LLR111" s="96"/>
      <c r="LLS111" s="96"/>
      <c r="LLT111" s="96"/>
      <c r="LLU111" s="96"/>
      <c r="LLV111" s="96"/>
      <c r="LLW111" s="96"/>
      <c r="LLX111" s="95"/>
      <c r="LLY111" s="96"/>
      <c r="LLZ111" s="96"/>
      <c r="LMA111" s="96"/>
      <c r="LMB111" s="96"/>
      <c r="LMC111" s="96"/>
      <c r="LMD111" s="96"/>
      <c r="LME111" s="96"/>
      <c r="LMF111" s="96"/>
      <c r="LMG111" s="96"/>
      <c r="LMH111" s="96"/>
      <c r="LMI111" s="96"/>
      <c r="LMJ111" s="96"/>
      <c r="LMK111" s="96"/>
      <c r="LML111" s="96"/>
      <c r="LMM111" s="96"/>
      <c r="LMN111" s="96"/>
      <c r="LMO111" s="96"/>
      <c r="LMP111" s="96"/>
      <c r="LMQ111" s="96"/>
      <c r="LMR111" s="96"/>
      <c r="LMS111" s="96"/>
      <c r="LMT111" s="95"/>
      <c r="LMU111" s="96"/>
      <c r="LMV111" s="96"/>
      <c r="LMW111" s="96"/>
      <c r="LMX111" s="96"/>
      <c r="LMY111" s="96"/>
      <c r="LMZ111" s="96"/>
      <c r="LNA111" s="96"/>
      <c r="LNB111" s="96"/>
      <c r="LNC111" s="96"/>
      <c r="LND111" s="96"/>
      <c r="LNE111" s="96"/>
      <c r="LNF111" s="96"/>
      <c r="LNG111" s="96"/>
      <c r="LNH111" s="96"/>
      <c r="LNI111" s="96"/>
      <c r="LNJ111" s="96"/>
      <c r="LNK111" s="96"/>
      <c r="LNL111" s="96"/>
      <c r="LNM111" s="96"/>
      <c r="LNN111" s="96"/>
      <c r="LNO111" s="96"/>
      <c r="LNP111" s="95"/>
      <c r="LNQ111" s="96"/>
      <c r="LNR111" s="96"/>
      <c r="LNS111" s="96"/>
      <c r="LNT111" s="96"/>
      <c r="LNU111" s="96"/>
      <c r="LNV111" s="96"/>
      <c r="LNW111" s="96"/>
      <c r="LNX111" s="96"/>
      <c r="LNY111" s="96"/>
      <c r="LNZ111" s="96"/>
      <c r="LOA111" s="96"/>
      <c r="LOB111" s="96"/>
      <c r="LOC111" s="96"/>
      <c r="LOD111" s="96"/>
      <c r="LOE111" s="96"/>
      <c r="LOF111" s="96"/>
      <c r="LOG111" s="96"/>
      <c r="LOH111" s="96"/>
      <c r="LOI111" s="96"/>
      <c r="LOJ111" s="96"/>
      <c r="LOK111" s="96"/>
      <c r="LOL111" s="95"/>
      <c r="LOM111" s="96"/>
      <c r="LON111" s="96"/>
      <c r="LOO111" s="96"/>
      <c r="LOP111" s="96"/>
      <c r="LOQ111" s="96"/>
      <c r="LOR111" s="96"/>
      <c r="LOS111" s="96"/>
      <c r="LOT111" s="96"/>
      <c r="LOU111" s="96"/>
      <c r="LOV111" s="96"/>
      <c r="LOW111" s="96"/>
      <c r="LOX111" s="96"/>
      <c r="LOY111" s="96"/>
      <c r="LOZ111" s="96"/>
      <c r="LPA111" s="96"/>
      <c r="LPB111" s="96"/>
      <c r="LPC111" s="96"/>
      <c r="LPD111" s="96"/>
      <c r="LPE111" s="96"/>
      <c r="LPF111" s="96"/>
      <c r="LPG111" s="96"/>
      <c r="LPH111" s="95"/>
      <c r="LPI111" s="96"/>
      <c r="LPJ111" s="96"/>
      <c r="LPK111" s="96"/>
      <c r="LPL111" s="96"/>
      <c r="LPM111" s="96"/>
      <c r="LPN111" s="96"/>
      <c r="LPO111" s="96"/>
      <c r="LPP111" s="96"/>
      <c r="LPQ111" s="96"/>
      <c r="LPR111" s="96"/>
      <c r="LPS111" s="96"/>
      <c r="LPT111" s="96"/>
      <c r="LPU111" s="96"/>
      <c r="LPV111" s="96"/>
      <c r="LPW111" s="96"/>
      <c r="LPX111" s="96"/>
      <c r="LPY111" s="96"/>
      <c r="LPZ111" s="96"/>
      <c r="LQA111" s="96"/>
      <c r="LQB111" s="96"/>
      <c r="LQC111" s="96"/>
      <c r="LQD111" s="95"/>
      <c r="LQE111" s="96"/>
      <c r="LQF111" s="96"/>
      <c r="LQG111" s="96"/>
      <c r="LQH111" s="96"/>
      <c r="LQI111" s="96"/>
      <c r="LQJ111" s="96"/>
      <c r="LQK111" s="96"/>
      <c r="LQL111" s="96"/>
      <c r="LQM111" s="96"/>
      <c r="LQN111" s="96"/>
      <c r="LQO111" s="96"/>
      <c r="LQP111" s="96"/>
      <c r="LQQ111" s="96"/>
      <c r="LQR111" s="96"/>
      <c r="LQS111" s="96"/>
      <c r="LQT111" s="96"/>
      <c r="LQU111" s="96"/>
      <c r="LQV111" s="96"/>
      <c r="LQW111" s="96"/>
      <c r="LQX111" s="96"/>
      <c r="LQY111" s="96"/>
      <c r="LQZ111" s="95"/>
      <c r="LRA111" s="96"/>
      <c r="LRB111" s="96"/>
      <c r="LRC111" s="96"/>
      <c r="LRD111" s="96"/>
      <c r="LRE111" s="96"/>
      <c r="LRF111" s="96"/>
      <c r="LRG111" s="96"/>
      <c r="LRH111" s="96"/>
      <c r="LRI111" s="96"/>
      <c r="LRJ111" s="96"/>
      <c r="LRK111" s="96"/>
      <c r="LRL111" s="96"/>
      <c r="LRM111" s="96"/>
      <c r="LRN111" s="96"/>
      <c r="LRO111" s="96"/>
      <c r="LRP111" s="96"/>
      <c r="LRQ111" s="96"/>
      <c r="LRR111" s="96"/>
      <c r="LRS111" s="96"/>
      <c r="LRT111" s="96"/>
      <c r="LRU111" s="96"/>
      <c r="LRV111" s="95"/>
      <c r="LRW111" s="96"/>
      <c r="LRX111" s="96"/>
      <c r="LRY111" s="96"/>
      <c r="LRZ111" s="96"/>
      <c r="LSA111" s="96"/>
      <c r="LSB111" s="96"/>
      <c r="LSC111" s="96"/>
      <c r="LSD111" s="96"/>
      <c r="LSE111" s="96"/>
      <c r="LSF111" s="96"/>
      <c r="LSG111" s="96"/>
      <c r="LSH111" s="96"/>
      <c r="LSI111" s="96"/>
      <c r="LSJ111" s="96"/>
      <c r="LSK111" s="96"/>
      <c r="LSL111" s="96"/>
      <c r="LSM111" s="96"/>
      <c r="LSN111" s="96"/>
      <c r="LSO111" s="96"/>
      <c r="LSP111" s="96"/>
      <c r="LSQ111" s="96"/>
      <c r="LSR111" s="95"/>
      <c r="LSS111" s="96"/>
      <c r="LST111" s="96"/>
      <c r="LSU111" s="96"/>
      <c r="LSV111" s="96"/>
      <c r="LSW111" s="96"/>
      <c r="LSX111" s="96"/>
      <c r="LSY111" s="96"/>
      <c r="LSZ111" s="96"/>
      <c r="LTA111" s="96"/>
      <c r="LTB111" s="96"/>
      <c r="LTC111" s="96"/>
      <c r="LTD111" s="96"/>
      <c r="LTE111" s="96"/>
      <c r="LTF111" s="96"/>
      <c r="LTG111" s="96"/>
      <c r="LTH111" s="96"/>
      <c r="LTI111" s="96"/>
      <c r="LTJ111" s="96"/>
      <c r="LTK111" s="96"/>
      <c r="LTL111" s="96"/>
      <c r="LTM111" s="96"/>
      <c r="LTN111" s="95"/>
      <c r="LTO111" s="96"/>
      <c r="LTP111" s="96"/>
      <c r="LTQ111" s="96"/>
      <c r="LTR111" s="96"/>
      <c r="LTS111" s="96"/>
      <c r="LTT111" s="96"/>
      <c r="LTU111" s="96"/>
      <c r="LTV111" s="96"/>
      <c r="LTW111" s="96"/>
      <c r="LTX111" s="96"/>
      <c r="LTY111" s="96"/>
      <c r="LTZ111" s="96"/>
      <c r="LUA111" s="96"/>
      <c r="LUB111" s="96"/>
      <c r="LUC111" s="96"/>
      <c r="LUD111" s="96"/>
      <c r="LUE111" s="96"/>
      <c r="LUF111" s="96"/>
      <c r="LUG111" s="96"/>
      <c r="LUH111" s="96"/>
      <c r="LUI111" s="96"/>
      <c r="LUJ111" s="95"/>
      <c r="LUK111" s="96"/>
      <c r="LUL111" s="96"/>
      <c r="LUM111" s="96"/>
      <c r="LUN111" s="96"/>
      <c r="LUO111" s="96"/>
      <c r="LUP111" s="96"/>
      <c r="LUQ111" s="96"/>
      <c r="LUR111" s="96"/>
      <c r="LUS111" s="96"/>
      <c r="LUT111" s="96"/>
      <c r="LUU111" s="96"/>
      <c r="LUV111" s="96"/>
      <c r="LUW111" s="96"/>
      <c r="LUX111" s="96"/>
      <c r="LUY111" s="96"/>
      <c r="LUZ111" s="96"/>
      <c r="LVA111" s="96"/>
      <c r="LVB111" s="96"/>
      <c r="LVC111" s="96"/>
      <c r="LVD111" s="96"/>
      <c r="LVE111" s="96"/>
      <c r="LVF111" s="95"/>
      <c r="LVG111" s="96"/>
      <c r="LVH111" s="96"/>
      <c r="LVI111" s="96"/>
      <c r="LVJ111" s="96"/>
      <c r="LVK111" s="96"/>
      <c r="LVL111" s="96"/>
      <c r="LVM111" s="96"/>
      <c r="LVN111" s="96"/>
      <c r="LVO111" s="96"/>
      <c r="LVP111" s="96"/>
      <c r="LVQ111" s="96"/>
      <c r="LVR111" s="96"/>
      <c r="LVS111" s="96"/>
      <c r="LVT111" s="96"/>
      <c r="LVU111" s="96"/>
      <c r="LVV111" s="96"/>
      <c r="LVW111" s="96"/>
      <c r="LVX111" s="96"/>
      <c r="LVY111" s="96"/>
      <c r="LVZ111" s="96"/>
      <c r="LWA111" s="96"/>
      <c r="LWB111" s="95"/>
      <c r="LWC111" s="96"/>
      <c r="LWD111" s="96"/>
      <c r="LWE111" s="96"/>
      <c r="LWF111" s="96"/>
      <c r="LWG111" s="96"/>
      <c r="LWH111" s="96"/>
      <c r="LWI111" s="96"/>
      <c r="LWJ111" s="96"/>
      <c r="LWK111" s="96"/>
      <c r="LWL111" s="96"/>
      <c r="LWM111" s="96"/>
      <c r="LWN111" s="96"/>
      <c r="LWO111" s="96"/>
      <c r="LWP111" s="96"/>
      <c r="LWQ111" s="96"/>
      <c r="LWR111" s="96"/>
      <c r="LWS111" s="96"/>
      <c r="LWT111" s="96"/>
      <c r="LWU111" s="96"/>
      <c r="LWV111" s="96"/>
      <c r="LWW111" s="96"/>
      <c r="LWX111" s="95"/>
      <c r="LWY111" s="96"/>
      <c r="LWZ111" s="96"/>
      <c r="LXA111" s="96"/>
      <c r="LXB111" s="96"/>
      <c r="LXC111" s="96"/>
      <c r="LXD111" s="96"/>
      <c r="LXE111" s="96"/>
      <c r="LXF111" s="96"/>
      <c r="LXG111" s="96"/>
      <c r="LXH111" s="96"/>
      <c r="LXI111" s="96"/>
      <c r="LXJ111" s="96"/>
      <c r="LXK111" s="96"/>
      <c r="LXL111" s="96"/>
      <c r="LXM111" s="96"/>
      <c r="LXN111" s="96"/>
      <c r="LXO111" s="96"/>
      <c r="LXP111" s="96"/>
      <c r="LXQ111" s="96"/>
      <c r="LXR111" s="96"/>
      <c r="LXS111" s="96"/>
      <c r="LXT111" s="95"/>
      <c r="LXU111" s="96"/>
      <c r="LXV111" s="96"/>
      <c r="LXW111" s="96"/>
      <c r="LXX111" s="96"/>
      <c r="LXY111" s="96"/>
      <c r="LXZ111" s="96"/>
      <c r="LYA111" s="96"/>
      <c r="LYB111" s="96"/>
      <c r="LYC111" s="96"/>
      <c r="LYD111" s="96"/>
      <c r="LYE111" s="96"/>
      <c r="LYF111" s="96"/>
      <c r="LYG111" s="96"/>
      <c r="LYH111" s="96"/>
      <c r="LYI111" s="96"/>
      <c r="LYJ111" s="96"/>
      <c r="LYK111" s="96"/>
      <c r="LYL111" s="96"/>
      <c r="LYM111" s="96"/>
      <c r="LYN111" s="96"/>
      <c r="LYO111" s="96"/>
      <c r="LYP111" s="95"/>
      <c r="LYQ111" s="96"/>
      <c r="LYR111" s="96"/>
      <c r="LYS111" s="96"/>
      <c r="LYT111" s="96"/>
      <c r="LYU111" s="96"/>
      <c r="LYV111" s="96"/>
      <c r="LYW111" s="96"/>
      <c r="LYX111" s="96"/>
      <c r="LYY111" s="96"/>
      <c r="LYZ111" s="96"/>
      <c r="LZA111" s="96"/>
      <c r="LZB111" s="96"/>
      <c r="LZC111" s="96"/>
      <c r="LZD111" s="96"/>
      <c r="LZE111" s="96"/>
      <c r="LZF111" s="96"/>
      <c r="LZG111" s="96"/>
      <c r="LZH111" s="96"/>
      <c r="LZI111" s="96"/>
      <c r="LZJ111" s="96"/>
      <c r="LZK111" s="96"/>
      <c r="LZL111" s="95"/>
      <c r="LZM111" s="96"/>
      <c r="LZN111" s="96"/>
      <c r="LZO111" s="96"/>
      <c r="LZP111" s="96"/>
      <c r="LZQ111" s="96"/>
      <c r="LZR111" s="96"/>
      <c r="LZS111" s="96"/>
      <c r="LZT111" s="96"/>
      <c r="LZU111" s="96"/>
      <c r="LZV111" s="96"/>
      <c r="LZW111" s="96"/>
      <c r="LZX111" s="96"/>
      <c r="LZY111" s="96"/>
      <c r="LZZ111" s="96"/>
      <c r="MAA111" s="96"/>
      <c r="MAB111" s="96"/>
      <c r="MAC111" s="96"/>
      <c r="MAD111" s="96"/>
      <c r="MAE111" s="96"/>
      <c r="MAF111" s="96"/>
      <c r="MAG111" s="96"/>
      <c r="MAH111" s="95"/>
      <c r="MAI111" s="96"/>
      <c r="MAJ111" s="96"/>
      <c r="MAK111" s="96"/>
      <c r="MAL111" s="96"/>
      <c r="MAM111" s="96"/>
      <c r="MAN111" s="96"/>
      <c r="MAO111" s="96"/>
      <c r="MAP111" s="96"/>
      <c r="MAQ111" s="96"/>
      <c r="MAR111" s="96"/>
      <c r="MAS111" s="96"/>
      <c r="MAT111" s="96"/>
      <c r="MAU111" s="96"/>
      <c r="MAV111" s="96"/>
      <c r="MAW111" s="96"/>
      <c r="MAX111" s="96"/>
      <c r="MAY111" s="96"/>
      <c r="MAZ111" s="96"/>
      <c r="MBA111" s="96"/>
      <c r="MBB111" s="96"/>
      <c r="MBC111" s="96"/>
      <c r="MBD111" s="95"/>
      <c r="MBE111" s="96"/>
      <c r="MBF111" s="96"/>
      <c r="MBG111" s="96"/>
      <c r="MBH111" s="96"/>
      <c r="MBI111" s="96"/>
      <c r="MBJ111" s="96"/>
      <c r="MBK111" s="96"/>
      <c r="MBL111" s="96"/>
      <c r="MBM111" s="96"/>
      <c r="MBN111" s="96"/>
      <c r="MBO111" s="96"/>
      <c r="MBP111" s="96"/>
      <c r="MBQ111" s="96"/>
      <c r="MBR111" s="96"/>
      <c r="MBS111" s="96"/>
      <c r="MBT111" s="96"/>
      <c r="MBU111" s="96"/>
      <c r="MBV111" s="96"/>
      <c r="MBW111" s="96"/>
      <c r="MBX111" s="96"/>
      <c r="MBY111" s="96"/>
      <c r="MBZ111" s="95"/>
      <c r="MCA111" s="96"/>
      <c r="MCB111" s="96"/>
      <c r="MCC111" s="96"/>
      <c r="MCD111" s="96"/>
      <c r="MCE111" s="96"/>
      <c r="MCF111" s="96"/>
      <c r="MCG111" s="96"/>
      <c r="MCH111" s="96"/>
      <c r="MCI111" s="96"/>
      <c r="MCJ111" s="96"/>
      <c r="MCK111" s="96"/>
      <c r="MCL111" s="96"/>
      <c r="MCM111" s="96"/>
      <c r="MCN111" s="96"/>
      <c r="MCO111" s="96"/>
      <c r="MCP111" s="96"/>
      <c r="MCQ111" s="96"/>
      <c r="MCR111" s="96"/>
      <c r="MCS111" s="96"/>
      <c r="MCT111" s="96"/>
      <c r="MCU111" s="96"/>
      <c r="MCV111" s="95"/>
      <c r="MCW111" s="96"/>
      <c r="MCX111" s="96"/>
      <c r="MCY111" s="96"/>
      <c r="MCZ111" s="96"/>
      <c r="MDA111" s="96"/>
      <c r="MDB111" s="96"/>
      <c r="MDC111" s="96"/>
      <c r="MDD111" s="96"/>
      <c r="MDE111" s="96"/>
      <c r="MDF111" s="96"/>
      <c r="MDG111" s="96"/>
      <c r="MDH111" s="96"/>
      <c r="MDI111" s="96"/>
      <c r="MDJ111" s="96"/>
      <c r="MDK111" s="96"/>
      <c r="MDL111" s="96"/>
      <c r="MDM111" s="96"/>
      <c r="MDN111" s="96"/>
      <c r="MDO111" s="96"/>
      <c r="MDP111" s="96"/>
      <c r="MDQ111" s="96"/>
      <c r="MDR111" s="95"/>
      <c r="MDS111" s="96"/>
      <c r="MDT111" s="96"/>
      <c r="MDU111" s="96"/>
      <c r="MDV111" s="96"/>
      <c r="MDW111" s="96"/>
      <c r="MDX111" s="96"/>
      <c r="MDY111" s="96"/>
      <c r="MDZ111" s="96"/>
      <c r="MEA111" s="96"/>
      <c r="MEB111" s="96"/>
      <c r="MEC111" s="96"/>
      <c r="MED111" s="96"/>
      <c r="MEE111" s="96"/>
      <c r="MEF111" s="96"/>
      <c r="MEG111" s="96"/>
      <c r="MEH111" s="96"/>
      <c r="MEI111" s="96"/>
      <c r="MEJ111" s="96"/>
      <c r="MEK111" s="96"/>
      <c r="MEL111" s="96"/>
      <c r="MEM111" s="96"/>
      <c r="MEN111" s="95"/>
      <c r="MEO111" s="96"/>
      <c r="MEP111" s="96"/>
      <c r="MEQ111" s="96"/>
      <c r="MER111" s="96"/>
      <c r="MES111" s="96"/>
      <c r="MET111" s="96"/>
      <c r="MEU111" s="96"/>
      <c r="MEV111" s="96"/>
      <c r="MEW111" s="96"/>
      <c r="MEX111" s="96"/>
      <c r="MEY111" s="96"/>
      <c r="MEZ111" s="96"/>
      <c r="MFA111" s="96"/>
      <c r="MFB111" s="96"/>
      <c r="MFC111" s="96"/>
      <c r="MFD111" s="96"/>
      <c r="MFE111" s="96"/>
      <c r="MFF111" s="96"/>
      <c r="MFG111" s="96"/>
      <c r="MFH111" s="96"/>
      <c r="MFI111" s="96"/>
      <c r="MFJ111" s="95"/>
      <c r="MFK111" s="96"/>
      <c r="MFL111" s="96"/>
      <c r="MFM111" s="96"/>
      <c r="MFN111" s="96"/>
      <c r="MFO111" s="96"/>
      <c r="MFP111" s="96"/>
      <c r="MFQ111" s="96"/>
      <c r="MFR111" s="96"/>
      <c r="MFS111" s="96"/>
      <c r="MFT111" s="96"/>
      <c r="MFU111" s="96"/>
      <c r="MFV111" s="96"/>
      <c r="MFW111" s="96"/>
      <c r="MFX111" s="96"/>
      <c r="MFY111" s="96"/>
      <c r="MFZ111" s="96"/>
      <c r="MGA111" s="96"/>
      <c r="MGB111" s="96"/>
      <c r="MGC111" s="96"/>
      <c r="MGD111" s="96"/>
      <c r="MGE111" s="96"/>
      <c r="MGF111" s="95"/>
      <c r="MGG111" s="96"/>
      <c r="MGH111" s="96"/>
      <c r="MGI111" s="96"/>
      <c r="MGJ111" s="96"/>
      <c r="MGK111" s="96"/>
      <c r="MGL111" s="96"/>
      <c r="MGM111" s="96"/>
      <c r="MGN111" s="96"/>
      <c r="MGO111" s="96"/>
      <c r="MGP111" s="96"/>
      <c r="MGQ111" s="96"/>
      <c r="MGR111" s="96"/>
      <c r="MGS111" s="96"/>
      <c r="MGT111" s="96"/>
      <c r="MGU111" s="96"/>
      <c r="MGV111" s="96"/>
      <c r="MGW111" s="96"/>
      <c r="MGX111" s="96"/>
      <c r="MGY111" s="96"/>
      <c r="MGZ111" s="96"/>
      <c r="MHA111" s="96"/>
      <c r="MHB111" s="95"/>
      <c r="MHC111" s="96"/>
      <c r="MHD111" s="96"/>
      <c r="MHE111" s="96"/>
      <c r="MHF111" s="96"/>
      <c r="MHG111" s="96"/>
      <c r="MHH111" s="96"/>
      <c r="MHI111" s="96"/>
      <c r="MHJ111" s="96"/>
      <c r="MHK111" s="96"/>
      <c r="MHL111" s="96"/>
      <c r="MHM111" s="96"/>
      <c r="MHN111" s="96"/>
      <c r="MHO111" s="96"/>
      <c r="MHP111" s="96"/>
      <c r="MHQ111" s="96"/>
      <c r="MHR111" s="96"/>
      <c r="MHS111" s="96"/>
      <c r="MHT111" s="96"/>
      <c r="MHU111" s="96"/>
      <c r="MHV111" s="96"/>
      <c r="MHW111" s="96"/>
      <c r="MHX111" s="95"/>
      <c r="MHY111" s="96"/>
      <c r="MHZ111" s="96"/>
      <c r="MIA111" s="96"/>
      <c r="MIB111" s="96"/>
      <c r="MIC111" s="96"/>
      <c r="MID111" s="96"/>
      <c r="MIE111" s="96"/>
      <c r="MIF111" s="96"/>
      <c r="MIG111" s="96"/>
      <c r="MIH111" s="96"/>
      <c r="MII111" s="96"/>
      <c r="MIJ111" s="96"/>
      <c r="MIK111" s="96"/>
      <c r="MIL111" s="96"/>
      <c r="MIM111" s="96"/>
      <c r="MIN111" s="96"/>
      <c r="MIO111" s="96"/>
      <c r="MIP111" s="96"/>
      <c r="MIQ111" s="96"/>
      <c r="MIR111" s="96"/>
      <c r="MIS111" s="96"/>
      <c r="MIT111" s="95"/>
      <c r="MIU111" s="96"/>
      <c r="MIV111" s="96"/>
      <c r="MIW111" s="96"/>
      <c r="MIX111" s="96"/>
      <c r="MIY111" s="96"/>
      <c r="MIZ111" s="96"/>
      <c r="MJA111" s="96"/>
      <c r="MJB111" s="96"/>
      <c r="MJC111" s="96"/>
      <c r="MJD111" s="96"/>
      <c r="MJE111" s="96"/>
      <c r="MJF111" s="96"/>
      <c r="MJG111" s="96"/>
      <c r="MJH111" s="96"/>
      <c r="MJI111" s="96"/>
      <c r="MJJ111" s="96"/>
      <c r="MJK111" s="96"/>
      <c r="MJL111" s="96"/>
      <c r="MJM111" s="96"/>
      <c r="MJN111" s="96"/>
      <c r="MJO111" s="96"/>
      <c r="MJP111" s="95"/>
      <c r="MJQ111" s="96"/>
      <c r="MJR111" s="96"/>
      <c r="MJS111" s="96"/>
      <c r="MJT111" s="96"/>
      <c r="MJU111" s="96"/>
      <c r="MJV111" s="96"/>
      <c r="MJW111" s="96"/>
      <c r="MJX111" s="96"/>
      <c r="MJY111" s="96"/>
      <c r="MJZ111" s="96"/>
      <c r="MKA111" s="96"/>
      <c r="MKB111" s="96"/>
      <c r="MKC111" s="96"/>
      <c r="MKD111" s="96"/>
      <c r="MKE111" s="96"/>
      <c r="MKF111" s="96"/>
      <c r="MKG111" s="96"/>
      <c r="MKH111" s="96"/>
      <c r="MKI111" s="96"/>
      <c r="MKJ111" s="96"/>
      <c r="MKK111" s="96"/>
      <c r="MKL111" s="95"/>
      <c r="MKM111" s="96"/>
      <c r="MKN111" s="96"/>
      <c r="MKO111" s="96"/>
      <c r="MKP111" s="96"/>
      <c r="MKQ111" s="96"/>
      <c r="MKR111" s="96"/>
      <c r="MKS111" s="96"/>
      <c r="MKT111" s="96"/>
      <c r="MKU111" s="96"/>
      <c r="MKV111" s="96"/>
      <c r="MKW111" s="96"/>
      <c r="MKX111" s="96"/>
      <c r="MKY111" s="96"/>
      <c r="MKZ111" s="96"/>
      <c r="MLA111" s="96"/>
      <c r="MLB111" s="96"/>
      <c r="MLC111" s="96"/>
      <c r="MLD111" s="96"/>
      <c r="MLE111" s="96"/>
      <c r="MLF111" s="96"/>
      <c r="MLG111" s="96"/>
      <c r="MLH111" s="95"/>
      <c r="MLI111" s="96"/>
      <c r="MLJ111" s="96"/>
      <c r="MLK111" s="96"/>
      <c r="MLL111" s="96"/>
      <c r="MLM111" s="96"/>
      <c r="MLN111" s="96"/>
      <c r="MLO111" s="96"/>
      <c r="MLP111" s="96"/>
      <c r="MLQ111" s="96"/>
      <c r="MLR111" s="96"/>
      <c r="MLS111" s="96"/>
      <c r="MLT111" s="96"/>
      <c r="MLU111" s="96"/>
      <c r="MLV111" s="96"/>
      <c r="MLW111" s="96"/>
      <c r="MLX111" s="96"/>
      <c r="MLY111" s="96"/>
      <c r="MLZ111" s="96"/>
      <c r="MMA111" s="96"/>
      <c r="MMB111" s="96"/>
      <c r="MMC111" s="96"/>
      <c r="MMD111" s="95"/>
      <c r="MME111" s="96"/>
      <c r="MMF111" s="96"/>
      <c r="MMG111" s="96"/>
      <c r="MMH111" s="96"/>
      <c r="MMI111" s="96"/>
      <c r="MMJ111" s="96"/>
      <c r="MMK111" s="96"/>
      <c r="MML111" s="96"/>
      <c r="MMM111" s="96"/>
      <c r="MMN111" s="96"/>
      <c r="MMO111" s="96"/>
      <c r="MMP111" s="96"/>
      <c r="MMQ111" s="96"/>
      <c r="MMR111" s="96"/>
      <c r="MMS111" s="96"/>
      <c r="MMT111" s="96"/>
      <c r="MMU111" s="96"/>
      <c r="MMV111" s="96"/>
      <c r="MMW111" s="96"/>
      <c r="MMX111" s="96"/>
      <c r="MMY111" s="96"/>
      <c r="MMZ111" s="95"/>
      <c r="MNA111" s="96"/>
      <c r="MNB111" s="96"/>
      <c r="MNC111" s="96"/>
      <c r="MND111" s="96"/>
      <c r="MNE111" s="96"/>
      <c r="MNF111" s="96"/>
      <c r="MNG111" s="96"/>
      <c r="MNH111" s="96"/>
      <c r="MNI111" s="96"/>
      <c r="MNJ111" s="96"/>
      <c r="MNK111" s="96"/>
      <c r="MNL111" s="96"/>
      <c r="MNM111" s="96"/>
      <c r="MNN111" s="96"/>
      <c r="MNO111" s="96"/>
      <c r="MNP111" s="96"/>
      <c r="MNQ111" s="96"/>
      <c r="MNR111" s="96"/>
      <c r="MNS111" s="96"/>
      <c r="MNT111" s="96"/>
      <c r="MNU111" s="96"/>
      <c r="MNV111" s="95"/>
      <c r="MNW111" s="96"/>
      <c r="MNX111" s="96"/>
      <c r="MNY111" s="96"/>
      <c r="MNZ111" s="96"/>
      <c r="MOA111" s="96"/>
      <c r="MOB111" s="96"/>
      <c r="MOC111" s="96"/>
      <c r="MOD111" s="96"/>
      <c r="MOE111" s="96"/>
      <c r="MOF111" s="96"/>
      <c r="MOG111" s="96"/>
      <c r="MOH111" s="96"/>
      <c r="MOI111" s="96"/>
      <c r="MOJ111" s="96"/>
      <c r="MOK111" s="96"/>
      <c r="MOL111" s="96"/>
      <c r="MOM111" s="96"/>
      <c r="MON111" s="96"/>
      <c r="MOO111" s="96"/>
      <c r="MOP111" s="96"/>
      <c r="MOQ111" s="96"/>
      <c r="MOR111" s="95"/>
      <c r="MOS111" s="96"/>
      <c r="MOT111" s="96"/>
      <c r="MOU111" s="96"/>
      <c r="MOV111" s="96"/>
      <c r="MOW111" s="96"/>
      <c r="MOX111" s="96"/>
      <c r="MOY111" s="96"/>
      <c r="MOZ111" s="96"/>
      <c r="MPA111" s="96"/>
      <c r="MPB111" s="96"/>
      <c r="MPC111" s="96"/>
      <c r="MPD111" s="96"/>
      <c r="MPE111" s="96"/>
      <c r="MPF111" s="96"/>
      <c r="MPG111" s="96"/>
      <c r="MPH111" s="96"/>
      <c r="MPI111" s="96"/>
      <c r="MPJ111" s="96"/>
      <c r="MPK111" s="96"/>
      <c r="MPL111" s="96"/>
      <c r="MPM111" s="96"/>
      <c r="MPN111" s="95"/>
      <c r="MPO111" s="96"/>
      <c r="MPP111" s="96"/>
      <c r="MPQ111" s="96"/>
      <c r="MPR111" s="96"/>
      <c r="MPS111" s="96"/>
      <c r="MPT111" s="96"/>
      <c r="MPU111" s="96"/>
      <c r="MPV111" s="96"/>
      <c r="MPW111" s="96"/>
      <c r="MPX111" s="96"/>
      <c r="MPY111" s="96"/>
      <c r="MPZ111" s="96"/>
      <c r="MQA111" s="96"/>
      <c r="MQB111" s="96"/>
      <c r="MQC111" s="96"/>
      <c r="MQD111" s="96"/>
      <c r="MQE111" s="96"/>
      <c r="MQF111" s="96"/>
      <c r="MQG111" s="96"/>
      <c r="MQH111" s="96"/>
      <c r="MQI111" s="96"/>
      <c r="MQJ111" s="95"/>
      <c r="MQK111" s="96"/>
      <c r="MQL111" s="96"/>
      <c r="MQM111" s="96"/>
      <c r="MQN111" s="96"/>
      <c r="MQO111" s="96"/>
      <c r="MQP111" s="96"/>
      <c r="MQQ111" s="96"/>
      <c r="MQR111" s="96"/>
      <c r="MQS111" s="96"/>
      <c r="MQT111" s="96"/>
      <c r="MQU111" s="96"/>
      <c r="MQV111" s="96"/>
      <c r="MQW111" s="96"/>
      <c r="MQX111" s="96"/>
      <c r="MQY111" s="96"/>
      <c r="MQZ111" s="96"/>
      <c r="MRA111" s="96"/>
      <c r="MRB111" s="96"/>
      <c r="MRC111" s="96"/>
      <c r="MRD111" s="96"/>
      <c r="MRE111" s="96"/>
      <c r="MRF111" s="95"/>
      <c r="MRG111" s="96"/>
      <c r="MRH111" s="96"/>
      <c r="MRI111" s="96"/>
      <c r="MRJ111" s="96"/>
      <c r="MRK111" s="96"/>
      <c r="MRL111" s="96"/>
      <c r="MRM111" s="96"/>
      <c r="MRN111" s="96"/>
      <c r="MRO111" s="96"/>
      <c r="MRP111" s="96"/>
      <c r="MRQ111" s="96"/>
      <c r="MRR111" s="96"/>
      <c r="MRS111" s="96"/>
      <c r="MRT111" s="96"/>
      <c r="MRU111" s="96"/>
      <c r="MRV111" s="96"/>
      <c r="MRW111" s="96"/>
      <c r="MRX111" s="96"/>
      <c r="MRY111" s="96"/>
      <c r="MRZ111" s="96"/>
      <c r="MSA111" s="96"/>
      <c r="MSB111" s="95"/>
      <c r="MSC111" s="96"/>
      <c r="MSD111" s="96"/>
      <c r="MSE111" s="96"/>
      <c r="MSF111" s="96"/>
      <c r="MSG111" s="96"/>
      <c r="MSH111" s="96"/>
      <c r="MSI111" s="96"/>
      <c r="MSJ111" s="96"/>
      <c r="MSK111" s="96"/>
      <c r="MSL111" s="96"/>
      <c r="MSM111" s="96"/>
      <c r="MSN111" s="96"/>
      <c r="MSO111" s="96"/>
      <c r="MSP111" s="96"/>
      <c r="MSQ111" s="96"/>
      <c r="MSR111" s="96"/>
      <c r="MSS111" s="96"/>
      <c r="MST111" s="96"/>
      <c r="MSU111" s="96"/>
      <c r="MSV111" s="96"/>
      <c r="MSW111" s="96"/>
      <c r="MSX111" s="95"/>
      <c r="MSY111" s="96"/>
      <c r="MSZ111" s="96"/>
      <c r="MTA111" s="96"/>
      <c r="MTB111" s="96"/>
      <c r="MTC111" s="96"/>
      <c r="MTD111" s="96"/>
      <c r="MTE111" s="96"/>
      <c r="MTF111" s="96"/>
      <c r="MTG111" s="96"/>
      <c r="MTH111" s="96"/>
      <c r="MTI111" s="96"/>
      <c r="MTJ111" s="96"/>
      <c r="MTK111" s="96"/>
      <c r="MTL111" s="96"/>
      <c r="MTM111" s="96"/>
      <c r="MTN111" s="96"/>
      <c r="MTO111" s="96"/>
      <c r="MTP111" s="96"/>
      <c r="MTQ111" s="96"/>
      <c r="MTR111" s="96"/>
      <c r="MTS111" s="96"/>
      <c r="MTT111" s="95"/>
      <c r="MTU111" s="96"/>
      <c r="MTV111" s="96"/>
      <c r="MTW111" s="96"/>
      <c r="MTX111" s="96"/>
      <c r="MTY111" s="96"/>
      <c r="MTZ111" s="96"/>
      <c r="MUA111" s="96"/>
      <c r="MUB111" s="96"/>
      <c r="MUC111" s="96"/>
      <c r="MUD111" s="96"/>
      <c r="MUE111" s="96"/>
      <c r="MUF111" s="96"/>
      <c r="MUG111" s="96"/>
      <c r="MUH111" s="96"/>
      <c r="MUI111" s="96"/>
      <c r="MUJ111" s="96"/>
      <c r="MUK111" s="96"/>
      <c r="MUL111" s="96"/>
      <c r="MUM111" s="96"/>
      <c r="MUN111" s="96"/>
      <c r="MUO111" s="96"/>
      <c r="MUP111" s="95"/>
      <c r="MUQ111" s="96"/>
      <c r="MUR111" s="96"/>
      <c r="MUS111" s="96"/>
      <c r="MUT111" s="96"/>
      <c r="MUU111" s="96"/>
      <c r="MUV111" s="96"/>
      <c r="MUW111" s="96"/>
      <c r="MUX111" s="96"/>
      <c r="MUY111" s="96"/>
      <c r="MUZ111" s="96"/>
      <c r="MVA111" s="96"/>
      <c r="MVB111" s="96"/>
      <c r="MVC111" s="96"/>
      <c r="MVD111" s="96"/>
      <c r="MVE111" s="96"/>
      <c r="MVF111" s="96"/>
      <c r="MVG111" s="96"/>
      <c r="MVH111" s="96"/>
      <c r="MVI111" s="96"/>
      <c r="MVJ111" s="96"/>
      <c r="MVK111" s="96"/>
      <c r="MVL111" s="95"/>
      <c r="MVM111" s="96"/>
      <c r="MVN111" s="96"/>
      <c r="MVO111" s="96"/>
      <c r="MVP111" s="96"/>
      <c r="MVQ111" s="96"/>
      <c r="MVR111" s="96"/>
      <c r="MVS111" s="96"/>
      <c r="MVT111" s="96"/>
      <c r="MVU111" s="96"/>
      <c r="MVV111" s="96"/>
      <c r="MVW111" s="96"/>
      <c r="MVX111" s="96"/>
      <c r="MVY111" s="96"/>
      <c r="MVZ111" s="96"/>
      <c r="MWA111" s="96"/>
      <c r="MWB111" s="96"/>
      <c r="MWC111" s="96"/>
      <c r="MWD111" s="96"/>
      <c r="MWE111" s="96"/>
      <c r="MWF111" s="96"/>
      <c r="MWG111" s="96"/>
      <c r="MWH111" s="95"/>
      <c r="MWI111" s="96"/>
      <c r="MWJ111" s="96"/>
      <c r="MWK111" s="96"/>
      <c r="MWL111" s="96"/>
      <c r="MWM111" s="96"/>
      <c r="MWN111" s="96"/>
      <c r="MWO111" s="96"/>
      <c r="MWP111" s="96"/>
      <c r="MWQ111" s="96"/>
      <c r="MWR111" s="96"/>
      <c r="MWS111" s="96"/>
      <c r="MWT111" s="96"/>
      <c r="MWU111" s="96"/>
      <c r="MWV111" s="96"/>
      <c r="MWW111" s="96"/>
      <c r="MWX111" s="96"/>
      <c r="MWY111" s="96"/>
      <c r="MWZ111" s="96"/>
      <c r="MXA111" s="96"/>
      <c r="MXB111" s="96"/>
      <c r="MXC111" s="96"/>
      <c r="MXD111" s="95"/>
      <c r="MXE111" s="96"/>
      <c r="MXF111" s="96"/>
      <c r="MXG111" s="96"/>
      <c r="MXH111" s="96"/>
      <c r="MXI111" s="96"/>
      <c r="MXJ111" s="96"/>
      <c r="MXK111" s="96"/>
      <c r="MXL111" s="96"/>
      <c r="MXM111" s="96"/>
      <c r="MXN111" s="96"/>
      <c r="MXO111" s="96"/>
      <c r="MXP111" s="96"/>
      <c r="MXQ111" s="96"/>
      <c r="MXR111" s="96"/>
      <c r="MXS111" s="96"/>
      <c r="MXT111" s="96"/>
      <c r="MXU111" s="96"/>
      <c r="MXV111" s="96"/>
      <c r="MXW111" s="96"/>
      <c r="MXX111" s="96"/>
      <c r="MXY111" s="96"/>
      <c r="MXZ111" s="95"/>
      <c r="MYA111" s="96"/>
      <c r="MYB111" s="96"/>
      <c r="MYC111" s="96"/>
      <c r="MYD111" s="96"/>
      <c r="MYE111" s="96"/>
      <c r="MYF111" s="96"/>
      <c r="MYG111" s="96"/>
      <c r="MYH111" s="96"/>
      <c r="MYI111" s="96"/>
      <c r="MYJ111" s="96"/>
      <c r="MYK111" s="96"/>
      <c r="MYL111" s="96"/>
      <c r="MYM111" s="96"/>
      <c r="MYN111" s="96"/>
      <c r="MYO111" s="96"/>
      <c r="MYP111" s="96"/>
      <c r="MYQ111" s="96"/>
      <c r="MYR111" s="96"/>
      <c r="MYS111" s="96"/>
      <c r="MYT111" s="96"/>
      <c r="MYU111" s="96"/>
      <c r="MYV111" s="95"/>
      <c r="MYW111" s="96"/>
      <c r="MYX111" s="96"/>
      <c r="MYY111" s="96"/>
      <c r="MYZ111" s="96"/>
      <c r="MZA111" s="96"/>
      <c r="MZB111" s="96"/>
      <c r="MZC111" s="96"/>
      <c r="MZD111" s="96"/>
      <c r="MZE111" s="96"/>
      <c r="MZF111" s="96"/>
      <c r="MZG111" s="96"/>
      <c r="MZH111" s="96"/>
      <c r="MZI111" s="96"/>
      <c r="MZJ111" s="96"/>
      <c r="MZK111" s="96"/>
      <c r="MZL111" s="96"/>
      <c r="MZM111" s="96"/>
      <c r="MZN111" s="96"/>
      <c r="MZO111" s="96"/>
      <c r="MZP111" s="96"/>
      <c r="MZQ111" s="96"/>
      <c r="MZR111" s="95"/>
      <c r="MZS111" s="96"/>
      <c r="MZT111" s="96"/>
      <c r="MZU111" s="96"/>
      <c r="MZV111" s="96"/>
      <c r="MZW111" s="96"/>
      <c r="MZX111" s="96"/>
      <c r="MZY111" s="96"/>
      <c r="MZZ111" s="96"/>
      <c r="NAA111" s="96"/>
      <c r="NAB111" s="96"/>
      <c r="NAC111" s="96"/>
      <c r="NAD111" s="96"/>
      <c r="NAE111" s="96"/>
      <c r="NAF111" s="96"/>
      <c r="NAG111" s="96"/>
      <c r="NAH111" s="96"/>
      <c r="NAI111" s="96"/>
      <c r="NAJ111" s="96"/>
      <c r="NAK111" s="96"/>
      <c r="NAL111" s="96"/>
      <c r="NAM111" s="96"/>
      <c r="NAN111" s="95"/>
      <c r="NAO111" s="96"/>
      <c r="NAP111" s="96"/>
      <c r="NAQ111" s="96"/>
      <c r="NAR111" s="96"/>
      <c r="NAS111" s="96"/>
      <c r="NAT111" s="96"/>
      <c r="NAU111" s="96"/>
      <c r="NAV111" s="96"/>
      <c r="NAW111" s="96"/>
      <c r="NAX111" s="96"/>
      <c r="NAY111" s="96"/>
      <c r="NAZ111" s="96"/>
      <c r="NBA111" s="96"/>
      <c r="NBB111" s="96"/>
      <c r="NBC111" s="96"/>
      <c r="NBD111" s="96"/>
      <c r="NBE111" s="96"/>
      <c r="NBF111" s="96"/>
      <c r="NBG111" s="96"/>
      <c r="NBH111" s="96"/>
      <c r="NBI111" s="96"/>
      <c r="NBJ111" s="95"/>
      <c r="NBK111" s="96"/>
      <c r="NBL111" s="96"/>
      <c r="NBM111" s="96"/>
      <c r="NBN111" s="96"/>
      <c r="NBO111" s="96"/>
      <c r="NBP111" s="96"/>
      <c r="NBQ111" s="96"/>
      <c r="NBR111" s="96"/>
      <c r="NBS111" s="96"/>
      <c r="NBT111" s="96"/>
      <c r="NBU111" s="96"/>
      <c r="NBV111" s="96"/>
      <c r="NBW111" s="96"/>
      <c r="NBX111" s="96"/>
      <c r="NBY111" s="96"/>
      <c r="NBZ111" s="96"/>
      <c r="NCA111" s="96"/>
      <c r="NCB111" s="96"/>
      <c r="NCC111" s="96"/>
      <c r="NCD111" s="96"/>
      <c r="NCE111" s="96"/>
      <c r="NCF111" s="95"/>
      <c r="NCG111" s="96"/>
      <c r="NCH111" s="96"/>
      <c r="NCI111" s="96"/>
      <c r="NCJ111" s="96"/>
      <c r="NCK111" s="96"/>
      <c r="NCL111" s="96"/>
      <c r="NCM111" s="96"/>
      <c r="NCN111" s="96"/>
      <c r="NCO111" s="96"/>
      <c r="NCP111" s="96"/>
      <c r="NCQ111" s="96"/>
      <c r="NCR111" s="96"/>
      <c r="NCS111" s="96"/>
      <c r="NCT111" s="96"/>
      <c r="NCU111" s="96"/>
      <c r="NCV111" s="96"/>
      <c r="NCW111" s="96"/>
      <c r="NCX111" s="96"/>
      <c r="NCY111" s="96"/>
      <c r="NCZ111" s="96"/>
      <c r="NDA111" s="96"/>
      <c r="NDB111" s="95"/>
      <c r="NDC111" s="96"/>
      <c r="NDD111" s="96"/>
      <c r="NDE111" s="96"/>
      <c r="NDF111" s="96"/>
      <c r="NDG111" s="96"/>
      <c r="NDH111" s="96"/>
      <c r="NDI111" s="96"/>
      <c r="NDJ111" s="96"/>
      <c r="NDK111" s="96"/>
      <c r="NDL111" s="96"/>
      <c r="NDM111" s="96"/>
      <c r="NDN111" s="96"/>
      <c r="NDO111" s="96"/>
      <c r="NDP111" s="96"/>
      <c r="NDQ111" s="96"/>
      <c r="NDR111" s="96"/>
      <c r="NDS111" s="96"/>
      <c r="NDT111" s="96"/>
      <c r="NDU111" s="96"/>
      <c r="NDV111" s="96"/>
      <c r="NDW111" s="96"/>
      <c r="NDX111" s="95"/>
      <c r="NDY111" s="96"/>
      <c r="NDZ111" s="96"/>
      <c r="NEA111" s="96"/>
      <c r="NEB111" s="96"/>
      <c r="NEC111" s="96"/>
      <c r="NED111" s="96"/>
      <c r="NEE111" s="96"/>
      <c r="NEF111" s="96"/>
      <c r="NEG111" s="96"/>
      <c r="NEH111" s="96"/>
      <c r="NEI111" s="96"/>
      <c r="NEJ111" s="96"/>
      <c r="NEK111" s="96"/>
      <c r="NEL111" s="96"/>
      <c r="NEM111" s="96"/>
      <c r="NEN111" s="96"/>
      <c r="NEO111" s="96"/>
      <c r="NEP111" s="96"/>
      <c r="NEQ111" s="96"/>
      <c r="NER111" s="96"/>
      <c r="NES111" s="96"/>
      <c r="NET111" s="95"/>
      <c r="NEU111" s="96"/>
      <c r="NEV111" s="96"/>
      <c r="NEW111" s="96"/>
      <c r="NEX111" s="96"/>
      <c r="NEY111" s="96"/>
      <c r="NEZ111" s="96"/>
      <c r="NFA111" s="96"/>
      <c r="NFB111" s="96"/>
      <c r="NFC111" s="96"/>
      <c r="NFD111" s="96"/>
      <c r="NFE111" s="96"/>
      <c r="NFF111" s="96"/>
      <c r="NFG111" s="96"/>
      <c r="NFH111" s="96"/>
      <c r="NFI111" s="96"/>
      <c r="NFJ111" s="96"/>
      <c r="NFK111" s="96"/>
      <c r="NFL111" s="96"/>
      <c r="NFM111" s="96"/>
      <c r="NFN111" s="96"/>
      <c r="NFO111" s="96"/>
      <c r="NFP111" s="95"/>
      <c r="NFQ111" s="96"/>
      <c r="NFR111" s="96"/>
      <c r="NFS111" s="96"/>
      <c r="NFT111" s="96"/>
      <c r="NFU111" s="96"/>
      <c r="NFV111" s="96"/>
      <c r="NFW111" s="96"/>
      <c r="NFX111" s="96"/>
      <c r="NFY111" s="96"/>
      <c r="NFZ111" s="96"/>
      <c r="NGA111" s="96"/>
      <c r="NGB111" s="96"/>
      <c r="NGC111" s="96"/>
      <c r="NGD111" s="96"/>
      <c r="NGE111" s="96"/>
      <c r="NGF111" s="96"/>
      <c r="NGG111" s="96"/>
      <c r="NGH111" s="96"/>
      <c r="NGI111" s="96"/>
      <c r="NGJ111" s="96"/>
      <c r="NGK111" s="96"/>
      <c r="NGL111" s="95"/>
      <c r="NGM111" s="96"/>
      <c r="NGN111" s="96"/>
      <c r="NGO111" s="96"/>
      <c r="NGP111" s="96"/>
      <c r="NGQ111" s="96"/>
      <c r="NGR111" s="96"/>
      <c r="NGS111" s="96"/>
      <c r="NGT111" s="96"/>
      <c r="NGU111" s="96"/>
      <c r="NGV111" s="96"/>
      <c r="NGW111" s="96"/>
      <c r="NGX111" s="96"/>
      <c r="NGY111" s="96"/>
      <c r="NGZ111" s="96"/>
      <c r="NHA111" s="96"/>
      <c r="NHB111" s="96"/>
      <c r="NHC111" s="96"/>
      <c r="NHD111" s="96"/>
      <c r="NHE111" s="96"/>
      <c r="NHF111" s="96"/>
      <c r="NHG111" s="96"/>
      <c r="NHH111" s="95"/>
      <c r="NHI111" s="96"/>
      <c r="NHJ111" s="96"/>
      <c r="NHK111" s="96"/>
      <c r="NHL111" s="96"/>
      <c r="NHM111" s="96"/>
      <c r="NHN111" s="96"/>
      <c r="NHO111" s="96"/>
      <c r="NHP111" s="96"/>
      <c r="NHQ111" s="96"/>
      <c r="NHR111" s="96"/>
      <c r="NHS111" s="96"/>
      <c r="NHT111" s="96"/>
      <c r="NHU111" s="96"/>
      <c r="NHV111" s="96"/>
      <c r="NHW111" s="96"/>
      <c r="NHX111" s="96"/>
      <c r="NHY111" s="96"/>
      <c r="NHZ111" s="96"/>
      <c r="NIA111" s="96"/>
      <c r="NIB111" s="96"/>
      <c r="NIC111" s="96"/>
      <c r="NID111" s="95"/>
      <c r="NIE111" s="96"/>
      <c r="NIF111" s="96"/>
      <c r="NIG111" s="96"/>
      <c r="NIH111" s="96"/>
      <c r="NII111" s="96"/>
      <c r="NIJ111" s="96"/>
      <c r="NIK111" s="96"/>
      <c r="NIL111" s="96"/>
      <c r="NIM111" s="96"/>
      <c r="NIN111" s="96"/>
      <c r="NIO111" s="96"/>
      <c r="NIP111" s="96"/>
      <c r="NIQ111" s="96"/>
      <c r="NIR111" s="96"/>
      <c r="NIS111" s="96"/>
      <c r="NIT111" s="96"/>
      <c r="NIU111" s="96"/>
      <c r="NIV111" s="96"/>
      <c r="NIW111" s="96"/>
      <c r="NIX111" s="96"/>
      <c r="NIY111" s="96"/>
      <c r="NIZ111" s="95"/>
      <c r="NJA111" s="96"/>
      <c r="NJB111" s="96"/>
      <c r="NJC111" s="96"/>
      <c r="NJD111" s="96"/>
      <c r="NJE111" s="96"/>
      <c r="NJF111" s="96"/>
      <c r="NJG111" s="96"/>
      <c r="NJH111" s="96"/>
      <c r="NJI111" s="96"/>
      <c r="NJJ111" s="96"/>
      <c r="NJK111" s="96"/>
      <c r="NJL111" s="96"/>
      <c r="NJM111" s="96"/>
      <c r="NJN111" s="96"/>
      <c r="NJO111" s="96"/>
      <c r="NJP111" s="96"/>
      <c r="NJQ111" s="96"/>
      <c r="NJR111" s="96"/>
      <c r="NJS111" s="96"/>
      <c r="NJT111" s="96"/>
      <c r="NJU111" s="96"/>
      <c r="NJV111" s="95"/>
      <c r="NJW111" s="96"/>
      <c r="NJX111" s="96"/>
      <c r="NJY111" s="96"/>
      <c r="NJZ111" s="96"/>
      <c r="NKA111" s="96"/>
      <c r="NKB111" s="96"/>
      <c r="NKC111" s="96"/>
      <c r="NKD111" s="96"/>
      <c r="NKE111" s="96"/>
      <c r="NKF111" s="96"/>
      <c r="NKG111" s="96"/>
      <c r="NKH111" s="96"/>
      <c r="NKI111" s="96"/>
      <c r="NKJ111" s="96"/>
      <c r="NKK111" s="96"/>
      <c r="NKL111" s="96"/>
      <c r="NKM111" s="96"/>
      <c r="NKN111" s="96"/>
      <c r="NKO111" s="96"/>
      <c r="NKP111" s="96"/>
      <c r="NKQ111" s="96"/>
      <c r="NKR111" s="95"/>
      <c r="NKS111" s="96"/>
      <c r="NKT111" s="96"/>
      <c r="NKU111" s="96"/>
      <c r="NKV111" s="96"/>
      <c r="NKW111" s="96"/>
      <c r="NKX111" s="96"/>
      <c r="NKY111" s="96"/>
      <c r="NKZ111" s="96"/>
      <c r="NLA111" s="96"/>
      <c r="NLB111" s="96"/>
      <c r="NLC111" s="96"/>
      <c r="NLD111" s="96"/>
      <c r="NLE111" s="96"/>
      <c r="NLF111" s="96"/>
      <c r="NLG111" s="96"/>
      <c r="NLH111" s="96"/>
      <c r="NLI111" s="96"/>
      <c r="NLJ111" s="96"/>
      <c r="NLK111" s="96"/>
      <c r="NLL111" s="96"/>
      <c r="NLM111" s="96"/>
      <c r="NLN111" s="95"/>
      <c r="NLO111" s="96"/>
      <c r="NLP111" s="96"/>
      <c r="NLQ111" s="96"/>
      <c r="NLR111" s="96"/>
      <c r="NLS111" s="96"/>
      <c r="NLT111" s="96"/>
      <c r="NLU111" s="96"/>
      <c r="NLV111" s="96"/>
      <c r="NLW111" s="96"/>
      <c r="NLX111" s="96"/>
      <c r="NLY111" s="96"/>
      <c r="NLZ111" s="96"/>
      <c r="NMA111" s="96"/>
      <c r="NMB111" s="96"/>
      <c r="NMC111" s="96"/>
      <c r="NMD111" s="96"/>
      <c r="NME111" s="96"/>
      <c r="NMF111" s="96"/>
      <c r="NMG111" s="96"/>
      <c r="NMH111" s="96"/>
      <c r="NMI111" s="96"/>
      <c r="NMJ111" s="95"/>
      <c r="NMK111" s="96"/>
      <c r="NML111" s="96"/>
      <c r="NMM111" s="96"/>
      <c r="NMN111" s="96"/>
      <c r="NMO111" s="96"/>
      <c r="NMP111" s="96"/>
      <c r="NMQ111" s="96"/>
      <c r="NMR111" s="96"/>
      <c r="NMS111" s="96"/>
      <c r="NMT111" s="96"/>
      <c r="NMU111" s="96"/>
      <c r="NMV111" s="96"/>
      <c r="NMW111" s="96"/>
      <c r="NMX111" s="96"/>
      <c r="NMY111" s="96"/>
      <c r="NMZ111" s="96"/>
      <c r="NNA111" s="96"/>
      <c r="NNB111" s="96"/>
      <c r="NNC111" s="96"/>
      <c r="NND111" s="96"/>
      <c r="NNE111" s="96"/>
      <c r="NNF111" s="95"/>
      <c r="NNG111" s="96"/>
      <c r="NNH111" s="96"/>
      <c r="NNI111" s="96"/>
      <c r="NNJ111" s="96"/>
      <c r="NNK111" s="96"/>
      <c r="NNL111" s="96"/>
      <c r="NNM111" s="96"/>
      <c r="NNN111" s="96"/>
      <c r="NNO111" s="96"/>
      <c r="NNP111" s="96"/>
      <c r="NNQ111" s="96"/>
      <c r="NNR111" s="96"/>
      <c r="NNS111" s="96"/>
      <c r="NNT111" s="96"/>
      <c r="NNU111" s="96"/>
      <c r="NNV111" s="96"/>
      <c r="NNW111" s="96"/>
      <c r="NNX111" s="96"/>
      <c r="NNY111" s="96"/>
      <c r="NNZ111" s="96"/>
      <c r="NOA111" s="96"/>
      <c r="NOB111" s="95"/>
      <c r="NOC111" s="96"/>
      <c r="NOD111" s="96"/>
      <c r="NOE111" s="96"/>
      <c r="NOF111" s="96"/>
      <c r="NOG111" s="96"/>
      <c r="NOH111" s="96"/>
      <c r="NOI111" s="96"/>
      <c r="NOJ111" s="96"/>
      <c r="NOK111" s="96"/>
      <c r="NOL111" s="96"/>
      <c r="NOM111" s="96"/>
      <c r="NON111" s="96"/>
      <c r="NOO111" s="96"/>
      <c r="NOP111" s="96"/>
      <c r="NOQ111" s="96"/>
      <c r="NOR111" s="96"/>
      <c r="NOS111" s="96"/>
      <c r="NOT111" s="96"/>
      <c r="NOU111" s="96"/>
      <c r="NOV111" s="96"/>
      <c r="NOW111" s="96"/>
      <c r="NOX111" s="95"/>
      <c r="NOY111" s="96"/>
      <c r="NOZ111" s="96"/>
      <c r="NPA111" s="96"/>
      <c r="NPB111" s="96"/>
      <c r="NPC111" s="96"/>
      <c r="NPD111" s="96"/>
      <c r="NPE111" s="96"/>
      <c r="NPF111" s="96"/>
      <c r="NPG111" s="96"/>
      <c r="NPH111" s="96"/>
      <c r="NPI111" s="96"/>
      <c r="NPJ111" s="96"/>
      <c r="NPK111" s="96"/>
      <c r="NPL111" s="96"/>
      <c r="NPM111" s="96"/>
      <c r="NPN111" s="96"/>
      <c r="NPO111" s="96"/>
      <c r="NPP111" s="96"/>
      <c r="NPQ111" s="96"/>
      <c r="NPR111" s="96"/>
      <c r="NPS111" s="96"/>
      <c r="NPT111" s="95"/>
      <c r="NPU111" s="96"/>
      <c r="NPV111" s="96"/>
      <c r="NPW111" s="96"/>
      <c r="NPX111" s="96"/>
      <c r="NPY111" s="96"/>
      <c r="NPZ111" s="96"/>
      <c r="NQA111" s="96"/>
      <c r="NQB111" s="96"/>
      <c r="NQC111" s="96"/>
      <c r="NQD111" s="96"/>
      <c r="NQE111" s="96"/>
      <c r="NQF111" s="96"/>
      <c r="NQG111" s="96"/>
      <c r="NQH111" s="96"/>
      <c r="NQI111" s="96"/>
      <c r="NQJ111" s="96"/>
      <c r="NQK111" s="96"/>
      <c r="NQL111" s="96"/>
      <c r="NQM111" s="96"/>
      <c r="NQN111" s="96"/>
      <c r="NQO111" s="96"/>
      <c r="NQP111" s="95"/>
      <c r="NQQ111" s="96"/>
      <c r="NQR111" s="96"/>
      <c r="NQS111" s="96"/>
      <c r="NQT111" s="96"/>
      <c r="NQU111" s="96"/>
      <c r="NQV111" s="96"/>
      <c r="NQW111" s="96"/>
      <c r="NQX111" s="96"/>
      <c r="NQY111" s="96"/>
      <c r="NQZ111" s="96"/>
      <c r="NRA111" s="96"/>
      <c r="NRB111" s="96"/>
      <c r="NRC111" s="96"/>
      <c r="NRD111" s="96"/>
      <c r="NRE111" s="96"/>
      <c r="NRF111" s="96"/>
      <c r="NRG111" s="96"/>
      <c r="NRH111" s="96"/>
      <c r="NRI111" s="96"/>
      <c r="NRJ111" s="96"/>
      <c r="NRK111" s="96"/>
      <c r="NRL111" s="95"/>
      <c r="NRM111" s="96"/>
      <c r="NRN111" s="96"/>
      <c r="NRO111" s="96"/>
      <c r="NRP111" s="96"/>
      <c r="NRQ111" s="96"/>
      <c r="NRR111" s="96"/>
      <c r="NRS111" s="96"/>
      <c r="NRT111" s="96"/>
      <c r="NRU111" s="96"/>
      <c r="NRV111" s="96"/>
      <c r="NRW111" s="96"/>
      <c r="NRX111" s="96"/>
      <c r="NRY111" s="96"/>
      <c r="NRZ111" s="96"/>
      <c r="NSA111" s="96"/>
      <c r="NSB111" s="96"/>
      <c r="NSC111" s="96"/>
      <c r="NSD111" s="96"/>
      <c r="NSE111" s="96"/>
      <c r="NSF111" s="96"/>
      <c r="NSG111" s="96"/>
      <c r="NSH111" s="95"/>
      <c r="NSI111" s="96"/>
      <c r="NSJ111" s="96"/>
      <c r="NSK111" s="96"/>
      <c r="NSL111" s="96"/>
      <c r="NSM111" s="96"/>
      <c r="NSN111" s="96"/>
      <c r="NSO111" s="96"/>
      <c r="NSP111" s="96"/>
      <c r="NSQ111" s="96"/>
      <c r="NSR111" s="96"/>
      <c r="NSS111" s="96"/>
      <c r="NST111" s="96"/>
      <c r="NSU111" s="96"/>
      <c r="NSV111" s="96"/>
      <c r="NSW111" s="96"/>
      <c r="NSX111" s="96"/>
      <c r="NSY111" s="96"/>
      <c r="NSZ111" s="96"/>
      <c r="NTA111" s="96"/>
      <c r="NTB111" s="96"/>
      <c r="NTC111" s="96"/>
      <c r="NTD111" s="95"/>
      <c r="NTE111" s="96"/>
      <c r="NTF111" s="96"/>
      <c r="NTG111" s="96"/>
      <c r="NTH111" s="96"/>
      <c r="NTI111" s="96"/>
      <c r="NTJ111" s="96"/>
      <c r="NTK111" s="96"/>
      <c r="NTL111" s="96"/>
      <c r="NTM111" s="96"/>
      <c r="NTN111" s="96"/>
      <c r="NTO111" s="96"/>
      <c r="NTP111" s="96"/>
      <c r="NTQ111" s="96"/>
      <c r="NTR111" s="96"/>
      <c r="NTS111" s="96"/>
      <c r="NTT111" s="96"/>
      <c r="NTU111" s="96"/>
      <c r="NTV111" s="96"/>
      <c r="NTW111" s="96"/>
      <c r="NTX111" s="96"/>
      <c r="NTY111" s="96"/>
      <c r="NTZ111" s="95"/>
      <c r="NUA111" s="96"/>
      <c r="NUB111" s="96"/>
      <c r="NUC111" s="96"/>
      <c r="NUD111" s="96"/>
      <c r="NUE111" s="96"/>
      <c r="NUF111" s="96"/>
      <c r="NUG111" s="96"/>
      <c r="NUH111" s="96"/>
      <c r="NUI111" s="96"/>
      <c r="NUJ111" s="96"/>
      <c r="NUK111" s="96"/>
      <c r="NUL111" s="96"/>
      <c r="NUM111" s="96"/>
      <c r="NUN111" s="96"/>
      <c r="NUO111" s="96"/>
      <c r="NUP111" s="96"/>
      <c r="NUQ111" s="96"/>
      <c r="NUR111" s="96"/>
      <c r="NUS111" s="96"/>
      <c r="NUT111" s="96"/>
      <c r="NUU111" s="96"/>
      <c r="NUV111" s="95"/>
      <c r="NUW111" s="96"/>
      <c r="NUX111" s="96"/>
      <c r="NUY111" s="96"/>
      <c r="NUZ111" s="96"/>
      <c r="NVA111" s="96"/>
      <c r="NVB111" s="96"/>
      <c r="NVC111" s="96"/>
      <c r="NVD111" s="96"/>
      <c r="NVE111" s="96"/>
      <c r="NVF111" s="96"/>
      <c r="NVG111" s="96"/>
      <c r="NVH111" s="96"/>
      <c r="NVI111" s="96"/>
      <c r="NVJ111" s="96"/>
      <c r="NVK111" s="96"/>
      <c r="NVL111" s="96"/>
      <c r="NVM111" s="96"/>
      <c r="NVN111" s="96"/>
      <c r="NVO111" s="96"/>
      <c r="NVP111" s="96"/>
      <c r="NVQ111" s="96"/>
      <c r="NVR111" s="95"/>
      <c r="NVS111" s="96"/>
      <c r="NVT111" s="96"/>
      <c r="NVU111" s="96"/>
      <c r="NVV111" s="96"/>
      <c r="NVW111" s="96"/>
      <c r="NVX111" s="96"/>
      <c r="NVY111" s="96"/>
      <c r="NVZ111" s="96"/>
      <c r="NWA111" s="96"/>
      <c r="NWB111" s="96"/>
      <c r="NWC111" s="96"/>
      <c r="NWD111" s="96"/>
      <c r="NWE111" s="96"/>
      <c r="NWF111" s="96"/>
      <c r="NWG111" s="96"/>
      <c r="NWH111" s="96"/>
      <c r="NWI111" s="96"/>
      <c r="NWJ111" s="96"/>
      <c r="NWK111" s="96"/>
      <c r="NWL111" s="96"/>
      <c r="NWM111" s="96"/>
      <c r="NWN111" s="95"/>
      <c r="NWO111" s="96"/>
      <c r="NWP111" s="96"/>
      <c r="NWQ111" s="96"/>
      <c r="NWR111" s="96"/>
      <c r="NWS111" s="96"/>
      <c r="NWT111" s="96"/>
      <c r="NWU111" s="96"/>
      <c r="NWV111" s="96"/>
      <c r="NWW111" s="96"/>
      <c r="NWX111" s="96"/>
      <c r="NWY111" s="96"/>
      <c r="NWZ111" s="96"/>
      <c r="NXA111" s="96"/>
      <c r="NXB111" s="96"/>
      <c r="NXC111" s="96"/>
      <c r="NXD111" s="96"/>
      <c r="NXE111" s="96"/>
      <c r="NXF111" s="96"/>
      <c r="NXG111" s="96"/>
      <c r="NXH111" s="96"/>
      <c r="NXI111" s="96"/>
      <c r="NXJ111" s="95"/>
      <c r="NXK111" s="96"/>
      <c r="NXL111" s="96"/>
      <c r="NXM111" s="96"/>
      <c r="NXN111" s="96"/>
      <c r="NXO111" s="96"/>
      <c r="NXP111" s="96"/>
      <c r="NXQ111" s="96"/>
      <c r="NXR111" s="96"/>
      <c r="NXS111" s="96"/>
      <c r="NXT111" s="96"/>
      <c r="NXU111" s="96"/>
      <c r="NXV111" s="96"/>
      <c r="NXW111" s="96"/>
      <c r="NXX111" s="96"/>
      <c r="NXY111" s="96"/>
      <c r="NXZ111" s="96"/>
      <c r="NYA111" s="96"/>
      <c r="NYB111" s="96"/>
      <c r="NYC111" s="96"/>
      <c r="NYD111" s="96"/>
      <c r="NYE111" s="96"/>
      <c r="NYF111" s="95"/>
      <c r="NYG111" s="96"/>
      <c r="NYH111" s="96"/>
      <c r="NYI111" s="96"/>
      <c r="NYJ111" s="96"/>
      <c r="NYK111" s="96"/>
      <c r="NYL111" s="96"/>
      <c r="NYM111" s="96"/>
      <c r="NYN111" s="96"/>
      <c r="NYO111" s="96"/>
      <c r="NYP111" s="96"/>
      <c r="NYQ111" s="96"/>
      <c r="NYR111" s="96"/>
      <c r="NYS111" s="96"/>
      <c r="NYT111" s="96"/>
      <c r="NYU111" s="96"/>
      <c r="NYV111" s="96"/>
      <c r="NYW111" s="96"/>
      <c r="NYX111" s="96"/>
      <c r="NYY111" s="96"/>
      <c r="NYZ111" s="96"/>
      <c r="NZA111" s="96"/>
      <c r="NZB111" s="95"/>
      <c r="NZC111" s="96"/>
      <c r="NZD111" s="96"/>
      <c r="NZE111" s="96"/>
      <c r="NZF111" s="96"/>
      <c r="NZG111" s="96"/>
      <c r="NZH111" s="96"/>
      <c r="NZI111" s="96"/>
      <c r="NZJ111" s="96"/>
      <c r="NZK111" s="96"/>
      <c r="NZL111" s="96"/>
      <c r="NZM111" s="96"/>
      <c r="NZN111" s="96"/>
      <c r="NZO111" s="96"/>
      <c r="NZP111" s="96"/>
      <c r="NZQ111" s="96"/>
      <c r="NZR111" s="96"/>
      <c r="NZS111" s="96"/>
      <c r="NZT111" s="96"/>
      <c r="NZU111" s="96"/>
      <c r="NZV111" s="96"/>
      <c r="NZW111" s="96"/>
      <c r="NZX111" s="95"/>
      <c r="NZY111" s="96"/>
      <c r="NZZ111" s="96"/>
      <c r="OAA111" s="96"/>
      <c r="OAB111" s="96"/>
      <c r="OAC111" s="96"/>
      <c r="OAD111" s="96"/>
      <c r="OAE111" s="96"/>
      <c r="OAF111" s="96"/>
      <c r="OAG111" s="96"/>
      <c r="OAH111" s="96"/>
      <c r="OAI111" s="96"/>
      <c r="OAJ111" s="96"/>
      <c r="OAK111" s="96"/>
      <c r="OAL111" s="96"/>
      <c r="OAM111" s="96"/>
      <c r="OAN111" s="96"/>
      <c r="OAO111" s="96"/>
      <c r="OAP111" s="96"/>
      <c r="OAQ111" s="96"/>
      <c r="OAR111" s="96"/>
      <c r="OAS111" s="96"/>
      <c r="OAT111" s="95"/>
      <c r="OAU111" s="96"/>
      <c r="OAV111" s="96"/>
      <c r="OAW111" s="96"/>
      <c r="OAX111" s="96"/>
      <c r="OAY111" s="96"/>
      <c r="OAZ111" s="96"/>
      <c r="OBA111" s="96"/>
      <c r="OBB111" s="96"/>
      <c r="OBC111" s="96"/>
      <c r="OBD111" s="96"/>
      <c r="OBE111" s="96"/>
      <c r="OBF111" s="96"/>
      <c r="OBG111" s="96"/>
      <c r="OBH111" s="96"/>
      <c r="OBI111" s="96"/>
      <c r="OBJ111" s="96"/>
      <c r="OBK111" s="96"/>
      <c r="OBL111" s="96"/>
      <c r="OBM111" s="96"/>
      <c r="OBN111" s="96"/>
      <c r="OBO111" s="96"/>
      <c r="OBP111" s="95"/>
      <c r="OBQ111" s="96"/>
      <c r="OBR111" s="96"/>
      <c r="OBS111" s="96"/>
      <c r="OBT111" s="96"/>
      <c r="OBU111" s="96"/>
      <c r="OBV111" s="96"/>
      <c r="OBW111" s="96"/>
      <c r="OBX111" s="96"/>
      <c r="OBY111" s="96"/>
      <c r="OBZ111" s="96"/>
      <c r="OCA111" s="96"/>
      <c r="OCB111" s="96"/>
      <c r="OCC111" s="96"/>
      <c r="OCD111" s="96"/>
      <c r="OCE111" s="96"/>
      <c r="OCF111" s="96"/>
      <c r="OCG111" s="96"/>
      <c r="OCH111" s="96"/>
      <c r="OCI111" s="96"/>
      <c r="OCJ111" s="96"/>
      <c r="OCK111" s="96"/>
      <c r="OCL111" s="95"/>
      <c r="OCM111" s="96"/>
      <c r="OCN111" s="96"/>
      <c r="OCO111" s="96"/>
      <c r="OCP111" s="96"/>
      <c r="OCQ111" s="96"/>
      <c r="OCR111" s="96"/>
      <c r="OCS111" s="96"/>
      <c r="OCT111" s="96"/>
      <c r="OCU111" s="96"/>
      <c r="OCV111" s="96"/>
      <c r="OCW111" s="96"/>
      <c r="OCX111" s="96"/>
      <c r="OCY111" s="96"/>
      <c r="OCZ111" s="96"/>
      <c r="ODA111" s="96"/>
      <c r="ODB111" s="96"/>
      <c r="ODC111" s="96"/>
      <c r="ODD111" s="96"/>
      <c r="ODE111" s="96"/>
      <c r="ODF111" s="96"/>
      <c r="ODG111" s="96"/>
      <c r="ODH111" s="95"/>
      <c r="ODI111" s="96"/>
      <c r="ODJ111" s="96"/>
      <c r="ODK111" s="96"/>
      <c r="ODL111" s="96"/>
      <c r="ODM111" s="96"/>
      <c r="ODN111" s="96"/>
      <c r="ODO111" s="96"/>
      <c r="ODP111" s="96"/>
      <c r="ODQ111" s="96"/>
      <c r="ODR111" s="96"/>
      <c r="ODS111" s="96"/>
      <c r="ODT111" s="96"/>
      <c r="ODU111" s="96"/>
      <c r="ODV111" s="96"/>
      <c r="ODW111" s="96"/>
      <c r="ODX111" s="96"/>
      <c r="ODY111" s="96"/>
      <c r="ODZ111" s="96"/>
      <c r="OEA111" s="96"/>
      <c r="OEB111" s="96"/>
      <c r="OEC111" s="96"/>
      <c r="OED111" s="95"/>
      <c r="OEE111" s="96"/>
      <c r="OEF111" s="96"/>
      <c r="OEG111" s="96"/>
      <c r="OEH111" s="96"/>
      <c r="OEI111" s="96"/>
      <c r="OEJ111" s="96"/>
      <c r="OEK111" s="96"/>
      <c r="OEL111" s="96"/>
      <c r="OEM111" s="96"/>
      <c r="OEN111" s="96"/>
      <c r="OEO111" s="96"/>
      <c r="OEP111" s="96"/>
      <c r="OEQ111" s="96"/>
      <c r="OER111" s="96"/>
      <c r="OES111" s="96"/>
      <c r="OET111" s="96"/>
      <c r="OEU111" s="96"/>
      <c r="OEV111" s="96"/>
      <c r="OEW111" s="96"/>
      <c r="OEX111" s="96"/>
      <c r="OEY111" s="96"/>
      <c r="OEZ111" s="95"/>
      <c r="OFA111" s="96"/>
      <c r="OFB111" s="96"/>
      <c r="OFC111" s="96"/>
      <c r="OFD111" s="96"/>
      <c r="OFE111" s="96"/>
      <c r="OFF111" s="96"/>
      <c r="OFG111" s="96"/>
      <c r="OFH111" s="96"/>
      <c r="OFI111" s="96"/>
      <c r="OFJ111" s="96"/>
      <c r="OFK111" s="96"/>
      <c r="OFL111" s="96"/>
      <c r="OFM111" s="96"/>
      <c r="OFN111" s="96"/>
      <c r="OFO111" s="96"/>
      <c r="OFP111" s="96"/>
      <c r="OFQ111" s="96"/>
      <c r="OFR111" s="96"/>
      <c r="OFS111" s="96"/>
      <c r="OFT111" s="96"/>
      <c r="OFU111" s="96"/>
      <c r="OFV111" s="95"/>
      <c r="OFW111" s="96"/>
      <c r="OFX111" s="96"/>
      <c r="OFY111" s="96"/>
      <c r="OFZ111" s="96"/>
      <c r="OGA111" s="96"/>
      <c r="OGB111" s="96"/>
      <c r="OGC111" s="96"/>
      <c r="OGD111" s="96"/>
      <c r="OGE111" s="96"/>
      <c r="OGF111" s="96"/>
      <c r="OGG111" s="96"/>
      <c r="OGH111" s="96"/>
      <c r="OGI111" s="96"/>
      <c r="OGJ111" s="96"/>
      <c r="OGK111" s="96"/>
      <c r="OGL111" s="96"/>
      <c r="OGM111" s="96"/>
      <c r="OGN111" s="96"/>
      <c r="OGO111" s="96"/>
      <c r="OGP111" s="96"/>
      <c r="OGQ111" s="96"/>
      <c r="OGR111" s="95"/>
      <c r="OGS111" s="96"/>
      <c r="OGT111" s="96"/>
      <c r="OGU111" s="96"/>
      <c r="OGV111" s="96"/>
      <c r="OGW111" s="96"/>
      <c r="OGX111" s="96"/>
      <c r="OGY111" s="96"/>
      <c r="OGZ111" s="96"/>
      <c r="OHA111" s="96"/>
      <c r="OHB111" s="96"/>
      <c r="OHC111" s="96"/>
      <c r="OHD111" s="96"/>
      <c r="OHE111" s="96"/>
      <c r="OHF111" s="96"/>
      <c r="OHG111" s="96"/>
      <c r="OHH111" s="96"/>
      <c r="OHI111" s="96"/>
      <c r="OHJ111" s="96"/>
      <c r="OHK111" s="96"/>
      <c r="OHL111" s="96"/>
      <c r="OHM111" s="96"/>
      <c r="OHN111" s="95"/>
      <c r="OHO111" s="96"/>
      <c r="OHP111" s="96"/>
      <c r="OHQ111" s="96"/>
      <c r="OHR111" s="96"/>
      <c r="OHS111" s="96"/>
      <c r="OHT111" s="96"/>
      <c r="OHU111" s="96"/>
      <c r="OHV111" s="96"/>
      <c r="OHW111" s="96"/>
      <c r="OHX111" s="96"/>
      <c r="OHY111" s="96"/>
      <c r="OHZ111" s="96"/>
      <c r="OIA111" s="96"/>
      <c r="OIB111" s="96"/>
      <c r="OIC111" s="96"/>
      <c r="OID111" s="96"/>
      <c r="OIE111" s="96"/>
      <c r="OIF111" s="96"/>
      <c r="OIG111" s="96"/>
      <c r="OIH111" s="96"/>
      <c r="OII111" s="96"/>
      <c r="OIJ111" s="95"/>
      <c r="OIK111" s="96"/>
      <c r="OIL111" s="96"/>
      <c r="OIM111" s="96"/>
      <c r="OIN111" s="96"/>
      <c r="OIO111" s="96"/>
      <c r="OIP111" s="96"/>
      <c r="OIQ111" s="96"/>
      <c r="OIR111" s="96"/>
      <c r="OIS111" s="96"/>
      <c r="OIT111" s="96"/>
      <c r="OIU111" s="96"/>
      <c r="OIV111" s="96"/>
      <c r="OIW111" s="96"/>
      <c r="OIX111" s="96"/>
      <c r="OIY111" s="96"/>
      <c r="OIZ111" s="96"/>
      <c r="OJA111" s="96"/>
      <c r="OJB111" s="96"/>
      <c r="OJC111" s="96"/>
      <c r="OJD111" s="96"/>
      <c r="OJE111" s="96"/>
      <c r="OJF111" s="95"/>
      <c r="OJG111" s="96"/>
      <c r="OJH111" s="96"/>
      <c r="OJI111" s="96"/>
      <c r="OJJ111" s="96"/>
      <c r="OJK111" s="96"/>
      <c r="OJL111" s="96"/>
      <c r="OJM111" s="96"/>
      <c r="OJN111" s="96"/>
      <c r="OJO111" s="96"/>
      <c r="OJP111" s="96"/>
      <c r="OJQ111" s="96"/>
      <c r="OJR111" s="96"/>
      <c r="OJS111" s="96"/>
      <c r="OJT111" s="96"/>
      <c r="OJU111" s="96"/>
      <c r="OJV111" s="96"/>
      <c r="OJW111" s="96"/>
      <c r="OJX111" s="96"/>
      <c r="OJY111" s="96"/>
      <c r="OJZ111" s="96"/>
      <c r="OKA111" s="96"/>
      <c r="OKB111" s="95"/>
      <c r="OKC111" s="96"/>
      <c r="OKD111" s="96"/>
      <c r="OKE111" s="96"/>
      <c r="OKF111" s="96"/>
      <c r="OKG111" s="96"/>
      <c r="OKH111" s="96"/>
      <c r="OKI111" s="96"/>
      <c r="OKJ111" s="96"/>
      <c r="OKK111" s="96"/>
      <c r="OKL111" s="96"/>
      <c r="OKM111" s="96"/>
      <c r="OKN111" s="96"/>
      <c r="OKO111" s="96"/>
      <c r="OKP111" s="96"/>
      <c r="OKQ111" s="96"/>
      <c r="OKR111" s="96"/>
      <c r="OKS111" s="96"/>
      <c r="OKT111" s="96"/>
      <c r="OKU111" s="96"/>
      <c r="OKV111" s="96"/>
      <c r="OKW111" s="96"/>
      <c r="OKX111" s="95"/>
      <c r="OKY111" s="96"/>
      <c r="OKZ111" s="96"/>
      <c r="OLA111" s="96"/>
      <c r="OLB111" s="96"/>
      <c r="OLC111" s="96"/>
      <c r="OLD111" s="96"/>
      <c r="OLE111" s="96"/>
      <c r="OLF111" s="96"/>
      <c r="OLG111" s="96"/>
      <c r="OLH111" s="96"/>
      <c r="OLI111" s="96"/>
      <c r="OLJ111" s="96"/>
      <c r="OLK111" s="96"/>
      <c r="OLL111" s="96"/>
      <c r="OLM111" s="96"/>
      <c r="OLN111" s="96"/>
      <c r="OLO111" s="96"/>
      <c r="OLP111" s="96"/>
      <c r="OLQ111" s="96"/>
      <c r="OLR111" s="96"/>
      <c r="OLS111" s="96"/>
      <c r="OLT111" s="95"/>
      <c r="OLU111" s="96"/>
      <c r="OLV111" s="96"/>
      <c r="OLW111" s="96"/>
      <c r="OLX111" s="96"/>
      <c r="OLY111" s="96"/>
      <c r="OLZ111" s="96"/>
      <c r="OMA111" s="96"/>
      <c r="OMB111" s="96"/>
      <c r="OMC111" s="96"/>
      <c r="OMD111" s="96"/>
      <c r="OME111" s="96"/>
      <c r="OMF111" s="96"/>
      <c r="OMG111" s="96"/>
      <c r="OMH111" s="96"/>
      <c r="OMI111" s="96"/>
      <c r="OMJ111" s="96"/>
      <c r="OMK111" s="96"/>
      <c r="OML111" s="96"/>
      <c r="OMM111" s="96"/>
      <c r="OMN111" s="96"/>
      <c r="OMO111" s="96"/>
      <c r="OMP111" s="95"/>
      <c r="OMQ111" s="96"/>
      <c r="OMR111" s="96"/>
      <c r="OMS111" s="96"/>
      <c r="OMT111" s="96"/>
      <c r="OMU111" s="96"/>
      <c r="OMV111" s="96"/>
      <c r="OMW111" s="96"/>
      <c r="OMX111" s="96"/>
      <c r="OMY111" s="96"/>
      <c r="OMZ111" s="96"/>
      <c r="ONA111" s="96"/>
      <c r="ONB111" s="96"/>
      <c r="ONC111" s="96"/>
      <c r="OND111" s="96"/>
      <c r="ONE111" s="96"/>
      <c r="ONF111" s="96"/>
      <c r="ONG111" s="96"/>
      <c r="ONH111" s="96"/>
      <c r="ONI111" s="96"/>
      <c r="ONJ111" s="96"/>
      <c r="ONK111" s="96"/>
      <c r="ONL111" s="95"/>
      <c r="ONM111" s="96"/>
      <c r="ONN111" s="96"/>
      <c r="ONO111" s="96"/>
      <c r="ONP111" s="96"/>
      <c r="ONQ111" s="96"/>
      <c r="ONR111" s="96"/>
      <c r="ONS111" s="96"/>
      <c r="ONT111" s="96"/>
      <c r="ONU111" s="96"/>
      <c r="ONV111" s="96"/>
      <c r="ONW111" s="96"/>
      <c r="ONX111" s="96"/>
      <c r="ONY111" s="96"/>
      <c r="ONZ111" s="96"/>
      <c r="OOA111" s="96"/>
      <c r="OOB111" s="96"/>
      <c r="OOC111" s="96"/>
      <c r="OOD111" s="96"/>
      <c r="OOE111" s="96"/>
      <c r="OOF111" s="96"/>
      <c r="OOG111" s="96"/>
      <c r="OOH111" s="95"/>
      <c r="OOI111" s="96"/>
      <c r="OOJ111" s="96"/>
      <c r="OOK111" s="96"/>
      <c r="OOL111" s="96"/>
      <c r="OOM111" s="96"/>
      <c r="OON111" s="96"/>
      <c r="OOO111" s="96"/>
      <c r="OOP111" s="96"/>
      <c r="OOQ111" s="96"/>
      <c r="OOR111" s="96"/>
      <c r="OOS111" s="96"/>
      <c r="OOT111" s="96"/>
      <c r="OOU111" s="96"/>
      <c r="OOV111" s="96"/>
      <c r="OOW111" s="96"/>
      <c r="OOX111" s="96"/>
      <c r="OOY111" s="96"/>
      <c r="OOZ111" s="96"/>
      <c r="OPA111" s="96"/>
      <c r="OPB111" s="96"/>
      <c r="OPC111" s="96"/>
      <c r="OPD111" s="95"/>
      <c r="OPE111" s="96"/>
      <c r="OPF111" s="96"/>
      <c r="OPG111" s="96"/>
      <c r="OPH111" s="96"/>
      <c r="OPI111" s="96"/>
      <c r="OPJ111" s="96"/>
      <c r="OPK111" s="96"/>
      <c r="OPL111" s="96"/>
      <c r="OPM111" s="96"/>
      <c r="OPN111" s="96"/>
      <c r="OPO111" s="96"/>
      <c r="OPP111" s="96"/>
      <c r="OPQ111" s="96"/>
      <c r="OPR111" s="96"/>
      <c r="OPS111" s="96"/>
      <c r="OPT111" s="96"/>
      <c r="OPU111" s="96"/>
      <c r="OPV111" s="96"/>
      <c r="OPW111" s="96"/>
      <c r="OPX111" s="96"/>
      <c r="OPY111" s="96"/>
      <c r="OPZ111" s="95"/>
      <c r="OQA111" s="96"/>
      <c r="OQB111" s="96"/>
      <c r="OQC111" s="96"/>
      <c r="OQD111" s="96"/>
      <c r="OQE111" s="96"/>
      <c r="OQF111" s="96"/>
      <c r="OQG111" s="96"/>
      <c r="OQH111" s="96"/>
      <c r="OQI111" s="96"/>
      <c r="OQJ111" s="96"/>
      <c r="OQK111" s="96"/>
      <c r="OQL111" s="96"/>
      <c r="OQM111" s="96"/>
      <c r="OQN111" s="96"/>
      <c r="OQO111" s="96"/>
      <c r="OQP111" s="96"/>
      <c r="OQQ111" s="96"/>
      <c r="OQR111" s="96"/>
      <c r="OQS111" s="96"/>
      <c r="OQT111" s="96"/>
      <c r="OQU111" s="96"/>
      <c r="OQV111" s="95"/>
      <c r="OQW111" s="96"/>
      <c r="OQX111" s="96"/>
      <c r="OQY111" s="96"/>
      <c r="OQZ111" s="96"/>
      <c r="ORA111" s="96"/>
      <c r="ORB111" s="96"/>
      <c r="ORC111" s="96"/>
      <c r="ORD111" s="96"/>
      <c r="ORE111" s="96"/>
      <c r="ORF111" s="96"/>
      <c r="ORG111" s="96"/>
      <c r="ORH111" s="96"/>
      <c r="ORI111" s="96"/>
      <c r="ORJ111" s="96"/>
      <c r="ORK111" s="96"/>
      <c r="ORL111" s="96"/>
      <c r="ORM111" s="96"/>
      <c r="ORN111" s="96"/>
      <c r="ORO111" s="96"/>
      <c r="ORP111" s="96"/>
      <c r="ORQ111" s="96"/>
      <c r="ORR111" s="95"/>
      <c r="ORS111" s="96"/>
      <c r="ORT111" s="96"/>
      <c r="ORU111" s="96"/>
      <c r="ORV111" s="96"/>
      <c r="ORW111" s="96"/>
      <c r="ORX111" s="96"/>
      <c r="ORY111" s="96"/>
      <c r="ORZ111" s="96"/>
      <c r="OSA111" s="96"/>
      <c r="OSB111" s="96"/>
      <c r="OSC111" s="96"/>
      <c r="OSD111" s="96"/>
      <c r="OSE111" s="96"/>
      <c r="OSF111" s="96"/>
      <c r="OSG111" s="96"/>
      <c r="OSH111" s="96"/>
      <c r="OSI111" s="96"/>
      <c r="OSJ111" s="96"/>
      <c r="OSK111" s="96"/>
      <c r="OSL111" s="96"/>
      <c r="OSM111" s="96"/>
      <c r="OSN111" s="95"/>
      <c r="OSO111" s="96"/>
      <c r="OSP111" s="96"/>
      <c r="OSQ111" s="96"/>
      <c r="OSR111" s="96"/>
      <c r="OSS111" s="96"/>
      <c r="OST111" s="96"/>
      <c r="OSU111" s="96"/>
      <c r="OSV111" s="96"/>
      <c r="OSW111" s="96"/>
      <c r="OSX111" s="96"/>
      <c r="OSY111" s="96"/>
      <c r="OSZ111" s="96"/>
      <c r="OTA111" s="96"/>
      <c r="OTB111" s="96"/>
      <c r="OTC111" s="96"/>
      <c r="OTD111" s="96"/>
      <c r="OTE111" s="96"/>
      <c r="OTF111" s="96"/>
      <c r="OTG111" s="96"/>
      <c r="OTH111" s="96"/>
      <c r="OTI111" s="96"/>
      <c r="OTJ111" s="95"/>
      <c r="OTK111" s="96"/>
      <c r="OTL111" s="96"/>
      <c r="OTM111" s="96"/>
      <c r="OTN111" s="96"/>
      <c r="OTO111" s="96"/>
      <c r="OTP111" s="96"/>
      <c r="OTQ111" s="96"/>
      <c r="OTR111" s="96"/>
      <c r="OTS111" s="96"/>
      <c r="OTT111" s="96"/>
      <c r="OTU111" s="96"/>
      <c r="OTV111" s="96"/>
      <c r="OTW111" s="96"/>
      <c r="OTX111" s="96"/>
      <c r="OTY111" s="96"/>
      <c r="OTZ111" s="96"/>
      <c r="OUA111" s="96"/>
      <c r="OUB111" s="96"/>
      <c r="OUC111" s="96"/>
      <c r="OUD111" s="96"/>
      <c r="OUE111" s="96"/>
      <c r="OUF111" s="95"/>
      <c r="OUG111" s="96"/>
      <c r="OUH111" s="96"/>
      <c r="OUI111" s="96"/>
      <c r="OUJ111" s="96"/>
      <c r="OUK111" s="96"/>
      <c r="OUL111" s="96"/>
      <c r="OUM111" s="96"/>
      <c r="OUN111" s="96"/>
      <c r="OUO111" s="96"/>
      <c r="OUP111" s="96"/>
      <c r="OUQ111" s="96"/>
      <c r="OUR111" s="96"/>
      <c r="OUS111" s="96"/>
      <c r="OUT111" s="96"/>
      <c r="OUU111" s="96"/>
      <c r="OUV111" s="96"/>
      <c r="OUW111" s="96"/>
      <c r="OUX111" s="96"/>
      <c r="OUY111" s="96"/>
      <c r="OUZ111" s="96"/>
      <c r="OVA111" s="96"/>
      <c r="OVB111" s="95"/>
      <c r="OVC111" s="96"/>
      <c r="OVD111" s="96"/>
      <c r="OVE111" s="96"/>
      <c r="OVF111" s="96"/>
      <c r="OVG111" s="96"/>
      <c r="OVH111" s="96"/>
      <c r="OVI111" s="96"/>
      <c r="OVJ111" s="96"/>
      <c r="OVK111" s="96"/>
      <c r="OVL111" s="96"/>
      <c r="OVM111" s="96"/>
      <c r="OVN111" s="96"/>
      <c r="OVO111" s="96"/>
      <c r="OVP111" s="96"/>
      <c r="OVQ111" s="96"/>
      <c r="OVR111" s="96"/>
      <c r="OVS111" s="96"/>
      <c r="OVT111" s="96"/>
      <c r="OVU111" s="96"/>
      <c r="OVV111" s="96"/>
      <c r="OVW111" s="96"/>
      <c r="OVX111" s="95"/>
      <c r="OVY111" s="96"/>
      <c r="OVZ111" s="96"/>
      <c r="OWA111" s="96"/>
      <c r="OWB111" s="96"/>
      <c r="OWC111" s="96"/>
      <c r="OWD111" s="96"/>
      <c r="OWE111" s="96"/>
      <c r="OWF111" s="96"/>
      <c r="OWG111" s="96"/>
      <c r="OWH111" s="96"/>
      <c r="OWI111" s="96"/>
      <c r="OWJ111" s="96"/>
      <c r="OWK111" s="96"/>
      <c r="OWL111" s="96"/>
      <c r="OWM111" s="96"/>
      <c r="OWN111" s="96"/>
      <c r="OWO111" s="96"/>
      <c r="OWP111" s="96"/>
      <c r="OWQ111" s="96"/>
      <c r="OWR111" s="96"/>
      <c r="OWS111" s="96"/>
      <c r="OWT111" s="95"/>
      <c r="OWU111" s="96"/>
      <c r="OWV111" s="96"/>
      <c r="OWW111" s="96"/>
      <c r="OWX111" s="96"/>
      <c r="OWY111" s="96"/>
      <c r="OWZ111" s="96"/>
      <c r="OXA111" s="96"/>
      <c r="OXB111" s="96"/>
      <c r="OXC111" s="96"/>
      <c r="OXD111" s="96"/>
      <c r="OXE111" s="96"/>
      <c r="OXF111" s="96"/>
      <c r="OXG111" s="96"/>
      <c r="OXH111" s="96"/>
      <c r="OXI111" s="96"/>
      <c r="OXJ111" s="96"/>
      <c r="OXK111" s="96"/>
      <c r="OXL111" s="96"/>
      <c r="OXM111" s="96"/>
      <c r="OXN111" s="96"/>
      <c r="OXO111" s="96"/>
      <c r="OXP111" s="95"/>
      <c r="OXQ111" s="96"/>
      <c r="OXR111" s="96"/>
      <c r="OXS111" s="96"/>
      <c r="OXT111" s="96"/>
      <c r="OXU111" s="96"/>
      <c r="OXV111" s="96"/>
      <c r="OXW111" s="96"/>
      <c r="OXX111" s="96"/>
      <c r="OXY111" s="96"/>
      <c r="OXZ111" s="96"/>
      <c r="OYA111" s="96"/>
      <c r="OYB111" s="96"/>
      <c r="OYC111" s="96"/>
      <c r="OYD111" s="96"/>
      <c r="OYE111" s="96"/>
      <c r="OYF111" s="96"/>
      <c r="OYG111" s="96"/>
      <c r="OYH111" s="96"/>
      <c r="OYI111" s="96"/>
      <c r="OYJ111" s="96"/>
      <c r="OYK111" s="96"/>
      <c r="OYL111" s="95"/>
      <c r="OYM111" s="96"/>
      <c r="OYN111" s="96"/>
      <c r="OYO111" s="96"/>
      <c r="OYP111" s="96"/>
      <c r="OYQ111" s="96"/>
      <c r="OYR111" s="96"/>
      <c r="OYS111" s="96"/>
      <c r="OYT111" s="96"/>
      <c r="OYU111" s="96"/>
      <c r="OYV111" s="96"/>
      <c r="OYW111" s="96"/>
      <c r="OYX111" s="96"/>
      <c r="OYY111" s="96"/>
      <c r="OYZ111" s="96"/>
      <c r="OZA111" s="96"/>
      <c r="OZB111" s="96"/>
      <c r="OZC111" s="96"/>
      <c r="OZD111" s="96"/>
      <c r="OZE111" s="96"/>
      <c r="OZF111" s="96"/>
      <c r="OZG111" s="96"/>
      <c r="OZH111" s="95"/>
      <c r="OZI111" s="96"/>
      <c r="OZJ111" s="96"/>
      <c r="OZK111" s="96"/>
      <c r="OZL111" s="96"/>
      <c r="OZM111" s="96"/>
      <c r="OZN111" s="96"/>
      <c r="OZO111" s="96"/>
      <c r="OZP111" s="96"/>
      <c r="OZQ111" s="96"/>
      <c r="OZR111" s="96"/>
      <c r="OZS111" s="96"/>
      <c r="OZT111" s="96"/>
      <c r="OZU111" s="96"/>
      <c r="OZV111" s="96"/>
      <c r="OZW111" s="96"/>
      <c r="OZX111" s="96"/>
      <c r="OZY111" s="96"/>
      <c r="OZZ111" s="96"/>
      <c r="PAA111" s="96"/>
      <c r="PAB111" s="96"/>
      <c r="PAC111" s="96"/>
      <c r="PAD111" s="95"/>
      <c r="PAE111" s="96"/>
      <c r="PAF111" s="96"/>
      <c r="PAG111" s="96"/>
      <c r="PAH111" s="96"/>
      <c r="PAI111" s="96"/>
      <c r="PAJ111" s="96"/>
      <c r="PAK111" s="96"/>
      <c r="PAL111" s="96"/>
      <c r="PAM111" s="96"/>
      <c r="PAN111" s="96"/>
      <c r="PAO111" s="96"/>
      <c r="PAP111" s="96"/>
      <c r="PAQ111" s="96"/>
      <c r="PAR111" s="96"/>
      <c r="PAS111" s="96"/>
      <c r="PAT111" s="96"/>
      <c r="PAU111" s="96"/>
      <c r="PAV111" s="96"/>
      <c r="PAW111" s="96"/>
      <c r="PAX111" s="96"/>
      <c r="PAY111" s="96"/>
      <c r="PAZ111" s="95"/>
      <c r="PBA111" s="96"/>
      <c r="PBB111" s="96"/>
      <c r="PBC111" s="96"/>
      <c r="PBD111" s="96"/>
      <c r="PBE111" s="96"/>
      <c r="PBF111" s="96"/>
      <c r="PBG111" s="96"/>
      <c r="PBH111" s="96"/>
      <c r="PBI111" s="96"/>
      <c r="PBJ111" s="96"/>
      <c r="PBK111" s="96"/>
      <c r="PBL111" s="96"/>
      <c r="PBM111" s="96"/>
      <c r="PBN111" s="96"/>
      <c r="PBO111" s="96"/>
      <c r="PBP111" s="96"/>
      <c r="PBQ111" s="96"/>
      <c r="PBR111" s="96"/>
      <c r="PBS111" s="96"/>
      <c r="PBT111" s="96"/>
      <c r="PBU111" s="96"/>
      <c r="PBV111" s="95"/>
      <c r="PBW111" s="96"/>
      <c r="PBX111" s="96"/>
      <c r="PBY111" s="96"/>
      <c r="PBZ111" s="96"/>
      <c r="PCA111" s="96"/>
      <c r="PCB111" s="96"/>
      <c r="PCC111" s="96"/>
      <c r="PCD111" s="96"/>
      <c r="PCE111" s="96"/>
      <c r="PCF111" s="96"/>
      <c r="PCG111" s="96"/>
      <c r="PCH111" s="96"/>
      <c r="PCI111" s="96"/>
      <c r="PCJ111" s="96"/>
      <c r="PCK111" s="96"/>
      <c r="PCL111" s="96"/>
      <c r="PCM111" s="96"/>
      <c r="PCN111" s="96"/>
      <c r="PCO111" s="96"/>
      <c r="PCP111" s="96"/>
      <c r="PCQ111" s="96"/>
      <c r="PCR111" s="95"/>
      <c r="PCS111" s="96"/>
      <c r="PCT111" s="96"/>
      <c r="PCU111" s="96"/>
      <c r="PCV111" s="96"/>
      <c r="PCW111" s="96"/>
      <c r="PCX111" s="96"/>
      <c r="PCY111" s="96"/>
      <c r="PCZ111" s="96"/>
      <c r="PDA111" s="96"/>
      <c r="PDB111" s="96"/>
      <c r="PDC111" s="96"/>
      <c r="PDD111" s="96"/>
      <c r="PDE111" s="96"/>
      <c r="PDF111" s="96"/>
      <c r="PDG111" s="96"/>
      <c r="PDH111" s="96"/>
      <c r="PDI111" s="96"/>
      <c r="PDJ111" s="96"/>
      <c r="PDK111" s="96"/>
      <c r="PDL111" s="96"/>
      <c r="PDM111" s="96"/>
      <c r="PDN111" s="95"/>
      <c r="PDO111" s="96"/>
      <c r="PDP111" s="96"/>
      <c r="PDQ111" s="96"/>
      <c r="PDR111" s="96"/>
      <c r="PDS111" s="96"/>
      <c r="PDT111" s="96"/>
      <c r="PDU111" s="96"/>
      <c r="PDV111" s="96"/>
      <c r="PDW111" s="96"/>
      <c r="PDX111" s="96"/>
      <c r="PDY111" s="96"/>
      <c r="PDZ111" s="96"/>
      <c r="PEA111" s="96"/>
      <c r="PEB111" s="96"/>
      <c r="PEC111" s="96"/>
      <c r="PED111" s="96"/>
      <c r="PEE111" s="96"/>
      <c r="PEF111" s="96"/>
      <c r="PEG111" s="96"/>
      <c r="PEH111" s="96"/>
      <c r="PEI111" s="96"/>
      <c r="PEJ111" s="95"/>
      <c r="PEK111" s="96"/>
      <c r="PEL111" s="96"/>
      <c r="PEM111" s="96"/>
      <c r="PEN111" s="96"/>
      <c r="PEO111" s="96"/>
      <c r="PEP111" s="96"/>
      <c r="PEQ111" s="96"/>
      <c r="PER111" s="96"/>
      <c r="PES111" s="96"/>
      <c r="PET111" s="96"/>
      <c r="PEU111" s="96"/>
      <c r="PEV111" s="96"/>
      <c r="PEW111" s="96"/>
      <c r="PEX111" s="96"/>
      <c r="PEY111" s="96"/>
      <c r="PEZ111" s="96"/>
      <c r="PFA111" s="96"/>
      <c r="PFB111" s="96"/>
      <c r="PFC111" s="96"/>
      <c r="PFD111" s="96"/>
      <c r="PFE111" s="96"/>
      <c r="PFF111" s="95"/>
      <c r="PFG111" s="96"/>
      <c r="PFH111" s="96"/>
      <c r="PFI111" s="96"/>
      <c r="PFJ111" s="96"/>
      <c r="PFK111" s="96"/>
      <c r="PFL111" s="96"/>
      <c r="PFM111" s="96"/>
      <c r="PFN111" s="96"/>
      <c r="PFO111" s="96"/>
      <c r="PFP111" s="96"/>
      <c r="PFQ111" s="96"/>
      <c r="PFR111" s="96"/>
      <c r="PFS111" s="96"/>
      <c r="PFT111" s="96"/>
      <c r="PFU111" s="96"/>
      <c r="PFV111" s="96"/>
      <c r="PFW111" s="96"/>
      <c r="PFX111" s="96"/>
      <c r="PFY111" s="96"/>
      <c r="PFZ111" s="96"/>
      <c r="PGA111" s="96"/>
      <c r="PGB111" s="95"/>
      <c r="PGC111" s="96"/>
      <c r="PGD111" s="96"/>
      <c r="PGE111" s="96"/>
      <c r="PGF111" s="96"/>
      <c r="PGG111" s="96"/>
      <c r="PGH111" s="96"/>
      <c r="PGI111" s="96"/>
      <c r="PGJ111" s="96"/>
      <c r="PGK111" s="96"/>
      <c r="PGL111" s="96"/>
      <c r="PGM111" s="96"/>
      <c r="PGN111" s="96"/>
      <c r="PGO111" s="96"/>
      <c r="PGP111" s="96"/>
      <c r="PGQ111" s="96"/>
      <c r="PGR111" s="96"/>
      <c r="PGS111" s="96"/>
      <c r="PGT111" s="96"/>
      <c r="PGU111" s="96"/>
      <c r="PGV111" s="96"/>
      <c r="PGW111" s="96"/>
      <c r="PGX111" s="95"/>
      <c r="PGY111" s="96"/>
      <c r="PGZ111" s="96"/>
      <c r="PHA111" s="96"/>
      <c r="PHB111" s="96"/>
      <c r="PHC111" s="96"/>
      <c r="PHD111" s="96"/>
      <c r="PHE111" s="96"/>
      <c r="PHF111" s="96"/>
      <c r="PHG111" s="96"/>
      <c r="PHH111" s="96"/>
      <c r="PHI111" s="96"/>
      <c r="PHJ111" s="96"/>
      <c r="PHK111" s="96"/>
      <c r="PHL111" s="96"/>
      <c r="PHM111" s="96"/>
      <c r="PHN111" s="96"/>
      <c r="PHO111" s="96"/>
      <c r="PHP111" s="96"/>
      <c r="PHQ111" s="96"/>
      <c r="PHR111" s="96"/>
      <c r="PHS111" s="96"/>
      <c r="PHT111" s="95"/>
      <c r="PHU111" s="96"/>
      <c r="PHV111" s="96"/>
      <c r="PHW111" s="96"/>
      <c r="PHX111" s="96"/>
      <c r="PHY111" s="96"/>
      <c r="PHZ111" s="96"/>
      <c r="PIA111" s="96"/>
      <c r="PIB111" s="96"/>
      <c r="PIC111" s="96"/>
      <c r="PID111" s="96"/>
      <c r="PIE111" s="96"/>
      <c r="PIF111" s="96"/>
      <c r="PIG111" s="96"/>
      <c r="PIH111" s="96"/>
      <c r="PII111" s="96"/>
      <c r="PIJ111" s="96"/>
      <c r="PIK111" s="96"/>
      <c r="PIL111" s="96"/>
      <c r="PIM111" s="96"/>
      <c r="PIN111" s="96"/>
      <c r="PIO111" s="96"/>
      <c r="PIP111" s="95"/>
      <c r="PIQ111" s="96"/>
      <c r="PIR111" s="96"/>
      <c r="PIS111" s="96"/>
      <c r="PIT111" s="96"/>
      <c r="PIU111" s="96"/>
      <c r="PIV111" s="96"/>
      <c r="PIW111" s="96"/>
      <c r="PIX111" s="96"/>
      <c r="PIY111" s="96"/>
      <c r="PIZ111" s="96"/>
      <c r="PJA111" s="96"/>
      <c r="PJB111" s="96"/>
      <c r="PJC111" s="96"/>
      <c r="PJD111" s="96"/>
      <c r="PJE111" s="96"/>
      <c r="PJF111" s="96"/>
      <c r="PJG111" s="96"/>
      <c r="PJH111" s="96"/>
      <c r="PJI111" s="96"/>
      <c r="PJJ111" s="96"/>
      <c r="PJK111" s="96"/>
      <c r="PJL111" s="95"/>
      <c r="PJM111" s="96"/>
      <c r="PJN111" s="96"/>
      <c r="PJO111" s="96"/>
      <c r="PJP111" s="96"/>
      <c r="PJQ111" s="96"/>
      <c r="PJR111" s="96"/>
      <c r="PJS111" s="96"/>
      <c r="PJT111" s="96"/>
      <c r="PJU111" s="96"/>
      <c r="PJV111" s="96"/>
      <c r="PJW111" s="96"/>
      <c r="PJX111" s="96"/>
      <c r="PJY111" s="96"/>
      <c r="PJZ111" s="96"/>
      <c r="PKA111" s="96"/>
      <c r="PKB111" s="96"/>
      <c r="PKC111" s="96"/>
      <c r="PKD111" s="96"/>
      <c r="PKE111" s="96"/>
      <c r="PKF111" s="96"/>
      <c r="PKG111" s="96"/>
      <c r="PKH111" s="95"/>
      <c r="PKI111" s="96"/>
      <c r="PKJ111" s="96"/>
      <c r="PKK111" s="96"/>
      <c r="PKL111" s="96"/>
      <c r="PKM111" s="96"/>
      <c r="PKN111" s="96"/>
      <c r="PKO111" s="96"/>
      <c r="PKP111" s="96"/>
      <c r="PKQ111" s="96"/>
      <c r="PKR111" s="96"/>
      <c r="PKS111" s="96"/>
      <c r="PKT111" s="96"/>
      <c r="PKU111" s="96"/>
      <c r="PKV111" s="96"/>
      <c r="PKW111" s="96"/>
      <c r="PKX111" s="96"/>
      <c r="PKY111" s="96"/>
      <c r="PKZ111" s="96"/>
      <c r="PLA111" s="96"/>
      <c r="PLB111" s="96"/>
      <c r="PLC111" s="96"/>
      <c r="PLD111" s="95"/>
      <c r="PLE111" s="96"/>
      <c r="PLF111" s="96"/>
      <c r="PLG111" s="96"/>
      <c r="PLH111" s="96"/>
      <c r="PLI111" s="96"/>
      <c r="PLJ111" s="96"/>
      <c r="PLK111" s="96"/>
      <c r="PLL111" s="96"/>
      <c r="PLM111" s="96"/>
      <c r="PLN111" s="96"/>
      <c r="PLO111" s="96"/>
      <c r="PLP111" s="96"/>
      <c r="PLQ111" s="96"/>
      <c r="PLR111" s="96"/>
      <c r="PLS111" s="96"/>
      <c r="PLT111" s="96"/>
      <c r="PLU111" s="96"/>
      <c r="PLV111" s="96"/>
      <c r="PLW111" s="96"/>
      <c r="PLX111" s="96"/>
      <c r="PLY111" s="96"/>
      <c r="PLZ111" s="95"/>
      <c r="PMA111" s="96"/>
      <c r="PMB111" s="96"/>
      <c r="PMC111" s="96"/>
      <c r="PMD111" s="96"/>
      <c r="PME111" s="96"/>
      <c r="PMF111" s="96"/>
      <c r="PMG111" s="96"/>
      <c r="PMH111" s="96"/>
      <c r="PMI111" s="96"/>
      <c r="PMJ111" s="96"/>
      <c r="PMK111" s="96"/>
      <c r="PML111" s="96"/>
      <c r="PMM111" s="96"/>
      <c r="PMN111" s="96"/>
      <c r="PMO111" s="96"/>
      <c r="PMP111" s="96"/>
      <c r="PMQ111" s="96"/>
      <c r="PMR111" s="96"/>
      <c r="PMS111" s="96"/>
      <c r="PMT111" s="96"/>
      <c r="PMU111" s="96"/>
      <c r="PMV111" s="95"/>
      <c r="PMW111" s="96"/>
      <c r="PMX111" s="96"/>
      <c r="PMY111" s="96"/>
      <c r="PMZ111" s="96"/>
      <c r="PNA111" s="96"/>
      <c r="PNB111" s="96"/>
      <c r="PNC111" s="96"/>
      <c r="PND111" s="96"/>
      <c r="PNE111" s="96"/>
      <c r="PNF111" s="96"/>
      <c r="PNG111" s="96"/>
      <c r="PNH111" s="96"/>
      <c r="PNI111" s="96"/>
      <c r="PNJ111" s="96"/>
      <c r="PNK111" s="96"/>
      <c r="PNL111" s="96"/>
      <c r="PNM111" s="96"/>
      <c r="PNN111" s="96"/>
      <c r="PNO111" s="96"/>
      <c r="PNP111" s="96"/>
      <c r="PNQ111" s="96"/>
      <c r="PNR111" s="95"/>
      <c r="PNS111" s="96"/>
      <c r="PNT111" s="96"/>
      <c r="PNU111" s="96"/>
      <c r="PNV111" s="96"/>
      <c r="PNW111" s="96"/>
      <c r="PNX111" s="96"/>
      <c r="PNY111" s="96"/>
      <c r="PNZ111" s="96"/>
      <c r="POA111" s="96"/>
      <c r="POB111" s="96"/>
      <c r="POC111" s="96"/>
      <c r="POD111" s="96"/>
      <c r="POE111" s="96"/>
      <c r="POF111" s="96"/>
      <c r="POG111" s="96"/>
      <c r="POH111" s="96"/>
      <c r="POI111" s="96"/>
      <c r="POJ111" s="96"/>
      <c r="POK111" s="96"/>
      <c r="POL111" s="96"/>
      <c r="POM111" s="96"/>
      <c r="PON111" s="95"/>
      <c r="POO111" s="96"/>
      <c r="POP111" s="96"/>
      <c r="POQ111" s="96"/>
      <c r="POR111" s="96"/>
      <c r="POS111" s="96"/>
      <c r="POT111" s="96"/>
      <c r="POU111" s="96"/>
      <c r="POV111" s="96"/>
      <c r="POW111" s="96"/>
      <c r="POX111" s="96"/>
      <c r="POY111" s="96"/>
      <c r="POZ111" s="96"/>
      <c r="PPA111" s="96"/>
      <c r="PPB111" s="96"/>
      <c r="PPC111" s="96"/>
      <c r="PPD111" s="96"/>
      <c r="PPE111" s="96"/>
      <c r="PPF111" s="96"/>
      <c r="PPG111" s="96"/>
      <c r="PPH111" s="96"/>
      <c r="PPI111" s="96"/>
      <c r="PPJ111" s="95"/>
      <c r="PPK111" s="96"/>
      <c r="PPL111" s="96"/>
      <c r="PPM111" s="96"/>
      <c r="PPN111" s="96"/>
      <c r="PPO111" s="96"/>
      <c r="PPP111" s="96"/>
      <c r="PPQ111" s="96"/>
      <c r="PPR111" s="96"/>
      <c r="PPS111" s="96"/>
      <c r="PPT111" s="96"/>
      <c r="PPU111" s="96"/>
      <c r="PPV111" s="96"/>
      <c r="PPW111" s="96"/>
      <c r="PPX111" s="96"/>
      <c r="PPY111" s="96"/>
      <c r="PPZ111" s="96"/>
      <c r="PQA111" s="96"/>
      <c r="PQB111" s="96"/>
      <c r="PQC111" s="96"/>
      <c r="PQD111" s="96"/>
      <c r="PQE111" s="96"/>
      <c r="PQF111" s="95"/>
      <c r="PQG111" s="96"/>
      <c r="PQH111" s="96"/>
      <c r="PQI111" s="96"/>
      <c r="PQJ111" s="96"/>
      <c r="PQK111" s="96"/>
      <c r="PQL111" s="96"/>
      <c r="PQM111" s="96"/>
      <c r="PQN111" s="96"/>
      <c r="PQO111" s="96"/>
      <c r="PQP111" s="96"/>
      <c r="PQQ111" s="96"/>
      <c r="PQR111" s="96"/>
      <c r="PQS111" s="96"/>
      <c r="PQT111" s="96"/>
      <c r="PQU111" s="96"/>
      <c r="PQV111" s="96"/>
      <c r="PQW111" s="96"/>
      <c r="PQX111" s="96"/>
      <c r="PQY111" s="96"/>
      <c r="PQZ111" s="96"/>
      <c r="PRA111" s="96"/>
      <c r="PRB111" s="95"/>
      <c r="PRC111" s="96"/>
      <c r="PRD111" s="96"/>
      <c r="PRE111" s="96"/>
      <c r="PRF111" s="96"/>
      <c r="PRG111" s="96"/>
      <c r="PRH111" s="96"/>
      <c r="PRI111" s="96"/>
      <c r="PRJ111" s="96"/>
      <c r="PRK111" s="96"/>
      <c r="PRL111" s="96"/>
      <c r="PRM111" s="96"/>
      <c r="PRN111" s="96"/>
      <c r="PRO111" s="96"/>
      <c r="PRP111" s="96"/>
      <c r="PRQ111" s="96"/>
      <c r="PRR111" s="96"/>
      <c r="PRS111" s="96"/>
      <c r="PRT111" s="96"/>
      <c r="PRU111" s="96"/>
      <c r="PRV111" s="96"/>
      <c r="PRW111" s="96"/>
      <c r="PRX111" s="95"/>
      <c r="PRY111" s="96"/>
      <c r="PRZ111" s="96"/>
      <c r="PSA111" s="96"/>
      <c r="PSB111" s="96"/>
      <c r="PSC111" s="96"/>
      <c r="PSD111" s="96"/>
      <c r="PSE111" s="96"/>
      <c r="PSF111" s="96"/>
      <c r="PSG111" s="96"/>
      <c r="PSH111" s="96"/>
      <c r="PSI111" s="96"/>
      <c r="PSJ111" s="96"/>
      <c r="PSK111" s="96"/>
      <c r="PSL111" s="96"/>
      <c r="PSM111" s="96"/>
      <c r="PSN111" s="96"/>
      <c r="PSO111" s="96"/>
      <c r="PSP111" s="96"/>
      <c r="PSQ111" s="96"/>
      <c r="PSR111" s="96"/>
      <c r="PSS111" s="96"/>
      <c r="PST111" s="95"/>
      <c r="PSU111" s="96"/>
      <c r="PSV111" s="96"/>
      <c r="PSW111" s="96"/>
      <c r="PSX111" s="96"/>
      <c r="PSY111" s="96"/>
      <c r="PSZ111" s="96"/>
      <c r="PTA111" s="96"/>
      <c r="PTB111" s="96"/>
      <c r="PTC111" s="96"/>
      <c r="PTD111" s="96"/>
      <c r="PTE111" s="96"/>
      <c r="PTF111" s="96"/>
      <c r="PTG111" s="96"/>
      <c r="PTH111" s="96"/>
      <c r="PTI111" s="96"/>
      <c r="PTJ111" s="96"/>
      <c r="PTK111" s="96"/>
      <c r="PTL111" s="96"/>
      <c r="PTM111" s="96"/>
      <c r="PTN111" s="96"/>
      <c r="PTO111" s="96"/>
      <c r="PTP111" s="95"/>
      <c r="PTQ111" s="96"/>
      <c r="PTR111" s="96"/>
      <c r="PTS111" s="96"/>
      <c r="PTT111" s="96"/>
      <c r="PTU111" s="96"/>
      <c r="PTV111" s="96"/>
      <c r="PTW111" s="96"/>
      <c r="PTX111" s="96"/>
      <c r="PTY111" s="96"/>
      <c r="PTZ111" s="96"/>
      <c r="PUA111" s="96"/>
      <c r="PUB111" s="96"/>
      <c r="PUC111" s="96"/>
      <c r="PUD111" s="96"/>
      <c r="PUE111" s="96"/>
      <c r="PUF111" s="96"/>
      <c r="PUG111" s="96"/>
      <c r="PUH111" s="96"/>
      <c r="PUI111" s="96"/>
      <c r="PUJ111" s="96"/>
      <c r="PUK111" s="96"/>
      <c r="PUL111" s="95"/>
      <c r="PUM111" s="96"/>
      <c r="PUN111" s="96"/>
      <c r="PUO111" s="96"/>
      <c r="PUP111" s="96"/>
      <c r="PUQ111" s="96"/>
      <c r="PUR111" s="96"/>
      <c r="PUS111" s="96"/>
      <c r="PUT111" s="96"/>
      <c r="PUU111" s="96"/>
      <c r="PUV111" s="96"/>
      <c r="PUW111" s="96"/>
      <c r="PUX111" s="96"/>
      <c r="PUY111" s="96"/>
      <c r="PUZ111" s="96"/>
      <c r="PVA111" s="96"/>
      <c r="PVB111" s="96"/>
      <c r="PVC111" s="96"/>
      <c r="PVD111" s="96"/>
      <c r="PVE111" s="96"/>
      <c r="PVF111" s="96"/>
      <c r="PVG111" s="96"/>
      <c r="PVH111" s="95"/>
      <c r="PVI111" s="96"/>
      <c r="PVJ111" s="96"/>
      <c r="PVK111" s="96"/>
      <c r="PVL111" s="96"/>
      <c r="PVM111" s="96"/>
      <c r="PVN111" s="96"/>
      <c r="PVO111" s="96"/>
      <c r="PVP111" s="96"/>
      <c r="PVQ111" s="96"/>
      <c r="PVR111" s="96"/>
      <c r="PVS111" s="96"/>
      <c r="PVT111" s="96"/>
      <c r="PVU111" s="96"/>
      <c r="PVV111" s="96"/>
      <c r="PVW111" s="96"/>
      <c r="PVX111" s="96"/>
      <c r="PVY111" s="96"/>
      <c r="PVZ111" s="96"/>
      <c r="PWA111" s="96"/>
      <c r="PWB111" s="96"/>
      <c r="PWC111" s="96"/>
      <c r="PWD111" s="95"/>
      <c r="PWE111" s="96"/>
      <c r="PWF111" s="96"/>
      <c r="PWG111" s="96"/>
      <c r="PWH111" s="96"/>
      <c r="PWI111" s="96"/>
      <c r="PWJ111" s="96"/>
      <c r="PWK111" s="96"/>
      <c r="PWL111" s="96"/>
      <c r="PWM111" s="96"/>
      <c r="PWN111" s="96"/>
      <c r="PWO111" s="96"/>
      <c r="PWP111" s="96"/>
      <c r="PWQ111" s="96"/>
      <c r="PWR111" s="96"/>
      <c r="PWS111" s="96"/>
      <c r="PWT111" s="96"/>
      <c r="PWU111" s="96"/>
      <c r="PWV111" s="96"/>
      <c r="PWW111" s="96"/>
      <c r="PWX111" s="96"/>
      <c r="PWY111" s="96"/>
      <c r="PWZ111" s="95"/>
      <c r="PXA111" s="96"/>
      <c r="PXB111" s="96"/>
      <c r="PXC111" s="96"/>
      <c r="PXD111" s="96"/>
      <c r="PXE111" s="96"/>
      <c r="PXF111" s="96"/>
      <c r="PXG111" s="96"/>
      <c r="PXH111" s="96"/>
      <c r="PXI111" s="96"/>
      <c r="PXJ111" s="96"/>
      <c r="PXK111" s="96"/>
      <c r="PXL111" s="96"/>
      <c r="PXM111" s="96"/>
      <c r="PXN111" s="96"/>
      <c r="PXO111" s="96"/>
      <c r="PXP111" s="96"/>
      <c r="PXQ111" s="96"/>
      <c r="PXR111" s="96"/>
      <c r="PXS111" s="96"/>
      <c r="PXT111" s="96"/>
      <c r="PXU111" s="96"/>
      <c r="PXV111" s="95"/>
      <c r="PXW111" s="96"/>
      <c r="PXX111" s="96"/>
      <c r="PXY111" s="96"/>
      <c r="PXZ111" s="96"/>
      <c r="PYA111" s="96"/>
      <c r="PYB111" s="96"/>
      <c r="PYC111" s="96"/>
      <c r="PYD111" s="96"/>
      <c r="PYE111" s="96"/>
      <c r="PYF111" s="96"/>
      <c r="PYG111" s="96"/>
      <c r="PYH111" s="96"/>
      <c r="PYI111" s="96"/>
      <c r="PYJ111" s="96"/>
      <c r="PYK111" s="96"/>
      <c r="PYL111" s="96"/>
      <c r="PYM111" s="96"/>
      <c r="PYN111" s="96"/>
      <c r="PYO111" s="96"/>
      <c r="PYP111" s="96"/>
      <c r="PYQ111" s="96"/>
      <c r="PYR111" s="95"/>
      <c r="PYS111" s="96"/>
      <c r="PYT111" s="96"/>
      <c r="PYU111" s="96"/>
      <c r="PYV111" s="96"/>
      <c r="PYW111" s="96"/>
      <c r="PYX111" s="96"/>
      <c r="PYY111" s="96"/>
      <c r="PYZ111" s="96"/>
      <c r="PZA111" s="96"/>
      <c r="PZB111" s="96"/>
      <c r="PZC111" s="96"/>
      <c r="PZD111" s="96"/>
      <c r="PZE111" s="96"/>
      <c r="PZF111" s="96"/>
      <c r="PZG111" s="96"/>
      <c r="PZH111" s="96"/>
      <c r="PZI111" s="96"/>
      <c r="PZJ111" s="96"/>
      <c r="PZK111" s="96"/>
      <c r="PZL111" s="96"/>
      <c r="PZM111" s="96"/>
      <c r="PZN111" s="95"/>
      <c r="PZO111" s="96"/>
      <c r="PZP111" s="96"/>
      <c r="PZQ111" s="96"/>
      <c r="PZR111" s="96"/>
      <c r="PZS111" s="96"/>
      <c r="PZT111" s="96"/>
      <c r="PZU111" s="96"/>
      <c r="PZV111" s="96"/>
      <c r="PZW111" s="96"/>
      <c r="PZX111" s="96"/>
      <c r="PZY111" s="96"/>
      <c r="PZZ111" s="96"/>
      <c r="QAA111" s="96"/>
      <c r="QAB111" s="96"/>
      <c r="QAC111" s="96"/>
      <c r="QAD111" s="96"/>
      <c r="QAE111" s="96"/>
      <c r="QAF111" s="96"/>
      <c r="QAG111" s="96"/>
      <c r="QAH111" s="96"/>
      <c r="QAI111" s="96"/>
      <c r="QAJ111" s="95"/>
      <c r="QAK111" s="96"/>
      <c r="QAL111" s="96"/>
      <c r="QAM111" s="96"/>
      <c r="QAN111" s="96"/>
      <c r="QAO111" s="96"/>
      <c r="QAP111" s="96"/>
      <c r="QAQ111" s="96"/>
      <c r="QAR111" s="96"/>
      <c r="QAS111" s="96"/>
      <c r="QAT111" s="96"/>
      <c r="QAU111" s="96"/>
      <c r="QAV111" s="96"/>
      <c r="QAW111" s="96"/>
      <c r="QAX111" s="96"/>
      <c r="QAY111" s="96"/>
      <c r="QAZ111" s="96"/>
      <c r="QBA111" s="96"/>
      <c r="QBB111" s="96"/>
      <c r="QBC111" s="96"/>
      <c r="QBD111" s="96"/>
      <c r="QBE111" s="96"/>
      <c r="QBF111" s="95"/>
      <c r="QBG111" s="96"/>
      <c r="QBH111" s="96"/>
      <c r="QBI111" s="96"/>
      <c r="QBJ111" s="96"/>
      <c r="QBK111" s="96"/>
      <c r="QBL111" s="96"/>
      <c r="QBM111" s="96"/>
      <c r="QBN111" s="96"/>
      <c r="QBO111" s="96"/>
      <c r="QBP111" s="96"/>
      <c r="QBQ111" s="96"/>
      <c r="QBR111" s="96"/>
      <c r="QBS111" s="96"/>
      <c r="QBT111" s="96"/>
      <c r="QBU111" s="96"/>
      <c r="QBV111" s="96"/>
      <c r="QBW111" s="96"/>
      <c r="QBX111" s="96"/>
      <c r="QBY111" s="96"/>
      <c r="QBZ111" s="96"/>
      <c r="QCA111" s="96"/>
      <c r="QCB111" s="95"/>
      <c r="QCC111" s="96"/>
      <c r="QCD111" s="96"/>
      <c r="QCE111" s="96"/>
      <c r="QCF111" s="96"/>
      <c r="QCG111" s="96"/>
      <c r="QCH111" s="96"/>
      <c r="QCI111" s="96"/>
      <c r="QCJ111" s="96"/>
      <c r="QCK111" s="96"/>
      <c r="QCL111" s="96"/>
      <c r="QCM111" s="96"/>
      <c r="QCN111" s="96"/>
      <c r="QCO111" s="96"/>
      <c r="QCP111" s="96"/>
      <c r="QCQ111" s="96"/>
      <c r="QCR111" s="96"/>
      <c r="QCS111" s="96"/>
      <c r="QCT111" s="96"/>
      <c r="QCU111" s="96"/>
      <c r="QCV111" s="96"/>
      <c r="QCW111" s="96"/>
      <c r="QCX111" s="95"/>
      <c r="QCY111" s="96"/>
      <c r="QCZ111" s="96"/>
      <c r="QDA111" s="96"/>
      <c r="QDB111" s="96"/>
      <c r="QDC111" s="96"/>
      <c r="QDD111" s="96"/>
      <c r="QDE111" s="96"/>
      <c r="QDF111" s="96"/>
      <c r="QDG111" s="96"/>
      <c r="QDH111" s="96"/>
      <c r="QDI111" s="96"/>
      <c r="QDJ111" s="96"/>
      <c r="QDK111" s="96"/>
      <c r="QDL111" s="96"/>
      <c r="QDM111" s="96"/>
      <c r="QDN111" s="96"/>
      <c r="QDO111" s="96"/>
      <c r="QDP111" s="96"/>
      <c r="QDQ111" s="96"/>
      <c r="QDR111" s="96"/>
      <c r="QDS111" s="96"/>
      <c r="QDT111" s="95"/>
      <c r="QDU111" s="96"/>
      <c r="QDV111" s="96"/>
      <c r="QDW111" s="96"/>
      <c r="QDX111" s="96"/>
      <c r="QDY111" s="96"/>
      <c r="QDZ111" s="96"/>
      <c r="QEA111" s="96"/>
      <c r="QEB111" s="96"/>
      <c r="QEC111" s="96"/>
      <c r="QED111" s="96"/>
      <c r="QEE111" s="96"/>
      <c r="QEF111" s="96"/>
      <c r="QEG111" s="96"/>
      <c r="QEH111" s="96"/>
      <c r="QEI111" s="96"/>
      <c r="QEJ111" s="96"/>
      <c r="QEK111" s="96"/>
      <c r="QEL111" s="96"/>
      <c r="QEM111" s="96"/>
      <c r="QEN111" s="96"/>
      <c r="QEO111" s="96"/>
      <c r="QEP111" s="95"/>
      <c r="QEQ111" s="96"/>
      <c r="QER111" s="96"/>
      <c r="QES111" s="96"/>
      <c r="QET111" s="96"/>
      <c r="QEU111" s="96"/>
      <c r="QEV111" s="96"/>
      <c r="QEW111" s="96"/>
      <c r="QEX111" s="96"/>
      <c r="QEY111" s="96"/>
      <c r="QEZ111" s="96"/>
      <c r="QFA111" s="96"/>
      <c r="QFB111" s="96"/>
      <c r="QFC111" s="96"/>
      <c r="QFD111" s="96"/>
      <c r="QFE111" s="96"/>
      <c r="QFF111" s="96"/>
      <c r="QFG111" s="96"/>
      <c r="QFH111" s="96"/>
      <c r="QFI111" s="96"/>
      <c r="QFJ111" s="96"/>
      <c r="QFK111" s="96"/>
      <c r="QFL111" s="95"/>
      <c r="QFM111" s="96"/>
      <c r="QFN111" s="96"/>
      <c r="QFO111" s="96"/>
      <c r="QFP111" s="96"/>
      <c r="QFQ111" s="96"/>
      <c r="QFR111" s="96"/>
      <c r="QFS111" s="96"/>
      <c r="QFT111" s="96"/>
      <c r="QFU111" s="96"/>
      <c r="QFV111" s="96"/>
      <c r="QFW111" s="96"/>
      <c r="QFX111" s="96"/>
      <c r="QFY111" s="96"/>
      <c r="QFZ111" s="96"/>
      <c r="QGA111" s="96"/>
      <c r="QGB111" s="96"/>
      <c r="QGC111" s="96"/>
      <c r="QGD111" s="96"/>
      <c r="QGE111" s="96"/>
      <c r="QGF111" s="96"/>
      <c r="QGG111" s="96"/>
      <c r="QGH111" s="95"/>
      <c r="QGI111" s="96"/>
      <c r="QGJ111" s="96"/>
      <c r="QGK111" s="96"/>
      <c r="QGL111" s="96"/>
      <c r="QGM111" s="96"/>
      <c r="QGN111" s="96"/>
      <c r="QGO111" s="96"/>
      <c r="QGP111" s="96"/>
      <c r="QGQ111" s="96"/>
      <c r="QGR111" s="96"/>
      <c r="QGS111" s="96"/>
      <c r="QGT111" s="96"/>
      <c r="QGU111" s="96"/>
      <c r="QGV111" s="96"/>
      <c r="QGW111" s="96"/>
      <c r="QGX111" s="96"/>
      <c r="QGY111" s="96"/>
      <c r="QGZ111" s="96"/>
      <c r="QHA111" s="96"/>
      <c r="QHB111" s="96"/>
      <c r="QHC111" s="96"/>
      <c r="QHD111" s="95"/>
      <c r="QHE111" s="96"/>
      <c r="QHF111" s="96"/>
      <c r="QHG111" s="96"/>
      <c r="QHH111" s="96"/>
      <c r="QHI111" s="96"/>
      <c r="QHJ111" s="96"/>
      <c r="QHK111" s="96"/>
      <c r="QHL111" s="96"/>
      <c r="QHM111" s="96"/>
      <c r="QHN111" s="96"/>
      <c r="QHO111" s="96"/>
      <c r="QHP111" s="96"/>
      <c r="QHQ111" s="96"/>
      <c r="QHR111" s="96"/>
      <c r="QHS111" s="96"/>
      <c r="QHT111" s="96"/>
      <c r="QHU111" s="96"/>
      <c r="QHV111" s="96"/>
      <c r="QHW111" s="96"/>
      <c r="QHX111" s="96"/>
      <c r="QHY111" s="96"/>
      <c r="QHZ111" s="95"/>
      <c r="QIA111" s="96"/>
      <c r="QIB111" s="96"/>
      <c r="QIC111" s="96"/>
      <c r="QID111" s="96"/>
      <c r="QIE111" s="96"/>
      <c r="QIF111" s="96"/>
      <c r="QIG111" s="96"/>
      <c r="QIH111" s="96"/>
      <c r="QII111" s="96"/>
      <c r="QIJ111" s="96"/>
      <c r="QIK111" s="96"/>
      <c r="QIL111" s="96"/>
      <c r="QIM111" s="96"/>
      <c r="QIN111" s="96"/>
      <c r="QIO111" s="96"/>
      <c r="QIP111" s="96"/>
      <c r="QIQ111" s="96"/>
      <c r="QIR111" s="96"/>
      <c r="QIS111" s="96"/>
      <c r="QIT111" s="96"/>
      <c r="QIU111" s="96"/>
      <c r="QIV111" s="95"/>
      <c r="QIW111" s="96"/>
      <c r="QIX111" s="96"/>
      <c r="QIY111" s="96"/>
      <c r="QIZ111" s="96"/>
      <c r="QJA111" s="96"/>
      <c r="QJB111" s="96"/>
      <c r="QJC111" s="96"/>
      <c r="QJD111" s="96"/>
      <c r="QJE111" s="96"/>
      <c r="QJF111" s="96"/>
      <c r="QJG111" s="96"/>
      <c r="QJH111" s="96"/>
      <c r="QJI111" s="96"/>
      <c r="QJJ111" s="96"/>
      <c r="QJK111" s="96"/>
      <c r="QJL111" s="96"/>
      <c r="QJM111" s="96"/>
      <c r="QJN111" s="96"/>
      <c r="QJO111" s="96"/>
      <c r="QJP111" s="96"/>
      <c r="QJQ111" s="96"/>
      <c r="QJR111" s="95"/>
      <c r="QJS111" s="96"/>
      <c r="QJT111" s="96"/>
      <c r="QJU111" s="96"/>
      <c r="QJV111" s="96"/>
      <c r="QJW111" s="96"/>
      <c r="QJX111" s="96"/>
      <c r="QJY111" s="96"/>
      <c r="QJZ111" s="96"/>
      <c r="QKA111" s="96"/>
      <c r="QKB111" s="96"/>
      <c r="QKC111" s="96"/>
      <c r="QKD111" s="96"/>
      <c r="QKE111" s="96"/>
      <c r="QKF111" s="96"/>
      <c r="QKG111" s="96"/>
      <c r="QKH111" s="96"/>
      <c r="QKI111" s="96"/>
      <c r="QKJ111" s="96"/>
      <c r="QKK111" s="96"/>
      <c r="QKL111" s="96"/>
      <c r="QKM111" s="96"/>
      <c r="QKN111" s="95"/>
      <c r="QKO111" s="96"/>
      <c r="QKP111" s="96"/>
      <c r="QKQ111" s="96"/>
      <c r="QKR111" s="96"/>
      <c r="QKS111" s="96"/>
      <c r="QKT111" s="96"/>
      <c r="QKU111" s="96"/>
      <c r="QKV111" s="96"/>
      <c r="QKW111" s="96"/>
      <c r="QKX111" s="96"/>
      <c r="QKY111" s="96"/>
      <c r="QKZ111" s="96"/>
      <c r="QLA111" s="96"/>
      <c r="QLB111" s="96"/>
      <c r="QLC111" s="96"/>
      <c r="QLD111" s="96"/>
      <c r="QLE111" s="96"/>
      <c r="QLF111" s="96"/>
      <c r="QLG111" s="96"/>
      <c r="QLH111" s="96"/>
      <c r="QLI111" s="96"/>
      <c r="QLJ111" s="95"/>
      <c r="QLK111" s="96"/>
      <c r="QLL111" s="96"/>
      <c r="QLM111" s="96"/>
      <c r="QLN111" s="96"/>
      <c r="QLO111" s="96"/>
      <c r="QLP111" s="96"/>
      <c r="QLQ111" s="96"/>
      <c r="QLR111" s="96"/>
      <c r="QLS111" s="96"/>
      <c r="QLT111" s="96"/>
      <c r="QLU111" s="96"/>
      <c r="QLV111" s="96"/>
      <c r="QLW111" s="96"/>
      <c r="QLX111" s="96"/>
      <c r="QLY111" s="96"/>
      <c r="QLZ111" s="96"/>
      <c r="QMA111" s="96"/>
      <c r="QMB111" s="96"/>
      <c r="QMC111" s="96"/>
      <c r="QMD111" s="96"/>
      <c r="QME111" s="96"/>
      <c r="QMF111" s="95"/>
      <c r="QMG111" s="96"/>
      <c r="QMH111" s="96"/>
      <c r="QMI111" s="96"/>
      <c r="QMJ111" s="96"/>
      <c r="QMK111" s="96"/>
      <c r="QML111" s="96"/>
      <c r="QMM111" s="96"/>
      <c r="QMN111" s="96"/>
      <c r="QMO111" s="96"/>
      <c r="QMP111" s="96"/>
      <c r="QMQ111" s="96"/>
      <c r="QMR111" s="96"/>
      <c r="QMS111" s="96"/>
      <c r="QMT111" s="96"/>
      <c r="QMU111" s="96"/>
      <c r="QMV111" s="96"/>
      <c r="QMW111" s="96"/>
      <c r="QMX111" s="96"/>
      <c r="QMY111" s="96"/>
      <c r="QMZ111" s="96"/>
      <c r="QNA111" s="96"/>
      <c r="QNB111" s="95"/>
      <c r="QNC111" s="96"/>
      <c r="QND111" s="96"/>
      <c r="QNE111" s="96"/>
      <c r="QNF111" s="96"/>
      <c r="QNG111" s="96"/>
      <c r="QNH111" s="96"/>
      <c r="QNI111" s="96"/>
      <c r="QNJ111" s="96"/>
      <c r="QNK111" s="96"/>
      <c r="QNL111" s="96"/>
      <c r="QNM111" s="96"/>
      <c r="QNN111" s="96"/>
      <c r="QNO111" s="96"/>
      <c r="QNP111" s="96"/>
      <c r="QNQ111" s="96"/>
      <c r="QNR111" s="96"/>
      <c r="QNS111" s="96"/>
      <c r="QNT111" s="96"/>
      <c r="QNU111" s="96"/>
      <c r="QNV111" s="96"/>
      <c r="QNW111" s="96"/>
      <c r="QNX111" s="95"/>
      <c r="QNY111" s="96"/>
      <c r="QNZ111" s="96"/>
      <c r="QOA111" s="96"/>
      <c r="QOB111" s="96"/>
      <c r="QOC111" s="96"/>
      <c r="QOD111" s="96"/>
      <c r="QOE111" s="96"/>
      <c r="QOF111" s="96"/>
      <c r="QOG111" s="96"/>
      <c r="QOH111" s="96"/>
      <c r="QOI111" s="96"/>
      <c r="QOJ111" s="96"/>
      <c r="QOK111" s="96"/>
      <c r="QOL111" s="96"/>
      <c r="QOM111" s="96"/>
      <c r="QON111" s="96"/>
      <c r="QOO111" s="96"/>
      <c r="QOP111" s="96"/>
      <c r="QOQ111" s="96"/>
      <c r="QOR111" s="96"/>
      <c r="QOS111" s="96"/>
      <c r="QOT111" s="95"/>
      <c r="QOU111" s="96"/>
      <c r="QOV111" s="96"/>
      <c r="QOW111" s="96"/>
      <c r="QOX111" s="96"/>
      <c r="QOY111" s="96"/>
      <c r="QOZ111" s="96"/>
      <c r="QPA111" s="96"/>
      <c r="QPB111" s="96"/>
      <c r="QPC111" s="96"/>
      <c r="QPD111" s="96"/>
      <c r="QPE111" s="96"/>
      <c r="QPF111" s="96"/>
      <c r="QPG111" s="96"/>
      <c r="QPH111" s="96"/>
      <c r="QPI111" s="96"/>
      <c r="QPJ111" s="96"/>
      <c r="QPK111" s="96"/>
      <c r="QPL111" s="96"/>
      <c r="QPM111" s="96"/>
      <c r="QPN111" s="96"/>
      <c r="QPO111" s="96"/>
      <c r="QPP111" s="95"/>
      <c r="QPQ111" s="96"/>
      <c r="QPR111" s="96"/>
      <c r="QPS111" s="96"/>
      <c r="QPT111" s="96"/>
      <c r="QPU111" s="96"/>
      <c r="QPV111" s="96"/>
      <c r="QPW111" s="96"/>
      <c r="QPX111" s="96"/>
      <c r="QPY111" s="96"/>
      <c r="QPZ111" s="96"/>
      <c r="QQA111" s="96"/>
      <c r="QQB111" s="96"/>
      <c r="QQC111" s="96"/>
      <c r="QQD111" s="96"/>
      <c r="QQE111" s="96"/>
      <c r="QQF111" s="96"/>
      <c r="QQG111" s="96"/>
      <c r="QQH111" s="96"/>
      <c r="QQI111" s="96"/>
      <c r="QQJ111" s="96"/>
      <c r="QQK111" s="96"/>
      <c r="QQL111" s="95"/>
      <c r="QQM111" s="96"/>
      <c r="QQN111" s="96"/>
      <c r="QQO111" s="96"/>
      <c r="QQP111" s="96"/>
      <c r="QQQ111" s="96"/>
      <c r="QQR111" s="96"/>
      <c r="QQS111" s="96"/>
      <c r="QQT111" s="96"/>
      <c r="QQU111" s="96"/>
      <c r="QQV111" s="96"/>
      <c r="QQW111" s="96"/>
      <c r="QQX111" s="96"/>
      <c r="QQY111" s="96"/>
      <c r="QQZ111" s="96"/>
      <c r="QRA111" s="96"/>
      <c r="QRB111" s="96"/>
      <c r="QRC111" s="96"/>
      <c r="QRD111" s="96"/>
      <c r="QRE111" s="96"/>
      <c r="QRF111" s="96"/>
      <c r="QRG111" s="96"/>
      <c r="QRH111" s="95"/>
      <c r="QRI111" s="96"/>
      <c r="QRJ111" s="96"/>
      <c r="QRK111" s="96"/>
      <c r="QRL111" s="96"/>
      <c r="QRM111" s="96"/>
      <c r="QRN111" s="96"/>
      <c r="QRO111" s="96"/>
      <c r="QRP111" s="96"/>
      <c r="QRQ111" s="96"/>
      <c r="QRR111" s="96"/>
      <c r="QRS111" s="96"/>
      <c r="QRT111" s="96"/>
      <c r="QRU111" s="96"/>
      <c r="QRV111" s="96"/>
      <c r="QRW111" s="96"/>
      <c r="QRX111" s="96"/>
      <c r="QRY111" s="96"/>
      <c r="QRZ111" s="96"/>
      <c r="QSA111" s="96"/>
      <c r="QSB111" s="96"/>
      <c r="QSC111" s="96"/>
      <c r="QSD111" s="95"/>
      <c r="QSE111" s="96"/>
      <c r="QSF111" s="96"/>
      <c r="QSG111" s="96"/>
      <c r="QSH111" s="96"/>
      <c r="QSI111" s="96"/>
      <c r="QSJ111" s="96"/>
      <c r="QSK111" s="96"/>
      <c r="QSL111" s="96"/>
      <c r="QSM111" s="96"/>
      <c r="QSN111" s="96"/>
      <c r="QSO111" s="96"/>
      <c r="QSP111" s="96"/>
      <c r="QSQ111" s="96"/>
      <c r="QSR111" s="96"/>
      <c r="QSS111" s="96"/>
      <c r="QST111" s="96"/>
      <c r="QSU111" s="96"/>
      <c r="QSV111" s="96"/>
      <c r="QSW111" s="96"/>
      <c r="QSX111" s="96"/>
      <c r="QSY111" s="96"/>
      <c r="QSZ111" s="95"/>
      <c r="QTA111" s="96"/>
      <c r="QTB111" s="96"/>
      <c r="QTC111" s="96"/>
      <c r="QTD111" s="96"/>
      <c r="QTE111" s="96"/>
      <c r="QTF111" s="96"/>
      <c r="QTG111" s="96"/>
      <c r="QTH111" s="96"/>
      <c r="QTI111" s="96"/>
      <c r="QTJ111" s="96"/>
      <c r="QTK111" s="96"/>
      <c r="QTL111" s="96"/>
      <c r="QTM111" s="96"/>
      <c r="QTN111" s="96"/>
      <c r="QTO111" s="96"/>
      <c r="QTP111" s="96"/>
      <c r="QTQ111" s="96"/>
      <c r="QTR111" s="96"/>
      <c r="QTS111" s="96"/>
      <c r="QTT111" s="96"/>
      <c r="QTU111" s="96"/>
      <c r="QTV111" s="95"/>
      <c r="QTW111" s="96"/>
      <c r="QTX111" s="96"/>
      <c r="QTY111" s="96"/>
      <c r="QTZ111" s="96"/>
      <c r="QUA111" s="96"/>
      <c r="QUB111" s="96"/>
      <c r="QUC111" s="96"/>
      <c r="QUD111" s="96"/>
      <c r="QUE111" s="96"/>
      <c r="QUF111" s="96"/>
      <c r="QUG111" s="96"/>
      <c r="QUH111" s="96"/>
      <c r="QUI111" s="96"/>
      <c r="QUJ111" s="96"/>
      <c r="QUK111" s="96"/>
      <c r="QUL111" s="96"/>
      <c r="QUM111" s="96"/>
      <c r="QUN111" s="96"/>
      <c r="QUO111" s="96"/>
      <c r="QUP111" s="96"/>
      <c r="QUQ111" s="96"/>
      <c r="QUR111" s="95"/>
      <c r="QUS111" s="96"/>
      <c r="QUT111" s="96"/>
      <c r="QUU111" s="96"/>
      <c r="QUV111" s="96"/>
      <c r="QUW111" s="96"/>
      <c r="QUX111" s="96"/>
      <c r="QUY111" s="96"/>
      <c r="QUZ111" s="96"/>
      <c r="QVA111" s="96"/>
      <c r="QVB111" s="96"/>
      <c r="QVC111" s="96"/>
      <c r="QVD111" s="96"/>
      <c r="QVE111" s="96"/>
      <c r="QVF111" s="96"/>
      <c r="QVG111" s="96"/>
      <c r="QVH111" s="96"/>
      <c r="QVI111" s="96"/>
      <c r="QVJ111" s="96"/>
      <c r="QVK111" s="96"/>
      <c r="QVL111" s="96"/>
      <c r="QVM111" s="96"/>
      <c r="QVN111" s="95"/>
      <c r="QVO111" s="96"/>
      <c r="QVP111" s="96"/>
      <c r="QVQ111" s="96"/>
      <c r="QVR111" s="96"/>
      <c r="QVS111" s="96"/>
      <c r="QVT111" s="96"/>
      <c r="QVU111" s="96"/>
      <c r="QVV111" s="96"/>
      <c r="QVW111" s="96"/>
      <c r="QVX111" s="96"/>
      <c r="QVY111" s="96"/>
      <c r="QVZ111" s="96"/>
      <c r="QWA111" s="96"/>
      <c r="QWB111" s="96"/>
      <c r="QWC111" s="96"/>
      <c r="QWD111" s="96"/>
      <c r="QWE111" s="96"/>
      <c r="QWF111" s="96"/>
      <c r="QWG111" s="96"/>
      <c r="QWH111" s="96"/>
      <c r="QWI111" s="96"/>
      <c r="QWJ111" s="95"/>
      <c r="QWK111" s="96"/>
      <c r="QWL111" s="96"/>
      <c r="QWM111" s="96"/>
      <c r="QWN111" s="96"/>
      <c r="QWO111" s="96"/>
      <c r="QWP111" s="96"/>
      <c r="QWQ111" s="96"/>
      <c r="QWR111" s="96"/>
      <c r="QWS111" s="96"/>
      <c r="QWT111" s="96"/>
      <c r="QWU111" s="96"/>
      <c r="QWV111" s="96"/>
      <c r="QWW111" s="96"/>
      <c r="QWX111" s="96"/>
      <c r="QWY111" s="96"/>
      <c r="QWZ111" s="96"/>
      <c r="QXA111" s="96"/>
      <c r="QXB111" s="96"/>
      <c r="QXC111" s="96"/>
      <c r="QXD111" s="96"/>
      <c r="QXE111" s="96"/>
      <c r="QXF111" s="95"/>
      <c r="QXG111" s="96"/>
      <c r="QXH111" s="96"/>
      <c r="QXI111" s="96"/>
      <c r="QXJ111" s="96"/>
      <c r="QXK111" s="96"/>
      <c r="QXL111" s="96"/>
      <c r="QXM111" s="96"/>
      <c r="QXN111" s="96"/>
      <c r="QXO111" s="96"/>
      <c r="QXP111" s="96"/>
      <c r="QXQ111" s="96"/>
      <c r="QXR111" s="96"/>
      <c r="QXS111" s="96"/>
      <c r="QXT111" s="96"/>
      <c r="QXU111" s="96"/>
      <c r="QXV111" s="96"/>
      <c r="QXW111" s="96"/>
      <c r="QXX111" s="96"/>
      <c r="QXY111" s="96"/>
      <c r="QXZ111" s="96"/>
      <c r="QYA111" s="96"/>
      <c r="QYB111" s="95"/>
      <c r="QYC111" s="96"/>
      <c r="QYD111" s="96"/>
      <c r="QYE111" s="96"/>
      <c r="QYF111" s="96"/>
      <c r="QYG111" s="96"/>
      <c r="QYH111" s="96"/>
      <c r="QYI111" s="96"/>
      <c r="QYJ111" s="96"/>
      <c r="QYK111" s="96"/>
      <c r="QYL111" s="96"/>
      <c r="QYM111" s="96"/>
      <c r="QYN111" s="96"/>
      <c r="QYO111" s="96"/>
      <c r="QYP111" s="96"/>
      <c r="QYQ111" s="96"/>
      <c r="QYR111" s="96"/>
      <c r="QYS111" s="96"/>
      <c r="QYT111" s="96"/>
      <c r="QYU111" s="96"/>
      <c r="QYV111" s="96"/>
      <c r="QYW111" s="96"/>
      <c r="QYX111" s="95"/>
      <c r="QYY111" s="96"/>
      <c r="QYZ111" s="96"/>
      <c r="QZA111" s="96"/>
      <c r="QZB111" s="96"/>
      <c r="QZC111" s="96"/>
      <c r="QZD111" s="96"/>
      <c r="QZE111" s="96"/>
      <c r="QZF111" s="96"/>
      <c r="QZG111" s="96"/>
      <c r="QZH111" s="96"/>
      <c r="QZI111" s="96"/>
      <c r="QZJ111" s="96"/>
      <c r="QZK111" s="96"/>
      <c r="QZL111" s="96"/>
      <c r="QZM111" s="96"/>
      <c r="QZN111" s="96"/>
      <c r="QZO111" s="96"/>
      <c r="QZP111" s="96"/>
      <c r="QZQ111" s="96"/>
      <c r="QZR111" s="96"/>
      <c r="QZS111" s="96"/>
      <c r="QZT111" s="95"/>
      <c r="QZU111" s="96"/>
      <c r="QZV111" s="96"/>
      <c r="QZW111" s="96"/>
      <c r="QZX111" s="96"/>
      <c r="QZY111" s="96"/>
      <c r="QZZ111" s="96"/>
      <c r="RAA111" s="96"/>
      <c r="RAB111" s="96"/>
      <c r="RAC111" s="96"/>
      <c r="RAD111" s="96"/>
      <c r="RAE111" s="96"/>
      <c r="RAF111" s="96"/>
      <c r="RAG111" s="96"/>
      <c r="RAH111" s="96"/>
      <c r="RAI111" s="96"/>
      <c r="RAJ111" s="96"/>
      <c r="RAK111" s="96"/>
      <c r="RAL111" s="96"/>
      <c r="RAM111" s="96"/>
      <c r="RAN111" s="96"/>
      <c r="RAO111" s="96"/>
      <c r="RAP111" s="95"/>
      <c r="RAQ111" s="96"/>
      <c r="RAR111" s="96"/>
      <c r="RAS111" s="96"/>
      <c r="RAT111" s="96"/>
      <c r="RAU111" s="96"/>
      <c r="RAV111" s="96"/>
      <c r="RAW111" s="96"/>
      <c r="RAX111" s="96"/>
      <c r="RAY111" s="96"/>
      <c r="RAZ111" s="96"/>
      <c r="RBA111" s="96"/>
      <c r="RBB111" s="96"/>
      <c r="RBC111" s="96"/>
      <c r="RBD111" s="96"/>
      <c r="RBE111" s="96"/>
      <c r="RBF111" s="96"/>
      <c r="RBG111" s="96"/>
      <c r="RBH111" s="96"/>
      <c r="RBI111" s="96"/>
      <c r="RBJ111" s="96"/>
      <c r="RBK111" s="96"/>
      <c r="RBL111" s="95"/>
      <c r="RBM111" s="96"/>
      <c r="RBN111" s="96"/>
      <c r="RBO111" s="96"/>
      <c r="RBP111" s="96"/>
      <c r="RBQ111" s="96"/>
      <c r="RBR111" s="96"/>
      <c r="RBS111" s="96"/>
      <c r="RBT111" s="96"/>
      <c r="RBU111" s="96"/>
      <c r="RBV111" s="96"/>
      <c r="RBW111" s="96"/>
      <c r="RBX111" s="96"/>
      <c r="RBY111" s="96"/>
      <c r="RBZ111" s="96"/>
      <c r="RCA111" s="96"/>
      <c r="RCB111" s="96"/>
      <c r="RCC111" s="96"/>
      <c r="RCD111" s="96"/>
      <c r="RCE111" s="96"/>
      <c r="RCF111" s="96"/>
      <c r="RCG111" s="96"/>
      <c r="RCH111" s="95"/>
      <c r="RCI111" s="96"/>
      <c r="RCJ111" s="96"/>
      <c r="RCK111" s="96"/>
      <c r="RCL111" s="96"/>
      <c r="RCM111" s="96"/>
      <c r="RCN111" s="96"/>
      <c r="RCO111" s="96"/>
      <c r="RCP111" s="96"/>
      <c r="RCQ111" s="96"/>
      <c r="RCR111" s="96"/>
      <c r="RCS111" s="96"/>
      <c r="RCT111" s="96"/>
      <c r="RCU111" s="96"/>
      <c r="RCV111" s="96"/>
      <c r="RCW111" s="96"/>
      <c r="RCX111" s="96"/>
      <c r="RCY111" s="96"/>
      <c r="RCZ111" s="96"/>
      <c r="RDA111" s="96"/>
      <c r="RDB111" s="96"/>
      <c r="RDC111" s="96"/>
      <c r="RDD111" s="95"/>
      <c r="RDE111" s="96"/>
      <c r="RDF111" s="96"/>
      <c r="RDG111" s="96"/>
      <c r="RDH111" s="96"/>
      <c r="RDI111" s="96"/>
      <c r="RDJ111" s="96"/>
      <c r="RDK111" s="96"/>
      <c r="RDL111" s="96"/>
      <c r="RDM111" s="96"/>
      <c r="RDN111" s="96"/>
      <c r="RDO111" s="96"/>
      <c r="RDP111" s="96"/>
      <c r="RDQ111" s="96"/>
      <c r="RDR111" s="96"/>
      <c r="RDS111" s="96"/>
      <c r="RDT111" s="96"/>
      <c r="RDU111" s="96"/>
      <c r="RDV111" s="96"/>
      <c r="RDW111" s="96"/>
      <c r="RDX111" s="96"/>
      <c r="RDY111" s="96"/>
      <c r="RDZ111" s="95"/>
      <c r="REA111" s="96"/>
      <c r="REB111" s="96"/>
      <c r="REC111" s="96"/>
      <c r="RED111" s="96"/>
      <c r="REE111" s="96"/>
      <c r="REF111" s="96"/>
      <c r="REG111" s="96"/>
      <c r="REH111" s="96"/>
      <c r="REI111" s="96"/>
      <c r="REJ111" s="96"/>
      <c r="REK111" s="96"/>
      <c r="REL111" s="96"/>
      <c r="REM111" s="96"/>
      <c r="REN111" s="96"/>
      <c r="REO111" s="96"/>
      <c r="REP111" s="96"/>
      <c r="REQ111" s="96"/>
      <c r="RER111" s="96"/>
      <c r="RES111" s="96"/>
      <c r="RET111" s="96"/>
      <c r="REU111" s="96"/>
      <c r="REV111" s="95"/>
      <c r="REW111" s="96"/>
      <c r="REX111" s="96"/>
      <c r="REY111" s="96"/>
      <c r="REZ111" s="96"/>
      <c r="RFA111" s="96"/>
      <c r="RFB111" s="96"/>
      <c r="RFC111" s="96"/>
      <c r="RFD111" s="96"/>
      <c r="RFE111" s="96"/>
      <c r="RFF111" s="96"/>
      <c r="RFG111" s="96"/>
      <c r="RFH111" s="96"/>
      <c r="RFI111" s="96"/>
      <c r="RFJ111" s="96"/>
      <c r="RFK111" s="96"/>
      <c r="RFL111" s="96"/>
      <c r="RFM111" s="96"/>
      <c r="RFN111" s="96"/>
      <c r="RFO111" s="96"/>
      <c r="RFP111" s="96"/>
      <c r="RFQ111" s="96"/>
      <c r="RFR111" s="95"/>
      <c r="RFS111" s="96"/>
      <c r="RFT111" s="96"/>
      <c r="RFU111" s="96"/>
      <c r="RFV111" s="96"/>
      <c r="RFW111" s="96"/>
      <c r="RFX111" s="96"/>
      <c r="RFY111" s="96"/>
      <c r="RFZ111" s="96"/>
      <c r="RGA111" s="96"/>
      <c r="RGB111" s="96"/>
      <c r="RGC111" s="96"/>
      <c r="RGD111" s="96"/>
      <c r="RGE111" s="96"/>
      <c r="RGF111" s="96"/>
      <c r="RGG111" s="96"/>
      <c r="RGH111" s="96"/>
      <c r="RGI111" s="96"/>
      <c r="RGJ111" s="96"/>
      <c r="RGK111" s="96"/>
      <c r="RGL111" s="96"/>
      <c r="RGM111" s="96"/>
      <c r="RGN111" s="95"/>
      <c r="RGO111" s="96"/>
      <c r="RGP111" s="96"/>
      <c r="RGQ111" s="96"/>
      <c r="RGR111" s="96"/>
      <c r="RGS111" s="96"/>
      <c r="RGT111" s="96"/>
      <c r="RGU111" s="96"/>
      <c r="RGV111" s="96"/>
      <c r="RGW111" s="96"/>
      <c r="RGX111" s="96"/>
      <c r="RGY111" s="96"/>
      <c r="RGZ111" s="96"/>
      <c r="RHA111" s="96"/>
      <c r="RHB111" s="96"/>
      <c r="RHC111" s="96"/>
      <c r="RHD111" s="96"/>
      <c r="RHE111" s="96"/>
      <c r="RHF111" s="96"/>
      <c r="RHG111" s="96"/>
      <c r="RHH111" s="96"/>
      <c r="RHI111" s="96"/>
      <c r="RHJ111" s="95"/>
      <c r="RHK111" s="96"/>
      <c r="RHL111" s="96"/>
      <c r="RHM111" s="96"/>
      <c r="RHN111" s="96"/>
      <c r="RHO111" s="96"/>
      <c r="RHP111" s="96"/>
      <c r="RHQ111" s="96"/>
      <c r="RHR111" s="96"/>
      <c r="RHS111" s="96"/>
      <c r="RHT111" s="96"/>
      <c r="RHU111" s="96"/>
      <c r="RHV111" s="96"/>
      <c r="RHW111" s="96"/>
      <c r="RHX111" s="96"/>
      <c r="RHY111" s="96"/>
      <c r="RHZ111" s="96"/>
      <c r="RIA111" s="96"/>
      <c r="RIB111" s="96"/>
      <c r="RIC111" s="96"/>
      <c r="RID111" s="96"/>
      <c r="RIE111" s="96"/>
      <c r="RIF111" s="95"/>
      <c r="RIG111" s="96"/>
      <c r="RIH111" s="96"/>
      <c r="RII111" s="96"/>
      <c r="RIJ111" s="96"/>
      <c r="RIK111" s="96"/>
      <c r="RIL111" s="96"/>
      <c r="RIM111" s="96"/>
      <c r="RIN111" s="96"/>
      <c r="RIO111" s="96"/>
      <c r="RIP111" s="96"/>
      <c r="RIQ111" s="96"/>
      <c r="RIR111" s="96"/>
      <c r="RIS111" s="96"/>
      <c r="RIT111" s="96"/>
      <c r="RIU111" s="96"/>
      <c r="RIV111" s="96"/>
      <c r="RIW111" s="96"/>
      <c r="RIX111" s="96"/>
      <c r="RIY111" s="96"/>
      <c r="RIZ111" s="96"/>
      <c r="RJA111" s="96"/>
      <c r="RJB111" s="95"/>
      <c r="RJC111" s="96"/>
      <c r="RJD111" s="96"/>
      <c r="RJE111" s="96"/>
      <c r="RJF111" s="96"/>
      <c r="RJG111" s="96"/>
      <c r="RJH111" s="96"/>
      <c r="RJI111" s="96"/>
      <c r="RJJ111" s="96"/>
      <c r="RJK111" s="96"/>
      <c r="RJL111" s="96"/>
      <c r="RJM111" s="96"/>
      <c r="RJN111" s="96"/>
      <c r="RJO111" s="96"/>
      <c r="RJP111" s="96"/>
      <c r="RJQ111" s="96"/>
      <c r="RJR111" s="96"/>
      <c r="RJS111" s="96"/>
      <c r="RJT111" s="96"/>
      <c r="RJU111" s="96"/>
      <c r="RJV111" s="96"/>
      <c r="RJW111" s="96"/>
      <c r="RJX111" s="95"/>
      <c r="RJY111" s="96"/>
      <c r="RJZ111" s="96"/>
      <c r="RKA111" s="96"/>
      <c r="RKB111" s="96"/>
      <c r="RKC111" s="96"/>
      <c r="RKD111" s="96"/>
      <c r="RKE111" s="96"/>
      <c r="RKF111" s="96"/>
      <c r="RKG111" s="96"/>
      <c r="RKH111" s="96"/>
      <c r="RKI111" s="96"/>
      <c r="RKJ111" s="96"/>
      <c r="RKK111" s="96"/>
      <c r="RKL111" s="96"/>
      <c r="RKM111" s="96"/>
      <c r="RKN111" s="96"/>
      <c r="RKO111" s="96"/>
      <c r="RKP111" s="96"/>
      <c r="RKQ111" s="96"/>
      <c r="RKR111" s="96"/>
      <c r="RKS111" s="96"/>
      <c r="RKT111" s="95"/>
      <c r="RKU111" s="96"/>
      <c r="RKV111" s="96"/>
      <c r="RKW111" s="96"/>
      <c r="RKX111" s="96"/>
      <c r="RKY111" s="96"/>
      <c r="RKZ111" s="96"/>
      <c r="RLA111" s="96"/>
      <c r="RLB111" s="96"/>
      <c r="RLC111" s="96"/>
      <c r="RLD111" s="96"/>
      <c r="RLE111" s="96"/>
      <c r="RLF111" s="96"/>
      <c r="RLG111" s="96"/>
      <c r="RLH111" s="96"/>
      <c r="RLI111" s="96"/>
      <c r="RLJ111" s="96"/>
      <c r="RLK111" s="96"/>
      <c r="RLL111" s="96"/>
      <c r="RLM111" s="96"/>
      <c r="RLN111" s="96"/>
      <c r="RLO111" s="96"/>
      <c r="RLP111" s="95"/>
      <c r="RLQ111" s="96"/>
      <c r="RLR111" s="96"/>
      <c r="RLS111" s="96"/>
      <c r="RLT111" s="96"/>
      <c r="RLU111" s="96"/>
      <c r="RLV111" s="96"/>
      <c r="RLW111" s="96"/>
      <c r="RLX111" s="96"/>
      <c r="RLY111" s="96"/>
      <c r="RLZ111" s="96"/>
      <c r="RMA111" s="96"/>
      <c r="RMB111" s="96"/>
      <c r="RMC111" s="96"/>
      <c r="RMD111" s="96"/>
      <c r="RME111" s="96"/>
      <c r="RMF111" s="96"/>
      <c r="RMG111" s="96"/>
      <c r="RMH111" s="96"/>
      <c r="RMI111" s="96"/>
      <c r="RMJ111" s="96"/>
      <c r="RMK111" s="96"/>
      <c r="RML111" s="95"/>
      <c r="RMM111" s="96"/>
      <c r="RMN111" s="96"/>
      <c r="RMO111" s="96"/>
      <c r="RMP111" s="96"/>
      <c r="RMQ111" s="96"/>
      <c r="RMR111" s="96"/>
      <c r="RMS111" s="96"/>
      <c r="RMT111" s="96"/>
      <c r="RMU111" s="96"/>
      <c r="RMV111" s="96"/>
      <c r="RMW111" s="96"/>
      <c r="RMX111" s="96"/>
      <c r="RMY111" s="96"/>
      <c r="RMZ111" s="96"/>
      <c r="RNA111" s="96"/>
      <c r="RNB111" s="96"/>
      <c r="RNC111" s="96"/>
      <c r="RND111" s="96"/>
      <c r="RNE111" s="96"/>
      <c r="RNF111" s="96"/>
      <c r="RNG111" s="96"/>
      <c r="RNH111" s="95"/>
      <c r="RNI111" s="96"/>
      <c r="RNJ111" s="96"/>
      <c r="RNK111" s="96"/>
      <c r="RNL111" s="96"/>
      <c r="RNM111" s="96"/>
      <c r="RNN111" s="96"/>
      <c r="RNO111" s="96"/>
      <c r="RNP111" s="96"/>
      <c r="RNQ111" s="96"/>
      <c r="RNR111" s="96"/>
      <c r="RNS111" s="96"/>
      <c r="RNT111" s="96"/>
      <c r="RNU111" s="96"/>
      <c r="RNV111" s="96"/>
      <c r="RNW111" s="96"/>
      <c r="RNX111" s="96"/>
      <c r="RNY111" s="96"/>
      <c r="RNZ111" s="96"/>
      <c r="ROA111" s="96"/>
      <c r="ROB111" s="96"/>
      <c r="ROC111" s="96"/>
      <c r="ROD111" s="95"/>
      <c r="ROE111" s="96"/>
      <c r="ROF111" s="96"/>
      <c r="ROG111" s="96"/>
      <c r="ROH111" s="96"/>
      <c r="ROI111" s="96"/>
      <c r="ROJ111" s="96"/>
      <c r="ROK111" s="96"/>
      <c r="ROL111" s="96"/>
      <c r="ROM111" s="96"/>
      <c r="RON111" s="96"/>
      <c r="ROO111" s="96"/>
      <c r="ROP111" s="96"/>
      <c r="ROQ111" s="96"/>
      <c r="ROR111" s="96"/>
      <c r="ROS111" s="96"/>
      <c r="ROT111" s="96"/>
      <c r="ROU111" s="96"/>
      <c r="ROV111" s="96"/>
      <c r="ROW111" s="96"/>
      <c r="ROX111" s="96"/>
      <c r="ROY111" s="96"/>
      <c r="ROZ111" s="95"/>
      <c r="RPA111" s="96"/>
      <c r="RPB111" s="96"/>
      <c r="RPC111" s="96"/>
      <c r="RPD111" s="96"/>
      <c r="RPE111" s="96"/>
      <c r="RPF111" s="96"/>
      <c r="RPG111" s="96"/>
      <c r="RPH111" s="96"/>
      <c r="RPI111" s="96"/>
      <c r="RPJ111" s="96"/>
      <c r="RPK111" s="96"/>
      <c r="RPL111" s="96"/>
      <c r="RPM111" s="96"/>
      <c r="RPN111" s="96"/>
      <c r="RPO111" s="96"/>
      <c r="RPP111" s="96"/>
      <c r="RPQ111" s="96"/>
      <c r="RPR111" s="96"/>
      <c r="RPS111" s="96"/>
      <c r="RPT111" s="96"/>
      <c r="RPU111" s="96"/>
      <c r="RPV111" s="95"/>
      <c r="RPW111" s="96"/>
      <c r="RPX111" s="96"/>
      <c r="RPY111" s="96"/>
      <c r="RPZ111" s="96"/>
      <c r="RQA111" s="96"/>
      <c r="RQB111" s="96"/>
      <c r="RQC111" s="96"/>
      <c r="RQD111" s="96"/>
      <c r="RQE111" s="96"/>
      <c r="RQF111" s="96"/>
      <c r="RQG111" s="96"/>
      <c r="RQH111" s="96"/>
      <c r="RQI111" s="96"/>
      <c r="RQJ111" s="96"/>
      <c r="RQK111" s="96"/>
      <c r="RQL111" s="96"/>
      <c r="RQM111" s="96"/>
      <c r="RQN111" s="96"/>
      <c r="RQO111" s="96"/>
      <c r="RQP111" s="96"/>
      <c r="RQQ111" s="96"/>
      <c r="RQR111" s="95"/>
      <c r="RQS111" s="96"/>
      <c r="RQT111" s="96"/>
      <c r="RQU111" s="96"/>
      <c r="RQV111" s="96"/>
      <c r="RQW111" s="96"/>
      <c r="RQX111" s="96"/>
      <c r="RQY111" s="96"/>
      <c r="RQZ111" s="96"/>
      <c r="RRA111" s="96"/>
      <c r="RRB111" s="96"/>
      <c r="RRC111" s="96"/>
      <c r="RRD111" s="96"/>
      <c r="RRE111" s="96"/>
      <c r="RRF111" s="96"/>
      <c r="RRG111" s="96"/>
      <c r="RRH111" s="96"/>
      <c r="RRI111" s="96"/>
      <c r="RRJ111" s="96"/>
      <c r="RRK111" s="96"/>
      <c r="RRL111" s="96"/>
      <c r="RRM111" s="96"/>
      <c r="RRN111" s="95"/>
      <c r="RRO111" s="96"/>
      <c r="RRP111" s="96"/>
      <c r="RRQ111" s="96"/>
      <c r="RRR111" s="96"/>
      <c r="RRS111" s="96"/>
      <c r="RRT111" s="96"/>
      <c r="RRU111" s="96"/>
      <c r="RRV111" s="96"/>
      <c r="RRW111" s="96"/>
      <c r="RRX111" s="96"/>
      <c r="RRY111" s="96"/>
      <c r="RRZ111" s="96"/>
      <c r="RSA111" s="96"/>
      <c r="RSB111" s="96"/>
      <c r="RSC111" s="96"/>
      <c r="RSD111" s="96"/>
      <c r="RSE111" s="96"/>
      <c r="RSF111" s="96"/>
      <c r="RSG111" s="96"/>
      <c r="RSH111" s="96"/>
      <c r="RSI111" s="96"/>
      <c r="RSJ111" s="95"/>
      <c r="RSK111" s="96"/>
      <c r="RSL111" s="96"/>
      <c r="RSM111" s="96"/>
      <c r="RSN111" s="96"/>
      <c r="RSO111" s="96"/>
      <c r="RSP111" s="96"/>
      <c r="RSQ111" s="96"/>
      <c r="RSR111" s="96"/>
      <c r="RSS111" s="96"/>
      <c r="RST111" s="96"/>
      <c r="RSU111" s="96"/>
      <c r="RSV111" s="96"/>
      <c r="RSW111" s="96"/>
      <c r="RSX111" s="96"/>
      <c r="RSY111" s="96"/>
      <c r="RSZ111" s="96"/>
      <c r="RTA111" s="96"/>
      <c r="RTB111" s="96"/>
      <c r="RTC111" s="96"/>
      <c r="RTD111" s="96"/>
      <c r="RTE111" s="96"/>
      <c r="RTF111" s="95"/>
      <c r="RTG111" s="96"/>
      <c r="RTH111" s="96"/>
      <c r="RTI111" s="96"/>
      <c r="RTJ111" s="96"/>
      <c r="RTK111" s="96"/>
      <c r="RTL111" s="96"/>
      <c r="RTM111" s="96"/>
      <c r="RTN111" s="96"/>
      <c r="RTO111" s="96"/>
      <c r="RTP111" s="96"/>
      <c r="RTQ111" s="96"/>
      <c r="RTR111" s="96"/>
      <c r="RTS111" s="96"/>
      <c r="RTT111" s="96"/>
      <c r="RTU111" s="96"/>
      <c r="RTV111" s="96"/>
      <c r="RTW111" s="96"/>
      <c r="RTX111" s="96"/>
      <c r="RTY111" s="96"/>
      <c r="RTZ111" s="96"/>
      <c r="RUA111" s="96"/>
      <c r="RUB111" s="95"/>
      <c r="RUC111" s="96"/>
      <c r="RUD111" s="96"/>
      <c r="RUE111" s="96"/>
      <c r="RUF111" s="96"/>
      <c r="RUG111" s="96"/>
      <c r="RUH111" s="96"/>
      <c r="RUI111" s="96"/>
      <c r="RUJ111" s="96"/>
      <c r="RUK111" s="96"/>
      <c r="RUL111" s="96"/>
      <c r="RUM111" s="96"/>
      <c r="RUN111" s="96"/>
      <c r="RUO111" s="96"/>
      <c r="RUP111" s="96"/>
      <c r="RUQ111" s="96"/>
      <c r="RUR111" s="96"/>
      <c r="RUS111" s="96"/>
      <c r="RUT111" s="96"/>
      <c r="RUU111" s="96"/>
      <c r="RUV111" s="96"/>
      <c r="RUW111" s="96"/>
      <c r="RUX111" s="95"/>
      <c r="RUY111" s="96"/>
      <c r="RUZ111" s="96"/>
      <c r="RVA111" s="96"/>
      <c r="RVB111" s="96"/>
      <c r="RVC111" s="96"/>
      <c r="RVD111" s="96"/>
      <c r="RVE111" s="96"/>
      <c r="RVF111" s="96"/>
      <c r="RVG111" s="96"/>
      <c r="RVH111" s="96"/>
      <c r="RVI111" s="96"/>
      <c r="RVJ111" s="96"/>
      <c r="RVK111" s="96"/>
      <c r="RVL111" s="96"/>
      <c r="RVM111" s="96"/>
      <c r="RVN111" s="96"/>
      <c r="RVO111" s="96"/>
      <c r="RVP111" s="96"/>
      <c r="RVQ111" s="96"/>
      <c r="RVR111" s="96"/>
      <c r="RVS111" s="96"/>
      <c r="RVT111" s="95"/>
      <c r="RVU111" s="96"/>
      <c r="RVV111" s="96"/>
      <c r="RVW111" s="96"/>
      <c r="RVX111" s="96"/>
      <c r="RVY111" s="96"/>
      <c r="RVZ111" s="96"/>
      <c r="RWA111" s="96"/>
      <c r="RWB111" s="96"/>
      <c r="RWC111" s="96"/>
      <c r="RWD111" s="96"/>
      <c r="RWE111" s="96"/>
      <c r="RWF111" s="96"/>
      <c r="RWG111" s="96"/>
      <c r="RWH111" s="96"/>
      <c r="RWI111" s="96"/>
      <c r="RWJ111" s="96"/>
      <c r="RWK111" s="96"/>
      <c r="RWL111" s="96"/>
      <c r="RWM111" s="96"/>
      <c r="RWN111" s="96"/>
      <c r="RWO111" s="96"/>
      <c r="RWP111" s="95"/>
      <c r="RWQ111" s="96"/>
      <c r="RWR111" s="96"/>
      <c r="RWS111" s="96"/>
      <c r="RWT111" s="96"/>
      <c r="RWU111" s="96"/>
      <c r="RWV111" s="96"/>
      <c r="RWW111" s="96"/>
      <c r="RWX111" s="96"/>
      <c r="RWY111" s="96"/>
      <c r="RWZ111" s="96"/>
      <c r="RXA111" s="96"/>
      <c r="RXB111" s="96"/>
      <c r="RXC111" s="96"/>
      <c r="RXD111" s="96"/>
      <c r="RXE111" s="96"/>
      <c r="RXF111" s="96"/>
      <c r="RXG111" s="96"/>
      <c r="RXH111" s="96"/>
      <c r="RXI111" s="96"/>
      <c r="RXJ111" s="96"/>
      <c r="RXK111" s="96"/>
      <c r="RXL111" s="95"/>
      <c r="RXM111" s="96"/>
      <c r="RXN111" s="96"/>
      <c r="RXO111" s="96"/>
      <c r="RXP111" s="96"/>
      <c r="RXQ111" s="96"/>
      <c r="RXR111" s="96"/>
      <c r="RXS111" s="96"/>
      <c r="RXT111" s="96"/>
      <c r="RXU111" s="96"/>
      <c r="RXV111" s="96"/>
      <c r="RXW111" s="96"/>
      <c r="RXX111" s="96"/>
      <c r="RXY111" s="96"/>
      <c r="RXZ111" s="96"/>
      <c r="RYA111" s="96"/>
      <c r="RYB111" s="96"/>
      <c r="RYC111" s="96"/>
      <c r="RYD111" s="96"/>
      <c r="RYE111" s="96"/>
      <c r="RYF111" s="96"/>
      <c r="RYG111" s="96"/>
      <c r="RYH111" s="95"/>
      <c r="RYI111" s="96"/>
      <c r="RYJ111" s="96"/>
      <c r="RYK111" s="96"/>
      <c r="RYL111" s="96"/>
      <c r="RYM111" s="96"/>
      <c r="RYN111" s="96"/>
      <c r="RYO111" s="96"/>
      <c r="RYP111" s="96"/>
      <c r="RYQ111" s="96"/>
      <c r="RYR111" s="96"/>
      <c r="RYS111" s="96"/>
      <c r="RYT111" s="96"/>
      <c r="RYU111" s="96"/>
      <c r="RYV111" s="96"/>
      <c r="RYW111" s="96"/>
      <c r="RYX111" s="96"/>
      <c r="RYY111" s="96"/>
      <c r="RYZ111" s="96"/>
      <c r="RZA111" s="96"/>
      <c r="RZB111" s="96"/>
      <c r="RZC111" s="96"/>
      <c r="RZD111" s="95"/>
      <c r="RZE111" s="96"/>
      <c r="RZF111" s="96"/>
      <c r="RZG111" s="96"/>
      <c r="RZH111" s="96"/>
      <c r="RZI111" s="96"/>
      <c r="RZJ111" s="96"/>
      <c r="RZK111" s="96"/>
      <c r="RZL111" s="96"/>
      <c r="RZM111" s="96"/>
      <c r="RZN111" s="96"/>
      <c r="RZO111" s="96"/>
      <c r="RZP111" s="96"/>
      <c r="RZQ111" s="96"/>
      <c r="RZR111" s="96"/>
      <c r="RZS111" s="96"/>
      <c r="RZT111" s="96"/>
      <c r="RZU111" s="96"/>
      <c r="RZV111" s="96"/>
      <c r="RZW111" s="96"/>
      <c r="RZX111" s="96"/>
      <c r="RZY111" s="96"/>
      <c r="RZZ111" s="95"/>
      <c r="SAA111" s="96"/>
      <c r="SAB111" s="96"/>
      <c r="SAC111" s="96"/>
      <c r="SAD111" s="96"/>
      <c r="SAE111" s="96"/>
      <c r="SAF111" s="96"/>
      <c r="SAG111" s="96"/>
      <c r="SAH111" s="96"/>
      <c r="SAI111" s="96"/>
      <c r="SAJ111" s="96"/>
      <c r="SAK111" s="96"/>
      <c r="SAL111" s="96"/>
      <c r="SAM111" s="96"/>
      <c r="SAN111" s="96"/>
      <c r="SAO111" s="96"/>
      <c r="SAP111" s="96"/>
      <c r="SAQ111" s="96"/>
      <c r="SAR111" s="96"/>
      <c r="SAS111" s="96"/>
      <c r="SAT111" s="96"/>
      <c r="SAU111" s="96"/>
      <c r="SAV111" s="95"/>
      <c r="SAW111" s="96"/>
      <c r="SAX111" s="96"/>
      <c r="SAY111" s="96"/>
      <c r="SAZ111" s="96"/>
      <c r="SBA111" s="96"/>
      <c r="SBB111" s="96"/>
      <c r="SBC111" s="96"/>
      <c r="SBD111" s="96"/>
      <c r="SBE111" s="96"/>
      <c r="SBF111" s="96"/>
      <c r="SBG111" s="96"/>
      <c r="SBH111" s="96"/>
      <c r="SBI111" s="96"/>
      <c r="SBJ111" s="96"/>
      <c r="SBK111" s="96"/>
      <c r="SBL111" s="96"/>
      <c r="SBM111" s="96"/>
      <c r="SBN111" s="96"/>
      <c r="SBO111" s="96"/>
      <c r="SBP111" s="96"/>
      <c r="SBQ111" s="96"/>
      <c r="SBR111" s="95"/>
      <c r="SBS111" s="96"/>
      <c r="SBT111" s="96"/>
      <c r="SBU111" s="96"/>
      <c r="SBV111" s="96"/>
      <c r="SBW111" s="96"/>
      <c r="SBX111" s="96"/>
      <c r="SBY111" s="96"/>
      <c r="SBZ111" s="96"/>
      <c r="SCA111" s="96"/>
      <c r="SCB111" s="96"/>
      <c r="SCC111" s="96"/>
      <c r="SCD111" s="96"/>
      <c r="SCE111" s="96"/>
      <c r="SCF111" s="96"/>
      <c r="SCG111" s="96"/>
      <c r="SCH111" s="96"/>
      <c r="SCI111" s="96"/>
      <c r="SCJ111" s="96"/>
      <c r="SCK111" s="96"/>
      <c r="SCL111" s="96"/>
      <c r="SCM111" s="96"/>
      <c r="SCN111" s="95"/>
      <c r="SCO111" s="96"/>
      <c r="SCP111" s="96"/>
      <c r="SCQ111" s="96"/>
      <c r="SCR111" s="96"/>
      <c r="SCS111" s="96"/>
      <c r="SCT111" s="96"/>
      <c r="SCU111" s="96"/>
      <c r="SCV111" s="96"/>
      <c r="SCW111" s="96"/>
      <c r="SCX111" s="96"/>
      <c r="SCY111" s="96"/>
      <c r="SCZ111" s="96"/>
      <c r="SDA111" s="96"/>
      <c r="SDB111" s="96"/>
      <c r="SDC111" s="96"/>
      <c r="SDD111" s="96"/>
      <c r="SDE111" s="96"/>
      <c r="SDF111" s="96"/>
      <c r="SDG111" s="96"/>
      <c r="SDH111" s="96"/>
      <c r="SDI111" s="96"/>
      <c r="SDJ111" s="95"/>
      <c r="SDK111" s="96"/>
      <c r="SDL111" s="96"/>
      <c r="SDM111" s="96"/>
      <c r="SDN111" s="96"/>
      <c r="SDO111" s="96"/>
      <c r="SDP111" s="96"/>
      <c r="SDQ111" s="96"/>
      <c r="SDR111" s="96"/>
      <c r="SDS111" s="96"/>
      <c r="SDT111" s="96"/>
      <c r="SDU111" s="96"/>
      <c r="SDV111" s="96"/>
      <c r="SDW111" s="96"/>
      <c r="SDX111" s="96"/>
      <c r="SDY111" s="96"/>
      <c r="SDZ111" s="96"/>
      <c r="SEA111" s="96"/>
      <c r="SEB111" s="96"/>
      <c r="SEC111" s="96"/>
      <c r="SED111" s="96"/>
      <c r="SEE111" s="96"/>
      <c r="SEF111" s="95"/>
      <c r="SEG111" s="96"/>
      <c r="SEH111" s="96"/>
      <c r="SEI111" s="96"/>
      <c r="SEJ111" s="96"/>
      <c r="SEK111" s="96"/>
      <c r="SEL111" s="96"/>
      <c r="SEM111" s="96"/>
      <c r="SEN111" s="96"/>
      <c r="SEO111" s="96"/>
      <c r="SEP111" s="96"/>
      <c r="SEQ111" s="96"/>
      <c r="SER111" s="96"/>
      <c r="SES111" s="96"/>
      <c r="SET111" s="96"/>
      <c r="SEU111" s="96"/>
      <c r="SEV111" s="96"/>
      <c r="SEW111" s="96"/>
      <c r="SEX111" s="96"/>
      <c r="SEY111" s="96"/>
      <c r="SEZ111" s="96"/>
      <c r="SFA111" s="96"/>
      <c r="SFB111" s="95"/>
      <c r="SFC111" s="96"/>
      <c r="SFD111" s="96"/>
      <c r="SFE111" s="96"/>
      <c r="SFF111" s="96"/>
      <c r="SFG111" s="96"/>
      <c r="SFH111" s="96"/>
      <c r="SFI111" s="96"/>
      <c r="SFJ111" s="96"/>
      <c r="SFK111" s="96"/>
      <c r="SFL111" s="96"/>
      <c r="SFM111" s="96"/>
      <c r="SFN111" s="96"/>
      <c r="SFO111" s="96"/>
      <c r="SFP111" s="96"/>
      <c r="SFQ111" s="96"/>
      <c r="SFR111" s="96"/>
      <c r="SFS111" s="96"/>
      <c r="SFT111" s="96"/>
      <c r="SFU111" s="96"/>
      <c r="SFV111" s="96"/>
      <c r="SFW111" s="96"/>
      <c r="SFX111" s="95"/>
      <c r="SFY111" s="96"/>
      <c r="SFZ111" s="96"/>
      <c r="SGA111" s="96"/>
      <c r="SGB111" s="96"/>
      <c r="SGC111" s="96"/>
      <c r="SGD111" s="96"/>
      <c r="SGE111" s="96"/>
      <c r="SGF111" s="96"/>
      <c r="SGG111" s="96"/>
      <c r="SGH111" s="96"/>
      <c r="SGI111" s="96"/>
      <c r="SGJ111" s="96"/>
      <c r="SGK111" s="96"/>
      <c r="SGL111" s="96"/>
      <c r="SGM111" s="96"/>
      <c r="SGN111" s="96"/>
      <c r="SGO111" s="96"/>
      <c r="SGP111" s="96"/>
      <c r="SGQ111" s="96"/>
      <c r="SGR111" s="96"/>
      <c r="SGS111" s="96"/>
      <c r="SGT111" s="95"/>
      <c r="SGU111" s="96"/>
      <c r="SGV111" s="96"/>
      <c r="SGW111" s="96"/>
      <c r="SGX111" s="96"/>
      <c r="SGY111" s="96"/>
      <c r="SGZ111" s="96"/>
      <c r="SHA111" s="96"/>
      <c r="SHB111" s="96"/>
      <c r="SHC111" s="96"/>
      <c r="SHD111" s="96"/>
      <c r="SHE111" s="96"/>
      <c r="SHF111" s="96"/>
      <c r="SHG111" s="96"/>
      <c r="SHH111" s="96"/>
      <c r="SHI111" s="96"/>
      <c r="SHJ111" s="96"/>
      <c r="SHK111" s="96"/>
      <c r="SHL111" s="96"/>
      <c r="SHM111" s="96"/>
      <c r="SHN111" s="96"/>
      <c r="SHO111" s="96"/>
      <c r="SHP111" s="95"/>
      <c r="SHQ111" s="96"/>
      <c r="SHR111" s="96"/>
      <c r="SHS111" s="96"/>
      <c r="SHT111" s="96"/>
      <c r="SHU111" s="96"/>
      <c r="SHV111" s="96"/>
      <c r="SHW111" s="96"/>
      <c r="SHX111" s="96"/>
      <c r="SHY111" s="96"/>
      <c r="SHZ111" s="96"/>
      <c r="SIA111" s="96"/>
      <c r="SIB111" s="96"/>
      <c r="SIC111" s="96"/>
      <c r="SID111" s="96"/>
      <c r="SIE111" s="96"/>
      <c r="SIF111" s="96"/>
      <c r="SIG111" s="96"/>
      <c r="SIH111" s="96"/>
      <c r="SII111" s="96"/>
      <c r="SIJ111" s="96"/>
      <c r="SIK111" s="96"/>
      <c r="SIL111" s="95"/>
      <c r="SIM111" s="96"/>
      <c r="SIN111" s="96"/>
      <c r="SIO111" s="96"/>
      <c r="SIP111" s="96"/>
      <c r="SIQ111" s="96"/>
      <c r="SIR111" s="96"/>
      <c r="SIS111" s="96"/>
      <c r="SIT111" s="96"/>
      <c r="SIU111" s="96"/>
      <c r="SIV111" s="96"/>
      <c r="SIW111" s="96"/>
      <c r="SIX111" s="96"/>
      <c r="SIY111" s="96"/>
      <c r="SIZ111" s="96"/>
      <c r="SJA111" s="96"/>
      <c r="SJB111" s="96"/>
      <c r="SJC111" s="96"/>
      <c r="SJD111" s="96"/>
      <c r="SJE111" s="96"/>
      <c r="SJF111" s="96"/>
      <c r="SJG111" s="96"/>
      <c r="SJH111" s="95"/>
      <c r="SJI111" s="96"/>
      <c r="SJJ111" s="96"/>
      <c r="SJK111" s="96"/>
      <c r="SJL111" s="96"/>
      <c r="SJM111" s="96"/>
      <c r="SJN111" s="96"/>
      <c r="SJO111" s="96"/>
      <c r="SJP111" s="96"/>
      <c r="SJQ111" s="96"/>
      <c r="SJR111" s="96"/>
      <c r="SJS111" s="96"/>
      <c r="SJT111" s="96"/>
      <c r="SJU111" s="96"/>
      <c r="SJV111" s="96"/>
      <c r="SJW111" s="96"/>
      <c r="SJX111" s="96"/>
      <c r="SJY111" s="96"/>
      <c r="SJZ111" s="96"/>
      <c r="SKA111" s="96"/>
      <c r="SKB111" s="96"/>
      <c r="SKC111" s="96"/>
      <c r="SKD111" s="95"/>
      <c r="SKE111" s="96"/>
      <c r="SKF111" s="96"/>
      <c r="SKG111" s="96"/>
      <c r="SKH111" s="96"/>
      <c r="SKI111" s="96"/>
      <c r="SKJ111" s="96"/>
      <c r="SKK111" s="96"/>
      <c r="SKL111" s="96"/>
      <c r="SKM111" s="96"/>
      <c r="SKN111" s="96"/>
      <c r="SKO111" s="96"/>
      <c r="SKP111" s="96"/>
      <c r="SKQ111" s="96"/>
      <c r="SKR111" s="96"/>
      <c r="SKS111" s="96"/>
      <c r="SKT111" s="96"/>
      <c r="SKU111" s="96"/>
      <c r="SKV111" s="96"/>
      <c r="SKW111" s="96"/>
      <c r="SKX111" s="96"/>
      <c r="SKY111" s="96"/>
      <c r="SKZ111" s="95"/>
      <c r="SLA111" s="96"/>
      <c r="SLB111" s="96"/>
      <c r="SLC111" s="96"/>
      <c r="SLD111" s="96"/>
      <c r="SLE111" s="96"/>
      <c r="SLF111" s="96"/>
      <c r="SLG111" s="96"/>
      <c r="SLH111" s="96"/>
      <c r="SLI111" s="96"/>
      <c r="SLJ111" s="96"/>
      <c r="SLK111" s="96"/>
      <c r="SLL111" s="96"/>
      <c r="SLM111" s="96"/>
      <c r="SLN111" s="96"/>
      <c r="SLO111" s="96"/>
      <c r="SLP111" s="96"/>
      <c r="SLQ111" s="96"/>
      <c r="SLR111" s="96"/>
      <c r="SLS111" s="96"/>
      <c r="SLT111" s="96"/>
      <c r="SLU111" s="96"/>
      <c r="SLV111" s="95"/>
      <c r="SLW111" s="96"/>
      <c r="SLX111" s="96"/>
      <c r="SLY111" s="96"/>
      <c r="SLZ111" s="96"/>
      <c r="SMA111" s="96"/>
      <c r="SMB111" s="96"/>
      <c r="SMC111" s="96"/>
      <c r="SMD111" s="96"/>
      <c r="SME111" s="96"/>
      <c r="SMF111" s="96"/>
      <c r="SMG111" s="96"/>
      <c r="SMH111" s="96"/>
      <c r="SMI111" s="96"/>
      <c r="SMJ111" s="96"/>
      <c r="SMK111" s="96"/>
      <c r="SML111" s="96"/>
      <c r="SMM111" s="96"/>
      <c r="SMN111" s="96"/>
      <c r="SMO111" s="96"/>
      <c r="SMP111" s="96"/>
      <c r="SMQ111" s="96"/>
      <c r="SMR111" s="95"/>
      <c r="SMS111" s="96"/>
      <c r="SMT111" s="96"/>
      <c r="SMU111" s="96"/>
      <c r="SMV111" s="96"/>
      <c r="SMW111" s="96"/>
      <c r="SMX111" s="96"/>
      <c r="SMY111" s="96"/>
      <c r="SMZ111" s="96"/>
      <c r="SNA111" s="96"/>
      <c r="SNB111" s="96"/>
      <c r="SNC111" s="96"/>
      <c r="SND111" s="96"/>
      <c r="SNE111" s="96"/>
      <c r="SNF111" s="96"/>
      <c r="SNG111" s="96"/>
      <c r="SNH111" s="96"/>
      <c r="SNI111" s="96"/>
      <c r="SNJ111" s="96"/>
      <c r="SNK111" s="96"/>
      <c r="SNL111" s="96"/>
      <c r="SNM111" s="96"/>
      <c r="SNN111" s="95"/>
      <c r="SNO111" s="96"/>
      <c r="SNP111" s="96"/>
      <c r="SNQ111" s="96"/>
      <c r="SNR111" s="96"/>
      <c r="SNS111" s="96"/>
      <c r="SNT111" s="96"/>
      <c r="SNU111" s="96"/>
      <c r="SNV111" s="96"/>
      <c r="SNW111" s="96"/>
      <c r="SNX111" s="96"/>
      <c r="SNY111" s="96"/>
      <c r="SNZ111" s="96"/>
      <c r="SOA111" s="96"/>
      <c r="SOB111" s="96"/>
      <c r="SOC111" s="96"/>
      <c r="SOD111" s="96"/>
      <c r="SOE111" s="96"/>
      <c r="SOF111" s="96"/>
      <c r="SOG111" s="96"/>
      <c r="SOH111" s="96"/>
      <c r="SOI111" s="96"/>
      <c r="SOJ111" s="95"/>
      <c r="SOK111" s="96"/>
      <c r="SOL111" s="96"/>
      <c r="SOM111" s="96"/>
      <c r="SON111" s="96"/>
      <c r="SOO111" s="96"/>
      <c r="SOP111" s="96"/>
      <c r="SOQ111" s="96"/>
      <c r="SOR111" s="96"/>
      <c r="SOS111" s="96"/>
      <c r="SOT111" s="96"/>
      <c r="SOU111" s="96"/>
      <c r="SOV111" s="96"/>
      <c r="SOW111" s="96"/>
      <c r="SOX111" s="96"/>
      <c r="SOY111" s="96"/>
      <c r="SOZ111" s="96"/>
      <c r="SPA111" s="96"/>
      <c r="SPB111" s="96"/>
      <c r="SPC111" s="96"/>
      <c r="SPD111" s="96"/>
      <c r="SPE111" s="96"/>
      <c r="SPF111" s="95"/>
      <c r="SPG111" s="96"/>
      <c r="SPH111" s="96"/>
      <c r="SPI111" s="96"/>
      <c r="SPJ111" s="96"/>
      <c r="SPK111" s="96"/>
      <c r="SPL111" s="96"/>
      <c r="SPM111" s="96"/>
      <c r="SPN111" s="96"/>
      <c r="SPO111" s="96"/>
      <c r="SPP111" s="96"/>
      <c r="SPQ111" s="96"/>
      <c r="SPR111" s="96"/>
      <c r="SPS111" s="96"/>
      <c r="SPT111" s="96"/>
      <c r="SPU111" s="96"/>
      <c r="SPV111" s="96"/>
      <c r="SPW111" s="96"/>
      <c r="SPX111" s="96"/>
      <c r="SPY111" s="96"/>
      <c r="SPZ111" s="96"/>
      <c r="SQA111" s="96"/>
      <c r="SQB111" s="95"/>
      <c r="SQC111" s="96"/>
      <c r="SQD111" s="96"/>
      <c r="SQE111" s="96"/>
      <c r="SQF111" s="96"/>
      <c r="SQG111" s="96"/>
      <c r="SQH111" s="96"/>
      <c r="SQI111" s="96"/>
      <c r="SQJ111" s="96"/>
      <c r="SQK111" s="96"/>
      <c r="SQL111" s="96"/>
      <c r="SQM111" s="96"/>
      <c r="SQN111" s="96"/>
      <c r="SQO111" s="96"/>
      <c r="SQP111" s="96"/>
      <c r="SQQ111" s="96"/>
      <c r="SQR111" s="96"/>
      <c r="SQS111" s="96"/>
      <c r="SQT111" s="96"/>
      <c r="SQU111" s="96"/>
      <c r="SQV111" s="96"/>
      <c r="SQW111" s="96"/>
      <c r="SQX111" s="95"/>
      <c r="SQY111" s="96"/>
      <c r="SQZ111" s="96"/>
      <c r="SRA111" s="96"/>
      <c r="SRB111" s="96"/>
      <c r="SRC111" s="96"/>
      <c r="SRD111" s="96"/>
      <c r="SRE111" s="96"/>
      <c r="SRF111" s="96"/>
      <c r="SRG111" s="96"/>
      <c r="SRH111" s="96"/>
      <c r="SRI111" s="96"/>
      <c r="SRJ111" s="96"/>
      <c r="SRK111" s="96"/>
      <c r="SRL111" s="96"/>
      <c r="SRM111" s="96"/>
      <c r="SRN111" s="96"/>
      <c r="SRO111" s="96"/>
      <c r="SRP111" s="96"/>
      <c r="SRQ111" s="96"/>
      <c r="SRR111" s="96"/>
      <c r="SRS111" s="96"/>
      <c r="SRT111" s="95"/>
      <c r="SRU111" s="96"/>
      <c r="SRV111" s="96"/>
      <c r="SRW111" s="96"/>
      <c r="SRX111" s="96"/>
      <c r="SRY111" s="96"/>
      <c r="SRZ111" s="96"/>
      <c r="SSA111" s="96"/>
      <c r="SSB111" s="96"/>
      <c r="SSC111" s="96"/>
      <c r="SSD111" s="96"/>
      <c r="SSE111" s="96"/>
      <c r="SSF111" s="96"/>
      <c r="SSG111" s="96"/>
      <c r="SSH111" s="96"/>
      <c r="SSI111" s="96"/>
      <c r="SSJ111" s="96"/>
      <c r="SSK111" s="96"/>
      <c r="SSL111" s="96"/>
      <c r="SSM111" s="96"/>
      <c r="SSN111" s="96"/>
      <c r="SSO111" s="96"/>
      <c r="SSP111" s="95"/>
      <c r="SSQ111" s="96"/>
      <c r="SSR111" s="96"/>
      <c r="SSS111" s="96"/>
      <c r="SST111" s="96"/>
      <c r="SSU111" s="96"/>
      <c r="SSV111" s="96"/>
      <c r="SSW111" s="96"/>
      <c r="SSX111" s="96"/>
      <c r="SSY111" s="96"/>
      <c r="SSZ111" s="96"/>
      <c r="STA111" s="96"/>
      <c r="STB111" s="96"/>
      <c r="STC111" s="96"/>
      <c r="STD111" s="96"/>
      <c r="STE111" s="96"/>
      <c r="STF111" s="96"/>
      <c r="STG111" s="96"/>
      <c r="STH111" s="96"/>
      <c r="STI111" s="96"/>
      <c r="STJ111" s="96"/>
      <c r="STK111" s="96"/>
      <c r="STL111" s="95"/>
      <c r="STM111" s="96"/>
      <c r="STN111" s="96"/>
      <c r="STO111" s="96"/>
      <c r="STP111" s="96"/>
      <c r="STQ111" s="96"/>
      <c r="STR111" s="96"/>
      <c r="STS111" s="96"/>
      <c r="STT111" s="96"/>
      <c r="STU111" s="96"/>
      <c r="STV111" s="96"/>
      <c r="STW111" s="96"/>
      <c r="STX111" s="96"/>
      <c r="STY111" s="96"/>
      <c r="STZ111" s="96"/>
      <c r="SUA111" s="96"/>
      <c r="SUB111" s="96"/>
      <c r="SUC111" s="96"/>
      <c r="SUD111" s="96"/>
      <c r="SUE111" s="96"/>
      <c r="SUF111" s="96"/>
      <c r="SUG111" s="96"/>
      <c r="SUH111" s="95"/>
      <c r="SUI111" s="96"/>
      <c r="SUJ111" s="96"/>
      <c r="SUK111" s="96"/>
      <c r="SUL111" s="96"/>
      <c r="SUM111" s="96"/>
      <c r="SUN111" s="96"/>
      <c r="SUO111" s="96"/>
      <c r="SUP111" s="96"/>
      <c r="SUQ111" s="96"/>
      <c r="SUR111" s="96"/>
      <c r="SUS111" s="96"/>
      <c r="SUT111" s="96"/>
      <c r="SUU111" s="96"/>
      <c r="SUV111" s="96"/>
      <c r="SUW111" s="96"/>
      <c r="SUX111" s="96"/>
      <c r="SUY111" s="96"/>
      <c r="SUZ111" s="96"/>
      <c r="SVA111" s="96"/>
      <c r="SVB111" s="96"/>
      <c r="SVC111" s="96"/>
      <c r="SVD111" s="95"/>
      <c r="SVE111" s="96"/>
      <c r="SVF111" s="96"/>
      <c r="SVG111" s="96"/>
      <c r="SVH111" s="96"/>
      <c r="SVI111" s="96"/>
      <c r="SVJ111" s="96"/>
      <c r="SVK111" s="96"/>
      <c r="SVL111" s="96"/>
      <c r="SVM111" s="96"/>
      <c r="SVN111" s="96"/>
      <c r="SVO111" s="96"/>
      <c r="SVP111" s="96"/>
      <c r="SVQ111" s="96"/>
      <c r="SVR111" s="96"/>
      <c r="SVS111" s="96"/>
      <c r="SVT111" s="96"/>
      <c r="SVU111" s="96"/>
      <c r="SVV111" s="96"/>
      <c r="SVW111" s="96"/>
      <c r="SVX111" s="96"/>
      <c r="SVY111" s="96"/>
      <c r="SVZ111" s="95"/>
      <c r="SWA111" s="96"/>
      <c r="SWB111" s="96"/>
      <c r="SWC111" s="96"/>
      <c r="SWD111" s="96"/>
      <c r="SWE111" s="96"/>
      <c r="SWF111" s="96"/>
      <c r="SWG111" s="96"/>
      <c r="SWH111" s="96"/>
      <c r="SWI111" s="96"/>
      <c r="SWJ111" s="96"/>
      <c r="SWK111" s="96"/>
      <c r="SWL111" s="96"/>
      <c r="SWM111" s="96"/>
      <c r="SWN111" s="96"/>
      <c r="SWO111" s="96"/>
      <c r="SWP111" s="96"/>
      <c r="SWQ111" s="96"/>
      <c r="SWR111" s="96"/>
      <c r="SWS111" s="96"/>
      <c r="SWT111" s="96"/>
      <c r="SWU111" s="96"/>
      <c r="SWV111" s="95"/>
      <c r="SWW111" s="96"/>
      <c r="SWX111" s="96"/>
      <c r="SWY111" s="96"/>
      <c r="SWZ111" s="96"/>
      <c r="SXA111" s="96"/>
      <c r="SXB111" s="96"/>
      <c r="SXC111" s="96"/>
      <c r="SXD111" s="96"/>
      <c r="SXE111" s="96"/>
      <c r="SXF111" s="96"/>
      <c r="SXG111" s="96"/>
      <c r="SXH111" s="96"/>
      <c r="SXI111" s="96"/>
      <c r="SXJ111" s="96"/>
      <c r="SXK111" s="96"/>
      <c r="SXL111" s="96"/>
      <c r="SXM111" s="96"/>
      <c r="SXN111" s="96"/>
      <c r="SXO111" s="96"/>
      <c r="SXP111" s="96"/>
      <c r="SXQ111" s="96"/>
      <c r="SXR111" s="95"/>
      <c r="SXS111" s="96"/>
      <c r="SXT111" s="96"/>
      <c r="SXU111" s="96"/>
      <c r="SXV111" s="96"/>
      <c r="SXW111" s="96"/>
      <c r="SXX111" s="96"/>
      <c r="SXY111" s="96"/>
      <c r="SXZ111" s="96"/>
      <c r="SYA111" s="96"/>
      <c r="SYB111" s="96"/>
      <c r="SYC111" s="96"/>
      <c r="SYD111" s="96"/>
      <c r="SYE111" s="96"/>
      <c r="SYF111" s="96"/>
      <c r="SYG111" s="96"/>
      <c r="SYH111" s="96"/>
      <c r="SYI111" s="96"/>
      <c r="SYJ111" s="96"/>
      <c r="SYK111" s="96"/>
      <c r="SYL111" s="96"/>
      <c r="SYM111" s="96"/>
      <c r="SYN111" s="95"/>
      <c r="SYO111" s="96"/>
      <c r="SYP111" s="96"/>
      <c r="SYQ111" s="96"/>
      <c r="SYR111" s="96"/>
      <c r="SYS111" s="96"/>
      <c r="SYT111" s="96"/>
      <c r="SYU111" s="96"/>
      <c r="SYV111" s="96"/>
      <c r="SYW111" s="96"/>
      <c r="SYX111" s="96"/>
      <c r="SYY111" s="96"/>
      <c r="SYZ111" s="96"/>
      <c r="SZA111" s="96"/>
      <c r="SZB111" s="96"/>
      <c r="SZC111" s="96"/>
      <c r="SZD111" s="96"/>
      <c r="SZE111" s="96"/>
      <c r="SZF111" s="96"/>
      <c r="SZG111" s="96"/>
      <c r="SZH111" s="96"/>
      <c r="SZI111" s="96"/>
      <c r="SZJ111" s="95"/>
      <c r="SZK111" s="96"/>
      <c r="SZL111" s="96"/>
      <c r="SZM111" s="96"/>
      <c r="SZN111" s="96"/>
      <c r="SZO111" s="96"/>
      <c r="SZP111" s="96"/>
      <c r="SZQ111" s="96"/>
      <c r="SZR111" s="96"/>
      <c r="SZS111" s="96"/>
      <c r="SZT111" s="96"/>
      <c r="SZU111" s="96"/>
      <c r="SZV111" s="96"/>
      <c r="SZW111" s="96"/>
      <c r="SZX111" s="96"/>
      <c r="SZY111" s="96"/>
      <c r="SZZ111" s="96"/>
      <c r="TAA111" s="96"/>
      <c r="TAB111" s="96"/>
      <c r="TAC111" s="96"/>
      <c r="TAD111" s="96"/>
      <c r="TAE111" s="96"/>
      <c r="TAF111" s="95"/>
      <c r="TAG111" s="96"/>
      <c r="TAH111" s="96"/>
      <c r="TAI111" s="96"/>
      <c r="TAJ111" s="96"/>
      <c r="TAK111" s="96"/>
      <c r="TAL111" s="96"/>
      <c r="TAM111" s="96"/>
      <c r="TAN111" s="96"/>
      <c r="TAO111" s="96"/>
      <c r="TAP111" s="96"/>
      <c r="TAQ111" s="96"/>
      <c r="TAR111" s="96"/>
      <c r="TAS111" s="96"/>
      <c r="TAT111" s="96"/>
      <c r="TAU111" s="96"/>
      <c r="TAV111" s="96"/>
      <c r="TAW111" s="96"/>
      <c r="TAX111" s="96"/>
      <c r="TAY111" s="96"/>
      <c r="TAZ111" s="96"/>
      <c r="TBA111" s="96"/>
      <c r="TBB111" s="95"/>
      <c r="TBC111" s="96"/>
      <c r="TBD111" s="96"/>
      <c r="TBE111" s="96"/>
      <c r="TBF111" s="96"/>
      <c r="TBG111" s="96"/>
      <c r="TBH111" s="96"/>
      <c r="TBI111" s="96"/>
      <c r="TBJ111" s="96"/>
      <c r="TBK111" s="96"/>
      <c r="TBL111" s="96"/>
      <c r="TBM111" s="96"/>
      <c r="TBN111" s="96"/>
      <c r="TBO111" s="96"/>
      <c r="TBP111" s="96"/>
      <c r="TBQ111" s="96"/>
      <c r="TBR111" s="96"/>
      <c r="TBS111" s="96"/>
      <c r="TBT111" s="96"/>
      <c r="TBU111" s="96"/>
      <c r="TBV111" s="96"/>
      <c r="TBW111" s="96"/>
      <c r="TBX111" s="95"/>
      <c r="TBY111" s="96"/>
      <c r="TBZ111" s="96"/>
      <c r="TCA111" s="96"/>
      <c r="TCB111" s="96"/>
      <c r="TCC111" s="96"/>
      <c r="TCD111" s="96"/>
      <c r="TCE111" s="96"/>
      <c r="TCF111" s="96"/>
      <c r="TCG111" s="96"/>
      <c r="TCH111" s="96"/>
      <c r="TCI111" s="96"/>
      <c r="TCJ111" s="96"/>
      <c r="TCK111" s="96"/>
      <c r="TCL111" s="96"/>
      <c r="TCM111" s="96"/>
      <c r="TCN111" s="96"/>
      <c r="TCO111" s="96"/>
      <c r="TCP111" s="96"/>
      <c r="TCQ111" s="96"/>
      <c r="TCR111" s="96"/>
      <c r="TCS111" s="96"/>
      <c r="TCT111" s="95"/>
      <c r="TCU111" s="96"/>
      <c r="TCV111" s="96"/>
      <c r="TCW111" s="96"/>
      <c r="TCX111" s="96"/>
      <c r="TCY111" s="96"/>
      <c r="TCZ111" s="96"/>
      <c r="TDA111" s="96"/>
      <c r="TDB111" s="96"/>
      <c r="TDC111" s="96"/>
      <c r="TDD111" s="96"/>
      <c r="TDE111" s="96"/>
      <c r="TDF111" s="96"/>
      <c r="TDG111" s="96"/>
      <c r="TDH111" s="96"/>
      <c r="TDI111" s="96"/>
      <c r="TDJ111" s="96"/>
      <c r="TDK111" s="96"/>
      <c r="TDL111" s="96"/>
      <c r="TDM111" s="96"/>
      <c r="TDN111" s="96"/>
      <c r="TDO111" s="96"/>
      <c r="TDP111" s="95"/>
      <c r="TDQ111" s="96"/>
      <c r="TDR111" s="96"/>
      <c r="TDS111" s="96"/>
      <c r="TDT111" s="96"/>
      <c r="TDU111" s="96"/>
      <c r="TDV111" s="96"/>
      <c r="TDW111" s="96"/>
      <c r="TDX111" s="96"/>
      <c r="TDY111" s="96"/>
      <c r="TDZ111" s="96"/>
      <c r="TEA111" s="96"/>
      <c r="TEB111" s="96"/>
      <c r="TEC111" s="96"/>
      <c r="TED111" s="96"/>
      <c r="TEE111" s="96"/>
      <c r="TEF111" s="96"/>
      <c r="TEG111" s="96"/>
      <c r="TEH111" s="96"/>
      <c r="TEI111" s="96"/>
      <c r="TEJ111" s="96"/>
      <c r="TEK111" s="96"/>
      <c r="TEL111" s="95"/>
      <c r="TEM111" s="96"/>
      <c r="TEN111" s="96"/>
      <c r="TEO111" s="96"/>
      <c r="TEP111" s="96"/>
      <c r="TEQ111" s="96"/>
      <c r="TER111" s="96"/>
      <c r="TES111" s="96"/>
      <c r="TET111" s="96"/>
      <c r="TEU111" s="96"/>
      <c r="TEV111" s="96"/>
      <c r="TEW111" s="96"/>
      <c r="TEX111" s="96"/>
      <c r="TEY111" s="96"/>
      <c r="TEZ111" s="96"/>
      <c r="TFA111" s="96"/>
      <c r="TFB111" s="96"/>
      <c r="TFC111" s="96"/>
      <c r="TFD111" s="96"/>
      <c r="TFE111" s="96"/>
      <c r="TFF111" s="96"/>
      <c r="TFG111" s="96"/>
      <c r="TFH111" s="95"/>
      <c r="TFI111" s="96"/>
      <c r="TFJ111" s="96"/>
      <c r="TFK111" s="96"/>
      <c r="TFL111" s="96"/>
      <c r="TFM111" s="96"/>
      <c r="TFN111" s="96"/>
      <c r="TFO111" s="96"/>
      <c r="TFP111" s="96"/>
      <c r="TFQ111" s="96"/>
      <c r="TFR111" s="96"/>
      <c r="TFS111" s="96"/>
      <c r="TFT111" s="96"/>
      <c r="TFU111" s="96"/>
      <c r="TFV111" s="96"/>
      <c r="TFW111" s="96"/>
      <c r="TFX111" s="96"/>
      <c r="TFY111" s="96"/>
      <c r="TFZ111" s="96"/>
      <c r="TGA111" s="96"/>
      <c r="TGB111" s="96"/>
      <c r="TGC111" s="96"/>
      <c r="TGD111" s="95"/>
      <c r="TGE111" s="96"/>
      <c r="TGF111" s="96"/>
      <c r="TGG111" s="96"/>
      <c r="TGH111" s="96"/>
      <c r="TGI111" s="96"/>
      <c r="TGJ111" s="96"/>
      <c r="TGK111" s="96"/>
      <c r="TGL111" s="96"/>
      <c r="TGM111" s="96"/>
      <c r="TGN111" s="96"/>
      <c r="TGO111" s="96"/>
      <c r="TGP111" s="96"/>
      <c r="TGQ111" s="96"/>
      <c r="TGR111" s="96"/>
      <c r="TGS111" s="96"/>
      <c r="TGT111" s="96"/>
      <c r="TGU111" s="96"/>
      <c r="TGV111" s="96"/>
      <c r="TGW111" s="96"/>
      <c r="TGX111" s="96"/>
      <c r="TGY111" s="96"/>
      <c r="TGZ111" s="95"/>
      <c r="THA111" s="96"/>
      <c r="THB111" s="96"/>
      <c r="THC111" s="96"/>
      <c r="THD111" s="96"/>
      <c r="THE111" s="96"/>
      <c r="THF111" s="96"/>
      <c r="THG111" s="96"/>
      <c r="THH111" s="96"/>
      <c r="THI111" s="96"/>
      <c r="THJ111" s="96"/>
      <c r="THK111" s="96"/>
      <c r="THL111" s="96"/>
      <c r="THM111" s="96"/>
      <c r="THN111" s="96"/>
      <c r="THO111" s="96"/>
      <c r="THP111" s="96"/>
      <c r="THQ111" s="96"/>
      <c r="THR111" s="96"/>
      <c r="THS111" s="96"/>
      <c r="THT111" s="96"/>
      <c r="THU111" s="96"/>
      <c r="THV111" s="95"/>
      <c r="THW111" s="96"/>
      <c r="THX111" s="96"/>
      <c r="THY111" s="96"/>
      <c r="THZ111" s="96"/>
      <c r="TIA111" s="96"/>
      <c r="TIB111" s="96"/>
      <c r="TIC111" s="96"/>
      <c r="TID111" s="96"/>
      <c r="TIE111" s="96"/>
      <c r="TIF111" s="96"/>
      <c r="TIG111" s="96"/>
      <c r="TIH111" s="96"/>
      <c r="TII111" s="96"/>
      <c r="TIJ111" s="96"/>
      <c r="TIK111" s="96"/>
      <c r="TIL111" s="96"/>
      <c r="TIM111" s="96"/>
      <c r="TIN111" s="96"/>
      <c r="TIO111" s="96"/>
      <c r="TIP111" s="96"/>
      <c r="TIQ111" s="96"/>
      <c r="TIR111" s="95"/>
      <c r="TIS111" s="96"/>
      <c r="TIT111" s="96"/>
      <c r="TIU111" s="96"/>
      <c r="TIV111" s="96"/>
      <c r="TIW111" s="96"/>
      <c r="TIX111" s="96"/>
      <c r="TIY111" s="96"/>
      <c r="TIZ111" s="96"/>
      <c r="TJA111" s="96"/>
      <c r="TJB111" s="96"/>
      <c r="TJC111" s="96"/>
      <c r="TJD111" s="96"/>
      <c r="TJE111" s="96"/>
      <c r="TJF111" s="96"/>
      <c r="TJG111" s="96"/>
      <c r="TJH111" s="96"/>
      <c r="TJI111" s="96"/>
      <c r="TJJ111" s="96"/>
      <c r="TJK111" s="96"/>
      <c r="TJL111" s="96"/>
      <c r="TJM111" s="96"/>
      <c r="TJN111" s="95"/>
      <c r="TJO111" s="96"/>
      <c r="TJP111" s="96"/>
      <c r="TJQ111" s="96"/>
      <c r="TJR111" s="96"/>
      <c r="TJS111" s="96"/>
      <c r="TJT111" s="96"/>
      <c r="TJU111" s="96"/>
      <c r="TJV111" s="96"/>
      <c r="TJW111" s="96"/>
      <c r="TJX111" s="96"/>
      <c r="TJY111" s="96"/>
      <c r="TJZ111" s="96"/>
      <c r="TKA111" s="96"/>
      <c r="TKB111" s="96"/>
      <c r="TKC111" s="96"/>
      <c r="TKD111" s="96"/>
      <c r="TKE111" s="96"/>
      <c r="TKF111" s="96"/>
      <c r="TKG111" s="96"/>
      <c r="TKH111" s="96"/>
      <c r="TKI111" s="96"/>
      <c r="TKJ111" s="95"/>
      <c r="TKK111" s="96"/>
      <c r="TKL111" s="96"/>
      <c r="TKM111" s="96"/>
      <c r="TKN111" s="96"/>
      <c r="TKO111" s="96"/>
      <c r="TKP111" s="96"/>
      <c r="TKQ111" s="96"/>
      <c r="TKR111" s="96"/>
      <c r="TKS111" s="96"/>
      <c r="TKT111" s="96"/>
      <c r="TKU111" s="96"/>
      <c r="TKV111" s="96"/>
      <c r="TKW111" s="96"/>
      <c r="TKX111" s="96"/>
      <c r="TKY111" s="96"/>
      <c r="TKZ111" s="96"/>
      <c r="TLA111" s="96"/>
      <c r="TLB111" s="96"/>
      <c r="TLC111" s="96"/>
      <c r="TLD111" s="96"/>
      <c r="TLE111" s="96"/>
      <c r="TLF111" s="95"/>
      <c r="TLG111" s="96"/>
      <c r="TLH111" s="96"/>
      <c r="TLI111" s="96"/>
      <c r="TLJ111" s="96"/>
      <c r="TLK111" s="96"/>
      <c r="TLL111" s="96"/>
      <c r="TLM111" s="96"/>
      <c r="TLN111" s="96"/>
      <c r="TLO111" s="96"/>
      <c r="TLP111" s="96"/>
      <c r="TLQ111" s="96"/>
      <c r="TLR111" s="96"/>
      <c r="TLS111" s="96"/>
      <c r="TLT111" s="96"/>
      <c r="TLU111" s="96"/>
      <c r="TLV111" s="96"/>
      <c r="TLW111" s="96"/>
      <c r="TLX111" s="96"/>
      <c r="TLY111" s="96"/>
      <c r="TLZ111" s="96"/>
      <c r="TMA111" s="96"/>
      <c r="TMB111" s="95"/>
      <c r="TMC111" s="96"/>
      <c r="TMD111" s="96"/>
      <c r="TME111" s="96"/>
      <c r="TMF111" s="96"/>
      <c r="TMG111" s="96"/>
      <c r="TMH111" s="96"/>
      <c r="TMI111" s="96"/>
      <c r="TMJ111" s="96"/>
      <c r="TMK111" s="96"/>
      <c r="TML111" s="96"/>
      <c r="TMM111" s="96"/>
      <c r="TMN111" s="96"/>
      <c r="TMO111" s="96"/>
      <c r="TMP111" s="96"/>
      <c r="TMQ111" s="96"/>
      <c r="TMR111" s="96"/>
      <c r="TMS111" s="96"/>
      <c r="TMT111" s="96"/>
      <c r="TMU111" s="96"/>
      <c r="TMV111" s="96"/>
      <c r="TMW111" s="96"/>
      <c r="TMX111" s="95"/>
      <c r="TMY111" s="96"/>
      <c r="TMZ111" s="96"/>
      <c r="TNA111" s="96"/>
      <c r="TNB111" s="96"/>
      <c r="TNC111" s="96"/>
      <c r="TND111" s="96"/>
      <c r="TNE111" s="96"/>
      <c r="TNF111" s="96"/>
      <c r="TNG111" s="96"/>
      <c r="TNH111" s="96"/>
      <c r="TNI111" s="96"/>
      <c r="TNJ111" s="96"/>
      <c r="TNK111" s="96"/>
      <c r="TNL111" s="96"/>
      <c r="TNM111" s="96"/>
      <c r="TNN111" s="96"/>
      <c r="TNO111" s="96"/>
      <c r="TNP111" s="96"/>
      <c r="TNQ111" s="96"/>
      <c r="TNR111" s="96"/>
      <c r="TNS111" s="96"/>
      <c r="TNT111" s="95"/>
      <c r="TNU111" s="96"/>
      <c r="TNV111" s="96"/>
      <c r="TNW111" s="96"/>
      <c r="TNX111" s="96"/>
      <c r="TNY111" s="96"/>
      <c r="TNZ111" s="96"/>
      <c r="TOA111" s="96"/>
      <c r="TOB111" s="96"/>
      <c r="TOC111" s="96"/>
      <c r="TOD111" s="96"/>
      <c r="TOE111" s="96"/>
      <c r="TOF111" s="96"/>
      <c r="TOG111" s="96"/>
      <c r="TOH111" s="96"/>
      <c r="TOI111" s="96"/>
      <c r="TOJ111" s="96"/>
      <c r="TOK111" s="96"/>
      <c r="TOL111" s="96"/>
      <c r="TOM111" s="96"/>
      <c r="TON111" s="96"/>
      <c r="TOO111" s="96"/>
      <c r="TOP111" s="95"/>
      <c r="TOQ111" s="96"/>
      <c r="TOR111" s="96"/>
      <c r="TOS111" s="96"/>
      <c r="TOT111" s="96"/>
      <c r="TOU111" s="96"/>
      <c r="TOV111" s="96"/>
      <c r="TOW111" s="96"/>
      <c r="TOX111" s="96"/>
      <c r="TOY111" s="96"/>
      <c r="TOZ111" s="96"/>
      <c r="TPA111" s="96"/>
      <c r="TPB111" s="96"/>
      <c r="TPC111" s="96"/>
      <c r="TPD111" s="96"/>
      <c r="TPE111" s="96"/>
      <c r="TPF111" s="96"/>
      <c r="TPG111" s="96"/>
      <c r="TPH111" s="96"/>
      <c r="TPI111" s="96"/>
      <c r="TPJ111" s="96"/>
      <c r="TPK111" s="96"/>
      <c r="TPL111" s="95"/>
      <c r="TPM111" s="96"/>
      <c r="TPN111" s="96"/>
      <c r="TPO111" s="96"/>
      <c r="TPP111" s="96"/>
      <c r="TPQ111" s="96"/>
      <c r="TPR111" s="96"/>
      <c r="TPS111" s="96"/>
      <c r="TPT111" s="96"/>
      <c r="TPU111" s="96"/>
      <c r="TPV111" s="96"/>
      <c r="TPW111" s="96"/>
      <c r="TPX111" s="96"/>
      <c r="TPY111" s="96"/>
      <c r="TPZ111" s="96"/>
      <c r="TQA111" s="96"/>
      <c r="TQB111" s="96"/>
      <c r="TQC111" s="96"/>
      <c r="TQD111" s="96"/>
      <c r="TQE111" s="96"/>
      <c r="TQF111" s="96"/>
      <c r="TQG111" s="96"/>
      <c r="TQH111" s="95"/>
      <c r="TQI111" s="96"/>
      <c r="TQJ111" s="96"/>
      <c r="TQK111" s="96"/>
      <c r="TQL111" s="96"/>
      <c r="TQM111" s="96"/>
      <c r="TQN111" s="96"/>
      <c r="TQO111" s="96"/>
      <c r="TQP111" s="96"/>
      <c r="TQQ111" s="96"/>
      <c r="TQR111" s="96"/>
      <c r="TQS111" s="96"/>
      <c r="TQT111" s="96"/>
      <c r="TQU111" s="96"/>
      <c r="TQV111" s="96"/>
      <c r="TQW111" s="96"/>
      <c r="TQX111" s="96"/>
      <c r="TQY111" s="96"/>
      <c r="TQZ111" s="96"/>
      <c r="TRA111" s="96"/>
      <c r="TRB111" s="96"/>
      <c r="TRC111" s="96"/>
      <c r="TRD111" s="95"/>
      <c r="TRE111" s="96"/>
      <c r="TRF111" s="96"/>
      <c r="TRG111" s="96"/>
      <c r="TRH111" s="96"/>
      <c r="TRI111" s="96"/>
      <c r="TRJ111" s="96"/>
      <c r="TRK111" s="96"/>
      <c r="TRL111" s="96"/>
      <c r="TRM111" s="96"/>
      <c r="TRN111" s="96"/>
      <c r="TRO111" s="96"/>
      <c r="TRP111" s="96"/>
      <c r="TRQ111" s="96"/>
      <c r="TRR111" s="96"/>
      <c r="TRS111" s="96"/>
      <c r="TRT111" s="96"/>
      <c r="TRU111" s="96"/>
      <c r="TRV111" s="96"/>
      <c r="TRW111" s="96"/>
      <c r="TRX111" s="96"/>
      <c r="TRY111" s="96"/>
      <c r="TRZ111" s="95"/>
      <c r="TSA111" s="96"/>
      <c r="TSB111" s="96"/>
      <c r="TSC111" s="96"/>
      <c r="TSD111" s="96"/>
      <c r="TSE111" s="96"/>
      <c r="TSF111" s="96"/>
      <c r="TSG111" s="96"/>
      <c r="TSH111" s="96"/>
      <c r="TSI111" s="96"/>
      <c r="TSJ111" s="96"/>
      <c r="TSK111" s="96"/>
      <c r="TSL111" s="96"/>
      <c r="TSM111" s="96"/>
      <c r="TSN111" s="96"/>
      <c r="TSO111" s="96"/>
      <c r="TSP111" s="96"/>
      <c r="TSQ111" s="96"/>
      <c r="TSR111" s="96"/>
      <c r="TSS111" s="96"/>
      <c r="TST111" s="96"/>
      <c r="TSU111" s="96"/>
      <c r="TSV111" s="95"/>
      <c r="TSW111" s="96"/>
      <c r="TSX111" s="96"/>
      <c r="TSY111" s="96"/>
      <c r="TSZ111" s="96"/>
      <c r="TTA111" s="96"/>
      <c r="TTB111" s="96"/>
      <c r="TTC111" s="96"/>
      <c r="TTD111" s="96"/>
      <c r="TTE111" s="96"/>
      <c r="TTF111" s="96"/>
      <c r="TTG111" s="96"/>
      <c r="TTH111" s="96"/>
      <c r="TTI111" s="96"/>
      <c r="TTJ111" s="96"/>
      <c r="TTK111" s="96"/>
      <c r="TTL111" s="96"/>
      <c r="TTM111" s="96"/>
      <c r="TTN111" s="96"/>
      <c r="TTO111" s="96"/>
      <c r="TTP111" s="96"/>
      <c r="TTQ111" s="96"/>
      <c r="TTR111" s="95"/>
      <c r="TTS111" s="96"/>
      <c r="TTT111" s="96"/>
      <c r="TTU111" s="96"/>
      <c r="TTV111" s="96"/>
      <c r="TTW111" s="96"/>
      <c r="TTX111" s="96"/>
      <c r="TTY111" s="96"/>
      <c r="TTZ111" s="96"/>
      <c r="TUA111" s="96"/>
      <c r="TUB111" s="96"/>
      <c r="TUC111" s="96"/>
      <c r="TUD111" s="96"/>
      <c r="TUE111" s="96"/>
      <c r="TUF111" s="96"/>
      <c r="TUG111" s="96"/>
      <c r="TUH111" s="96"/>
      <c r="TUI111" s="96"/>
      <c r="TUJ111" s="96"/>
      <c r="TUK111" s="96"/>
      <c r="TUL111" s="96"/>
      <c r="TUM111" s="96"/>
      <c r="TUN111" s="95"/>
      <c r="TUO111" s="96"/>
      <c r="TUP111" s="96"/>
      <c r="TUQ111" s="96"/>
      <c r="TUR111" s="96"/>
      <c r="TUS111" s="96"/>
      <c r="TUT111" s="96"/>
      <c r="TUU111" s="96"/>
      <c r="TUV111" s="96"/>
      <c r="TUW111" s="96"/>
      <c r="TUX111" s="96"/>
      <c r="TUY111" s="96"/>
      <c r="TUZ111" s="96"/>
      <c r="TVA111" s="96"/>
      <c r="TVB111" s="96"/>
      <c r="TVC111" s="96"/>
      <c r="TVD111" s="96"/>
      <c r="TVE111" s="96"/>
      <c r="TVF111" s="96"/>
      <c r="TVG111" s="96"/>
      <c r="TVH111" s="96"/>
      <c r="TVI111" s="96"/>
      <c r="TVJ111" s="95"/>
      <c r="TVK111" s="96"/>
      <c r="TVL111" s="96"/>
      <c r="TVM111" s="96"/>
      <c r="TVN111" s="96"/>
      <c r="TVO111" s="96"/>
      <c r="TVP111" s="96"/>
      <c r="TVQ111" s="96"/>
      <c r="TVR111" s="96"/>
      <c r="TVS111" s="96"/>
      <c r="TVT111" s="96"/>
      <c r="TVU111" s="96"/>
      <c r="TVV111" s="96"/>
      <c r="TVW111" s="96"/>
      <c r="TVX111" s="96"/>
      <c r="TVY111" s="96"/>
      <c r="TVZ111" s="96"/>
      <c r="TWA111" s="96"/>
      <c r="TWB111" s="96"/>
      <c r="TWC111" s="96"/>
      <c r="TWD111" s="96"/>
      <c r="TWE111" s="96"/>
      <c r="TWF111" s="95"/>
      <c r="TWG111" s="96"/>
      <c r="TWH111" s="96"/>
      <c r="TWI111" s="96"/>
      <c r="TWJ111" s="96"/>
      <c r="TWK111" s="96"/>
      <c r="TWL111" s="96"/>
      <c r="TWM111" s="96"/>
      <c r="TWN111" s="96"/>
      <c r="TWO111" s="96"/>
      <c r="TWP111" s="96"/>
      <c r="TWQ111" s="96"/>
      <c r="TWR111" s="96"/>
      <c r="TWS111" s="96"/>
      <c r="TWT111" s="96"/>
      <c r="TWU111" s="96"/>
      <c r="TWV111" s="96"/>
      <c r="TWW111" s="96"/>
      <c r="TWX111" s="96"/>
      <c r="TWY111" s="96"/>
      <c r="TWZ111" s="96"/>
      <c r="TXA111" s="96"/>
      <c r="TXB111" s="95"/>
      <c r="TXC111" s="96"/>
      <c r="TXD111" s="96"/>
      <c r="TXE111" s="96"/>
      <c r="TXF111" s="96"/>
      <c r="TXG111" s="96"/>
      <c r="TXH111" s="96"/>
      <c r="TXI111" s="96"/>
      <c r="TXJ111" s="96"/>
      <c r="TXK111" s="96"/>
      <c r="TXL111" s="96"/>
      <c r="TXM111" s="96"/>
      <c r="TXN111" s="96"/>
      <c r="TXO111" s="96"/>
      <c r="TXP111" s="96"/>
      <c r="TXQ111" s="96"/>
      <c r="TXR111" s="96"/>
      <c r="TXS111" s="96"/>
      <c r="TXT111" s="96"/>
      <c r="TXU111" s="96"/>
      <c r="TXV111" s="96"/>
      <c r="TXW111" s="96"/>
      <c r="TXX111" s="95"/>
      <c r="TXY111" s="96"/>
      <c r="TXZ111" s="96"/>
      <c r="TYA111" s="96"/>
      <c r="TYB111" s="96"/>
      <c r="TYC111" s="96"/>
      <c r="TYD111" s="96"/>
      <c r="TYE111" s="96"/>
      <c r="TYF111" s="96"/>
      <c r="TYG111" s="96"/>
      <c r="TYH111" s="96"/>
      <c r="TYI111" s="96"/>
      <c r="TYJ111" s="96"/>
      <c r="TYK111" s="96"/>
      <c r="TYL111" s="96"/>
      <c r="TYM111" s="96"/>
      <c r="TYN111" s="96"/>
      <c r="TYO111" s="96"/>
      <c r="TYP111" s="96"/>
      <c r="TYQ111" s="96"/>
      <c r="TYR111" s="96"/>
      <c r="TYS111" s="96"/>
      <c r="TYT111" s="95"/>
      <c r="TYU111" s="96"/>
      <c r="TYV111" s="96"/>
      <c r="TYW111" s="96"/>
      <c r="TYX111" s="96"/>
      <c r="TYY111" s="96"/>
      <c r="TYZ111" s="96"/>
      <c r="TZA111" s="96"/>
      <c r="TZB111" s="96"/>
      <c r="TZC111" s="96"/>
      <c r="TZD111" s="96"/>
      <c r="TZE111" s="96"/>
      <c r="TZF111" s="96"/>
      <c r="TZG111" s="96"/>
      <c r="TZH111" s="96"/>
      <c r="TZI111" s="96"/>
      <c r="TZJ111" s="96"/>
      <c r="TZK111" s="96"/>
      <c r="TZL111" s="96"/>
      <c r="TZM111" s="96"/>
      <c r="TZN111" s="96"/>
      <c r="TZO111" s="96"/>
      <c r="TZP111" s="95"/>
      <c r="TZQ111" s="96"/>
      <c r="TZR111" s="96"/>
      <c r="TZS111" s="96"/>
      <c r="TZT111" s="96"/>
      <c r="TZU111" s="96"/>
      <c r="TZV111" s="96"/>
      <c r="TZW111" s="96"/>
      <c r="TZX111" s="96"/>
      <c r="TZY111" s="96"/>
      <c r="TZZ111" s="96"/>
      <c r="UAA111" s="96"/>
      <c r="UAB111" s="96"/>
      <c r="UAC111" s="96"/>
      <c r="UAD111" s="96"/>
      <c r="UAE111" s="96"/>
      <c r="UAF111" s="96"/>
      <c r="UAG111" s="96"/>
      <c r="UAH111" s="96"/>
      <c r="UAI111" s="96"/>
      <c r="UAJ111" s="96"/>
      <c r="UAK111" s="96"/>
      <c r="UAL111" s="95"/>
      <c r="UAM111" s="96"/>
      <c r="UAN111" s="96"/>
      <c r="UAO111" s="96"/>
      <c r="UAP111" s="96"/>
      <c r="UAQ111" s="96"/>
      <c r="UAR111" s="96"/>
      <c r="UAS111" s="96"/>
      <c r="UAT111" s="96"/>
      <c r="UAU111" s="96"/>
      <c r="UAV111" s="96"/>
      <c r="UAW111" s="96"/>
      <c r="UAX111" s="96"/>
      <c r="UAY111" s="96"/>
      <c r="UAZ111" s="96"/>
      <c r="UBA111" s="96"/>
      <c r="UBB111" s="96"/>
      <c r="UBC111" s="96"/>
      <c r="UBD111" s="96"/>
      <c r="UBE111" s="96"/>
      <c r="UBF111" s="96"/>
      <c r="UBG111" s="96"/>
      <c r="UBH111" s="95"/>
      <c r="UBI111" s="96"/>
      <c r="UBJ111" s="96"/>
      <c r="UBK111" s="96"/>
      <c r="UBL111" s="96"/>
      <c r="UBM111" s="96"/>
      <c r="UBN111" s="96"/>
      <c r="UBO111" s="96"/>
      <c r="UBP111" s="96"/>
      <c r="UBQ111" s="96"/>
      <c r="UBR111" s="96"/>
      <c r="UBS111" s="96"/>
      <c r="UBT111" s="96"/>
      <c r="UBU111" s="96"/>
      <c r="UBV111" s="96"/>
      <c r="UBW111" s="96"/>
      <c r="UBX111" s="96"/>
      <c r="UBY111" s="96"/>
      <c r="UBZ111" s="96"/>
      <c r="UCA111" s="96"/>
      <c r="UCB111" s="96"/>
      <c r="UCC111" s="96"/>
      <c r="UCD111" s="95"/>
      <c r="UCE111" s="96"/>
      <c r="UCF111" s="96"/>
      <c r="UCG111" s="96"/>
      <c r="UCH111" s="96"/>
      <c r="UCI111" s="96"/>
      <c r="UCJ111" s="96"/>
      <c r="UCK111" s="96"/>
      <c r="UCL111" s="96"/>
      <c r="UCM111" s="96"/>
      <c r="UCN111" s="96"/>
      <c r="UCO111" s="96"/>
      <c r="UCP111" s="96"/>
      <c r="UCQ111" s="96"/>
      <c r="UCR111" s="96"/>
      <c r="UCS111" s="96"/>
      <c r="UCT111" s="96"/>
      <c r="UCU111" s="96"/>
      <c r="UCV111" s="96"/>
      <c r="UCW111" s="96"/>
      <c r="UCX111" s="96"/>
      <c r="UCY111" s="96"/>
      <c r="UCZ111" s="95"/>
      <c r="UDA111" s="96"/>
      <c r="UDB111" s="96"/>
      <c r="UDC111" s="96"/>
      <c r="UDD111" s="96"/>
      <c r="UDE111" s="96"/>
      <c r="UDF111" s="96"/>
      <c r="UDG111" s="96"/>
      <c r="UDH111" s="96"/>
      <c r="UDI111" s="96"/>
      <c r="UDJ111" s="96"/>
      <c r="UDK111" s="96"/>
      <c r="UDL111" s="96"/>
      <c r="UDM111" s="96"/>
      <c r="UDN111" s="96"/>
      <c r="UDO111" s="96"/>
      <c r="UDP111" s="96"/>
      <c r="UDQ111" s="96"/>
      <c r="UDR111" s="96"/>
      <c r="UDS111" s="96"/>
      <c r="UDT111" s="96"/>
      <c r="UDU111" s="96"/>
      <c r="UDV111" s="95"/>
      <c r="UDW111" s="96"/>
      <c r="UDX111" s="96"/>
      <c r="UDY111" s="96"/>
      <c r="UDZ111" s="96"/>
      <c r="UEA111" s="96"/>
      <c r="UEB111" s="96"/>
      <c r="UEC111" s="96"/>
      <c r="UED111" s="96"/>
      <c r="UEE111" s="96"/>
      <c r="UEF111" s="96"/>
      <c r="UEG111" s="96"/>
      <c r="UEH111" s="96"/>
      <c r="UEI111" s="96"/>
      <c r="UEJ111" s="96"/>
      <c r="UEK111" s="96"/>
      <c r="UEL111" s="96"/>
      <c r="UEM111" s="96"/>
      <c r="UEN111" s="96"/>
      <c r="UEO111" s="96"/>
      <c r="UEP111" s="96"/>
      <c r="UEQ111" s="96"/>
      <c r="UER111" s="95"/>
      <c r="UES111" s="96"/>
      <c r="UET111" s="96"/>
      <c r="UEU111" s="96"/>
      <c r="UEV111" s="96"/>
      <c r="UEW111" s="96"/>
      <c r="UEX111" s="96"/>
      <c r="UEY111" s="96"/>
      <c r="UEZ111" s="96"/>
      <c r="UFA111" s="96"/>
      <c r="UFB111" s="96"/>
      <c r="UFC111" s="96"/>
      <c r="UFD111" s="96"/>
      <c r="UFE111" s="96"/>
      <c r="UFF111" s="96"/>
      <c r="UFG111" s="96"/>
      <c r="UFH111" s="96"/>
      <c r="UFI111" s="96"/>
      <c r="UFJ111" s="96"/>
      <c r="UFK111" s="96"/>
      <c r="UFL111" s="96"/>
      <c r="UFM111" s="96"/>
      <c r="UFN111" s="95"/>
      <c r="UFO111" s="96"/>
      <c r="UFP111" s="96"/>
      <c r="UFQ111" s="96"/>
      <c r="UFR111" s="96"/>
      <c r="UFS111" s="96"/>
      <c r="UFT111" s="96"/>
      <c r="UFU111" s="96"/>
      <c r="UFV111" s="96"/>
      <c r="UFW111" s="96"/>
      <c r="UFX111" s="96"/>
      <c r="UFY111" s="96"/>
      <c r="UFZ111" s="96"/>
      <c r="UGA111" s="96"/>
      <c r="UGB111" s="96"/>
      <c r="UGC111" s="96"/>
      <c r="UGD111" s="96"/>
      <c r="UGE111" s="96"/>
      <c r="UGF111" s="96"/>
      <c r="UGG111" s="96"/>
      <c r="UGH111" s="96"/>
      <c r="UGI111" s="96"/>
      <c r="UGJ111" s="95"/>
      <c r="UGK111" s="96"/>
      <c r="UGL111" s="96"/>
      <c r="UGM111" s="96"/>
      <c r="UGN111" s="96"/>
      <c r="UGO111" s="96"/>
      <c r="UGP111" s="96"/>
      <c r="UGQ111" s="96"/>
      <c r="UGR111" s="96"/>
      <c r="UGS111" s="96"/>
      <c r="UGT111" s="96"/>
      <c r="UGU111" s="96"/>
      <c r="UGV111" s="96"/>
      <c r="UGW111" s="96"/>
      <c r="UGX111" s="96"/>
      <c r="UGY111" s="96"/>
      <c r="UGZ111" s="96"/>
      <c r="UHA111" s="96"/>
      <c r="UHB111" s="96"/>
      <c r="UHC111" s="96"/>
      <c r="UHD111" s="96"/>
      <c r="UHE111" s="96"/>
      <c r="UHF111" s="95"/>
      <c r="UHG111" s="96"/>
      <c r="UHH111" s="96"/>
      <c r="UHI111" s="96"/>
      <c r="UHJ111" s="96"/>
      <c r="UHK111" s="96"/>
      <c r="UHL111" s="96"/>
      <c r="UHM111" s="96"/>
      <c r="UHN111" s="96"/>
      <c r="UHO111" s="96"/>
      <c r="UHP111" s="96"/>
      <c r="UHQ111" s="96"/>
      <c r="UHR111" s="96"/>
      <c r="UHS111" s="96"/>
      <c r="UHT111" s="96"/>
      <c r="UHU111" s="96"/>
      <c r="UHV111" s="96"/>
      <c r="UHW111" s="96"/>
      <c r="UHX111" s="96"/>
      <c r="UHY111" s="96"/>
      <c r="UHZ111" s="96"/>
      <c r="UIA111" s="96"/>
      <c r="UIB111" s="95"/>
      <c r="UIC111" s="96"/>
      <c r="UID111" s="96"/>
      <c r="UIE111" s="96"/>
      <c r="UIF111" s="96"/>
      <c r="UIG111" s="96"/>
      <c r="UIH111" s="96"/>
      <c r="UII111" s="96"/>
      <c r="UIJ111" s="96"/>
      <c r="UIK111" s="96"/>
      <c r="UIL111" s="96"/>
      <c r="UIM111" s="96"/>
      <c r="UIN111" s="96"/>
      <c r="UIO111" s="96"/>
      <c r="UIP111" s="96"/>
      <c r="UIQ111" s="96"/>
      <c r="UIR111" s="96"/>
      <c r="UIS111" s="96"/>
      <c r="UIT111" s="96"/>
      <c r="UIU111" s="96"/>
      <c r="UIV111" s="96"/>
      <c r="UIW111" s="96"/>
      <c r="UIX111" s="95"/>
      <c r="UIY111" s="96"/>
      <c r="UIZ111" s="96"/>
      <c r="UJA111" s="96"/>
      <c r="UJB111" s="96"/>
      <c r="UJC111" s="96"/>
      <c r="UJD111" s="96"/>
      <c r="UJE111" s="96"/>
      <c r="UJF111" s="96"/>
      <c r="UJG111" s="96"/>
      <c r="UJH111" s="96"/>
      <c r="UJI111" s="96"/>
      <c r="UJJ111" s="96"/>
      <c r="UJK111" s="96"/>
      <c r="UJL111" s="96"/>
      <c r="UJM111" s="96"/>
      <c r="UJN111" s="96"/>
      <c r="UJO111" s="96"/>
      <c r="UJP111" s="96"/>
      <c r="UJQ111" s="96"/>
      <c r="UJR111" s="96"/>
      <c r="UJS111" s="96"/>
      <c r="UJT111" s="95"/>
      <c r="UJU111" s="96"/>
      <c r="UJV111" s="96"/>
      <c r="UJW111" s="96"/>
      <c r="UJX111" s="96"/>
      <c r="UJY111" s="96"/>
      <c r="UJZ111" s="96"/>
      <c r="UKA111" s="96"/>
      <c r="UKB111" s="96"/>
      <c r="UKC111" s="96"/>
      <c r="UKD111" s="96"/>
      <c r="UKE111" s="96"/>
      <c r="UKF111" s="96"/>
      <c r="UKG111" s="96"/>
      <c r="UKH111" s="96"/>
      <c r="UKI111" s="96"/>
      <c r="UKJ111" s="96"/>
      <c r="UKK111" s="96"/>
      <c r="UKL111" s="96"/>
      <c r="UKM111" s="96"/>
      <c r="UKN111" s="96"/>
      <c r="UKO111" s="96"/>
      <c r="UKP111" s="95"/>
      <c r="UKQ111" s="96"/>
      <c r="UKR111" s="96"/>
      <c r="UKS111" s="96"/>
      <c r="UKT111" s="96"/>
      <c r="UKU111" s="96"/>
      <c r="UKV111" s="96"/>
      <c r="UKW111" s="96"/>
      <c r="UKX111" s="96"/>
      <c r="UKY111" s="96"/>
      <c r="UKZ111" s="96"/>
      <c r="ULA111" s="96"/>
      <c r="ULB111" s="96"/>
      <c r="ULC111" s="96"/>
      <c r="ULD111" s="96"/>
      <c r="ULE111" s="96"/>
      <c r="ULF111" s="96"/>
      <c r="ULG111" s="96"/>
      <c r="ULH111" s="96"/>
      <c r="ULI111" s="96"/>
      <c r="ULJ111" s="96"/>
      <c r="ULK111" s="96"/>
      <c r="ULL111" s="95"/>
      <c r="ULM111" s="96"/>
      <c r="ULN111" s="96"/>
      <c r="ULO111" s="96"/>
      <c r="ULP111" s="96"/>
      <c r="ULQ111" s="96"/>
      <c r="ULR111" s="96"/>
      <c r="ULS111" s="96"/>
      <c r="ULT111" s="96"/>
      <c r="ULU111" s="96"/>
      <c r="ULV111" s="96"/>
      <c r="ULW111" s="96"/>
      <c r="ULX111" s="96"/>
      <c r="ULY111" s="96"/>
      <c r="ULZ111" s="96"/>
      <c r="UMA111" s="96"/>
      <c r="UMB111" s="96"/>
      <c r="UMC111" s="96"/>
      <c r="UMD111" s="96"/>
      <c r="UME111" s="96"/>
      <c r="UMF111" s="96"/>
      <c r="UMG111" s="96"/>
      <c r="UMH111" s="95"/>
      <c r="UMI111" s="96"/>
      <c r="UMJ111" s="96"/>
      <c r="UMK111" s="96"/>
      <c r="UML111" s="96"/>
      <c r="UMM111" s="96"/>
      <c r="UMN111" s="96"/>
      <c r="UMO111" s="96"/>
      <c r="UMP111" s="96"/>
      <c r="UMQ111" s="96"/>
      <c r="UMR111" s="96"/>
      <c r="UMS111" s="96"/>
      <c r="UMT111" s="96"/>
      <c r="UMU111" s="96"/>
      <c r="UMV111" s="96"/>
      <c r="UMW111" s="96"/>
      <c r="UMX111" s="96"/>
      <c r="UMY111" s="96"/>
      <c r="UMZ111" s="96"/>
      <c r="UNA111" s="96"/>
      <c r="UNB111" s="96"/>
      <c r="UNC111" s="96"/>
      <c r="UND111" s="95"/>
      <c r="UNE111" s="96"/>
      <c r="UNF111" s="96"/>
      <c r="UNG111" s="96"/>
      <c r="UNH111" s="96"/>
      <c r="UNI111" s="96"/>
      <c r="UNJ111" s="96"/>
      <c r="UNK111" s="96"/>
      <c r="UNL111" s="96"/>
      <c r="UNM111" s="96"/>
      <c r="UNN111" s="96"/>
      <c r="UNO111" s="96"/>
      <c r="UNP111" s="96"/>
      <c r="UNQ111" s="96"/>
      <c r="UNR111" s="96"/>
      <c r="UNS111" s="96"/>
      <c r="UNT111" s="96"/>
      <c r="UNU111" s="96"/>
      <c r="UNV111" s="96"/>
      <c r="UNW111" s="96"/>
      <c r="UNX111" s="96"/>
      <c r="UNY111" s="96"/>
      <c r="UNZ111" s="95"/>
      <c r="UOA111" s="96"/>
      <c r="UOB111" s="96"/>
      <c r="UOC111" s="96"/>
      <c r="UOD111" s="96"/>
      <c r="UOE111" s="96"/>
      <c r="UOF111" s="96"/>
      <c r="UOG111" s="96"/>
      <c r="UOH111" s="96"/>
      <c r="UOI111" s="96"/>
      <c r="UOJ111" s="96"/>
      <c r="UOK111" s="96"/>
      <c r="UOL111" s="96"/>
      <c r="UOM111" s="96"/>
      <c r="UON111" s="96"/>
      <c r="UOO111" s="96"/>
      <c r="UOP111" s="96"/>
      <c r="UOQ111" s="96"/>
      <c r="UOR111" s="96"/>
      <c r="UOS111" s="96"/>
      <c r="UOT111" s="96"/>
      <c r="UOU111" s="96"/>
      <c r="UOV111" s="95"/>
      <c r="UOW111" s="96"/>
      <c r="UOX111" s="96"/>
      <c r="UOY111" s="96"/>
      <c r="UOZ111" s="96"/>
      <c r="UPA111" s="96"/>
      <c r="UPB111" s="96"/>
      <c r="UPC111" s="96"/>
      <c r="UPD111" s="96"/>
      <c r="UPE111" s="96"/>
      <c r="UPF111" s="96"/>
      <c r="UPG111" s="96"/>
      <c r="UPH111" s="96"/>
      <c r="UPI111" s="96"/>
      <c r="UPJ111" s="96"/>
      <c r="UPK111" s="96"/>
      <c r="UPL111" s="96"/>
      <c r="UPM111" s="96"/>
      <c r="UPN111" s="96"/>
      <c r="UPO111" s="96"/>
      <c r="UPP111" s="96"/>
      <c r="UPQ111" s="96"/>
      <c r="UPR111" s="95"/>
      <c r="UPS111" s="96"/>
      <c r="UPT111" s="96"/>
      <c r="UPU111" s="96"/>
      <c r="UPV111" s="96"/>
      <c r="UPW111" s="96"/>
      <c r="UPX111" s="96"/>
      <c r="UPY111" s="96"/>
      <c r="UPZ111" s="96"/>
      <c r="UQA111" s="96"/>
      <c r="UQB111" s="96"/>
      <c r="UQC111" s="96"/>
      <c r="UQD111" s="96"/>
      <c r="UQE111" s="96"/>
      <c r="UQF111" s="96"/>
      <c r="UQG111" s="96"/>
      <c r="UQH111" s="96"/>
      <c r="UQI111" s="96"/>
      <c r="UQJ111" s="96"/>
      <c r="UQK111" s="96"/>
      <c r="UQL111" s="96"/>
      <c r="UQM111" s="96"/>
      <c r="UQN111" s="95"/>
      <c r="UQO111" s="96"/>
      <c r="UQP111" s="96"/>
      <c r="UQQ111" s="96"/>
      <c r="UQR111" s="96"/>
      <c r="UQS111" s="96"/>
      <c r="UQT111" s="96"/>
      <c r="UQU111" s="96"/>
      <c r="UQV111" s="96"/>
      <c r="UQW111" s="96"/>
      <c r="UQX111" s="96"/>
      <c r="UQY111" s="96"/>
      <c r="UQZ111" s="96"/>
      <c r="URA111" s="96"/>
      <c r="URB111" s="96"/>
      <c r="URC111" s="96"/>
      <c r="URD111" s="96"/>
      <c r="URE111" s="96"/>
      <c r="URF111" s="96"/>
      <c r="URG111" s="96"/>
      <c r="URH111" s="96"/>
      <c r="URI111" s="96"/>
      <c r="URJ111" s="95"/>
      <c r="URK111" s="96"/>
      <c r="URL111" s="96"/>
      <c r="URM111" s="96"/>
      <c r="URN111" s="96"/>
      <c r="URO111" s="96"/>
      <c r="URP111" s="96"/>
      <c r="URQ111" s="96"/>
      <c r="URR111" s="96"/>
      <c r="URS111" s="96"/>
      <c r="URT111" s="96"/>
      <c r="URU111" s="96"/>
      <c r="URV111" s="96"/>
      <c r="URW111" s="96"/>
      <c r="URX111" s="96"/>
      <c r="URY111" s="96"/>
      <c r="URZ111" s="96"/>
      <c r="USA111" s="96"/>
      <c r="USB111" s="96"/>
      <c r="USC111" s="96"/>
      <c r="USD111" s="96"/>
      <c r="USE111" s="96"/>
      <c r="USF111" s="95"/>
      <c r="USG111" s="96"/>
      <c r="USH111" s="96"/>
      <c r="USI111" s="96"/>
      <c r="USJ111" s="96"/>
      <c r="USK111" s="96"/>
      <c r="USL111" s="96"/>
      <c r="USM111" s="96"/>
      <c r="USN111" s="96"/>
      <c r="USO111" s="96"/>
      <c r="USP111" s="96"/>
      <c r="USQ111" s="96"/>
      <c r="USR111" s="96"/>
      <c r="USS111" s="96"/>
      <c r="UST111" s="96"/>
      <c r="USU111" s="96"/>
      <c r="USV111" s="96"/>
      <c r="USW111" s="96"/>
      <c r="USX111" s="96"/>
      <c r="USY111" s="96"/>
      <c r="USZ111" s="96"/>
      <c r="UTA111" s="96"/>
      <c r="UTB111" s="95"/>
      <c r="UTC111" s="96"/>
      <c r="UTD111" s="96"/>
      <c r="UTE111" s="96"/>
      <c r="UTF111" s="96"/>
      <c r="UTG111" s="96"/>
      <c r="UTH111" s="96"/>
      <c r="UTI111" s="96"/>
      <c r="UTJ111" s="96"/>
      <c r="UTK111" s="96"/>
      <c r="UTL111" s="96"/>
      <c r="UTM111" s="96"/>
      <c r="UTN111" s="96"/>
      <c r="UTO111" s="96"/>
      <c r="UTP111" s="96"/>
      <c r="UTQ111" s="96"/>
      <c r="UTR111" s="96"/>
      <c r="UTS111" s="96"/>
      <c r="UTT111" s="96"/>
      <c r="UTU111" s="96"/>
      <c r="UTV111" s="96"/>
      <c r="UTW111" s="96"/>
      <c r="UTX111" s="95"/>
      <c r="UTY111" s="96"/>
      <c r="UTZ111" s="96"/>
      <c r="UUA111" s="96"/>
      <c r="UUB111" s="96"/>
      <c r="UUC111" s="96"/>
      <c r="UUD111" s="96"/>
      <c r="UUE111" s="96"/>
      <c r="UUF111" s="96"/>
      <c r="UUG111" s="96"/>
      <c r="UUH111" s="96"/>
      <c r="UUI111" s="96"/>
      <c r="UUJ111" s="96"/>
      <c r="UUK111" s="96"/>
      <c r="UUL111" s="96"/>
      <c r="UUM111" s="96"/>
      <c r="UUN111" s="96"/>
      <c r="UUO111" s="96"/>
      <c r="UUP111" s="96"/>
      <c r="UUQ111" s="96"/>
      <c r="UUR111" s="96"/>
      <c r="UUS111" s="96"/>
      <c r="UUT111" s="95"/>
      <c r="UUU111" s="96"/>
      <c r="UUV111" s="96"/>
      <c r="UUW111" s="96"/>
      <c r="UUX111" s="96"/>
      <c r="UUY111" s="96"/>
      <c r="UUZ111" s="96"/>
      <c r="UVA111" s="96"/>
      <c r="UVB111" s="96"/>
      <c r="UVC111" s="96"/>
      <c r="UVD111" s="96"/>
      <c r="UVE111" s="96"/>
      <c r="UVF111" s="96"/>
      <c r="UVG111" s="96"/>
      <c r="UVH111" s="96"/>
      <c r="UVI111" s="96"/>
      <c r="UVJ111" s="96"/>
      <c r="UVK111" s="96"/>
      <c r="UVL111" s="96"/>
      <c r="UVM111" s="96"/>
      <c r="UVN111" s="96"/>
      <c r="UVO111" s="96"/>
      <c r="UVP111" s="95"/>
      <c r="UVQ111" s="96"/>
      <c r="UVR111" s="96"/>
      <c r="UVS111" s="96"/>
      <c r="UVT111" s="96"/>
      <c r="UVU111" s="96"/>
      <c r="UVV111" s="96"/>
      <c r="UVW111" s="96"/>
      <c r="UVX111" s="96"/>
      <c r="UVY111" s="96"/>
      <c r="UVZ111" s="96"/>
      <c r="UWA111" s="96"/>
      <c r="UWB111" s="96"/>
      <c r="UWC111" s="96"/>
      <c r="UWD111" s="96"/>
      <c r="UWE111" s="96"/>
      <c r="UWF111" s="96"/>
      <c r="UWG111" s="96"/>
      <c r="UWH111" s="96"/>
      <c r="UWI111" s="96"/>
      <c r="UWJ111" s="96"/>
      <c r="UWK111" s="96"/>
      <c r="UWL111" s="95"/>
      <c r="UWM111" s="96"/>
      <c r="UWN111" s="96"/>
      <c r="UWO111" s="96"/>
      <c r="UWP111" s="96"/>
      <c r="UWQ111" s="96"/>
      <c r="UWR111" s="96"/>
      <c r="UWS111" s="96"/>
      <c r="UWT111" s="96"/>
      <c r="UWU111" s="96"/>
      <c r="UWV111" s="96"/>
      <c r="UWW111" s="96"/>
      <c r="UWX111" s="96"/>
      <c r="UWY111" s="96"/>
      <c r="UWZ111" s="96"/>
      <c r="UXA111" s="96"/>
      <c r="UXB111" s="96"/>
      <c r="UXC111" s="96"/>
      <c r="UXD111" s="96"/>
      <c r="UXE111" s="96"/>
      <c r="UXF111" s="96"/>
      <c r="UXG111" s="96"/>
      <c r="UXH111" s="95"/>
      <c r="UXI111" s="96"/>
      <c r="UXJ111" s="96"/>
      <c r="UXK111" s="96"/>
      <c r="UXL111" s="96"/>
      <c r="UXM111" s="96"/>
      <c r="UXN111" s="96"/>
      <c r="UXO111" s="96"/>
      <c r="UXP111" s="96"/>
      <c r="UXQ111" s="96"/>
      <c r="UXR111" s="96"/>
      <c r="UXS111" s="96"/>
      <c r="UXT111" s="96"/>
      <c r="UXU111" s="96"/>
      <c r="UXV111" s="96"/>
      <c r="UXW111" s="96"/>
      <c r="UXX111" s="96"/>
      <c r="UXY111" s="96"/>
      <c r="UXZ111" s="96"/>
      <c r="UYA111" s="96"/>
      <c r="UYB111" s="96"/>
      <c r="UYC111" s="96"/>
      <c r="UYD111" s="95"/>
      <c r="UYE111" s="96"/>
      <c r="UYF111" s="96"/>
      <c r="UYG111" s="96"/>
      <c r="UYH111" s="96"/>
      <c r="UYI111" s="96"/>
      <c r="UYJ111" s="96"/>
      <c r="UYK111" s="96"/>
      <c r="UYL111" s="96"/>
      <c r="UYM111" s="96"/>
      <c r="UYN111" s="96"/>
      <c r="UYO111" s="96"/>
      <c r="UYP111" s="96"/>
      <c r="UYQ111" s="96"/>
      <c r="UYR111" s="96"/>
      <c r="UYS111" s="96"/>
      <c r="UYT111" s="96"/>
      <c r="UYU111" s="96"/>
      <c r="UYV111" s="96"/>
      <c r="UYW111" s="96"/>
      <c r="UYX111" s="96"/>
      <c r="UYY111" s="96"/>
      <c r="UYZ111" s="95"/>
      <c r="UZA111" s="96"/>
      <c r="UZB111" s="96"/>
      <c r="UZC111" s="96"/>
      <c r="UZD111" s="96"/>
      <c r="UZE111" s="96"/>
      <c r="UZF111" s="96"/>
      <c r="UZG111" s="96"/>
      <c r="UZH111" s="96"/>
      <c r="UZI111" s="96"/>
      <c r="UZJ111" s="96"/>
      <c r="UZK111" s="96"/>
      <c r="UZL111" s="96"/>
      <c r="UZM111" s="96"/>
      <c r="UZN111" s="96"/>
      <c r="UZO111" s="96"/>
      <c r="UZP111" s="96"/>
      <c r="UZQ111" s="96"/>
      <c r="UZR111" s="96"/>
      <c r="UZS111" s="96"/>
      <c r="UZT111" s="96"/>
      <c r="UZU111" s="96"/>
      <c r="UZV111" s="95"/>
      <c r="UZW111" s="96"/>
      <c r="UZX111" s="96"/>
      <c r="UZY111" s="96"/>
      <c r="UZZ111" s="96"/>
      <c r="VAA111" s="96"/>
      <c r="VAB111" s="96"/>
      <c r="VAC111" s="96"/>
      <c r="VAD111" s="96"/>
      <c r="VAE111" s="96"/>
      <c r="VAF111" s="96"/>
      <c r="VAG111" s="96"/>
      <c r="VAH111" s="96"/>
      <c r="VAI111" s="96"/>
      <c r="VAJ111" s="96"/>
      <c r="VAK111" s="96"/>
      <c r="VAL111" s="96"/>
      <c r="VAM111" s="96"/>
      <c r="VAN111" s="96"/>
      <c r="VAO111" s="96"/>
      <c r="VAP111" s="96"/>
      <c r="VAQ111" s="96"/>
      <c r="VAR111" s="95"/>
      <c r="VAS111" s="96"/>
      <c r="VAT111" s="96"/>
      <c r="VAU111" s="96"/>
      <c r="VAV111" s="96"/>
      <c r="VAW111" s="96"/>
      <c r="VAX111" s="96"/>
      <c r="VAY111" s="96"/>
      <c r="VAZ111" s="96"/>
      <c r="VBA111" s="96"/>
      <c r="VBB111" s="96"/>
      <c r="VBC111" s="96"/>
      <c r="VBD111" s="96"/>
      <c r="VBE111" s="96"/>
      <c r="VBF111" s="96"/>
      <c r="VBG111" s="96"/>
      <c r="VBH111" s="96"/>
      <c r="VBI111" s="96"/>
      <c r="VBJ111" s="96"/>
      <c r="VBK111" s="96"/>
      <c r="VBL111" s="96"/>
      <c r="VBM111" s="96"/>
      <c r="VBN111" s="95"/>
      <c r="VBO111" s="96"/>
      <c r="VBP111" s="96"/>
      <c r="VBQ111" s="96"/>
      <c r="VBR111" s="96"/>
      <c r="VBS111" s="96"/>
      <c r="VBT111" s="96"/>
      <c r="VBU111" s="96"/>
      <c r="VBV111" s="96"/>
      <c r="VBW111" s="96"/>
      <c r="VBX111" s="96"/>
      <c r="VBY111" s="96"/>
      <c r="VBZ111" s="96"/>
      <c r="VCA111" s="96"/>
      <c r="VCB111" s="96"/>
      <c r="VCC111" s="96"/>
      <c r="VCD111" s="96"/>
      <c r="VCE111" s="96"/>
      <c r="VCF111" s="96"/>
      <c r="VCG111" s="96"/>
      <c r="VCH111" s="96"/>
      <c r="VCI111" s="96"/>
      <c r="VCJ111" s="95"/>
      <c r="VCK111" s="96"/>
      <c r="VCL111" s="96"/>
      <c r="VCM111" s="96"/>
      <c r="VCN111" s="96"/>
      <c r="VCO111" s="96"/>
      <c r="VCP111" s="96"/>
      <c r="VCQ111" s="96"/>
      <c r="VCR111" s="96"/>
      <c r="VCS111" s="96"/>
      <c r="VCT111" s="96"/>
      <c r="VCU111" s="96"/>
      <c r="VCV111" s="96"/>
      <c r="VCW111" s="96"/>
      <c r="VCX111" s="96"/>
      <c r="VCY111" s="96"/>
      <c r="VCZ111" s="96"/>
      <c r="VDA111" s="96"/>
      <c r="VDB111" s="96"/>
      <c r="VDC111" s="96"/>
      <c r="VDD111" s="96"/>
      <c r="VDE111" s="96"/>
      <c r="VDF111" s="95"/>
      <c r="VDG111" s="96"/>
      <c r="VDH111" s="96"/>
      <c r="VDI111" s="96"/>
      <c r="VDJ111" s="96"/>
      <c r="VDK111" s="96"/>
      <c r="VDL111" s="96"/>
      <c r="VDM111" s="96"/>
      <c r="VDN111" s="96"/>
      <c r="VDO111" s="96"/>
      <c r="VDP111" s="96"/>
      <c r="VDQ111" s="96"/>
      <c r="VDR111" s="96"/>
      <c r="VDS111" s="96"/>
      <c r="VDT111" s="96"/>
      <c r="VDU111" s="96"/>
      <c r="VDV111" s="96"/>
      <c r="VDW111" s="96"/>
      <c r="VDX111" s="96"/>
      <c r="VDY111" s="96"/>
      <c r="VDZ111" s="96"/>
      <c r="VEA111" s="96"/>
      <c r="VEB111" s="95"/>
      <c r="VEC111" s="96"/>
      <c r="VED111" s="96"/>
      <c r="VEE111" s="96"/>
      <c r="VEF111" s="96"/>
      <c r="VEG111" s="96"/>
      <c r="VEH111" s="96"/>
      <c r="VEI111" s="96"/>
      <c r="VEJ111" s="96"/>
      <c r="VEK111" s="96"/>
      <c r="VEL111" s="96"/>
      <c r="VEM111" s="96"/>
      <c r="VEN111" s="96"/>
      <c r="VEO111" s="96"/>
      <c r="VEP111" s="96"/>
      <c r="VEQ111" s="96"/>
      <c r="VER111" s="96"/>
      <c r="VES111" s="96"/>
      <c r="VET111" s="96"/>
      <c r="VEU111" s="96"/>
      <c r="VEV111" s="96"/>
      <c r="VEW111" s="96"/>
      <c r="VEX111" s="95"/>
      <c r="VEY111" s="96"/>
      <c r="VEZ111" s="96"/>
      <c r="VFA111" s="96"/>
      <c r="VFB111" s="96"/>
      <c r="VFC111" s="96"/>
      <c r="VFD111" s="96"/>
      <c r="VFE111" s="96"/>
      <c r="VFF111" s="96"/>
      <c r="VFG111" s="96"/>
      <c r="VFH111" s="96"/>
      <c r="VFI111" s="96"/>
      <c r="VFJ111" s="96"/>
      <c r="VFK111" s="96"/>
      <c r="VFL111" s="96"/>
      <c r="VFM111" s="96"/>
      <c r="VFN111" s="96"/>
      <c r="VFO111" s="96"/>
      <c r="VFP111" s="96"/>
      <c r="VFQ111" s="96"/>
      <c r="VFR111" s="96"/>
      <c r="VFS111" s="96"/>
      <c r="VFT111" s="95"/>
      <c r="VFU111" s="96"/>
      <c r="VFV111" s="96"/>
      <c r="VFW111" s="96"/>
      <c r="VFX111" s="96"/>
      <c r="VFY111" s="96"/>
      <c r="VFZ111" s="96"/>
      <c r="VGA111" s="96"/>
      <c r="VGB111" s="96"/>
      <c r="VGC111" s="96"/>
      <c r="VGD111" s="96"/>
      <c r="VGE111" s="96"/>
      <c r="VGF111" s="96"/>
      <c r="VGG111" s="96"/>
      <c r="VGH111" s="96"/>
      <c r="VGI111" s="96"/>
      <c r="VGJ111" s="96"/>
      <c r="VGK111" s="96"/>
      <c r="VGL111" s="96"/>
      <c r="VGM111" s="96"/>
      <c r="VGN111" s="96"/>
      <c r="VGO111" s="96"/>
      <c r="VGP111" s="95"/>
      <c r="VGQ111" s="96"/>
      <c r="VGR111" s="96"/>
      <c r="VGS111" s="96"/>
      <c r="VGT111" s="96"/>
      <c r="VGU111" s="96"/>
      <c r="VGV111" s="96"/>
      <c r="VGW111" s="96"/>
      <c r="VGX111" s="96"/>
      <c r="VGY111" s="96"/>
      <c r="VGZ111" s="96"/>
      <c r="VHA111" s="96"/>
      <c r="VHB111" s="96"/>
      <c r="VHC111" s="96"/>
      <c r="VHD111" s="96"/>
      <c r="VHE111" s="96"/>
      <c r="VHF111" s="96"/>
      <c r="VHG111" s="96"/>
      <c r="VHH111" s="96"/>
      <c r="VHI111" s="96"/>
      <c r="VHJ111" s="96"/>
      <c r="VHK111" s="96"/>
      <c r="VHL111" s="95"/>
      <c r="VHM111" s="96"/>
      <c r="VHN111" s="96"/>
      <c r="VHO111" s="96"/>
      <c r="VHP111" s="96"/>
      <c r="VHQ111" s="96"/>
      <c r="VHR111" s="96"/>
      <c r="VHS111" s="96"/>
      <c r="VHT111" s="96"/>
      <c r="VHU111" s="96"/>
      <c r="VHV111" s="96"/>
      <c r="VHW111" s="96"/>
      <c r="VHX111" s="96"/>
      <c r="VHY111" s="96"/>
      <c r="VHZ111" s="96"/>
      <c r="VIA111" s="96"/>
      <c r="VIB111" s="96"/>
      <c r="VIC111" s="96"/>
      <c r="VID111" s="96"/>
      <c r="VIE111" s="96"/>
      <c r="VIF111" s="96"/>
      <c r="VIG111" s="96"/>
      <c r="VIH111" s="95"/>
      <c r="VII111" s="96"/>
      <c r="VIJ111" s="96"/>
      <c r="VIK111" s="96"/>
      <c r="VIL111" s="96"/>
      <c r="VIM111" s="96"/>
      <c r="VIN111" s="96"/>
      <c r="VIO111" s="96"/>
      <c r="VIP111" s="96"/>
      <c r="VIQ111" s="96"/>
      <c r="VIR111" s="96"/>
      <c r="VIS111" s="96"/>
      <c r="VIT111" s="96"/>
      <c r="VIU111" s="96"/>
      <c r="VIV111" s="96"/>
      <c r="VIW111" s="96"/>
      <c r="VIX111" s="96"/>
      <c r="VIY111" s="96"/>
      <c r="VIZ111" s="96"/>
      <c r="VJA111" s="96"/>
      <c r="VJB111" s="96"/>
      <c r="VJC111" s="96"/>
      <c r="VJD111" s="95"/>
      <c r="VJE111" s="96"/>
      <c r="VJF111" s="96"/>
      <c r="VJG111" s="96"/>
      <c r="VJH111" s="96"/>
      <c r="VJI111" s="96"/>
      <c r="VJJ111" s="96"/>
      <c r="VJK111" s="96"/>
      <c r="VJL111" s="96"/>
      <c r="VJM111" s="96"/>
      <c r="VJN111" s="96"/>
      <c r="VJO111" s="96"/>
      <c r="VJP111" s="96"/>
      <c r="VJQ111" s="96"/>
      <c r="VJR111" s="96"/>
      <c r="VJS111" s="96"/>
      <c r="VJT111" s="96"/>
      <c r="VJU111" s="96"/>
      <c r="VJV111" s="96"/>
      <c r="VJW111" s="96"/>
      <c r="VJX111" s="96"/>
      <c r="VJY111" s="96"/>
      <c r="VJZ111" s="95"/>
      <c r="VKA111" s="96"/>
      <c r="VKB111" s="96"/>
      <c r="VKC111" s="96"/>
      <c r="VKD111" s="96"/>
      <c r="VKE111" s="96"/>
      <c r="VKF111" s="96"/>
      <c r="VKG111" s="96"/>
      <c r="VKH111" s="96"/>
      <c r="VKI111" s="96"/>
      <c r="VKJ111" s="96"/>
      <c r="VKK111" s="96"/>
      <c r="VKL111" s="96"/>
      <c r="VKM111" s="96"/>
      <c r="VKN111" s="96"/>
      <c r="VKO111" s="96"/>
      <c r="VKP111" s="96"/>
      <c r="VKQ111" s="96"/>
      <c r="VKR111" s="96"/>
      <c r="VKS111" s="96"/>
      <c r="VKT111" s="96"/>
      <c r="VKU111" s="96"/>
      <c r="VKV111" s="95"/>
      <c r="VKW111" s="96"/>
      <c r="VKX111" s="96"/>
      <c r="VKY111" s="96"/>
      <c r="VKZ111" s="96"/>
      <c r="VLA111" s="96"/>
      <c r="VLB111" s="96"/>
      <c r="VLC111" s="96"/>
      <c r="VLD111" s="96"/>
      <c r="VLE111" s="96"/>
      <c r="VLF111" s="96"/>
      <c r="VLG111" s="96"/>
      <c r="VLH111" s="96"/>
      <c r="VLI111" s="96"/>
      <c r="VLJ111" s="96"/>
      <c r="VLK111" s="96"/>
      <c r="VLL111" s="96"/>
      <c r="VLM111" s="96"/>
      <c r="VLN111" s="96"/>
      <c r="VLO111" s="96"/>
      <c r="VLP111" s="96"/>
      <c r="VLQ111" s="96"/>
      <c r="VLR111" s="95"/>
      <c r="VLS111" s="96"/>
      <c r="VLT111" s="96"/>
      <c r="VLU111" s="96"/>
      <c r="VLV111" s="96"/>
      <c r="VLW111" s="96"/>
      <c r="VLX111" s="96"/>
      <c r="VLY111" s="96"/>
      <c r="VLZ111" s="96"/>
      <c r="VMA111" s="96"/>
      <c r="VMB111" s="96"/>
      <c r="VMC111" s="96"/>
      <c r="VMD111" s="96"/>
      <c r="VME111" s="96"/>
      <c r="VMF111" s="96"/>
      <c r="VMG111" s="96"/>
      <c r="VMH111" s="96"/>
      <c r="VMI111" s="96"/>
      <c r="VMJ111" s="96"/>
      <c r="VMK111" s="96"/>
      <c r="VML111" s="96"/>
      <c r="VMM111" s="96"/>
      <c r="VMN111" s="95"/>
      <c r="VMO111" s="96"/>
      <c r="VMP111" s="96"/>
      <c r="VMQ111" s="96"/>
      <c r="VMR111" s="96"/>
      <c r="VMS111" s="96"/>
      <c r="VMT111" s="96"/>
      <c r="VMU111" s="96"/>
      <c r="VMV111" s="96"/>
      <c r="VMW111" s="96"/>
      <c r="VMX111" s="96"/>
      <c r="VMY111" s="96"/>
      <c r="VMZ111" s="96"/>
      <c r="VNA111" s="96"/>
      <c r="VNB111" s="96"/>
      <c r="VNC111" s="96"/>
      <c r="VND111" s="96"/>
      <c r="VNE111" s="96"/>
      <c r="VNF111" s="96"/>
      <c r="VNG111" s="96"/>
      <c r="VNH111" s="96"/>
      <c r="VNI111" s="96"/>
      <c r="VNJ111" s="95"/>
      <c r="VNK111" s="96"/>
      <c r="VNL111" s="96"/>
      <c r="VNM111" s="96"/>
      <c r="VNN111" s="96"/>
      <c r="VNO111" s="96"/>
      <c r="VNP111" s="96"/>
      <c r="VNQ111" s="96"/>
      <c r="VNR111" s="96"/>
      <c r="VNS111" s="96"/>
      <c r="VNT111" s="96"/>
      <c r="VNU111" s="96"/>
      <c r="VNV111" s="96"/>
      <c r="VNW111" s="96"/>
      <c r="VNX111" s="96"/>
      <c r="VNY111" s="96"/>
      <c r="VNZ111" s="96"/>
      <c r="VOA111" s="96"/>
      <c r="VOB111" s="96"/>
      <c r="VOC111" s="96"/>
      <c r="VOD111" s="96"/>
      <c r="VOE111" s="96"/>
      <c r="VOF111" s="95"/>
      <c r="VOG111" s="96"/>
      <c r="VOH111" s="96"/>
      <c r="VOI111" s="96"/>
      <c r="VOJ111" s="96"/>
      <c r="VOK111" s="96"/>
      <c r="VOL111" s="96"/>
      <c r="VOM111" s="96"/>
      <c r="VON111" s="96"/>
      <c r="VOO111" s="96"/>
      <c r="VOP111" s="96"/>
      <c r="VOQ111" s="96"/>
      <c r="VOR111" s="96"/>
      <c r="VOS111" s="96"/>
      <c r="VOT111" s="96"/>
      <c r="VOU111" s="96"/>
      <c r="VOV111" s="96"/>
      <c r="VOW111" s="96"/>
      <c r="VOX111" s="96"/>
      <c r="VOY111" s="96"/>
      <c r="VOZ111" s="96"/>
      <c r="VPA111" s="96"/>
      <c r="VPB111" s="95"/>
      <c r="VPC111" s="96"/>
      <c r="VPD111" s="96"/>
      <c r="VPE111" s="96"/>
      <c r="VPF111" s="96"/>
      <c r="VPG111" s="96"/>
      <c r="VPH111" s="96"/>
      <c r="VPI111" s="96"/>
      <c r="VPJ111" s="96"/>
      <c r="VPK111" s="96"/>
      <c r="VPL111" s="96"/>
      <c r="VPM111" s="96"/>
      <c r="VPN111" s="96"/>
      <c r="VPO111" s="96"/>
      <c r="VPP111" s="96"/>
      <c r="VPQ111" s="96"/>
      <c r="VPR111" s="96"/>
      <c r="VPS111" s="96"/>
      <c r="VPT111" s="96"/>
      <c r="VPU111" s="96"/>
      <c r="VPV111" s="96"/>
      <c r="VPW111" s="96"/>
      <c r="VPX111" s="95"/>
      <c r="VPY111" s="96"/>
      <c r="VPZ111" s="96"/>
      <c r="VQA111" s="96"/>
      <c r="VQB111" s="96"/>
      <c r="VQC111" s="96"/>
      <c r="VQD111" s="96"/>
      <c r="VQE111" s="96"/>
      <c r="VQF111" s="96"/>
      <c r="VQG111" s="96"/>
      <c r="VQH111" s="96"/>
      <c r="VQI111" s="96"/>
      <c r="VQJ111" s="96"/>
      <c r="VQK111" s="96"/>
      <c r="VQL111" s="96"/>
      <c r="VQM111" s="96"/>
      <c r="VQN111" s="96"/>
      <c r="VQO111" s="96"/>
      <c r="VQP111" s="96"/>
      <c r="VQQ111" s="96"/>
      <c r="VQR111" s="96"/>
      <c r="VQS111" s="96"/>
      <c r="VQT111" s="95"/>
      <c r="VQU111" s="96"/>
      <c r="VQV111" s="96"/>
      <c r="VQW111" s="96"/>
      <c r="VQX111" s="96"/>
      <c r="VQY111" s="96"/>
      <c r="VQZ111" s="96"/>
      <c r="VRA111" s="96"/>
      <c r="VRB111" s="96"/>
      <c r="VRC111" s="96"/>
      <c r="VRD111" s="96"/>
      <c r="VRE111" s="96"/>
      <c r="VRF111" s="96"/>
      <c r="VRG111" s="96"/>
      <c r="VRH111" s="96"/>
      <c r="VRI111" s="96"/>
      <c r="VRJ111" s="96"/>
      <c r="VRK111" s="96"/>
      <c r="VRL111" s="96"/>
      <c r="VRM111" s="96"/>
      <c r="VRN111" s="96"/>
      <c r="VRO111" s="96"/>
      <c r="VRP111" s="95"/>
      <c r="VRQ111" s="96"/>
      <c r="VRR111" s="96"/>
      <c r="VRS111" s="96"/>
      <c r="VRT111" s="96"/>
      <c r="VRU111" s="96"/>
      <c r="VRV111" s="96"/>
      <c r="VRW111" s="96"/>
      <c r="VRX111" s="96"/>
      <c r="VRY111" s="96"/>
      <c r="VRZ111" s="96"/>
      <c r="VSA111" s="96"/>
      <c r="VSB111" s="96"/>
      <c r="VSC111" s="96"/>
      <c r="VSD111" s="96"/>
      <c r="VSE111" s="96"/>
      <c r="VSF111" s="96"/>
      <c r="VSG111" s="96"/>
      <c r="VSH111" s="96"/>
      <c r="VSI111" s="96"/>
      <c r="VSJ111" s="96"/>
      <c r="VSK111" s="96"/>
      <c r="VSL111" s="95"/>
      <c r="VSM111" s="96"/>
      <c r="VSN111" s="96"/>
      <c r="VSO111" s="96"/>
      <c r="VSP111" s="96"/>
      <c r="VSQ111" s="96"/>
      <c r="VSR111" s="96"/>
      <c r="VSS111" s="96"/>
      <c r="VST111" s="96"/>
      <c r="VSU111" s="96"/>
      <c r="VSV111" s="96"/>
      <c r="VSW111" s="96"/>
      <c r="VSX111" s="96"/>
      <c r="VSY111" s="96"/>
      <c r="VSZ111" s="96"/>
      <c r="VTA111" s="96"/>
      <c r="VTB111" s="96"/>
      <c r="VTC111" s="96"/>
      <c r="VTD111" s="96"/>
      <c r="VTE111" s="96"/>
      <c r="VTF111" s="96"/>
      <c r="VTG111" s="96"/>
      <c r="VTH111" s="95"/>
      <c r="VTI111" s="96"/>
      <c r="VTJ111" s="96"/>
      <c r="VTK111" s="96"/>
      <c r="VTL111" s="96"/>
      <c r="VTM111" s="96"/>
      <c r="VTN111" s="96"/>
      <c r="VTO111" s="96"/>
      <c r="VTP111" s="96"/>
      <c r="VTQ111" s="96"/>
      <c r="VTR111" s="96"/>
      <c r="VTS111" s="96"/>
      <c r="VTT111" s="96"/>
      <c r="VTU111" s="96"/>
      <c r="VTV111" s="96"/>
      <c r="VTW111" s="96"/>
      <c r="VTX111" s="96"/>
      <c r="VTY111" s="96"/>
      <c r="VTZ111" s="96"/>
      <c r="VUA111" s="96"/>
      <c r="VUB111" s="96"/>
      <c r="VUC111" s="96"/>
      <c r="VUD111" s="95"/>
      <c r="VUE111" s="96"/>
      <c r="VUF111" s="96"/>
      <c r="VUG111" s="96"/>
      <c r="VUH111" s="96"/>
      <c r="VUI111" s="96"/>
      <c r="VUJ111" s="96"/>
      <c r="VUK111" s="96"/>
      <c r="VUL111" s="96"/>
      <c r="VUM111" s="96"/>
      <c r="VUN111" s="96"/>
      <c r="VUO111" s="96"/>
      <c r="VUP111" s="96"/>
      <c r="VUQ111" s="96"/>
      <c r="VUR111" s="96"/>
      <c r="VUS111" s="96"/>
      <c r="VUT111" s="96"/>
      <c r="VUU111" s="96"/>
      <c r="VUV111" s="96"/>
      <c r="VUW111" s="96"/>
      <c r="VUX111" s="96"/>
      <c r="VUY111" s="96"/>
      <c r="VUZ111" s="95"/>
      <c r="VVA111" s="96"/>
      <c r="VVB111" s="96"/>
      <c r="VVC111" s="96"/>
      <c r="VVD111" s="96"/>
      <c r="VVE111" s="96"/>
      <c r="VVF111" s="96"/>
      <c r="VVG111" s="96"/>
      <c r="VVH111" s="96"/>
      <c r="VVI111" s="96"/>
      <c r="VVJ111" s="96"/>
      <c r="VVK111" s="96"/>
      <c r="VVL111" s="96"/>
      <c r="VVM111" s="96"/>
      <c r="VVN111" s="96"/>
      <c r="VVO111" s="96"/>
      <c r="VVP111" s="96"/>
      <c r="VVQ111" s="96"/>
      <c r="VVR111" s="96"/>
      <c r="VVS111" s="96"/>
      <c r="VVT111" s="96"/>
      <c r="VVU111" s="96"/>
      <c r="VVV111" s="95"/>
      <c r="VVW111" s="96"/>
      <c r="VVX111" s="96"/>
      <c r="VVY111" s="96"/>
      <c r="VVZ111" s="96"/>
      <c r="VWA111" s="96"/>
      <c r="VWB111" s="96"/>
      <c r="VWC111" s="96"/>
      <c r="VWD111" s="96"/>
      <c r="VWE111" s="96"/>
      <c r="VWF111" s="96"/>
      <c r="VWG111" s="96"/>
      <c r="VWH111" s="96"/>
      <c r="VWI111" s="96"/>
      <c r="VWJ111" s="96"/>
      <c r="VWK111" s="96"/>
      <c r="VWL111" s="96"/>
      <c r="VWM111" s="96"/>
      <c r="VWN111" s="96"/>
      <c r="VWO111" s="96"/>
      <c r="VWP111" s="96"/>
      <c r="VWQ111" s="96"/>
      <c r="VWR111" s="95"/>
      <c r="VWS111" s="96"/>
      <c r="VWT111" s="96"/>
      <c r="VWU111" s="96"/>
      <c r="VWV111" s="96"/>
      <c r="VWW111" s="96"/>
      <c r="VWX111" s="96"/>
      <c r="VWY111" s="96"/>
      <c r="VWZ111" s="96"/>
      <c r="VXA111" s="96"/>
      <c r="VXB111" s="96"/>
      <c r="VXC111" s="96"/>
      <c r="VXD111" s="96"/>
      <c r="VXE111" s="96"/>
      <c r="VXF111" s="96"/>
      <c r="VXG111" s="96"/>
      <c r="VXH111" s="96"/>
      <c r="VXI111" s="96"/>
      <c r="VXJ111" s="96"/>
      <c r="VXK111" s="96"/>
      <c r="VXL111" s="96"/>
      <c r="VXM111" s="96"/>
      <c r="VXN111" s="95"/>
      <c r="VXO111" s="96"/>
      <c r="VXP111" s="96"/>
      <c r="VXQ111" s="96"/>
      <c r="VXR111" s="96"/>
      <c r="VXS111" s="96"/>
      <c r="VXT111" s="96"/>
      <c r="VXU111" s="96"/>
      <c r="VXV111" s="96"/>
      <c r="VXW111" s="96"/>
      <c r="VXX111" s="96"/>
      <c r="VXY111" s="96"/>
      <c r="VXZ111" s="96"/>
      <c r="VYA111" s="96"/>
      <c r="VYB111" s="96"/>
      <c r="VYC111" s="96"/>
      <c r="VYD111" s="96"/>
      <c r="VYE111" s="96"/>
      <c r="VYF111" s="96"/>
      <c r="VYG111" s="96"/>
      <c r="VYH111" s="96"/>
      <c r="VYI111" s="96"/>
      <c r="VYJ111" s="95"/>
      <c r="VYK111" s="96"/>
      <c r="VYL111" s="96"/>
      <c r="VYM111" s="96"/>
      <c r="VYN111" s="96"/>
      <c r="VYO111" s="96"/>
      <c r="VYP111" s="96"/>
      <c r="VYQ111" s="96"/>
      <c r="VYR111" s="96"/>
      <c r="VYS111" s="96"/>
      <c r="VYT111" s="96"/>
      <c r="VYU111" s="96"/>
      <c r="VYV111" s="96"/>
      <c r="VYW111" s="96"/>
      <c r="VYX111" s="96"/>
      <c r="VYY111" s="96"/>
      <c r="VYZ111" s="96"/>
      <c r="VZA111" s="96"/>
      <c r="VZB111" s="96"/>
      <c r="VZC111" s="96"/>
      <c r="VZD111" s="96"/>
      <c r="VZE111" s="96"/>
      <c r="VZF111" s="95"/>
      <c r="VZG111" s="96"/>
      <c r="VZH111" s="96"/>
      <c r="VZI111" s="96"/>
      <c r="VZJ111" s="96"/>
      <c r="VZK111" s="96"/>
      <c r="VZL111" s="96"/>
      <c r="VZM111" s="96"/>
      <c r="VZN111" s="96"/>
      <c r="VZO111" s="96"/>
      <c r="VZP111" s="96"/>
      <c r="VZQ111" s="96"/>
      <c r="VZR111" s="96"/>
      <c r="VZS111" s="96"/>
      <c r="VZT111" s="96"/>
      <c r="VZU111" s="96"/>
      <c r="VZV111" s="96"/>
      <c r="VZW111" s="96"/>
      <c r="VZX111" s="96"/>
      <c r="VZY111" s="96"/>
      <c r="VZZ111" s="96"/>
      <c r="WAA111" s="96"/>
      <c r="WAB111" s="95"/>
      <c r="WAC111" s="96"/>
      <c r="WAD111" s="96"/>
      <c r="WAE111" s="96"/>
      <c r="WAF111" s="96"/>
      <c r="WAG111" s="96"/>
      <c r="WAH111" s="96"/>
      <c r="WAI111" s="96"/>
      <c r="WAJ111" s="96"/>
      <c r="WAK111" s="96"/>
      <c r="WAL111" s="96"/>
      <c r="WAM111" s="96"/>
      <c r="WAN111" s="96"/>
      <c r="WAO111" s="96"/>
      <c r="WAP111" s="96"/>
      <c r="WAQ111" s="96"/>
      <c r="WAR111" s="96"/>
      <c r="WAS111" s="96"/>
      <c r="WAT111" s="96"/>
      <c r="WAU111" s="96"/>
      <c r="WAV111" s="96"/>
      <c r="WAW111" s="96"/>
      <c r="WAX111" s="95"/>
      <c r="WAY111" s="96"/>
      <c r="WAZ111" s="96"/>
      <c r="WBA111" s="96"/>
      <c r="WBB111" s="96"/>
      <c r="WBC111" s="96"/>
      <c r="WBD111" s="96"/>
      <c r="WBE111" s="96"/>
      <c r="WBF111" s="96"/>
      <c r="WBG111" s="96"/>
      <c r="WBH111" s="96"/>
      <c r="WBI111" s="96"/>
      <c r="WBJ111" s="96"/>
      <c r="WBK111" s="96"/>
      <c r="WBL111" s="96"/>
      <c r="WBM111" s="96"/>
      <c r="WBN111" s="96"/>
      <c r="WBO111" s="96"/>
      <c r="WBP111" s="96"/>
      <c r="WBQ111" s="96"/>
      <c r="WBR111" s="96"/>
      <c r="WBS111" s="96"/>
      <c r="WBT111" s="95"/>
      <c r="WBU111" s="96"/>
      <c r="WBV111" s="96"/>
      <c r="WBW111" s="96"/>
      <c r="WBX111" s="96"/>
      <c r="WBY111" s="96"/>
      <c r="WBZ111" s="96"/>
      <c r="WCA111" s="96"/>
      <c r="WCB111" s="96"/>
      <c r="WCC111" s="96"/>
      <c r="WCD111" s="96"/>
      <c r="WCE111" s="96"/>
      <c r="WCF111" s="96"/>
      <c r="WCG111" s="96"/>
      <c r="WCH111" s="96"/>
      <c r="WCI111" s="96"/>
      <c r="WCJ111" s="96"/>
      <c r="WCK111" s="96"/>
      <c r="WCL111" s="96"/>
      <c r="WCM111" s="96"/>
      <c r="WCN111" s="96"/>
      <c r="WCO111" s="96"/>
      <c r="WCP111" s="95"/>
      <c r="WCQ111" s="96"/>
      <c r="WCR111" s="96"/>
      <c r="WCS111" s="96"/>
      <c r="WCT111" s="96"/>
      <c r="WCU111" s="96"/>
      <c r="WCV111" s="96"/>
      <c r="WCW111" s="96"/>
      <c r="WCX111" s="96"/>
      <c r="WCY111" s="96"/>
      <c r="WCZ111" s="96"/>
      <c r="WDA111" s="96"/>
      <c r="WDB111" s="96"/>
      <c r="WDC111" s="96"/>
      <c r="WDD111" s="96"/>
      <c r="WDE111" s="96"/>
      <c r="WDF111" s="96"/>
      <c r="WDG111" s="96"/>
      <c r="WDH111" s="96"/>
      <c r="WDI111" s="96"/>
      <c r="WDJ111" s="96"/>
      <c r="WDK111" s="96"/>
      <c r="WDL111" s="95"/>
      <c r="WDM111" s="96"/>
      <c r="WDN111" s="96"/>
      <c r="WDO111" s="96"/>
      <c r="WDP111" s="96"/>
      <c r="WDQ111" s="96"/>
      <c r="WDR111" s="96"/>
      <c r="WDS111" s="96"/>
      <c r="WDT111" s="96"/>
      <c r="WDU111" s="96"/>
      <c r="WDV111" s="96"/>
      <c r="WDW111" s="96"/>
      <c r="WDX111" s="96"/>
      <c r="WDY111" s="96"/>
      <c r="WDZ111" s="96"/>
      <c r="WEA111" s="96"/>
      <c r="WEB111" s="96"/>
      <c r="WEC111" s="96"/>
      <c r="WED111" s="96"/>
      <c r="WEE111" s="96"/>
      <c r="WEF111" s="96"/>
      <c r="WEG111" s="96"/>
      <c r="WEH111" s="95"/>
      <c r="WEI111" s="96"/>
      <c r="WEJ111" s="96"/>
      <c r="WEK111" s="96"/>
      <c r="WEL111" s="96"/>
      <c r="WEM111" s="96"/>
      <c r="WEN111" s="96"/>
      <c r="WEO111" s="96"/>
      <c r="WEP111" s="96"/>
      <c r="WEQ111" s="96"/>
      <c r="WER111" s="96"/>
      <c r="WES111" s="96"/>
      <c r="WET111" s="96"/>
      <c r="WEU111" s="96"/>
      <c r="WEV111" s="96"/>
      <c r="WEW111" s="96"/>
      <c r="WEX111" s="96"/>
      <c r="WEY111" s="96"/>
      <c r="WEZ111" s="96"/>
      <c r="WFA111" s="96"/>
      <c r="WFB111" s="96"/>
      <c r="WFC111" s="96"/>
      <c r="WFD111" s="95"/>
      <c r="WFE111" s="96"/>
      <c r="WFF111" s="96"/>
      <c r="WFG111" s="96"/>
      <c r="WFH111" s="96"/>
      <c r="WFI111" s="96"/>
      <c r="WFJ111" s="96"/>
      <c r="WFK111" s="96"/>
      <c r="WFL111" s="96"/>
      <c r="WFM111" s="96"/>
      <c r="WFN111" s="96"/>
      <c r="WFO111" s="96"/>
      <c r="WFP111" s="96"/>
      <c r="WFQ111" s="96"/>
      <c r="WFR111" s="96"/>
      <c r="WFS111" s="96"/>
      <c r="WFT111" s="96"/>
      <c r="WFU111" s="96"/>
      <c r="WFV111" s="96"/>
      <c r="WFW111" s="96"/>
      <c r="WFX111" s="96"/>
      <c r="WFY111" s="96"/>
      <c r="WFZ111" s="95"/>
      <c r="WGA111" s="96"/>
      <c r="WGB111" s="96"/>
      <c r="WGC111" s="96"/>
      <c r="WGD111" s="96"/>
      <c r="WGE111" s="96"/>
      <c r="WGF111" s="96"/>
      <c r="WGG111" s="96"/>
      <c r="WGH111" s="96"/>
      <c r="WGI111" s="96"/>
      <c r="WGJ111" s="96"/>
      <c r="WGK111" s="96"/>
      <c r="WGL111" s="96"/>
      <c r="WGM111" s="96"/>
      <c r="WGN111" s="96"/>
      <c r="WGO111" s="96"/>
      <c r="WGP111" s="96"/>
      <c r="WGQ111" s="96"/>
      <c r="WGR111" s="96"/>
      <c r="WGS111" s="96"/>
      <c r="WGT111" s="96"/>
      <c r="WGU111" s="96"/>
      <c r="WGV111" s="95"/>
      <c r="WGW111" s="96"/>
      <c r="WGX111" s="96"/>
      <c r="WGY111" s="96"/>
      <c r="WGZ111" s="96"/>
      <c r="WHA111" s="96"/>
      <c r="WHB111" s="96"/>
      <c r="WHC111" s="96"/>
      <c r="WHD111" s="96"/>
      <c r="WHE111" s="96"/>
      <c r="WHF111" s="96"/>
      <c r="WHG111" s="96"/>
      <c r="WHH111" s="96"/>
      <c r="WHI111" s="96"/>
      <c r="WHJ111" s="96"/>
      <c r="WHK111" s="96"/>
      <c r="WHL111" s="96"/>
      <c r="WHM111" s="96"/>
      <c r="WHN111" s="96"/>
      <c r="WHO111" s="96"/>
      <c r="WHP111" s="96"/>
      <c r="WHQ111" s="96"/>
      <c r="WHR111" s="95"/>
      <c r="WHS111" s="96"/>
      <c r="WHT111" s="96"/>
      <c r="WHU111" s="96"/>
      <c r="WHV111" s="96"/>
      <c r="WHW111" s="96"/>
      <c r="WHX111" s="96"/>
      <c r="WHY111" s="96"/>
      <c r="WHZ111" s="96"/>
      <c r="WIA111" s="96"/>
      <c r="WIB111" s="96"/>
      <c r="WIC111" s="96"/>
      <c r="WID111" s="96"/>
      <c r="WIE111" s="96"/>
      <c r="WIF111" s="96"/>
      <c r="WIG111" s="96"/>
      <c r="WIH111" s="96"/>
      <c r="WII111" s="96"/>
      <c r="WIJ111" s="96"/>
      <c r="WIK111" s="96"/>
      <c r="WIL111" s="96"/>
      <c r="WIM111" s="96"/>
      <c r="WIN111" s="95"/>
      <c r="WIO111" s="96"/>
      <c r="WIP111" s="96"/>
      <c r="WIQ111" s="96"/>
      <c r="WIR111" s="96"/>
      <c r="WIS111" s="96"/>
      <c r="WIT111" s="96"/>
      <c r="WIU111" s="96"/>
      <c r="WIV111" s="96"/>
      <c r="WIW111" s="96"/>
      <c r="WIX111" s="96"/>
      <c r="WIY111" s="96"/>
      <c r="WIZ111" s="96"/>
      <c r="WJA111" s="96"/>
      <c r="WJB111" s="96"/>
      <c r="WJC111" s="96"/>
      <c r="WJD111" s="96"/>
      <c r="WJE111" s="96"/>
      <c r="WJF111" s="96"/>
      <c r="WJG111" s="96"/>
      <c r="WJH111" s="96"/>
      <c r="WJI111" s="96"/>
      <c r="WJJ111" s="95"/>
      <c r="WJK111" s="96"/>
      <c r="WJL111" s="96"/>
      <c r="WJM111" s="96"/>
      <c r="WJN111" s="96"/>
      <c r="WJO111" s="96"/>
      <c r="WJP111" s="96"/>
      <c r="WJQ111" s="96"/>
      <c r="WJR111" s="96"/>
      <c r="WJS111" s="96"/>
      <c r="WJT111" s="96"/>
      <c r="WJU111" s="96"/>
      <c r="WJV111" s="96"/>
      <c r="WJW111" s="96"/>
      <c r="WJX111" s="96"/>
      <c r="WJY111" s="96"/>
      <c r="WJZ111" s="96"/>
      <c r="WKA111" s="96"/>
      <c r="WKB111" s="96"/>
      <c r="WKC111" s="96"/>
      <c r="WKD111" s="96"/>
      <c r="WKE111" s="96"/>
      <c r="WKF111" s="95"/>
      <c r="WKG111" s="96"/>
      <c r="WKH111" s="96"/>
      <c r="WKI111" s="96"/>
      <c r="WKJ111" s="96"/>
      <c r="WKK111" s="96"/>
      <c r="WKL111" s="96"/>
      <c r="WKM111" s="96"/>
      <c r="WKN111" s="96"/>
      <c r="WKO111" s="96"/>
      <c r="WKP111" s="96"/>
      <c r="WKQ111" s="96"/>
      <c r="WKR111" s="96"/>
      <c r="WKS111" s="96"/>
      <c r="WKT111" s="96"/>
      <c r="WKU111" s="96"/>
      <c r="WKV111" s="96"/>
      <c r="WKW111" s="96"/>
      <c r="WKX111" s="96"/>
      <c r="WKY111" s="96"/>
      <c r="WKZ111" s="96"/>
      <c r="WLA111" s="96"/>
      <c r="WLB111" s="95"/>
      <c r="WLC111" s="96"/>
      <c r="WLD111" s="96"/>
      <c r="WLE111" s="96"/>
      <c r="WLF111" s="96"/>
      <c r="WLG111" s="96"/>
      <c r="WLH111" s="96"/>
      <c r="WLI111" s="96"/>
      <c r="WLJ111" s="96"/>
      <c r="WLK111" s="96"/>
      <c r="WLL111" s="96"/>
      <c r="WLM111" s="96"/>
      <c r="WLN111" s="96"/>
      <c r="WLO111" s="96"/>
      <c r="WLP111" s="96"/>
      <c r="WLQ111" s="96"/>
      <c r="WLR111" s="96"/>
      <c r="WLS111" s="96"/>
      <c r="WLT111" s="96"/>
      <c r="WLU111" s="96"/>
      <c r="WLV111" s="96"/>
      <c r="WLW111" s="96"/>
      <c r="WLX111" s="95"/>
      <c r="WLY111" s="96"/>
      <c r="WLZ111" s="96"/>
      <c r="WMA111" s="96"/>
      <c r="WMB111" s="96"/>
      <c r="WMC111" s="96"/>
      <c r="WMD111" s="96"/>
      <c r="WME111" s="96"/>
      <c r="WMF111" s="96"/>
      <c r="WMG111" s="96"/>
      <c r="WMH111" s="96"/>
      <c r="WMI111" s="96"/>
      <c r="WMJ111" s="96"/>
      <c r="WMK111" s="96"/>
      <c r="WML111" s="96"/>
      <c r="WMM111" s="96"/>
      <c r="WMN111" s="96"/>
      <c r="WMO111" s="96"/>
      <c r="WMP111" s="96"/>
      <c r="WMQ111" s="96"/>
      <c r="WMR111" s="96"/>
      <c r="WMS111" s="96"/>
      <c r="WMT111" s="95"/>
      <c r="WMU111" s="96"/>
      <c r="WMV111" s="96"/>
      <c r="WMW111" s="96"/>
      <c r="WMX111" s="96"/>
      <c r="WMY111" s="96"/>
      <c r="WMZ111" s="96"/>
      <c r="WNA111" s="96"/>
      <c r="WNB111" s="96"/>
      <c r="WNC111" s="96"/>
      <c r="WND111" s="96"/>
      <c r="WNE111" s="96"/>
      <c r="WNF111" s="96"/>
      <c r="WNG111" s="96"/>
      <c r="WNH111" s="96"/>
      <c r="WNI111" s="96"/>
      <c r="WNJ111" s="96"/>
      <c r="WNK111" s="96"/>
      <c r="WNL111" s="96"/>
      <c r="WNM111" s="96"/>
      <c r="WNN111" s="96"/>
      <c r="WNO111" s="96"/>
      <c r="WNP111" s="95"/>
      <c r="WNQ111" s="96"/>
      <c r="WNR111" s="96"/>
      <c r="WNS111" s="96"/>
      <c r="WNT111" s="96"/>
      <c r="WNU111" s="96"/>
      <c r="WNV111" s="96"/>
      <c r="WNW111" s="96"/>
      <c r="WNX111" s="96"/>
      <c r="WNY111" s="96"/>
      <c r="WNZ111" s="96"/>
      <c r="WOA111" s="96"/>
      <c r="WOB111" s="96"/>
      <c r="WOC111" s="96"/>
      <c r="WOD111" s="96"/>
      <c r="WOE111" s="96"/>
      <c r="WOF111" s="96"/>
      <c r="WOG111" s="96"/>
      <c r="WOH111" s="96"/>
      <c r="WOI111" s="96"/>
      <c r="WOJ111" s="96"/>
      <c r="WOK111" s="96"/>
      <c r="WOL111" s="95"/>
      <c r="WOM111" s="96"/>
      <c r="WON111" s="96"/>
      <c r="WOO111" s="96"/>
      <c r="WOP111" s="96"/>
      <c r="WOQ111" s="96"/>
      <c r="WOR111" s="96"/>
      <c r="WOS111" s="96"/>
      <c r="WOT111" s="96"/>
      <c r="WOU111" s="96"/>
      <c r="WOV111" s="96"/>
      <c r="WOW111" s="96"/>
      <c r="WOX111" s="96"/>
      <c r="WOY111" s="96"/>
      <c r="WOZ111" s="96"/>
      <c r="WPA111" s="96"/>
      <c r="WPB111" s="96"/>
      <c r="WPC111" s="96"/>
      <c r="WPD111" s="96"/>
      <c r="WPE111" s="96"/>
      <c r="WPF111" s="96"/>
      <c r="WPG111" s="96"/>
      <c r="WPH111" s="95"/>
      <c r="WPI111" s="96"/>
      <c r="WPJ111" s="96"/>
      <c r="WPK111" s="96"/>
      <c r="WPL111" s="96"/>
      <c r="WPM111" s="96"/>
      <c r="WPN111" s="96"/>
      <c r="WPO111" s="96"/>
      <c r="WPP111" s="96"/>
      <c r="WPQ111" s="96"/>
      <c r="WPR111" s="96"/>
      <c r="WPS111" s="96"/>
      <c r="WPT111" s="96"/>
      <c r="WPU111" s="96"/>
      <c r="WPV111" s="96"/>
      <c r="WPW111" s="96"/>
      <c r="WPX111" s="96"/>
      <c r="WPY111" s="96"/>
      <c r="WPZ111" s="96"/>
      <c r="WQA111" s="96"/>
      <c r="WQB111" s="96"/>
      <c r="WQC111" s="96"/>
      <c r="WQD111" s="95"/>
      <c r="WQE111" s="96"/>
      <c r="WQF111" s="96"/>
      <c r="WQG111" s="96"/>
      <c r="WQH111" s="96"/>
      <c r="WQI111" s="96"/>
      <c r="WQJ111" s="96"/>
      <c r="WQK111" s="96"/>
      <c r="WQL111" s="96"/>
      <c r="WQM111" s="96"/>
      <c r="WQN111" s="96"/>
      <c r="WQO111" s="96"/>
      <c r="WQP111" s="96"/>
      <c r="WQQ111" s="96"/>
      <c r="WQR111" s="96"/>
      <c r="WQS111" s="96"/>
      <c r="WQT111" s="96"/>
      <c r="WQU111" s="96"/>
      <c r="WQV111" s="96"/>
      <c r="WQW111" s="96"/>
      <c r="WQX111" s="96"/>
      <c r="WQY111" s="96"/>
      <c r="WQZ111" s="95"/>
      <c r="WRA111" s="96"/>
      <c r="WRB111" s="96"/>
      <c r="WRC111" s="96"/>
      <c r="WRD111" s="96"/>
      <c r="WRE111" s="96"/>
      <c r="WRF111" s="96"/>
      <c r="WRG111" s="96"/>
      <c r="WRH111" s="96"/>
      <c r="WRI111" s="96"/>
      <c r="WRJ111" s="96"/>
      <c r="WRK111" s="96"/>
      <c r="WRL111" s="96"/>
      <c r="WRM111" s="96"/>
      <c r="WRN111" s="96"/>
      <c r="WRO111" s="96"/>
      <c r="WRP111" s="96"/>
      <c r="WRQ111" s="96"/>
      <c r="WRR111" s="96"/>
      <c r="WRS111" s="96"/>
      <c r="WRT111" s="96"/>
      <c r="WRU111" s="96"/>
      <c r="WRV111" s="95"/>
      <c r="WRW111" s="96"/>
      <c r="WRX111" s="96"/>
      <c r="WRY111" s="96"/>
      <c r="WRZ111" s="96"/>
      <c r="WSA111" s="96"/>
      <c r="WSB111" s="96"/>
      <c r="WSC111" s="96"/>
      <c r="WSD111" s="96"/>
      <c r="WSE111" s="96"/>
      <c r="WSF111" s="96"/>
      <c r="WSG111" s="96"/>
      <c r="WSH111" s="96"/>
      <c r="WSI111" s="96"/>
      <c r="WSJ111" s="96"/>
      <c r="WSK111" s="96"/>
      <c r="WSL111" s="96"/>
      <c r="WSM111" s="96"/>
      <c r="WSN111" s="96"/>
      <c r="WSO111" s="96"/>
      <c r="WSP111" s="96"/>
      <c r="WSQ111" s="96"/>
      <c r="WSR111" s="95"/>
      <c r="WSS111" s="96"/>
      <c r="WST111" s="96"/>
      <c r="WSU111" s="96"/>
      <c r="WSV111" s="96"/>
      <c r="WSW111" s="96"/>
      <c r="WSX111" s="96"/>
      <c r="WSY111" s="96"/>
      <c r="WSZ111" s="96"/>
      <c r="WTA111" s="96"/>
      <c r="WTB111" s="96"/>
      <c r="WTC111" s="96"/>
      <c r="WTD111" s="96"/>
      <c r="WTE111" s="96"/>
      <c r="WTF111" s="96"/>
      <c r="WTG111" s="96"/>
      <c r="WTH111" s="96"/>
      <c r="WTI111" s="96"/>
      <c r="WTJ111" s="96"/>
      <c r="WTK111" s="96"/>
      <c r="WTL111" s="96"/>
      <c r="WTM111" s="96"/>
      <c r="WTN111" s="95"/>
      <c r="WTO111" s="96"/>
      <c r="WTP111" s="96"/>
      <c r="WTQ111" s="96"/>
      <c r="WTR111" s="96"/>
      <c r="WTS111" s="96"/>
      <c r="WTT111" s="96"/>
      <c r="WTU111" s="96"/>
      <c r="WTV111" s="96"/>
      <c r="WTW111" s="96"/>
      <c r="WTX111" s="96"/>
      <c r="WTY111" s="96"/>
      <c r="WTZ111" s="96"/>
      <c r="WUA111" s="96"/>
      <c r="WUB111" s="96"/>
      <c r="WUC111" s="96"/>
      <c r="WUD111" s="96"/>
      <c r="WUE111" s="96"/>
      <c r="WUF111" s="96"/>
      <c r="WUG111" s="96"/>
      <c r="WUH111" s="96"/>
      <c r="WUI111" s="96"/>
      <c r="WUJ111" s="95"/>
      <c r="WUK111" s="96"/>
      <c r="WUL111" s="96"/>
      <c r="WUM111" s="96"/>
      <c r="WUN111" s="96"/>
      <c r="WUO111" s="96"/>
      <c r="WUP111" s="96"/>
      <c r="WUQ111" s="96"/>
      <c r="WUR111" s="96"/>
      <c r="WUS111" s="96"/>
      <c r="WUT111" s="96"/>
      <c r="WUU111" s="96"/>
      <c r="WUV111" s="96"/>
      <c r="WUW111" s="96"/>
      <c r="WUX111" s="96"/>
      <c r="WUY111" s="96"/>
      <c r="WUZ111" s="96"/>
      <c r="WVA111" s="96"/>
      <c r="WVB111" s="96"/>
      <c r="WVC111" s="96"/>
      <c r="WVD111" s="96"/>
      <c r="WVE111" s="96"/>
      <c r="WVF111" s="95"/>
      <c r="WVG111" s="96"/>
      <c r="WVH111" s="96"/>
      <c r="WVI111" s="96"/>
      <c r="WVJ111" s="96"/>
      <c r="WVK111" s="96"/>
      <c r="WVL111" s="96"/>
      <c r="WVM111" s="96"/>
      <c r="WVN111" s="96"/>
      <c r="WVO111" s="96"/>
      <c r="WVP111" s="96"/>
      <c r="WVQ111" s="96"/>
      <c r="WVR111" s="96"/>
      <c r="WVS111" s="96"/>
      <c r="WVT111" s="96"/>
      <c r="WVU111" s="96"/>
      <c r="WVV111" s="96"/>
      <c r="WVW111" s="96"/>
      <c r="WVX111" s="96"/>
      <c r="WVY111" s="96"/>
      <c r="WVZ111" s="96"/>
      <c r="WWA111" s="96"/>
      <c r="WWB111" s="95"/>
      <c r="WWC111" s="96"/>
      <c r="WWD111" s="96"/>
      <c r="WWE111" s="96"/>
      <c r="WWF111" s="96"/>
      <c r="WWG111" s="96"/>
      <c r="WWH111" s="96"/>
      <c r="WWI111" s="96"/>
      <c r="WWJ111" s="96"/>
      <c r="WWK111" s="96"/>
      <c r="WWL111" s="96"/>
      <c r="WWM111" s="96"/>
      <c r="WWN111" s="96"/>
      <c r="WWO111" s="96"/>
      <c r="WWP111" s="96"/>
      <c r="WWQ111" s="96"/>
      <c r="WWR111" s="96"/>
      <c r="WWS111" s="96"/>
      <c r="WWT111" s="96"/>
      <c r="WWU111" s="96"/>
      <c r="WWV111" s="96"/>
      <c r="WWW111" s="96"/>
      <c r="WWX111" s="95"/>
      <c r="WWY111" s="96"/>
      <c r="WWZ111" s="96"/>
      <c r="WXA111" s="96"/>
      <c r="WXB111" s="96"/>
      <c r="WXC111" s="96"/>
      <c r="WXD111" s="96"/>
      <c r="WXE111" s="96"/>
      <c r="WXF111" s="96"/>
      <c r="WXG111" s="96"/>
      <c r="WXH111" s="96"/>
      <c r="WXI111" s="96"/>
      <c r="WXJ111" s="96"/>
      <c r="WXK111" s="96"/>
      <c r="WXL111" s="96"/>
      <c r="WXM111" s="96"/>
      <c r="WXN111" s="96"/>
      <c r="WXO111" s="96"/>
      <c r="WXP111" s="96"/>
      <c r="WXQ111" s="96"/>
      <c r="WXR111" s="96"/>
      <c r="WXS111" s="96"/>
      <c r="WXT111" s="95"/>
      <c r="WXU111" s="96"/>
      <c r="WXV111" s="96"/>
      <c r="WXW111" s="96"/>
      <c r="WXX111" s="96"/>
      <c r="WXY111" s="96"/>
      <c r="WXZ111" s="96"/>
      <c r="WYA111" s="96"/>
      <c r="WYB111" s="96"/>
      <c r="WYC111" s="96"/>
      <c r="WYD111" s="96"/>
      <c r="WYE111" s="96"/>
      <c r="WYF111" s="96"/>
      <c r="WYG111" s="96"/>
      <c r="WYH111" s="96"/>
      <c r="WYI111" s="96"/>
      <c r="WYJ111" s="96"/>
      <c r="WYK111" s="96"/>
      <c r="WYL111" s="96"/>
      <c r="WYM111" s="96"/>
      <c r="WYN111" s="96"/>
      <c r="WYO111" s="96"/>
      <c r="WYP111" s="95"/>
      <c r="WYQ111" s="96"/>
      <c r="WYR111" s="96"/>
      <c r="WYS111" s="96"/>
      <c r="WYT111" s="96"/>
      <c r="WYU111" s="96"/>
      <c r="WYV111" s="96"/>
      <c r="WYW111" s="96"/>
      <c r="WYX111" s="96"/>
      <c r="WYY111" s="96"/>
      <c r="WYZ111" s="96"/>
      <c r="WZA111" s="96"/>
      <c r="WZB111" s="96"/>
      <c r="WZC111" s="96"/>
      <c r="WZD111" s="96"/>
      <c r="WZE111" s="96"/>
      <c r="WZF111" s="96"/>
      <c r="WZG111" s="96"/>
      <c r="WZH111" s="96"/>
      <c r="WZI111" s="96"/>
      <c r="WZJ111" s="96"/>
      <c r="WZK111" s="96"/>
      <c r="WZL111" s="95"/>
      <c r="WZM111" s="96"/>
      <c r="WZN111" s="96"/>
      <c r="WZO111" s="96"/>
      <c r="WZP111" s="96"/>
      <c r="WZQ111" s="96"/>
      <c r="WZR111" s="96"/>
      <c r="WZS111" s="96"/>
      <c r="WZT111" s="96"/>
      <c r="WZU111" s="96"/>
      <c r="WZV111" s="96"/>
      <c r="WZW111" s="96"/>
      <c r="WZX111" s="96"/>
      <c r="WZY111" s="96"/>
      <c r="WZZ111" s="96"/>
      <c r="XAA111" s="96"/>
      <c r="XAB111" s="96"/>
      <c r="XAC111" s="96"/>
      <c r="XAD111" s="96"/>
      <c r="XAE111" s="96"/>
      <c r="XAF111" s="96"/>
      <c r="XAG111" s="96"/>
      <c r="XAH111" s="95"/>
      <c r="XAI111" s="96"/>
      <c r="XAJ111" s="96"/>
      <c r="XAK111" s="96"/>
      <c r="XAL111" s="96"/>
      <c r="XAM111" s="96"/>
      <c r="XAN111" s="96"/>
      <c r="XAO111" s="96"/>
      <c r="XAP111" s="96"/>
      <c r="XAQ111" s="96"/>
      <c r="XAR111" s="96"/>
      <c r="XAS111" s="96"/>
      <c r="XAT111" s="96"/>
      <c r="XAU111" s="96"/>
      <c r="XAV111" s="96"/>
      <c r="XAW111" s="96"/>
      <c r="XAX111" s="96"/>
      <c r="XAY111" s="96"/>
      <c r="XAZ111" s="96"/>
      <c r="XBA111" s="96"/>
      <c r="XBB111" s="96"/>
      <c r="XBC111" s="96"/>
      <c r="XBD111" s="95"/>
      <c r="XBE111" s="96"/>
      <c r="XBF111" s="96"/>
      <c r="XBG111" s="96"/>
      <c r="XBH111" s="96"/>
      <c r="XBI111" s="96"/>
      <c r="XBJ111" s="96"/>
      <c r="XBK111" s="96"/>
      <c r="XBL111" s="96"/>
      <c r="XBM111" s="96"/>
      <c r="XBN111" s="96"/>
      <c r="XBO111" s="96"/>
      <c r="XBP111" s="96"/>
      <c r="XBQ111" s="96"/>
      <c r="XBR111" s="96"/>
      <c r="XBS111" s="96"/>
      <c r="XBT111" s="96"/>
      <c r="XBU111" s="96"/>
      <c r="XBV111" s="96"/>
      <c r="XBW111" s="96"/>
      <c r="XBX111" s="96"/>
      <c r="XBY111" s="96"/>
      <c r="XBZ111" s="95"/>
      <c r="XCA111" s="96"/>
      <c r="XCB111" s="96"/>
      <c r="XCC111" s="96"/>
      <c r="XCD111" s="96"/>
      <c r="XCE111" s="96"/>
      <c r="XCF111" s="96"/>
      <c r="XCG111" s="96"/>
      <c r="XCH111" s="96"/>
      <c r="XCI111" s="96"/>
      <c r="XCJ111" s="96"/>
      <c r="XCK111" s="96"/>
      <c r="XCL111" s="96"/>
      <c r="XCM111" s="96"/>
      <c r="XCN111" s="96"/>
      <c r="XCO111" s="96"/>
      <c r="XCP111" s="96"/>
      <c r="XCQ111" s="96"/>
      <c r="XCR111" s="96"/>
      <c r="XCS111" s="96"/>
      <c r="XCT111" s="96"/>
      <c r="XCU111" s="96"/>
      <c r="XCV111" s="95"/>
      <c r="XCW111" s="96"/>
      <c r="XCX111" s="96"/>
      <c r="XCY111" s="96"/>
      <c r="XCZ111" s="96"/>
      <c r="XDA111" s="96"/>
      <c r="XDB111" s="96"/>
      <c r="XDC111" s="96"/>
      <c r="XDD111" s="96"/>
      <c r="XDE111" s="96"/>
      <c r="XDF111" s="96"/>
      <c r="XDG111" s="96"/>
      <c r="XDH111" s="96"/>
      <c r="XDI111" s="96"/>
      <c r="XDJ111" s="96"/>
      <c r="XDK111" s="96"/>
      <c r="XDL111" s="96"/>
      <c r="XDM111" s="96"/>
      <c r="XDN111" s="96"/>
      <c r="XDO111" s="96"/>
      <c r="XDP111" s="96"/>
      <c r="XDQ111" s="96"/>
      <c r="XDR111" s="95"/>
      <c r="XDS111" s="96"/>
      <c r="XDT111" s="96"/>
      <c r="XDU111" s="96"/>
      <c r="XDV111" s="96"/>
      <c r="XDW111" s="96"/>
      <c r="XDX111" s="96"/>
      <c r="XDY111" s="96"/>
      <c r="XDZ111" s="96"/>
      <c r="XEA111" s="96"/>
      <c r="XEB111" s="96"/>
      <c r="XEC111" s="96"/>
      <c r="XED111" s="96"/>
      <c r="XEE111" s="96"/>
      <c r="XEF111" s="96"/>
      <c r="XEG111" s="96"/>
      <c r="XEH111" s="96"/>
      <c r="XEI111" s="96"/>
      <c r="XEJ111" s="96"/>
      <c r="XEK111" s="96"/>
      <c r="XEL111" s="96"/>
      <c r="XEM111" s="96"/>
      <c r="XEN111" s="95"/>
      <c r="XEO111" s="95"/>
      <c r="XEP111" s="95"/>
      <c r="XEQ111" s="95"/>
      <c r="XER111" s="95"/>
      <c r="XES111" s="95"/>
      <c r="XET111" s="95"/>
      <c r="XEU111" s="95"/>
      <c r="XEV111" s="95"/>
      <c r="XEW111" s="95"/>
      <c r="XEX111" s="95"/>
      <c r="XEY111" s="95"/>
      <c r="XEZ111" s="95"/>
      <c r="XFA111" s="95"/>
      <c r="XFB111" s="95"/>
      <c r="XFC111" s="95"/>
    </row>
    <row r="112" spans="1:16383" s="38" customFormat="1" ht="15.95">
      <c r="A112" s="86" t="s">
        <v>111</v>
      </c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82"/>
      <c r="P112" s="82"/>
      <c r="Q112" s="82"/>
      <c r="R112" s="82"/>
      <c r="S112" s="82"/>
      <c r="T112" s="82"/>
      <c r="U112" s="82"/>
      <c r="V112" s="82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2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2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2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2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2"/>
      <c r="EC112" s="83"/>
      <c r="ED112" s="83"/>
      <c r="EE112" s="83"/>
      <c r="EF112" s="83"/>
      <c r="EG112" s="83"/>
      <c r="EH112" s="83"/>
      <c r="EI112" s="83"/>
      <c r="EJ112" s="83"/>
      <c r="EK112" s="83"/>
      <c r="EL112" s="83"/>
      <c r="EM112" s="83"/>
      <c r="EN112" s="83"/>
      <c r="EO112" s="83"/>
      <c r="EP112" s="83"/>
      <c r="EQ112" s="83"/>
      <c r="ER112" s="83"/>
      <c r="ES112" s="83"/>
      <c r="ET112" s="83"/>
      <c r="EU112" s="83"/>
      <c r="EV112" s="83"/>
      <c r="EW112" s="83"/>
      <c r="EX112" s="82"/>
      <c r="EY112" s="83"/>
      <c r="EZ112" s="83"/>
      <c r="FA112" s="83"/>
      <c r="FB112" s="83"/>
      <c r="FC112" s="83"/>
      <c r="FD112" s="83"/>
      <c r="FE112" s="83"/>
      <c r="FF112" s="83"/>
      <c r="FG112" s="83"/>
      <c r="FH112" s="83"/>
      <c r="FI112" s="83"/>
      <c r="FJ112" s="83"/>
      <c r="FK112" s="83"/>
      <c r="FL112" s="83"/>
      <c r="FM112" s="83"/>
      <c r="FN112" s="83"/>
      <c r="FO112" s="83"/>
      <c r="FP112" s="83"/>
      <c r="FQ112" s="83"/>
      <c r="FR112" s="83"/>
      <c r="FS112" s="83"/>
      <c r="FT112" s="82"/>
      <c r="FU112" s="83"/>
      <c r="FV112" s="83"/>
      <c r="FW112" s="83"/>
      <c r="FX112" s="83"/>
      <c r="FY112" s="83"/>
      <c r="FZ112" s="83"/>
      <c r="GA112" s="83"/>
      <c r="GB112" s="83"/>
      <c r="GC112" s="83"/>
      <c r="GD112" s="83"/>
      <c r="GE112" s="83"/>
      <c r="GF112" s="83"/>
      <c r="GG112" s="83"/>
      <c r="GH112" s="83"/>
      <c r="GI112" s="83"/>
      <c r="GJ112" s="83"/>
      <c r="GK112" s="83"/>
      <c r="GL112" s="83"/>
      <c r="GM112" s="83"/>
      <c r="GN112" s="83"/>
      <c r="GO112" s="83"/>
      <c r="GP112" s="82"/>
      <c r="GQ112" s="83"/>
      <c r="GR112" s="83"/>
      <c r="GS112" s="83"/>
      <c r="GT112" s="83"/>
      <c r="GU112" s="83"/>
      <c r="GV112" s="83"/>
      <c r="GW112" s="83"/>
      <c r="GX112" s="83"/>
      <c r="GY112" s="83"/>
      <c r="GZ112" s="83"/>
      <c r="HA112" s="83"/>
      <c r="HB112" s="83"/>
      <c r="HC112" s="83"/>
      <c r="HD112" s="83"/>
      <c r="HE112" s="83"/>
      <c r="HF112" s="83"/>
      <c r="HG112" s="83"/>
      <c r="HH112" s="83"/>
      <c r="HI112" s="83"/>
      <c r="HJ112" s="83"/>
      <c r="HK112" s="83"/>
      <c r="HL112" s="82"/>
      <c r="HM112" s="83"/>
      <c r="HN112" s="83"/>
      <c r="HO112" s="83"/>
      <c r="HP112" s="83"/>
      <c r="HQ112" s="83"/>
      <c r="HR112" s="83"/>
      <c r="HS112" s="83"/>
      <c r="HT112" s="83"/>
      <c r="HU112" s="83"/>
      <c r="HV112" s="83"/>
      <c r="HW112" s="83"/>
      <c r="HX112" s="83"/>
      <c r="HY112" s="83"/>
      <c r="HZ112" s="83"/>
      <c r="IA112" s="83"/>
      <c r="IB112" s="83"/>
      <c r="IC112" s="83"/>
      <c r="ID112" s="83"/>
      <c r="IE112" s="83"/>
      <c r="IF112" s="83"/>
      <c r="IG112" s="83"/>
      <c r="IH112" s="82"/>
      <c r="II112" s="83"/>
      <c r="IJ112" s="83"/>
      <c r="IK112" s="83"/>
      <c r="IL112" s="83"/>
      <c r="IM112" s="83"/>
      <c r="IN112" s="83"/>
      <c r="IO112" s="83"/>
      <c r="IP112" s="83"/>
      <c r="IQ112" s="83"/>
      <c r="IR112" s="83"/>
      <c r="IS112" s="83"/>
      <c r="IT112" s="83"/>
      <c r="IU112" s="83"/>
      <c r="IV112" s="83"/>
      <c r="IW112" s="83"/>
      <c r="IX112" s="83"/>
      <c r="IY112" s="83"/>
      <c r="IZ112" s="83"/>
      <c r="JA112" s="83"/>
      <c r="JB112" s="83"/>
      <c r="JC112" s="83"/>
      <c r="JD112" s="82"/>
      <c r="JE112" s="83"/>
      <c r="JF112" s="83"/>
      <c r="JG112" s="83"/>
      <c r="JH112" s="83"/>
      <c r="JI112" s="83"/>
      <c r="JJ112" s="83"/>
      <c r="JK112" s="83"/>
      <c r="JL112" s="83"/>
      <c r="JM112" s="83"/>
      <c r="JN112" s="83"/>
      <c r="JO112" s="83"/>
      <c r="JP112" s="83"/>
      <c r="JQ112" s="83"/>
      <c r="JR112" s="83"/>
      <c r="JS112" s="83"/>
      <c r="JT112" s="83"/>
      <c r="JU112" s="83"/>
      <c r="JV112" s="83"/>
      <c r="JW112" s="83"/>
      <c r="JX112" s="83"/>
      <c r="JY112" s="83"/>
      <c r="JZ112" s="82"/>
      <c r="KA112" s="83"/>
      <c r="KB112" s="83"/>
      <c r="KC112" s="83"/>
      <c r="KD112" s="83"/>
      <c r="KE112" s="83"/>
      <c r="KF112" s="83"/>
      <c r="KG112" s="83"/>
      <c r="KH112" s="83"/>
      <c r="KI112" s="83"/>
      <c r="KJ112" s="83"/>
      <c r="KK112" s="83"/>
      <c r="KL112" s="83"/>
      <c r="KM112" s="83"/>
      <c r="KN112" s="83"/>
      <c r="KO112" s="83"/>
      <c r="KP112" s="83"/>
      <c r="KQ112" s="83"/>
      <c r="KR112" s="83"/>
      <c r="KS112" s="83"/>
      <c r="KT112" s="83"/>
      <c r="KU112" s="83"/>
      <c r="KV112" s="82"/>
      <c r="KW112" s="83"/>
      <c r="KX112" s="83"/>
      <c r="KY112" s="83"/>
      <c r="KZ112" s="83"/>
      <c r="LA112" s="83"/>
      <c r="LB112" s="83"/>
      <c r="LC112" s="83"/>
      <c r="LD112" s="83"/>
      <c r="LE112" s="83"/>
      <c r="LF112" s="83"/>
      <c r="LG112" s="83"/>
      <c r="LH112" s="83"/>
      <c r="LI112" s="83"/>
      <c r="LJ112" s="83"/>
      <c r="LK112" s="83"/>
      <c r="LL112" s="83"/>
      <c r="LM112" s="83"/>
      <c r="LN112" s="83"/>
      <c r="LO112" s="83"/>
      <c r="LP112" s="83"/>
      <c r="LQ112" s="83"/>
      <c r="LR112" s="82"/>
      <c r="LS112" s="83"/>
      <c r="LT112" s="83"/>
      <c r="LU112" s="83"/>
      <c r="LV112" s="83"/>
      <c r="LW112" s="83"/>
      <c r="LX112" s="83"/>
      <c r="LY112" s="83"/>
      <c r="LZ112" s="83"/>
      <c r="MA112" s="83"/>
      <c r="MB112" s="83"/>
      <c r="MC112" s="83"/>
      <c r="MD112" s="83"/>
      <c r="ME112" s="83"/>
      <c r="MF112" s="83"/>
      <c r="MG112" s="83"/>
      <c r="MH112" s="83"/>
      <c r="MI112" s="83"/>
      <c r="MJ112" s="83"/>
      <c r="MK112" s="83"/>
      <c r="ML112" s="83"/>
      <c r="MM112" s="83"/>
      <c r="MN112" s="82"/>
      <c r="MO112" s="83"/>
      <c r="MP112" s="83"/>
      <c r="MQ112" s="83"/>
      <c r="MR112" s="83"/>
      <c r="MS112" s="83"/>
      <c r="MT112" s="83"/>
      <c r="MU112" s="83"/>
      <c r="MV112" s="83"/>
      <c r="MW112" s="83"/>
      <c r="MX112" s="83"/>
      <c r="MY112" s="83"/>
      <c r="MZ112" s="83"/>
      <c r="NA112" s="83"/>
      <c r="NB112" s="83"/>
      <c r="NC112" s="83"/>
      <c r="ND112" s="83"/>
      <c r="NE112" s="83"/>
      <c r="NF112" s="83"/>
      <c r="NG112" s="83"/>
      <c r="NH112" s="83"/>
      <c r="NI112" s="83"/>
      <c r="NJ112" s="82"/>
      <c r="NK112" s="83"/>
      <c r="NL112" s="83"/>
      <c r="NM112" s="83"/>
      <c r="NN112" s="83"/>
      <c r="NO112" s="83"/>
      <c r="NP112" s="83"/>
      <c r="NQ112" s="83"/>
      <c r="NR112" s="83"/>
      <c r="NS112" s="83"/>
      <c r="NT112" s="83"/>
      <c r="NU112" s="83"/>
      <c r="NV112" s="83"/>
      <c r="NW112" s="83"/>
      <c r="NX112" s="83"/>
      <c r="NY112" s="83"/>
      <c r="NZ112" s="83"/>
      <c r="OA112" s="83"/>
      <c r="OB112" s="83"/>
      <c r="OC112" s="83"/>
      <c r="OD112" s="83"/>
      <c r="OE112" s="83"/>
      <c r="OF112" s="82"/>
      <c r="OG112" s="83"/>
      <c r="OH112" s="83"/>
      <c r="OI112" s="83"/>
      <c r="OJ112" s="83"/>
      <c r="OK112" s="83"/>
      <c r="OL112" s="83"/>
      <c r="OM112" s="83"/>
      <c r="ON112" s="83"/>
      <c r="OO112" s="83"/>
      <c r="OP112" s="83"/>
      <c r="OQ112" s="83"/>
      <c r="OR112" s="83"/>
      <c r="OS112" s="83"/>
      <c r="OT112" s="83"/>
      <c r="OU112" s="83"/>
      <c r="OV112" s="83"/>
      <c r="OW112" s="83"/>
      <c r="OX112" s="83"/>
      <c r="OY112" s="83"/>
      <c r="OZ112" s="83"/>
      <c r="PA112" s="83"/>
      <c r="PB112" s="82"/>
      <c r="PC112" s="83"/>
      <c r="PD112" s="83"/>
      <c r="PE112" s="83"/>
      <c r="PF112" s="83"/>
      <c r="PG112" s="83"/>
      <c r="PH112" s="83"/>
      <c r="PI112" s="83"/>
      <c r="PJ112" s="83"/>
      <c r="PK112" s="83"/>
      <c r="PL112" s="83"/>
      <c r="PM112" s="83"/>
      <c r="PN112" s="83"/>
      <c r="PO112" s="83"/>
      <c r="PP112" s="83"/>
      <c r="PQ112" s="83"/>
      <c r="PR112" s="83"/>
      <c r="PS112" s="83"/>
      <c r="PT112" s="83"/>
      <c r="PU112" s="83"/>
      <c r="PV112" s="83"/>
      <c r="PW112" s="83"/>
      <c r="PX112" s="82"/>
      <c r="PY112" s="83"/>
      <c r="PZ112" s="83"/>
      <c r="QA112" s="83"/>
      <c r="QB112" s="83"/>
      <c r="QC112" s="83"/>
      <c r="QD112" s="83"/>
      <c r="QE112" s="83"/>
      <c r="QF112" s="83"/>
      <c r="QG112" s="83"/>
      <c r="QH112" s="83"/>
      <c r="QI112" s="83"/>
      <c r="QJ112" s="83"/>
      <c r="QK112" s="83"/>
      <c r="QL112" s="83"/>
      <c r="QM112" s="83"/>
      <c r="QN112" s="83"/>
      <c r="QO112" s="83"/>
      <c r="QP112" s="83"/>
      <c r="QQ112" s="83"/>
      <c r="QR112" s="83"/>
      <c r="QS112" s="83"/>
      <c r="QT112" s="82"/>
      <c r="QU112" s="83"/>
      <c r="QV112" s="83"/>
      <c r="QW112" s="83"/>
      <c r="QX112" s="83"/>
      <c r="QY112" s="83"/>
      <c r="QZ112" s="83"/>
      <c r="RA112" s="83"/>
      <c r="RB112" s="83"/>
      <c r="RC112" s="83"/>
      <c r="RD112" s="83"/>
      <c r="RE112" s="83"/>
      <c r="RF112" s="83"/>
      <c r="RG112" s="83"/>
      <c r="RH112" s="83"/>
      <c r="RI112" s="83"/>
      <c r="RJ112" s="83"/>
      <c r="RK112" s="83"/>
      <c r="RL112" s="83"/>
      <c r="RM112" s="83"/>
      <c r="RN112" s="83"/>
      <c r="RO112" s="83"/>
      <c r="RP112" s="82"/>
      <c r="RQ112" s="83"/>
      <c r="RR112" s="83"/>
      <c r="RS112" s="83"/>
      <c r="RT112" s="83"/>
      <c r="RU112" s="83"/>
      <c r="RV112" s="83"/>
      <c r="RW112" s="83"/>
      <c r="RX112" s="83"/>
      <c r="RY112" s="83"/>
      <c r="RZ112" s="83"/>
      <c r="SA112" s="83"/>
      <c r="SB112" s="83"/>
      <c r="SC112" s="83"/>
      <c r="SD112" s="83"/>
      <c r="SE112" s="83"/>
      <c r="SF112" s="83"/>
      <c r="SG112" s="83"/>
      <c r="SH112" s="83"/>
      <c r="SI112" s="83"/>
      <c r="SJ112" s="83"/>
      <c r="SK112" s="83"/>
      <c r="SL112" s="82"/>
      <c r="SM112" s="83"/>
      <c r="SN112" s="83"/>
      <c r="SO112" s="83"/>
      <c r="SP112" s="83"/>
      <c r="SQ112" s="83"/>
      <c r="SR112" s="83"/>
      <c r="SS112" s="83"/>
      <c r="ST112" s="83"/>
      <c r="SU112" s="83"/>
      <c r="SV112" s="83"/>
      <c r="SW112" s="83"/>
      <c r="SX112" s="83"/>
      <c r="SY112" s="83"/>
      <c r="SZ112" s="83"/>
      <c r="TA112" s="83"/>
      <c r="TB112" s="83"/>
      <c r="TC112" s="83"/>
      <c r="TD112" s="83"/>
      <c r="TE112" s="83"/>
      <c r="TF112" s="83"/>
      <c r="TG112" s="83"/>
      <c r="TH112" s="82"/>
      <c r="TI112" s="83"/>
      <c r="TJ112" s="83"/>
      <c r="TK112" s="83"/>
      <c r="TL112" s="83"/>
      <c r="TM112" s="83"/>
      <c r="TN112" s="83"/>
      <c r="TO112" s="83"/>
      <c r="TP112" s="83"/>
      <c r="TQ112" s="83"/>
      <c r="TR112" s="83"/>
      <c r="TS112" s="83"/>
      <c r="TT112" s="83"/>
      <c r="TU112" s="83"/>
      <c r="TV112" s="83"/>
      <c r="TW112" s="83"/>
      <c r="TX112" s="83"/>
      <c r="TY112" s="83"/>
      <c r="TZ112" s="83"/>
      <c r="UA112" s="83"/>
      <c r="UB112" s="83"/>
      <c r="UC112" s="83"/>
      <c r="UD112" s="82"/>
      <c r="UE112" s="83"/>
      <c r="UF112" s="83"/>
      <c r="UG112" s="83"/>
      <c r="UH112" s="83"/>
      <c r="UI112" s="83"/>
      <c r="UJ112" s="83"/>
      <c r="UK112" s="83"/>
      <c r="UL112" s="83"/>
      <c r="UM112" s="83"/>
      <c r="UN112" s="83"/>
      <c r="UO112" s="83"/>
      <c r="UP112" s="83"/>
      <c r="UQ112" s="83"/>
      <c r="UR112" s="83"/>
      <c r="US112" s="83"/>
      <c r="UT112" s="83"/>
      <c r="UU112" s="83"/>
      <c r="UV112" s="83"/>
      <c r="UW112" s="83"/>
      <c r="UX112" s="83"/>
      <c r="UY112" s="83"/>
      <c r="UZ112" s="82"/>
      <c r="VA112" s="83"/>
      <c r="VB112" s="83"/>
      <c r="VC112" s="83"/>
      <c r="VD112" s="83"/>
      <c r="VE112" s="83"/>
      <c r="VF112" s="83"/>
      <c r="VG112" s="83"/>
      <c r="VH112" s="83"/>
      <c r="VI112" s="83"/>
      <c r="VJ112" s="83"/>
      <c r="VK112" s="83"/>
      <c r="VL112" s="83"/>
      <c r="VM112" s="83"/>
      <c r="VN112" s="83"/>
      <c r="VO112" s="83"/>
      <c r="VP112" s="83"/>
      <c r="VQ112" s="83"/>
      <c r="VR112" s="83"/>
      <c r="VS112" s="83"/>
      <c r="VT112" s="83"/>
      <c r="VU112" s="83"/>
      <c r="VV112" s="82"/>
      <c r="VW112" s="83"/>
      <c r="VX112" s="83"/>
      <c r="VY112" s="83"/>
      <c r="VZ112" s="83"/>
      <c r="WA112" s="83"/>
      <c r="WB112" s="83"/>
      <c r="WC112" s="83"/>
      <c r="WD112" s="83"/>
      <c r="WE112" s="83"/>
      <c r="WF112" s="83"/>
      <c r="WG112" s="83"/>
      <c r="WH112" s="83"/>
      <c r="WI112" s="83"/>
      <c r="WJ112" s="83"/>
      <c r="WK112" s="83"/>
      <c r="WL112" s="83"/>
      <c r="WM112" s="83"/>
      <c r="WN112" s="83"/>
      <c r="WO112" s="83"/>
      <c r="WP112" s="83"/>
      <c r="WQ112" s="83"/>
      <c r="WR112" s="82"/>
      <c r="WS112" s="83"/>
      <c r="WT112" s="83"/>
      <c r="WU112" s="83"/>
      <c r="WV112" s="83"/>
      <c r="WW112" s="83"/>
      <c r="WX112" s="83"/>
      <c r="WY112" s="83"/>
      <c r="WZ112" s="83"/>
      <c r="XA112" s="83"/>
      <c r="XB112" s="83"/>
      <c r="XC112" s="83"/>
      <c r="XD112" s="83"/>
      <c r="XE112" s="83"/>
      <c r="XF112" s="83"/>
      <c r="XG112" s="83"/>
      <c r="XH112" s="83"/>
      <c r="XI112" s="83"/>
      <c r="XJ112" s="83"/>
      <c r="XK112" s="83"/>
      <c r="XL112" s="83"/>
      <c r="XM112" s="83"/>
      <c r="XN112" s="82"/>
      <c r="XO112" s="83"/>
      <c r="XP112" s="83"/>
      <c r="XQ112" s="83"/>
      <c r="XR112" s="83"/>
      <c r="XS112" s="83"/>
      <c r="XT112" s="83"/>
      <c r="XU112" s="83"/>
      <c r="XV112" s="83"/>
      <c r="XW112" s="83"/>
      <c r="XX112" s="83"/>
      <c r="XY112" s="83"/>
      <c r="XZ112" s="83"/>
      <c r="YA112" s="83"/>
      <c r="YB112" s="83"/>
      <c r="YC112" s="83"/>
      <c r="YD112" s="83"/>
      <c r="YE112" s="83"/>
      <c r="YF112" s="83"/>
      <c r="YG112" s="83"/>
      <c r="YH112" s="83"/>
      <c r="YI112" s="83"/>
      <c r="YJ112" s="82"/>
      <c r="YK112" s="83"/>
      <c r="YL112" s="83"/>
      <c r="YM112" s="83"/>
      <c r="YN112" s="83"/>
      <c r="YO112" s="83"/>
      <c r="YP112" s="83"/>
      <c r="YQ112" s="83"/>
      <c r="YR112" s="83"/>
      <c r="YS112" s="83"/>
      <c r="YT112" s="83"/>
      <c r="YU112" s="83"/>
      <c r="YV112" s="83"/>
      <c r="YW112" s="83"/>
      <c r="YX112" s="83"/>
      <c r="YY112" s="83"/>
      <c r="YZ112" s="83"/>
      <c r="ZA112" s="83"/>
      <c r="ZB112" s="83"/>
      <c r="ZC112" s="83"/>
      <c r="ZD112" s="83"/>
      <c r="ZE112" s="83"/>
      <c r="ZF112" s="82"/>
      <c r="ZG112" s="83"/>
      <c r="ZH112" s="83"/>
      <c r="ZI112" s="83"/>
      <c r="ZJ112" s="83"/>
      <c r="ZK112" s="83"/>
      <c r="ZL112" s="83"/>
      <c r="ZM112" s="83"/>
      <c r="ZN112" s="83"/>
      <c r="ZO112" s="83"/>
      <c r="ZP112" s="83"/>
      <c r="ZQ112" s="83"/>
      <c r="ZR112" s="83"/>
      <c r="ZS112" s="83"/>
      <c r="ZT112" s="83"/>
      <c r="ZU112" s="83"/>
      <c r="ZV112" s="83"/>
      <c r="ZW112" s="83"/>
      <c r="ZX112" s="83"/>
      <c r="ZY112" s="83"/>
      <c r="ZZ112" s="83"/>
      <c r="AAA112" s="83"/>
      <c r="AAB112" s="82"/>
      <c r="AAC112" s="83"/>
      <c r="AAD112" s="83"/>
      <c r="AAE112" s="83"/>
      <c r="AAF112" s="83"/>
      <c r="AAG112" s="83"/>
      <c r="AAH112" s="83"/>
      <c r="AAI112" s="83"/>
      <c r="AAJ112" s="83"/>
      <c r="AAK112" s="83"/>
      <c r="AAL112" s="83"/>
      <c r="AAM112" s="83"/>
      <c r="AAN112" s="83"/>
      <c r="AAO112" s="83"/>
      <c r="AAP112" s="83"/>
      <c r="AAQ112" s="83"/>
      <c r="AAR112" s="83"/>
      <c r="AAS112" s="83"/>
      <c r="AAT112" s="83"/>
      <c r="AAU112" s="83"/>
      <c r="AAV112" s="83"/>
      <c r="AAW112" s="83"/>
      <c r="AAX112" s="82"/>
      <c r="AAY112" s="83"/>
      <c r="AAZ112" s="83"/>
      <c r="ABA112" s="83"/>
      <c r="ABB112" s="83"/>
      <c r="ABC112" s="83"/>
      <c r="ABD112" s="83"/>
      <c r="ABE112" s="83"/>
      <c r="ABF112" s="83"/>
      <c r="ABG112" s="83"/>
      <c r="ABH112" s="83"/>
      <c r="ABI112" s="83"/>
      <c r="ABJ112" s="83"/>
      <c r="ABK112" s="83"/>
      <c r="ABL112" s="83"/>
      <c r="ABM112" s="83"/>
      <c r="ABN112" s="83"/>
      <c r="ABO112" s="83"/>
      <c r="ABP112" s="83"/>
      <c r="ABQ112" s="83"/>
      <c r="ABR112" s="83"/>
      <c r="ABS112" s="83"/>
      <c r="ABT112" s="82"/>
      <c r="ABU112" s="83"/>
      <c r="ABV112" s="83"/>
      <c r="ABW112" s="83"/>
      <c r="ABX112" s="83"/>
      <c r="ABY112" s="83"/>
      <c r="ABZ112" s="83"/>
      <c r="ACA112" s="83"/>
      <c r="ACB112" s="83"/>
      <c r="ACC112" s="83"/>
      <c r="ACD112" s="83"/>
      <c r="ACE112" s="83"/>
      <c r="ACF112" s="83"/>
      <c r="ACG112" s="83"/>
      <c r="ACH112" s="83"/>
      <c r="ACI112" s="83"/>
      <c r="ACJ112" s="83"/>
      <c r="ACK112" s="83"/>
      <c r="ACL112" s="83"/>
      <c r="ACM112" s="83"/>
      <c r="ACN112" s="83"/>
      <c r="ACO112" s="83"/>
      <c r="ACP112" s="82"/>
      <c r="ACQ112" s="83"/>
      <c r="ACR112" s="83"/>
      <c r="ACS112" s="83"/>
      <c r="ACT112" s="83"/>
      <c r="ACU112" s="83"/>
      <c r="ACV112" s="83"/>
      <c r="ACW112" s="83"/>
      <c r="ACX112" s="83"/>
      <c r="ACY112" s="83"/>
      <c r="ACZ112" s="83"/>
      <c r="ADA112" s="83"/>
      <c r="ADB112" s="83"/>
      <c r="ADC112" s="83"/>
      <c r="ADD112" s="83"/>
      <c r="ADE112" s="83"/>
      <c r="ADF112" s="83"/>
      <c r="ADG112" s="83"/>
      <c r="ADH112" s="83"/>
      <c r="ADI112" s="83"/>
      <c r="ADJ112" s="83"/>
      <c r="ADK112" s="83"/>
      <c r="ADL112" s="82"/>
      <c r="ADM112" s="83"/>
      <c r="ADN112" s="83"/>
      <c r="ADO112" s="83"/>
      <c r="ADP112" s="83"/>
      <c r="ADQ112" s="83"/>
      <c r="ADR112" s="83"/>
      <c r="ADS112" s="83"/>
      <c r="ADT112" s="83"/>
      <c r="ADU112" s="83"/>
      <c r="ADV112" s="83"/>
      <c r="ADW112" s="83"/>
      <c r="ADX112" s="83"/>
      <c r="ADY112" s="83"/>
      <c r="ADZ112" s="83"/>
      <c r="AEA112" s="83"/>
      <c r="AEB112" s="83"/>
      <c r="AEC112" s="83"/>
      <c r="AED112" s="83"/>
      <c r="AEE112" s="83"/>
      <c r="AEF112" s="83"/>
      <c r="AEG112" s="83"/>
      <c r="AEH112" s="82"/>
      <c r="AEI112" s="83"/>
      <c r="AEJ112" s="83"/>
      <c r="AEK112" s="83"/>
      <c r="AEL112" s="83"/>
      <c r="AEM112" s="83"/>
      <c r="AEN112" s="83"/>
      <c r="AEO112" s="83"/>
      <c r="AEP112" s="83"/>
      <c r="AEQ112" s="83"/>
      <c r="AER112" s="83"/>
      <c r="AES112" s="83"/>
      <c r="AET112" s="83"/>
      <c r="AEU112" s="83"/>
      <c r="AEV112" s="83"/>
      <c r="AEW112" s="83"/>
      <c r="AEX112" s="83"/>
      <c r="AEY112" s="83"/>
      <c r="AEZ112" s="83"/>
      <c r="AFA112" s="83"/>
      <c r="AFB112" s="83"/>
      <c r="AFC112" s="83"/>
      <c r="AFD112" s="82"/>
      <c r="AFE112" s="83"/>
      <c r="AFF112" s="83"/>
      <c r="AFG112" s="83"/>
      <c r="AFH112" s="83"/>
      <c r="AFI112" s="83"/>
      <c r="AFJ112" s="83"/>
      <c r="AFK112" s="83"/>
      <c r="AFL112" s="83"/>
      <c r="AFM112" s="83"/>
      <c r="AFN112" s="83"/>
      <c r="AFO112" s="83"/>
      <c r="AFP112" s="83"/>
      <c r="AFQ112" s="83"/>
      <c r="AFR112" s="83"/>
      <c r="AFS112" s="83"/>
      <c r="AFT112" s="83"/>
      <c r="AFU112" s="83"/>
      <c r="AFV112" s="83"/>
      <c r="AFW112" s="83"/>
      <c r="AFX112" s="83"/>
      <c r="AFY112" s="83"/>
      <c r="AFZ112" s="82"/>
      <c r="AGA112" s="83"/>
      <c r="AGB112" s="83"/>
      <c r="AGC112" s="83"/>
      <c r="AGD112" s="83"/>
      <c r="AGE112" s="83"/>
      <c r="AGF112" s="83"/>
      <c r="AGG112" s="83"/>
      <c r="AGH112" s="83"/>
      <c r="AGI112" s="83"/>
      <c r="AGJ112" s="83"/>
      <c r="AGK112" s="83"/>
      <c r="AGL112" s="83"/>
      <c r="AGM112" s="83"/>
      <c r="AGN112" s="83"/>
      <c r="AGO112" s="83"/>
      <c r="AGP112" s="83"/>
      <c r="AGQ112" s="83"/>
      <c r="AGR112" s="83"/>
      <c r="AGS112" s="83"/>
      <c r="AGT112" s="83"/>
      <c r="AGU112" s="83"/>
      <c r="AGV112" s="82"/>
      <c r="AGW112" s="83"/>
      <c r="AGX112" s="83"/>
      <c r="AGY112" s="83"/>
      <c r="AGZ112" s="83"/>
      <c r="AHA112" s="83"/>
      <c r="AHB112" s="83"/>
      <c r="AHC112" s="83"/>
      <c r="AHD112" s="83"/>
      <c r="AHE112" s="83"/>
      <c r="AHF112" s="83"/>
      <c r="AHG112" s="83"/>
      <c r="AHH112" s="83"/>
      <c r="AHI112" s="83"/>
      <c r="AHJ112" s="83"/>
      <c r="AHK112" s="83"/>
      <c r="AHL112" s="83"/>
      <c r="AHM112" s="83"/>
      <c r="AHN112" s="83"/>
      <c r="AHO112" s="83"/>
      <c r="AHP112" s="83"/>
      <c r="AHQ112" s="83"/>
      <c r="AHR112" s="82"/>
      <c r="AHS112" s="83"/>
      <c r="AHT112" s="83"/>
      <c r="AHU112" s="83"/>
      <c r="AHV112" s="83"/>
      <c r="AHW112" s="83"/>
      <c r="AHX112" s="83"/>
      <c r="AHY112" s="83"/>
      <c r="AHZ112" s="83"/>
      <c r="AIA112" s="83"/>
      <c r="AIB112" s="83"/>
      <c r="AIC112" s="83"/>
      <c r="AID112" s="83"/>
      <c r="AIE112" s="83"/>
      <c r="AIF112" s="83"/>
      <c r="AIG112" s="83"/>
      <c r="AIH112" s="83"/>
      <c r="AII112" s="83"/>
      <c r="AIJ112" s="83"/>
      <c r="AIK112" s="83"/>
      <c r="AIL112" s="83"/>
      <c r="AIM112" s="83"/>
      <c r="AIN112" s="82"/>
      <c r="AIO112" s="83"/>
      <c r="AIP112" s="83"/>
      <c r="AIQ112" s="83"/>
      <c r="AIR112" s="83"/>
      <c r="AIS112" s="83"/>
      <c r="AIT112" s="83"/>
      <c r="AIU112" s="83"/>
      <c r="AIV112" s="83"/>
      <c r="AIW112" s="83"/>
      <c r="AIX112" s="83"/>
      <c r="AIY112" s="83"/>
      <c r="AIZ112" s="83"/>
      <c r="AJA112" s="83"/>
      <c r="AJB112" s="83"/>
      <c r="AJC112" s="83"/>
      <c r="AJD112" s="83"/>
      <c r="AJE112" s="83"/>
      <c r="AJF112" s="83"/>
      <c r="AJG112" s="83"/>
      <c r="AJH112" s="83"/>
      <c r="AJI112" s="83"/>
      <c r="AJJ112" s="82"/>
      <c r="AJK112" s="83"/>
      <c r="AJL112" s="83"/>
      <c r="AJM112" s="83"/>
      <c r="AJN112" s="83"/>
      <c r="AJO112" s="83"/>
      <c r="AJP112" s="83"/>
      <c r="AJQ112" s="83"/>
      <c r="AJR112" s="83"/>
      <c r="AJS112" s="83"/>
      <c r="AJT112" s="83"/>
      <c r="AJU112" s="83"/>
      <c r="AJV112" s="83"/>
      <c r="AJW112" s="83"/>
      <c r="AJX112" s="83"/>
      <c r="AJY112" s="83"/>
      <c r="AJZ112" s="83"/>
      <c r="AKA112" s="83"/>
      <c r="AKB112" s="83"/>
      <c r="AKC112" s="83"/>
      <c r="AKD112" s="83"/>
      <c r="AKE112" s="83"/>
      <c r="AKF112" s="82"/>
      <c r="AKG112" s="83"/>
      <c r="AKH112" s="83"/>
      <c r="AKI112" s="83"/>
      <c r="AKJ112" s="83"/>
      <c r="AKK112" s="83"/>
      <c r="AKL112" s="83"/>
      <c r="AKM112" s="83"/>
      <c r="AKN112" s="83"/>
      <c r="AKO112" s="83"/>
      <c r="AKP112" s="83"/>
      <c r="AKQ112" s="83"/>
      <c r="AKR112" s="83"/>
      <c r="AKS112" s="83"/>
      <c r="AKT112" s="83"/>
      <c r="AKU112" s="83"/>
      <c r="AKV112" s="83"/>
      <c r="AKW112" s="83"/>
      <c r="AKX112" s="83"/>
      <c r="AKY112" s="83"/>
      <c r="AKZ112" s="83"/>
      <c r="ALA112" s="83"/>
      <c r="ALB112" s="82"/>
      <c r="ALC112" s="83"/>
      <c r="ALD112" s="83"/>
      <c r="ALE112" s="83"/>
      <c r="ALF112" s="83"/>
      <c r="ALG112" s="83"/>
      <c r="ALH112" s="83"/>
      <c r="ALI112" s="83"/>
      <c r="ALJ112" s="83"/>
      <c r="ALK112" s="83"/>
      <c r="ALL112" s="83"/>
      <c r="ALM112" s="83"/>
      <c r="ALN112" s="83"/>
      <c r="ALO112" s="83"/>
      <c r="ALP112" s="83"/>
      <c r="ALQ112" s="83"/>
      <c r="ALR112" s="83"/>
      <c r="ALS112" s="83"/>
      <c r="ALT112" s="83"/>
      <c r="ALU112" s="83"/>
      <c r="ALV112" s="83"/>
      <c r="ALW112" s="83"/>
      <c r="ALX112" s="82"/>
      <c r="ALY112" s="83"/>
      <c r="ALZ112" s="83"/>
      <c r="AMA112" s="83"/>
      <c r="AMB112" s="83"/>
      <c r="AMC112" s="83"/>
      <c r="AMD112" s="83"/>
      <c r="AME112" s="83"/>
      <c r="AMF112" s="83"/>
      <c r="AMG112" s="83"/>
      <c r="AMH112" s="83"/>
      <c r="AMI112" s="83"/>
      <c r="AMJ112" s="83"/>
      <c r="AMK112" s="83"/>
      <c r="AML112" s="83"/>
      <c r="AMM112" s="83"/>
      <c r="AMN112" s="83"/>
      <c r="AMO112" s="83"/>
      <c r="AMP112" s="83"/>
      <c r="AMQ112" s="83"/>
      <c r="AMR112" s="83"/>
      <c r="AMS112" s="83"/>
      <c r="AMT112" s="82"/>
      <c r="AMU112" s="83"/>
      <c r="AMV112" s="83"/>
      <c r="AMW112" s="83"/>
      <c r="AMX112" s="83"/>
      <c r="AMY112" s="83"/>
      <c r="AMZ112" s="83"/>
      <c r="ANA112" s="83"/>
      <c r="ANB112" s="83"/>
      <c r="ANC112" s="83"/>
      <c r="AND112" s="83"/>
      <c r="ANE112" s="83"/>
      <c r="ANF112" s="83"/>
      <c r="ANG112" s="83"/>
      <c r="ANH112" s="83"/>
      <c r="ANI112" s="83"/>
      <c r="ANJ112" s="83"/>
      <c r="ANK112" s="83"/>
      <c r="ANL112" s="83"/>
      <c r="ANM112" s="83"/>
      <c r="ANN112" s="83"/>
      <c r="ANO112" s="83"/>
      <c r="ANP112" s="82"/>
      <c r="ANQ112" s="83"/>
      <c r="ANR112" s="83"/>
      <c r="ANS112" s="83"/>
      <c r="ANT112" s="83"/>
      <c r="ANU112" s="83"/>
      <c r="ANV112" s="83"/>
      <c r="ANW112" s="83"/>
      <c r="ANX112" s="83"/>
      <c r="ANY112" s="83"/>
      <c r="ANZ112" s="83"/>
      <c r="AOA112" s="83"/>
      <c r="AOB112" s="83"/>
      <c r="AOC112" s="83"/>
      <c r="AOD112" s="83"/>
      <c r="AOE112" s="83"/>
      <c r="AOF112" s="83"/>
      <c r="AOG112" s="83"/>
      <c r="AOH112" s="83"/>
      <c r="AOI112" s="83"/>
      <c r="AOJ112" s="83"/>
      <c r="AOK112" s="83"/>
      <c r="AOL112" s="82"/>
      <c r="AOM112" s="83"/>
      <c r="AON112" s="83"/>
      <c r="AOO112" s="83"/>
      <c r="AOP112" s="83"/>
      <c r="AOQ112" s="83"/>
      <c r="AOR112" s="83"/>
      <c r="AOS112" s="83"/>
      <c r="AOT112" s="83"/>
      <c r="AOU112" s="83"/>
      <c r="AOV112" s="83"/>
      <c r="AOW112" s="83"/>
      <c r="AOX112" s="83"/>
      <c r="AOY112" s="83"/>
      <c r="AOZ112" s="83"/>
      <c r="APA112" s="83"/>
      <c r="APB112" s="83"/>
      <c r="APC112" s="83"/>
      <c r="APD112" s="83"/>
      <c r="APE112" s="83"/>
      <c r="APF112" s="83"/>
      <c r="APG112" s="83"/>
      <c r="APH112" s="82"/>
      <c r="API112" s="83"/>
      <c r="APJ112" s="83"/>
      <c r="APK112" s="83"/>
      <c r="APL112" s="83"/>
      <c r="APM112" s="83"/>
      <c r="APN112" s="83"/>
      <c r="APO112" s="83"/>
      <c r="APP112" s="83"/>
      <c r="APQ112" s="83"/>
      <c r="APR112" s="83"/>
      <c r="APS112" s="83"/>
      <c r="APT112" s="83"/>
      <c r="APU112" s="83"/>
      <c r="APV112" s="83"/>
      <c r="APW112" s="83"/>
      <c r="APX112" s="83"/>
      <c r="APY112" s="83"/>
      <c r="APZ112" s="83"/>
      <c r="AQA112" s="83"/>
      <c r="AQB112" s="83"/>
      <c r="AQC112" s="83"/>
      <c r="AQD112" s="82"/>
      <c r="AQE112" s="83"/>
      <c r="AQF112" s="83"/>
      <c r="AQG112" s="83"/>
      <c r="AQH112" s="83"/>
      <c r="AQI112" s="83"/>
      <c r="AQJ112" s="83"/>
      <c r="AQK112" s="83"/>
      <c r="AQL112" s="83"/>
      <c r="AQM112" s="83"/>
      <c r="AQN112" s="83"/>
      <c r="AQO112" s="83"/>
      <c r="AQP112" s="83"/>
      <c r="AQQ112" s="83"/>
      <c r="AQR112" s="83"/>
      <c r="AQS112" s="83"/>
      <c r="AQT112" s="83"/>
      <c r="AQU112" s="83"/>
      <c r="AQV112" s="83"/>
      <c r="AQW112" s="83"/>
      <c r="AQX112" s="83"/>
      <c r="AQY112" s="83"/>
      <c r="AQZ112" s="82"/>
      <c r="ARA112" s="83"/>
      <c r="ARB112" s="83"/>
      <c r="ARC112" s="83"/>
      <c r="ARD112" s="83"/>
      <c r="ARE112" s="83"/>
      <c r="ARF112" s="83"/>
      <c r="ARG112" s="83"/>
      <c r="ARH112" s="83"/>
      <c r="ARI112" s="83"/>
      <c r="ARJ112" s="83"/>
      <c r="ARK112" s="83"/>
      <c r="ARL112" s="83"/>
      <c r="ARM112" s="83"/>
      <c r="ARN112" s="83"/>
      <c r="ARO112" s="83"/>
      <c r="ARP112" s="83"/>
      <c r="ARQ112" s="83"/>
      <c r="ARR112" s="83"/>
      <c r="ARS112" s="83"/>
      <c r="ART112" s="83"/>
      <c r="ARU112" s="83"/>
      <c r="ARV112" s="82"/>
      <c r="ARW112" s="83"/>
      <c r="ARX112" s="83"/>
      <c r="ARY112" s="83"/>
      <c r="ARZ112" s="83"/>
      <c r="ASA112" s="83"/>
      <c r="ASB112" s="83"/>
      <c r="ASC112" s="83"/>
      <c r="ASD112" s="83"/>
      <c r="ASE112" s="83"/>
      <c r="ASF112" s="83"/>
      <c r="ASG112" s="83"/>
      <c r="ASH112" s="83"/>
      <c r="ASI112" s="83"/>
      <c r="ASJ112" s="83"/>
      <c r="ASK112" s="83"/>
      <c r="ASL112" s="83"/>
      <c r="ASM112" s="83"/>
      <c r="ASN112" s="83"/>
      <c r="ASO112" s="83"/>
      <c r="ASP112" s="83"/>
      <c r="ASQ112" s="83"/>
      <c r="ASR112" s="82"/>
      <c r="ASS112" s="83"/>
      <c r="AST112" s="83"/>
      <c r="ASU112" s="83"/>
      <c r="ASV112" s="83"/>
      <c r="ASW112" s="83"/>
      <c r="ASX112" s="83"/>
      <c r="ASY112" s="83"/>
      <c r="ASZ112" s="83"/>
      <c r="ATA112" s="83"/>
      <c r="ATB112" s="83"/>
      <c r="ATC112" s="83"/>
      <c r="ATD112" s="83"/>
      <c r="ATE112" s="83"/>
      <c r="ATF112" s="83"/>
      <c r="ATG112" s="83"/>
      <c r="ATH112" s="83"/>
      <c r="ATI112" s="83"/>
      <c r="ATJ112" s="83"/>
      <c r="ATK112" s="83"/>
      <c r="ATL112" s="83"/>
      <c r="ATM112" s="83"/>
      <c r="ATN112" s="82"/>
      <c r="ATO112" s="83"/>
      <c r="ATP112" s="83"/>
      <c r="ATQ112" s="83"/>
      <c r="ATR112" s="83"/>
      <c r="ATS112" s="83"/>
      <c r="ATT112" s="83"/>
      <c r="ATU112" s="83"/>
      <c r="ATV112" s="83"/>
      <c r="ATW112" s="83"/>
      <c r="ATX112" s="83"/>
      <c r="ATY112" s="83"/>
      <c r="ATZ112" s="83"/>
      <c r="AUA112" s="83"/>
      <c r="AUB112" s="83"/>
      <c r="AUC112" s="83"/>
      <c r="AUD112" s="83"/>
      <c r="AUE112" s="83"/>
      <c r="AUF112" s="83"/>
      <c r="AUG112" s="83"/>
      <c r="AUH112" s="83"/>
      <c r="AUI112" s="83"/>
      <c r="AUJ112" s="82"/>
      <c r="AUK112" s="83"/>
      <c r="AUL112" s="83"/>
      <c r="AUM112" s="83"/>
      <c r="AUN112" s="83"/>
      <c r="AUO112" s="83"/>
      <c r="AUP112" s="83"/>
      <c r="AUQ112" s="83"/>
      <c r="AUR112" s="83"/>
      <c r="AUS112" s="83"/>
      <c r="AUT112" s="83"/>
      <c r="AUU112" s="83"/>
      <c r="AUV112" s="83"/>
      <c r="AUW112" s="83"/>
      <c r="AUX112" s="83"/>
      <c r="AUY112" s="83"/>
      <c r="AUZ112" s="83"/>
      <c r="AVA112" s="83"/>
      <c r="AVB112" s="83"/>
      <c r="AVC112" s="83"/>
      <c r="AVD112" s="83"/>
      <c r="AVE112" s="83"/>
      <c r="AVF112" s="82"/>
      <c r="AVG112" s="83"/>
      <c r="AVH112" s="83"/>
      <c r="AVI112" s="83"/>
      <c r="AVJ112" s="83"/>
      <c r="AVK112" s="83"/>
      <c r="AVL112" s="83"/>
      <c r="AVM112" s="83"/>
      <c r="AVN112" s="83"/>
      <c r="AVO112" s="83"/>
      <c r="AVP112" s="83"/>
      <c r="AVQ112" s="83"/>
      <c r="AVR112" s="83"/>
      <c r="AVS112" s="83"/>
      <c r="AVT112" s="83"/>
      <c r="AVU112" s="83"/>
      <c r="AVV112" s="83"/>
      <c r="AVW112" s="83"/>
      <c r="AVX112" s="83"/>
      <c r="AVY112" s="83"/>
      <c r="AVZ112" s="83"/>
      <c r="AWA112" s="83"/>
      <c r="AWB112" s="82"/>
      <c r="AWC112" s="83"/>
      <c r="AWD112" s="83"/>
      <c r="AWE112" s="83"/>
      <c r="AWF112" s="83"/>
      <c r="AWG112" s="83"/>
      <c r="AWH112" s="83"/>
      <c r="AWI112" s="83"/>
      <c r="AWJ112" s="83"/>
      <c r="AWK112" s="83"/>
      <c r="AWL112" s="83"/>
      <c r="AWM112" s="83"/>
      <c r="AWN112" s="83"/>
      <c r="AWO112" s="83"/>
      <c r="AWP112" s="83"/>
      <c r="AWQ112" s="83"/>
      <c r="AWR112" s="83"/>
      <c r="AWS112" s="83"/>
      <c r="AWT112" s="83"/>
      <c r="AWU112" s="83"/>
      <c r="AWV112" s="83"/>
      <c r="AWW112" s="83"/>
      <c r="AWX112" s="82"/>
      <c r="AWY112" s="83"/>
      <c r="AWZ112" s="83"/>
      <c r="AXA112" s="83"/>
      <c r="AXB112" s="83"/>
      <c r="AXC112" s="83"/>
      <c r="AXD112" s="83"/>
      <c r="AXE112" s="83"/>
      <c r="AXF112" s="83"/>
      <c r="AXG112" s="83"/>
      <c r="AXH112" s="83"/>
      <c r="AXI112" s="83"/>
      <c r="AXJ112" s="83"/>
      <c r="AXK112" s="83"/>
      <c r="AXL112" s="83"/>
      <c r="AXM112" s="83"/>
      <c r="AXN112" s="83"/>
      <c r="AXO112" s="83"/>
      <c r="AXP112" s="83"/>
      <c r="AXQ112" s="83"/>
      <c r="AXR112" s="83"/>
      <c r="AXS112" s="83"/>
      <c r="AXT112" s="82"/>
      <c r="AXU112" s="83"/>
      <c r="AXV112" s="83"/>
      <c r="AXW112" s="83"/>
      <c r="AXX112" s="83"/>
      <c r="AXY112" s="83"/>
      <c r="AXZ112" s="83"/>
      <c r="AYA112" s="83"/>
      <c r="AYB112" s="83"/>
      <c r="AYC112" s="83"/>
      <c r="AYD112" s="83"/>
      <c r="AYE112" s="83"/>
      <c r="AYF112" s="83"/>
      <c r="AYG112" s="83"/>
      <c r="AYH112" s="83"/>
      <c r="AYI112" s="83"/>
      <c r="AYJ112" s="83"/>
      <c r="AYK112" s="83"/>
      <c r="AYL112" s="83"/>
      <c r="AYM112" s="83"/>
      <c r="AYN112" s="83"/>
      <c r="AYO112" s="83"/>
      <c r="AYP112" s="82"/>
      <c r="AYQ112" s="83"/>
      <c r="AYR112" s="83"/>
      <c r="AYS112" s="83"/>
      <c r="AYT112" s="83"/>
      <c r="AYU112" s="83"/>
      <c r="AYV112" s="83"/>
      <c r="AYW112" s="83"/>
      <c r="AYX112" s="83"/>
      <c r="AYY112" s="83"/>
      <c r="AYZ112" s="83"/>
      <c r="AZA112" s="83"/>
      <c r="AZB112" s="83"/>
      <c r="AZC112" s="83"/>
      <c r="AZD112" s="83"/>
      <c r="AZE112" s="83"/>
      <c r="AZF112" s="83"/>
      <c r="AZG112" s="83"/>
      <c r="AZH112" s="83"/>
      <c r="AZI112" s="83"/>
      <c r="AZJ112" s="83"/>
      <c r="AZK112" s="83"/>
      <c r="AZL112" s="82"/>
      <c r="AZM112" s="83"/>
      <c r="AZN112" s="83"/>
      <c r="AZO112" s="83"/>
      <c r="AZP112" s="83"/>
      <c r="AZQ112" s="83"/>
      <c r="AZR112" s="83"/>
      <c r="AZS112" s="83"/>
      <c r="AZT112" s="83"/>
      <c r="AZU112" s="83"/>
      <c r="AZV112" s="83"/>
      <c r="AZW112" s="83"/>
      <c r="AZX112" s="83"/>
      <c r="AZY112" s="83"/>
      <c r="AZZ112" s="83"/>
      <c r="BAA112" s="83"/>
      <c r="BAB112" s="83"/>
      <c r="BAC112" s="83"/>
      <c r="BAD112" s="83"/>
      <c r="BAE112" s="83"/>
      <c r="BAF112" s="83"/>
      <c r="BAG112" s="83"/>
      <c r="BAH112" s="82"/>
      <c r="BAI112" s="83"/>
      <c r="BAJ112" s="83"/>
      <c r="BAK112" s="83"/>
      <c r="BAL112" s="83"/>
      <c r="BAM112" s="83"/>
      <c r="BAN112" s="83"/>
      <c r="BAO112" s="83"/>
      <c r="BAP112" s="83"/>
      <c r="BAQ112" s="83"/>
      <c r="BAR112" s="83"/>
      <c r="BAS112" s="83"/>
      <c r="BAT112" s="83"/>
      <c r="BAU112" s="83"/>
      <c r="BAV112" s="83"/>
      <c r="BAW112" s="83"/>
      <c r="BAX112" s="83"/>
      <c r="BAY112" s="83"/>
      <c r="BAZ112" s="83"/>
      <c r="BBA112" s="83"/>
      <c r="BBB112" s="83"/>
      <c r="BBC112" s="83"/>
      <c r="BBD112" s="82"/>
      <c r="BBE112" s="83"/>
      <c r="BBF112" s="83"/>
      <c r="BBG112" s="83"/>
      <c r="BBH112" s="83"/>
      <c r="BBI112" s="83"/>
      <c r="BBJ112" s="83"/>
      <c r="BBK112" s="83"/>
      <c r="BBL112" s="83"/>
      <c r="BBM112" s="83"/>
      <c r="BBN112" s="83"/>
      <c r="BBO112" s="83"/>
      <c r="BBP112" s="83"/>
      <c r="BBQ112" s="83"/>
      <c r="BBR112" s="83"/>
      <c r="BBS112" s="83"/>
      <c r="BBT112" s="83"/>
      <c r="BBU112" s="83"/>
      <c r="BBV112" s="83"/>
      <c r="BBW112" s="83"/>
      <c r="BBX112" s="83"/>
      <c r="BBY112" s="83"/>
      <c r="BBZ112" s="82"/>
      <c r="BCA112" s="83"/>
      <c r="BCB112" s="83"/>
      <c r="BCC112" s="83"/>
      <c r="BCD112" s="83"/>
      <c r="BCE112" s="83"/>
      <c r="BCF112" s="83"/>
      <c r="BCG112" s="83"/>
      <c r="BCH112" s="83"/>
      <c r="BCI112" s="83"/>
      <c r="BCJ112" s="83"/>
      <c r="BCK112" s="83"/>
      <c r="BCL112" s="83"/>
      <c r="BCM112" s="83"/>
      <c r="BCN112" s="83"/>
      <c r="BCO112" s="83"/>
      <c r="BCP112" s="83"/>
      <c r="BCQ112" s="83"/>
      <c r="BCR112" s="83"/>
      <c r="BCS112" s="83"/>
      <c r="BCT112" s="83"/>
      <c r="BCU112" s="83"/>
      <c r="BCV112" s="82"/>
      <c r="BCW112" s="83"/>
      <c r="BCX112" s="83"/>
      <c r="BCY112" s="83"/>
      <c r="BCZ112" s="83"/>
      <c r="BDA112" s="83"/>
      <c r="BDB112" s="83"/>
      <c r="BDC112" s="83"/>
      <c r="BDD112" s="83"/>
      <c r="BDE112" s="83"/>
      <c r="BDF112" s="83"/>
      <c r="BDG112" s="83"/>
      <c r="BDH112" s="83"/>
      <c r="BDI112" s="83"/>
      <c r="BDJ112" s="83"/>
      <c r="BDK112" s="83"/>
      <c r="BDL112" s="83"/>
      <c r="BDM112" s="83"/>
      <c r="BDN112" s="83"/>
      <c r="BDO112" s="83"/>
      <c r="BDP112" s="83"/>
      <c r="BDQ112" s="83"/>
      <c r="BDR112" s="82"/>
      <c r="BDS112" s="83"/>
      <c r="BDT112" s="83"/>
      <c r="BDU112" s="83"/>
      <c r="BDV112" s="83"/>
      <c r="BDW112" s="83"/>
      <c r="BDX112" s="83"/>
      <c r="BDY112" s="83"/>
      <c r="BDZ112" s="83"/>
      <c r="BEA112" s="83"/>
      <c r="BEB112" s="83"/>
      <c r="BEC112" s="83"/>
      <c r="BED112" s="83"/>
      <c r="BEE112" s="83"/>
      <c r="BEF112" s="83"/>
      <c r="BEG112" s="83"/>
      <c r="BEH112" s="83"/>
      <c r="BEI112" s="83"/>
      <c r="BEJ112" s="83"/>
      <c r="BEK112" s="83"/>
      <c r="BEL112" s="83"/>
      <c r="BEM112" s="83"/>
      <c r="BEN112" s="82"/>
      <c r="BEO112" s="83"/>
      <c r="BEP112" s="83"/>
      <c r="BEQ112" s="83"/>
      <c r="BER112" s="83"/>
      <c r="BES112" s="83"/>
      <c r="BET112" s="83"/>
      <c r="BEU112" s="83"/>
      <c r="BEV112" s="83"/>
      <c r="BEW112" s="83"/>
      <c r="BEX112" s="83"/>
      <c r="BEY112" s="83"/>
      <c r="BEZ112" s="83"/>
      <c r="BFA112" s="83"/>
      <c r="BFB112" s="83"/>
      <c r="BFC112" s="83"/>
      <c r="BFD112" s="83"/>
      <c r="BFE112" s="83"/>
      <c r="BFF112" s="83"/>
      <c r="BFG112" s="83"/>
      <c r="BFH112" s="83"/>
      <c r="BFI112" s="83"/>
      <c r="BFJ112" s="82"/>
      <c r="BFK112" s="83"/>
      <c r="BFL112" s="83"/>
      <c r="BFM112" s="83"/>
      <c r="BFN112" s="83"/>
      <c r="BFO112" s="83"/>
      <c r="BFP112" s="83"/>
      <c r="BFQ112" s="83"/>
      <c r="BFR112" s="83"/>
      <c r="BFS112" s="83"/>
      <c r="BFT112" s="83"/>
      <c r="BFU112" s="83"/>
      <c r="BFV112" s="83"/>
      <c r="BFW112" s="83"/>
      <c r="BFX112" s="83"/>
      <c r="BFY112" s="83"/>
      <c r="BFZ112" s="83"/>
      <c r="BGA112" s="83"/>
      <c r="BGB112" s="83"/>
      <c r="BGC112" s="83"/>
      <c r="BGD112" s="83"/>
      <c r="BGE112" s="83"/>
      <c r="BGF112" s="82"/>
      <c r="BGG112" s="83"/>
      <c r="BGH112" s="83"/>
      <c r="BGI112" s="83"/>
      <c r="BGJ112" s="83"/>
      <c r="BGK112" s="83"/>
      <c r="BGL112" s="83"/>
      <c r="BGM112" s="83"/>
      <c r="BGN112" s="83"/>
      <c r="BGO112" s="83"/>
      <c r="BGP112" s="83"/>
      <c r="BGQ112" s="83"/>
      <c r="BGR112" s="83"/>
      <c r="BGS112" s="83"/>
      <c r="BGT112" s="83"/>
      <c r="BGU112" s="83"/>
      <c r="BGV112" s="83"/>
      <c r="BGW112" s="83"/>
      <c r="BGX112" s="83"/>
      <c r="BGY112" s="83"/>
      <c r="BGZ112" s="83"/>
      <c r="BHA112" s="83"/>
      <c r="BHB112" s="82"/>
      <c r="BHC112" s="83"/>
      <c r="BHD112" s="83"/>
      <c r="BHE112" s="83"/>
      <c r="BHF112" s="83"/>
      <c r="BHG112" s="83"/>
      <c r="BHH112" s="83"/>
      <c r="BHI112" s="83"/>
      <c r="BHJ112" s="83"/>
      <c r="BHK112" s="83"/>
      <c r="BHL112" s="83"/>
      <c r="BHM112" s="83"/>
      <c r="BHN112" s="83"/>
      <c r="BHO112" s="83"/>
      <c r="BHP112" s="83"/>
      <c r="BHQ112" s="83"/>
      <c r="BHR112" s="83"/>
      <c r="BHS112" s="83"/>
      <c r="BHT112" s="83"/>
      <c r="BHU112" s="83"/>
      <c r="BHV112" s="83"/>
      <c r="BHW112" s="83"/>
      <c r="BHX112" s="82"/>
      <c r="BHY112" s="83"/>
      <c r="BHZ112" s="83"/>
      <c r="BIA112" s="83"/>
      <c r="BIB112" s="83"/>
      <c r="BIC112" s="83"/>
      <c r="BID112" s="83"/>
      <c r="BIE112" s="83"/>
      <c r="BIF112" s="83"/>
      <c r="BIG112" s="83"/>
      <c r="BIH112" s="83"/>
      <c r="BII112" s="83"/>
      <c r="BIJ112" s="83"/>
      <c r="BIK112" s="83"/>
      <c r="BIL112" s="83"/>
      <c r="BIM112" s="83"/>
      <c r="BIN112" s="83"/>
      <c r="BIO112" s="83"/>
      <c r="BIP112" s="83"/>
      <c r="BIQ112" s="83"/>
      <c r="BIR112" s="83"/>
      <c r="BIS112" s="83"/>
      <c r="BIT112" s="82"/>
      <c r="BIU112" s="83"/>
      <c r="BIV112" s="83"/>
      <c r="BIW112" s="83"/>
      <c r="BIX112" s="83"/>
      <c r="BIY112" s="83"/>
      <c r="BIZ112" s="83"/>
      <c r="BJA112" s="83"/>
      <c r="BJB112" s="83"/>
      <c r="BJC112" s="83"/>
      <c r="BJD112" s="83"/>
      <c r="BJE112" s="83"/>
      <c r="BJF112" s="83"/>
      <c r="BJG112" s="83"/>
      <c r="BJH112" s="83"/>
      <c r="BJI112" s="83"/>
      <c r="BJJ112" s="83"/>
      <c r="BJK112" s="83"/>
      <c r="BJL112" s="83"/>
      <c r="BJM112" s="83"/>
      <c r="BJN112" s="83"/>
      <c r="BJO112" s="83"/>
      <c r="BJP112" s="82"/>
      <c r="BJQ112" s="83"/>
      <c r="BJR112" s="83"/>
      <c r="BJS112" s="83"/>
      <c r="BJT112" s="83"/>
      <c r="BJU112" s="83"/>
      <c r="BJV112" s="83"/>
      <c r="BJW112" s="83"/>
      <c r="BJX112" s="83"/>
      <c r="BJY112" s="83"/>
      <c r="BJZ112" s="83"/>
      <c r="BKA112" s="83"/>
      <c r="BKB112" s="83"/>
      <c r="BKC112" s="83"/>
      <c r="BKD112" s="83"/>
      <c r="BKE112" s="83"/>
      <c r="BKF112" s="83"/>
      <c r="BKG112" s="83"/>
      <c r="BKH112" s="83"/>
      <c r="BKI112" s="83"/>
      <c r="BKJ112" s="83"/>
      <c r="BKK112" s="83"/>
      <c r="BKL112" s="82"/>
      <c r="BKM112" s="83"/>
      <c r="BKN112" s="83"/>
      <c r="BKO112" s="83"/>
      <c r="BKP112" s="83"/>
      <c r="BKQ112" s="83"/>
      <c r="BKR112" s="83"/>
      <c r="BKS112" s="83"/>
      <c r="BKT112" s="83"/>
      <c r="BKU112" s="83"/>
      <c r="BKV112" s="83"/>
      <c r="BKW112" s="83"/>
      <c r="BKX112" s="83"/>
      <c r="BKY112" s="83"/>
      <c r="BKZ112" s="83"/>
      <c r="BLA112" s="83"/>
      <c r="BLB112" s="83"/>
      <c r="BLC112" s="83"/>
      <c r="BLD112" s="83"/>
      <c r="BLE112" s="83"/>
      <c r="BLF112" s="83"/>
      <c r="BLG112" s="83"/>
      <c r="BLH112" s="82"/>
      <c r="BLI112" s="83"/>
      <c r="BLJ112" s="83"/>
      <c r="BLK112" s="83"/>
      <c r="BLL112" s="83"/>
      <c r="BLM112" s="83"/>
      <c r="BLN112" s="83"/>
      <c r="BLO112" s="83"/>
      <c r="BLP112" s="83"/>
      <c r="BLQ112" s="83"/>
      <c r="BLR112" s="83"/>
      <c r="BLS112" s="83"/>
      <c r="BLT112" s="83"/>
      <c r="BLU112" s="83"/>
      <c r="BLV112" s="83"/>
      <c r="BLW112" s="83"/>
      <c r="BLX112" s="83"/>
      <c r="BLY112" s="83"/>
      <c r="BLZ112" s="83"/>
      <c r="BMA112" s="83"/>
      <c r="BMB112" s="83"/>
      <c r="BMC112" s="83"/>
      <c r="BMD112" s="82"/>
      <c r="BME112" s="83"/>
      <c r="BMF112" s="83"/>
      <c r="BMG112" s="83"/>
      <c r="BMH112" s="83"/>
      <c r="BMI112" s="83"/>
      <c r="BMJ112" s="83"/>
      <c r="BMK112" s="83"/>
      <c r="BML112" s="83"/>
      <c r="BMM112" s="83"/>
      <c r="BMN112" s="83"/>
      <c r="BMO112" s="83"/>
      <c r="BMP112" s="83"/>
      <c r="BMQ112" s="83"/>
      <c r="BMR112" s="83"/>
      <c r="BMS112" s="83"/>
      <c r="BMT112" s="83"/>
      <c r="BMU112" s="83"/>
      <c r="BMV112" s="83"/>
      <c r="BMW112" s="83"/>
      <c r="BMX112" s="83"/>
      <c r="BMY112" s="83"/>
      <c r="BMZ112" s="82"/>
      <c r="BNA112" s="83"/>
      <c r="BNB112" s="83"/>
      <c r="BNC112" s="83"/>
      <c r="BND112" s="83"/>
      <c r="BNE112" s="83"/>
      <c r="BNF112" s="83"/>
      <c r="BNG112" s="83"/>
      <c r="BNH112" s="83"/>
      <c r="BNI112" s="83"/>
      <c r="BNJ112" s="83"/>
      <c r="BNK112" s="83"/>
      <c r="BNL112" s="83"/>
      <c r="BNM112" s="83"/>
      <c r="BNN112" s="83"/>
      <c r="BNO112" s="83"/>
      <c r="BNP112" s="83"/>
      <c r="BNQ112" s="83"/>
      <c r="BNR112" s="83"/>
      <c r="BNS112" s="83"/>
      <c r="BNT112" s="83"/>
      <c r="BNU112" s="83"/>
      <c r="BNV112" s="82"/>
      <c r="BNW112" s="83"/>
      <c r="BNX112" s="83"/>
      <c r="BNY112" s="83"/>
      <c r="BNZ112" s="83"/>
      <c r="BOA112" s="83"/>
      <c r="BOB112" s="83"/>
      <c r="BOC112" s="83"/>
      <c r="BOD112" s="83"/>
      <c r="BOE112" s="83"/>
      <c r="BOF112" s="83"/>
      <c r="BOG112" s="83"/>
      <c r="BOH112" s="83"/>
      <c r="BOI112" s="83"/>
      <c r="BOJ112" s="83"/>
      <c r="BOK112" s="83"/>
      <c r="BOL112" s="83"/>
      <c r="BOM112" s="83"/>
      <c r="BON112" s="83"/>
      <c r="BOO112" s="83"/>
      <c r="BOP112" s="83"/>
      <c r="BOQ112" s="83"/>
      <c r="BOR112" s="82"/>
      <c r="BOS112" s="83"/>
      <c r="BOT112" s="83"/>
      <c r="BOU112" s="83"/>
      <c r="BOV112" s="83"/>
      <c r="BOW112" s="83"/>
      <c r="BOX112" s="83"/>
      <c r="BOY112" s="83"/>
      <c r="BOZ112" s="83"/>
      <c r="BPA112" s="83"/>
      <c r="BPB112" s="83"/>
      <c r="BPC112" s="83"/>
      <c r="BPD112" s="83"/>
      <c r="BPE112" s="83"/>
      <c r="BPF112" s="83"/>
      <c r="BPG112" s="83"/>
      <c r="BPH112" s="83"/>
      <c r="BPI112" s="83"/>
      <c r="BPJ112" s="83"/>
      <c r="BPK112" s="83"/>
      <c r="BPL112" s="83"/>
      <c r="BPM112" s="83"/>
      <c r="BPN112" s="82"/>
      <c r="BPO112" s="83"/>
      <c r="BPP112" s="83"/>
      <c r="BPQ112" s="83"/>
      <c r="BPR112" s="83"/>
      <c r="BPS112" s="83"/>
      <c r="BPT112" s="83"/>
      <c r="BPU112" s="83"/>
      <c r="BPV112" s="83"/>
      <c r="BPW112" s="83"/>
      <c r="BPX112" s="83"/>
      <c r="BPY112" s="83"/>
      <c r="BPZ112" s="83"/>
      <c r="BQA112" s="83"/>
      <c r="BQB112" s="83"/>
      <c r="BQC112" s="83"/>
      <c r="BQD112" s="83"/>
      <c r="BQE112" s="83"/>
      <c r="BQF112" s="83"/>
      <c r="BQG112" s="83"/>
      <c r="BQH112" s="83"/>
      <c r="BQI112" s="83"/>
      <c r="BQJ112" s="82"/>
      <c r="BQK112" s="83"/>
      <c r="BQL112" s="83"/>
      <c r="BQM112" s="83"/>
      <c r="BQN112" s="83"/>
      <c r="BQO112" s="83"/>
      <c r="BQP112" s="83"/>
      <c r="BQQ112" s="83"/>
      <c r="BQR112" s="83"/>
      <c r="BQS112" s="83"/>
      <c r="BQT112" s="83"/>
      <c r="BQU112" s="83"/>
      <c r="BQV112" s="83"/>
      <c r="BQW112" s="83"/>
      <c r="BQX112" s="83"/>
      <c r="BQY112" s="83"/>
      <c r="BQZ112" s="83"/>
      <c r="BRA112" s="83"/>
      <c r="BRB112" s="83"/>
      <c r="BRC112" s="83"/>
      <c r="BRD112" s="83"/>
      <c r="BRE112" s="83"/>
      <c r="BRF112" s="82"/>
      <c r="BRG112" s="83"/>
      <c r="BRH112" s="83"/>
      <c r="BRI112" s="83"/>
      <c r="BRJ112" s="83"/>
      <c r="BRK112" s="83"/>
      <c r="BRL112" s="83"/>
      <c r="BRM112" s="83"/>
      <c r="BRN112" s="83"/>
      <c r="BRO112" s="83"/>
      <c r="BRP112" s="83"/>
      <c r="BRQ112" s="83"/>
      <c r="BRR112" s="83"/>
      <c r="BRS112" s="83"/>
      <c r="BRT112" s="83"/>
      <c r="BRU112" s="83"/>
      <c r="BRV112" s="83"/>
      <c r="BRW112" s="83"/>
      <c r="BRX112" s="83"/>
      <c r="BRY112" s="83"/>
      <c r="BRZ112" s="83"/>
      <c r="BSA112" s="83"/>
      <c r="BSB112" s="82"/>
      <c r="BSC112" s="83"/>
      <c r="BSD112" s="83"/>
      <c r="BSE112" s="83"/>
      <c r="BSF112" s="83"/>
      <c r="BSG112" s="83"/>
      <c r="BSH112" s="83"/>
      <c r="BSI112" s="83"/>
      <c r="BSJ112" s="83"/>
      <c r="BSK112" s="83"/>
      <c r="BSL112" s="83"/>
      <c r="BSM112" s="83"/>
      <c r="BSN112" s="83"/>
      <c r="BSO112" s="83"/>
      <c r="BSP112" s="83"/>
      <c r="BSQ112" s="83"/>
      <c r="BSR112" s="83"/>
      <c r="BSS112" s="83"/>
      <c r="BST112" s="83"/>
      <c r="BSU112" s="83"/>
      <c r="BSV112" s="83"/>
      <c r="BSW112" s="83"/>
      <c r="BSX112" s="82"/>
      <c r="BSY112" s="83"/>
      <c r="BSZ112" s="83"/>
      <c r="BTA112" s="83"/>
      <c r="BTB112" s="83"/>
      <c r="BTC112" s="83"/>
      <c r="BTD112" s="83"/>
      <c r="BTE112" s="83"/>
      <c r="BTF112" s="83"/>
      <c r="BTG112" s="83"/>
      <c r="BTH112" s="83"/>
      <c r="BTI112" s="83"/>
      <c r="BTJ112" s="83"/>
      <c r="BTK112" s="83"/>
      <c r="BTL112" s="83"/>
      <c r="BTM112" s="83"/>
      <c r="BTN112" s="83"/>
      <c r="BTO112" s="83"/>
      <c r="BTP112" s="83"/>
      <c r="BTQ112" s="83"/>
      <c r="BTR112" s="83"/>
      <c r="BTS112" s="83"/>
      <c r="BTT112" s="82"/>
      <c r="BTU112" s="83"/>
      <c r="BTV112" s="83"/>
      <c r="BTW112" s="83"/>
      <c r="BTX112" s="83"/>
      <c r="BTY112" s="83"/>
      <c r="BTZ112" s="83"/>
      <c r="BUA112" s="83"/>
      <c r="BUB112" s="83"/>
      <c r="BUC112" s="83"/>
      <c r="BUD112" s="83"/>
      <c r="BUE112" s="83"/>
      <c r="BUF112" s="83"/>
      <c r="BUG112" s="83"/>
      <c r="BUH112" s="83"/>
      <c r="BUI112" s="83"/>
      <c r="BUJ112" s="83"/>
      <c r="BUK112" s="83"/>
      <c r="BUL112" s="83"/>
      <c r="BUM112" s="83"/>
      <c r="BUN112" s="83"/>
      <c r="BUO112" s="83"/>
      <c r="BUP112" s="82"/>
      <c r="BUQ112" s="83"/>
      <c r="BUR112" s="83"/>
      <c r="BUS112" s="83"/>
      <c r="BUT112" s="83"/>
      <c r="BUU112" s="83"/>
      <c r="BUV112" s="83"/>
      <c r="BUW112" s="83"/>
      <c r="BUX112" s="83"/>
      <c r="BUY112" s="83"/>
      <c r="BUZ112" s="83"/>
      <c r="BVA112" s="83"/>
      <c r="BVB112" s="83"/>
      <c r="BVC112" s="83"/>
      <c r="BVD112" s="83"/>
      <c r="BVE112" s="83"/>
      <c r="BVF112" s="83"/>
      <c r="BVG112" s="83"/>
      <c r="BVH112" s="83"/>
      <c r="BVI112" s="83"/>
      <c r="BVJ112" s="83"/>
      <c r="BVK112" s="83"/>
      <c r="BVL112" s="82"/>
      <c r="BVM112" s="83"/>
      <c r="BVN112" s="83"/>
      <c r="BVO112" s="83"/>
      <c r="BVP112" s="83"/>
      <c r="BVQ112" s="83"/>
      <c r="BVR112" s="83"/>
      <c r="BVS112" s="83"/>
      <c r="BVT112" s="83"/>
      <c r="BVU112" s="83"/>
      <c r="BVV112" s="83"/>
      <c r="BVW112" s="83"/>
      <c r="BVX112" s="83"/>
      <c r="BVY112" s="83"/>
      <c r="BVZ112" s="83"/>
      <c r="BWA112" s="83"/>
      <c r="BWB112" s="83"/>
      <c r="BWC112" s="83"/>
      <c r="BWD112" s="83"/>
      <c r="BWE112" s="83"/>
      <c r="BWF112" s="83"/>
      <c r="BWG112" s="83"/>
      <c r="BWH112" s="82"/>
      <c r="BWI112" s="83"/>
      <c r="BWJ112" s="83"/>
      <c r="BWK112" s="83"/>
      <c r="BWL112" s="83"/>
      <c r="BWM112" s="83"/>
      <c r="BWN112" s="83"/>
      <c r="BWO112" s="83"/>
      <c r="BWP112" s="83"/>
      <c r="BWQ112" s="83"/>
      <c r="BWR112" s="83"/>
      <c r="BWS112" s="83"/>
      <c r="BWT112" s="83"/>
      <c r="BWU112" s="83"/>
      <c r="BWV112" s="83"/>
      <c r="BWW112" s="83"/>
      <c r="BWX112" s="83"/>
      <c r="BWY112" s="83"/>
      <c r="BWZ112" s="83"/>
      <c r="BXA112" s="83"/>
      <c r="BXB112" s="83"/>
      <c r="BXC112" s="83"/>
      <c r="BXD112" s="82"/>
      <c r="BXE112" s="83"/>
      <c r="BXF112" s="83"/>
      <c r="BXG112" s="83"/>
      <c r="BXH112" s="83"/>
      <c r="BXI112" s="83"/>
      <c r="BXJ112" s="83"/>
      <c r="BXK112" s="83"/>
      <c r="BXL112" s="83"/>
      <c r="BXM112" s="83"/>
      <c r="BXN112" s="83"/>
      <c r="BXO112" s="83"/>
      <c r="BXP112" s="83"/>
      <c r="BXQ112" s="83"/>
      <c r="BXR112" s="83"/>
      <c r="BXS112" s="83"/>
      <c r="BXT112" s="83"/>
      <c r="BXU112" s="83"/>
      <c r="BXV112" s="83"/>
      <c r="BXW112" s="83"/>
      <c r="BXX112" s="83"/>
      <c r="BXY112" s="83"/>
      <c r="BXZ112" s="82"/>
      <c r="BYA112" s="83"/>
      <c r="BYB112" s="83"/>
      <c r="BYC112" s="83"/>
      <c r="BYD112" s="83"/>
      <c r="BYE112" s="83"/>
      <c r="BYF112" s="83"/>
      <c r="BYG112" s="83"/>
      <c r="BYH112" s="83"/>
      <c r="BYI112" s="83"/>
      <c r="BYJ112" s="83"/>
      <c r="BYK112" s="83"/>
      <c r="BYL112" s="83"/>
      <c r="BYM112" s="83"/>
      <c r="BYN112" s="83"/>
      <c r="BYO112" s="83"/>
      <c r="BYP112" s="83"/>
      <c r="BYQ112" s="83"/>
      <c r="BYR112" s="83"/>
      <c r="BYS112" s="83"/>
      <c r="BYT112" s="83"/>
      <c r="BYU112" s="83"/>
      <c r="BYV112" s="82"/>
      <c r="BYW112" s="83"/>
      <c r="BYX112" s="83"/>
      <c r="BYY112" s="83"/>
      <c r="BYZ112" s="83"/>
      <c r="BZA112" s="83"/>
      <c r="BZB112" s="83"/>
      <c r="BZC112" s="83"/>
      <c r="BZD112" s="83"/>
      <c r="BZE112" s="83"/>
      <c r="BZF112" s="83"/>
      <c r="BZG112" s="83"/>
      <c r="BZH112" s="83"/>
      <c r="BZI112" s="83"/>
      <c r="BZJ112" s="83"/>
      <c r="BZK112" s="83"/>
      <c r="BZL112" s="83"/>
      <c r="BZM112" s="83"/>
      <c r="BZN112" s="83"/>
      <c r="BZO112" s="83"/>
      <c r="BZP112" s="83"/>
      <c r="BZQ112" s="83"/>
      <c r="BZR112" s="82"/>
      <c r="BZS112" s="83"/>
      <c r="BZT112" s="83"/>
      <c r="BZU112" s="83"/>
      <c r="BZV112" s="83"/>
      <c r="BZW112" s="83"/>
      <c r="BZX112" s="83"/>
      <c r="BZY112" s="83"/>
      <c r="BZZ112" s="83"/>
      <c r="CAA112" s="83"/>
      <c r="CAB112" s="83"/>
      <c r="CAC112" s="83"/>
      <c r="CAD112" s="83"/>
      <c r="CAE112" s="83"/>
      <c r="CAF112" s="83"/>
      <c r="CAG112" s="83"/>
      <c r="CAH112" s="83"/>
      <c r="CAI112" s="83"/>
      <c r="CAJ112" s="83"/>
      <c r="CAK112" s="83"/>
      <c r="CAL112" s="83"/>
      <c r="CAM112" s="83"/>
      <c r="CAN112" s="82"/>
      <c r="CAO112" s="83"/>
      <c r="CAP112" s="83"/>
      <c r="CAQ112" s="83"/>
      <c r="CAR112" s="83"/>
      <c r="CAS112" s="83"/>
      <c r="CAT112" s="83"/>
      <c r="CAU112" s="83"/>
      <c r="CAV112" s="83"/>
      <c r="CAW112" s="83"/>
      <c r="CAX112" s="83"/>
      <c r="CAY112" s="83"/>
      <c r="CAZ112" s="83"/>
      <c r="CBA112" s="83"/>
      <c r="CBB112" s="83"/>
      <c r="CBC112" s="83"/>
      <c r="CBD112" s="83"/>
      <c r="CBE112" s="83"/>
      <c r="CBF112" s="83"/>
      <c r="CBG112" s="83"/>
      <c r="CBH112" s="83"/>
      <c r="CBI112" s="83"/>
      <c r="CBJ112" s="82"/>
      <c r="CBK112" s="83"/>
      <c r="CBL112" s="83"/>
      <c r="CBM112" s="83"/>
      <c r="CBN112" s="83"/>
      <c r="CBO112" s="83"/>
      <c r="CBP112" s="83"/>
      <c r="CBQ112" s="83"/>
      <c r="CBR112" s="83"/>
      <c r="CBS112" s="83"/>
      <c r="CBT112" s="83"/>
      <c r="CBU112" s="83"/>
      <c r="CBV112" s="83"/>
      <c r="CBW112" s="83"/>
      <c r="CBX112" s="83"/>
      <c r="CBY112" s="83"/>
      <c r="CBZ112" s="83"/>
      <c r="CCA112" s="83"/>
      <c r="CCB112" s="83"/>
      <c r="CCC112" s="83"/>
      <c r="CCD112" s="83"/>
      <c r="CCE112" s="83"/>
      <c r="CCF112" s="82"/>
      <c r="CCG112" s="83"/>
      <c r="CCH112" s="83"/>
      <c r="CCI112" s="83"/>
      <c r="CCJ112" s="83"/>
      <c r="CCK112" s="83"/>
      <c r="CCL112" s="83"/>
      <c r="CCM112" s="83"/>
      <c r="CCN112" s="83"/>
      <c r="CCO112" s="83"/>
      <c r="CCP112" s="83"/>
      <c r="CCQ112" s="83"/>
      <c r="CCR112" s="83"/>
      <c r="CCS112" s="83"/>
      <c r="CCT112" s="83"/>
      <c r="CCU112" s="83"/>
      <c r="CCV112" s="83"/>
      <c r="CCW112" s="83"/>
      <c r="CCX112" s="83"/>
      <c r="CCY112" s="83"/>
      <c r="CCZ112" s="83"/>
      <c r="CDA112" s="83"/>
      <c r="CDB112" s="82"/>
      <c r="CDC112" s="83"/>
      <c r="CDD112" s="83"/>
      <c r="CDE112" s="83"/>
      <c r="CDF112" s="83"/>
      <c r="CDG112" s="83"/>
      <c r="CDH112" s="83"/>
      <c r="CDI112" s="83"/>
      <c r="CDJ112" s="83"/>
      <c r="CDK112" s="83"/>
      <c r="CDL112" s="83"/>
      <c r="CDM112" s="83"/>
      <c r="CDN112" s="83"/>
      <c r="CDO112" s="83"/>
      <c r="CDP112" s="83"/>
      <c r="CDQ112" s="83"/>
      <c r="CDR112" s="83"/>
      <c r="CDS112" s="83"/>
      <c r="CDT112" s="83"/>
      <c r="CDU112" s="83"/>
      <c r="CDV112" s="83"/>
      <c r="CDW112" s="83"/>
      <c r="CDX112" s="82"/>
      <c r="CDY112" s="83"/>
      <c r="CDZ112" s="83"/>
      <c r="CEA112" s="83"/>
      <c r="CEB112" s="83"/>
      <c r="CEC112" s="83"/>
      <c r="CED112" s="83"/>
      <c r="CEE112" s="83"/>
      <c r="CEF112" s="83"/>
      <c r="CEG112" s="83"/>
      <c r="CEH112" s="83"/>
      <c r="CEI112" s="83"/>
      <c r="CEJ112" s="83"/>
      <c r="CEK112" s="83"/>
      <c r="CEL112" s="83"/>
      <c r="CEM112" s="83"/>
      <c r="CEN112" s="83"/>
      <c r="CEO112" s="83"/>
      <c r="CEP112" s="83"/>
      <c r="CEQ112" s="83"/>
      <c r="CER112" s="83"/>
      <c r="CES112" s="83"/>
      <c r="CET112" s="82"/>
      <c r="CEU112" s="83"/>
      <c r="CEV112" s="83"/>
      <c r="CEW112" s="83"/>
      <c r="CEX112" s="83"/>
      <c r="CEY112" s="83"/>
      <c r="CEZ112" s="83"/>
      <c r="CFA112" s="83"/>
      <c r="CFB112" s="83"/>
      <c r="CFC112" s="83"/>
      <c r="CFD112" s="83"/>
      <c r="CFE112" s="83"/>
      <c r="CFF112" s="83"/>
      <c r="CFG112" s="83"/>
      <c r="CFH112" s="83"/>
      <c r="CFI112" s="83"/>
      <c r="CFJ112" s="83"/>
      <c r="CFK112" s="83"/>
      <c r="CFL112" s="83"/>
      <c r="CFM112" s="83"/>
      <c r="CFN112" s="83"/>
      <c r="CFO112" s="83"/>
      <c r="CFP112" s="82"/>
      <c r="CFQ112" s="83"/>
      <c r="CFR112" s="83"/>
      <c r="CFS112" s="83"/>
      <c r="CFT112" s="83"/>
      <c r="CFU112" s="83"/>
      <c r="CFV112" s="83"/>
      <c r="CFW112" s="83"/>
      <c r="CFX112" s="83"/>
      <c r="CFY112" s="83"/>
      <c r="CFZ112" s="83"/>
      <c r="CGA112" s="83"/>
      <c r="CGB112" s="83"/>
      <c r="CGC112" s="83"/>
      <c r="CGD112" s="83"/>
      <c r="CGE112" s="83"/>
      <c r="CGF112" s="83"/>
      <c r="CGG112" s="83"/>
      <c r="CGH112" s="83"/>
      <c r="CGI112" s="83"/>
      <c r="CGJ112" s="83"/>
      <c r="CGK112" s="83"/>
      <c r="CGL112" s="82"/>
      <c r="CGM112" s="83"/>
      <c r="CGN112" s="83"/>
      <c r="CGO112" s="83"/>
      <c r="CGP112" s="83"/>
      <c r="CGQ112" s="83"/>
      <c r="CGR112" s="83"/>
      <c r="CGS112" s="83"/>
      <c r="CGT112" s="83"/>
      <c r="CGU112" s="83"/>
      <c r="CGV112" s="83"/>
      <c r="CGW112" s="83"/>
      <c r="CGX112" s="83"/>
      <c r="CGY112" s="83"/>
      <c r="CGZ112" s="83"/>
      <c r="CHA112" s="83"/>
      <c r="CHB112" s="83"/>
      <c r="CHC112" s="83"/>
      <c r="CHD112" s="83"/>
      <c r="CHE112" s="83"/>
      <c r="CHF112" s="83"/>
      <c r="CHG112" s="83"/>
      <c r="CHH112" s="82"/>
      <c r="CHI112" s="83"/>
      <c r="CHJ112" s="83"/>
      <c r="CHK112" s="83"/>
      <c r="CHL112" s="83"/>
      <c r="CHM112" s="83"/>
      <c r="CHN112" s="83"/>
      <c r="CHO112" s="83"/>
      <c r="CHP112" s="83"/>
      <c r="CHQ112" s="83"/>
      <c r="CHR112" s="83"/>
      <c r="CHS112" s="83"/>
      <c r="CHT112" s="83"/>
      <c r="CHU112" s="83"/>
      <c r="CHV112" s="83"/>
      <c r="CHW112" s="83"/>
      <c r="CHX112" s="83"/>
      <c r="CHY112" s="83"/>
      <c r="CHZ112" s="83"/>
      <c r="CIA112" s="83"/>
      <c r="CIB112" s="83"/>
      <c r="CIC112" s="83"/>
      <c r="CID112" s="82"/>
      <c r="CIE112" s="83"/>
      <c r="CIF112" s="83"/>
      <c r="CIG112" s="83"/>
      <c r="CIH112" s="83"/>
      <c r="CII112" s="83"/>
      <c r="CIJ112" s="83"/>
      <c r="CIK112" s="83"/>
      <c r="CIL112" s="83"/>
      <c r="CIM112" s="83"/>
      <c r="CIN112" s="83"/>
      <c r="CIO112" s="83"/>
      <c r="CIP112" s="83"/>
      <c r="CIQ112" s="83"/>
      <c r="CIR112" s="83"/>
      <c r="CIS112" s="83"/>
      <c r="CIT112" s="83"/>
      <c r="CIU112" s="83"/>
      <c r="CIV112" s="83"/>
      <c r="CIW112" s="83"/>
      <c r="CIX112" s="83"/>
      <c r="CIY112" s="83"/>
      <c r="CIZ112" s="82"/>
      <c r="CJA112" s="83"/>
      <c r="CJB112" s="83"/>
      <c r="CJC112" s="83"/>
      <c r="CJD112" s="83"/>
      <c r="CJE112" s="83"/>
      <c r="CJF112" s="83"/>
      <c r="CJG112" s="83"/>
      <c r="CJH112" s="83"/>
      <c r="CJI112" s="83"/>
      <c r="CJJ112" s="83"/>
      <c r="CJK112" s="83"/>
      <c r="CJL112" s="83"/>
      <c r="CJM112" s="83"/>
      <c r="CJN112" s="83"/>
      <c r="CJO112" s="83"/>
      <c r="CJP112" s="83"/>
      <c r="CJQ112" s="83"/>
      <c r="CJR112" s="83"/>
      <c r="CJS112" s="83"/>
      <c r="CJT112" s="83"/>
      <c r="CJU112" s="83"/>
      <c r="CJV112" s="82"/>
      <c r="CJW112" s="83"/>
      <c r="CJX112" s="83"/>
      <c r="CJY112" s="83"/>
      <c r="CJZ112" s="83"/>
      <c r="CKA112" s="83"/>
      <c r="CKB112" s="83"/>
      <c r="CKC112" s="83"/>
      <c r="CKD112" s="83"/>
      <c r="CKE112" s="83"/>
      <c r="CKF112" s="83"/>
      <c r="CKG112" s="83"/>
      <c r="CKH112" s="83"/>
      <c r="CKI112" s="83"/>
      <c r="CKJ112" s="83"/>
      <c r="CKK112" s="83"/>
      <c r="CKL112" s="83"/>
      <c r="CKM112" s="83"/>
      <c r="CKN112" s="83"/>
      <c r="CKO112" s="83"/>
      <c r="CKP112" s="83"/>
      <c r="CKQ112" s="83"/>
      <c r="CKR112" s="82"/>
      <c r="CKS112" s="83"/>
      <c r="CKT112" s="83"/>
      <c r="CKU112" s="83"/>
      <c r="CKV112" s="83"/>
      <c r="CKW112" s="83"/>
      <c r="CKX112" s="83"/>
      <c r="CKY112" s="83"/>
      <c r="CKZ112" s="83"/>
      <c r="CLA112" s="83"/>
      <c r="CLB112" s="83"/>
      <c r="CLC112" s="83"/>
      <c r="CLD112" s="83"/>
      <c r="CLE112" s="83"/>
      <c r="CLF112" s="83"/>
      <c r="CLG112" s="83"/>
      <c r="CLH112" s="83"/>
      <c r="CLI112" s="83"/>
      <c r="CLJ112" s="83"/>
      <c r="CLK112" s="83"/>
      <c r="CLL112" s="83"/>
      <c r="CLM112" s="83"/>
      <c r="CLN112" s="82"/>
      <c r="CLO112" s="83"/>
      <c r="CLP112" s="83"/>
      <c r="CLQ112" s="83"/>
      <c r="CLR112" s="83"/>
      <c r="CLS112" s="83"/>
      <c r="CLT112" s="83"/>
      <c r="CLU112" s="83"/>
      <c r="CLV112" s="83"/>
      <c r="CLW112" s="83"/>
      <c r="CLX112" s="83"/>
      <c r="CLY112" s="83"/>
      <c r="CLZ112" s="83"/>
      <c r="CMA112" s="83"/>
      <c r="CMB112" s="83"/>
      <c r="CMC112" s="83"/>
      <c r="CMD112" s="83"/>
      <c r="CME112" s="83"/>
      <c r="CMF112" s="83"/>
      <c r="CMG112" s="83"/>
      <c r="CMH112" s="83"/>
      <c r="CMI112" s="83"/>
      <c r="CMJ112" s="82"/>
      <c r="CMK112" s="83"/>
      <c r="CML112" s="83"/>
      <c r="CMM112" s="83"/>
      <c r="CMN112" s="83"/>
      <c r="CMO112" s="83"/>
      <c r="CMP112" s="83"/>
      <c r="CMQ112" s="83"/>
      <c r="CMR112" s="83"/>
      <c r="CMS112" s="83"/>
      <c r="CMT112" s="83"/>
      <c r="CMU112" s="83"/>
      <c r="CMV112" s="83"/>
      <c r="CMW112" s="83"/>
      <c r="CMX112" s="83"/>
      <c r="CMY112" s="83"/>
      <c r="CMZ112" s="83"/>
      <c r="CNA112" s="83"/>
      <c r="CNB112" s="83"/>
      <c r="CNC112" s="83"/>
      <c r="CND112" s="83"/>
      <c r="CNE112" s="83"/>
      <c r="CNF112" s="82"/>
      <c r="CNG112" s="83"/>
      <c r="CNH112" s="83"/>
      <c r="CNI112" s="83"/>
      <c r="CNJ112" s="83"/>
      <c r="CNK112" s="83"/>
      <c r="CNL112" s="83"/>
      <c r="CNM112" s="83"/>
      <c r="CNN112" s="83"/>
      <c r="CNO112" s="83"/>
      <c r="CNP112" s="83"/>
      <c r="CNQ112" s="83"/>
      <c r="CNR112" s="83"/>
      <c r="CNS112" s="83"/>
      <c r="CNT112" s="83"/>
      <c r="CNU112" s="83"/>
      <c r="CNV112" s="83"/>
      <c r="CNW112" s="83"/>
      <c r="CNX112" s="83"/>
      <c r="CNY112" s="83"/>
      <c r="CNZ112" s="83"/>
      <c r="COA112" s="83"/>
      <c r="COB112" s="82"/>
      <c r="COC112" s="83"/>
      <c r="COD112" s="83"/>
      <c r="COE112" s="83"/>
      <c r="COF112" s="83"/>
      <c r="COG112" s="83"/>
      <c r="COH112" s="83"/>
      <c r="COI112" s="83"/>
      <c r="COJ112" s="83"/>
      <c r="COK112" s="83"/>
      <c r="COL112" s="83"/>
      <c r="COM112" s="83"/>
      <c r="CON112" s="83"/>
      <c r="COO112" s="83"/>
      <c r="COP112" s="83"/>
      <c r="COQ112" s="83"/>
      <c r="COR112" s="83"/>
      <c r="COS112" s="83"/>
      <c r="COT112" s="83"/>
      <c r="COU112" s="83"/>
      <c r="COV112" s="83"/>
      <c r="COW112" s="83"/>
      <c r="COX112" s="82"/>
      <c r="COY112" s="83"/>
      <c r="COZ112" s="83"/>
      <c r="CPA112" s="83"/>
      <c r="CPB112" s="83"/>
      <c r="CPC112" s="83"/>
      <c r="CPD112" s="83"/>
      <c r="CPE112" s="83"/>
      <c r="CPF112" s="83"/>
      <c r="CPG112" s="83"/>
      <c r="CPH112" s="83"/>
      <c r="CPI112" s="83"/>
      <c r="CPJ112" s="83"/>
      <c r="CPK112" s="83"/>
      <c r="CPL112" s="83"/>
      <c r="CPM112" s="83"/>
      <c r="CPN112" s="83"/>
      <c r="CPO112" s="83"/>
      <c r="CPP112" s="83"/>
      <c r="CPQ112" s="83"/>
      <c r="CPR112" s="83"/>
      <c r="CPS112" s="83"/>
      <c r="CPT112" s="82"/>
      <c r="CPU112" s="83"/>
      <c r="CPV112" s="83"/>
      <c r="CPW112" s="83"/>
      <c r="CPX112" s="83"/>
      <c r="CPY112" s="83"/>
      <c r="CPZ112" s="83"/>
      <c r="CQA112" s="83"/>
      <c r="CQB112" s="83"/>
      <c r="CQC112" s="83"/>
      <c r="CQD112" s="83"/>
      <c r="CQE112" s="83"/>
      <c r="CQF112" s="83"/>
      <c r="CQG112" s="83"/>
      <c r="CQH112" s="83"/>
      <c r="CQI112" s="83"/>
      <c r="CQJ112" s="83"/>
      <c r="CQK112" s="83"/>
      <c r="CQL112" s="83"/>
      <c r="CQM112" s="83"/>
      <c r="CQN112" s="83"/>
      <c r="CQO112" s="83"/>
      <c r="CQP112" s="82"/>
      <c r="CQQ112" s="83"/>
      <c r="CQR112" s="83"/>
      <c r="CQS112" s="83"/>
      <c r="CQT112" s="83"/>
      <c r="CQU112" s="83"/>
      <c r="CQV112" s="83"/>
      <c r="CQW112" s="83"/>
      <c r="CQX112" s="83"/>
      <c r="CQY112" s="83"/>
      <c r="CQZ112" s="83"/>
      <c r="CRA112" s="83"/>
      <c r="CRB112" s="83"/>
      <c r="CRC112" s="83"/>
      <c r="CRD112" s="83"/>
      <c r="CRE112" s="83"/>
      <c r="CRF112" s="83"/>
      <c r="CRG112" s="83"/>
      <c r="CRH112" s="83"/>
      <c r="CRI112" s="83"/>
      <c r="CRJ112" s="83"/>
      <c r="CRK112" s="83"/>
      <c r="CRL112" s="82"/>
      <c r="CRM112" s="83"/>
      <c r="CRN112" s="83"/>
      <c r="CRO112" s="83"/>
      <c r="CRP112" s="83"/>
      <c r="CRQ112" s="83"/>
      <c r="CRR112" s="83"/>
      <c r="CRS112" s="83"/>
      <c r="CRT112" s="83"/>
      <c r="CRU112" s="83"/>
      <c r="CRV112" s="83"/>
      <c r="CRW112" s="83"/>
      <c r="CRX112" s="83"/>
      <c r="CRY112" s="83"/>
      <c r="CRZ112" s="83"/>
      <c r="CSA112" s="83"/>
      <c r="CSB112" s="83"/>
      <c r="CSC112" s="83"/>
      <c r="CSD112" s="83"/>
      <c r="CSE112" s="83"/>
      <c r="CSF112" s="83"/>
      <c r="CSG112" s="83"/>
      <c r="CSH112" s="82"/>
      <c r="CSI112" s="83"/>
      <c r="CSJ112" s="83"/>
      <c r="CSK112" s="83"/>
      <c r="CSL112" s="83"/>
      <c r="CSM112" s="83"/>
      <c r="CSN112" s="83"/>
      <c r="CSO112" s="83"/>
      <c r="CSP112" s="83"/>
      <c r="CSQ112" s="83"/>
      <c r="CSR112" s="83"/>
      <c r="CSS112" s="83"/>
      <c r="CST112" s="83"/>
      <c r="CSU112" s="83"/>
      <c r="CSV112" s="83"/>
      <c r="CSW112" s="83"/>
      <c r="CSX112" s="83"/>
      <c r="CSY112" s="83"/>
      <c r="CSZ112" s="83"/>
      <c r="CTA112" s="83"/>
      <c r="CTB112" s="83"/>
      <c r="CTC112" s="83"/>
      <c r="CTD112" s="82"/>
      <c r="CTE112" s="83"/>
      <c r="CTF112" s="83"/>
      <c r="CTG112" s="83"/>
      <c r="CTH112" s="83"/>
      <c r="CTI112" s="83"/>
      <c r="CTJ112" s="83"/>
      <c r="CTK112" s="83"/>
      <c r="CTL112" s="83"/>
      <c r="CTM112" s="83"/>
      <c r="CTN112" s="83"/>
      <c r="CTO112" s="83"/>
      <c r="CTP112" s="83"/>
      <c r="CTQ112" s="83"/>
      <c r="CTR112" s="83"/>
      <c r="CTS112" s="83"/>
      <c r="CTT112" s="83"/>
      <c r="CTU112" s="83"/>
      <c r="CTV112" s="83"/>
      <c r="CTW112" s="83"/>
      <c r="CTX112" s="83"/>
      <c r="CTY112" s="83"/>
      <c r="CTZ112" s="82"/>
      <c r="CUA112" s="83"/>
      <c r="CUB112" s="83"/>
      <c r="CUC112" s="83"/>
      <c r="CUD112" s="83"/>
      <c r="CUE112" s="83"/>
      <c r="CUF112" s="83"/>
      <c r="CUG112" s="83"/>
      <c r="CUH112" s="83"/>
      <c r="CUI112" s="83"/>
      <c r="CUJ112" s="83"/>
      <c r="CUK112" s="83"/>
      <c r="CUL112" s="83"/>
      <c r="CUM112" s="83"/>
      <c r="CUN112" s="83"/>
      <c r="CUO112" s="83"/>
      <c r="CUP112" s="83"/>
      <c r="CUQ112" s="83"/>
      <c r="CUR112" s="83"/>
      <c r="CUS112" s="83"/>
      <c r="CUT112" s="83"/>
      <c r="CUU112" s="83"/>
      <c r="CUV112" s="82"/>
      <c r="CUW112" s="83"/>
      <c r="CUX112" s="83"/>
      <c r="CUY112" s="83"/>
      <c r="CUZ112" s="83"/>
      <c r="CVA112" s="83"/>
      <c r="CVB112" s="83"/>
      <c r="CVC112" s="83"/>
      <c r="CVD112" s="83"/>
      <c r="CVE112" s="83"/>
      <c r="CVF112" s="83"/>
      <c r="CVG112" s="83"/>
      <c r="CVH112" s="83"/>
      <c r="CVI112" s="83"/>
      <c r="CVJ112" s="83"/>
      <c r="CVK112" s="83"/>
      <c r="CVL112" s="83"/>
      <c r="CVM112" s="83"/>
      <c r="CVN112" s="83"/>
      <c r="CVO112" s="83"/>
      <c r="CVP112" s="83"/>
      <c r="CVQ112" s="83"/>
      <c r="CVR112" s="82"/>
      <c r="CVS112" s="83"/>
      <c r="CVT112" s="83"/>
      <c r="CVU112" s="83"/>
      <c r="CVV112" s="83"/>
      <c r="CVW112" s="83"/>
      <c r="CVX112" s="83"/>
      <c r="CVY112" s="83"/>
      <c r="CVZ112" s="83"/>
      <c r="CWA112" s="83"/>
      <c r="CWB112" s="83"/>
      <c r="CWC112" s="83"/>
      <c r="CWD112" s="83"/>
      <c r="CWE112" s="83"/>
      <c r="CWF112" s="83"/>
      <c r="CWG112" s="83"/>
      <c r="CWH112" s="83"/>
      <c r="CWI112" s="83"/>
      <c r="CWJ112" s="83"/>
      <c r="CWK112" s="83"/>
      <c r="CWL112" s="83"/>
      <c r="CWM112" s="83"/>
      <c r="CWN112" s="82"/>
      <c r="CWO112" s="83"/>
      <c r="CWP112" s="83"/>
      <c r="CWQ112" s="83"/>
      <c r="CWR112" s="83"/>
      <c r="CWS112" s="83"/>
      <c r="CWT112" s="83"/>
      <c r="CWU112" s="83"/>
      <c r="CWV112" s="83"/>
      <c r="CWW112" s="83"/>
      <c r="CWX112" s="83"/>
      <c r="CWY112" s="83"/>
      <c r="CWZ112" s="83"/>
      <c r="CXA112" s="83"/>
      <c r="CXB112" s="83"/>
      <c r="CXC112" s="83"/>
      <c r="CXD112" s="83"/>
      <c r="CXE112" s="83"/>
      <c r="CXF112" s="83"/>
      <c r="CXG112" s="83"/>
      <c r="CXH112" s="83"/>
      <c r="CXI112" s="83"/>
      <c r="CXJ112" s="82"/>
      <c r="CXK112" s="83"/>
      <c r="CXL112" s="83"/>
      <c r="CXM112" s="83"/>
      <c r="CXN112" s="83"/>
      <c r="CXO112" s="83"/>
      <c r="CXP112" s="83"/>
      <c r="CXQ112" s="83"/>
      <c r="CXR112" s="83"/>
      <c r="CXS112" s="83"/>
      <c r="CXT112" s="83"/>
      <c r="CXU112" s="83"/>
      <c r="CXV112" s="83"/>
      <c r="CXW112" s="83"/>
      <c r="CXX112" s="83"/>
      <c r="CXY112" s="83"/>
      <c r="CXZ112" s="83"/>
      <c r="CYA112" s="83"/>
      <c r="CYB112" s="83"/>
      <c r="CYC112" s="83"/>
      <c r="CYD112" s="83"/>
      <c r="CYE112" s="83"/>
      <c r="CYF112" s="82"/>
      <c r="CYG112" s="83"/>
      <c r="CYH112" s="83"/>
      <c r="CYI112" s="83"/>
      <c r="CYJ112" s="83"/>
      <c r="CYK112" s="83"/>
      <c r="CYL112" s="83"/>
      <c r="CYM112" s="83"/>
      <c r="CYN112" s="83"/>
      <c r="CYO112" s="83"/>
      <c r="CYP112" s="83"/>
      <c r="CYQ112" s="83"/>
      <c r="CYR112" s="83"/>
      <c r="CYS112" s="83"/>
      <c r="CYT112" s="83"/>
      <c r="CYU112" s="83"/>
      <c r="CYV112" s="83"/>
      <c r="CYW112" s="83"/>
      <c r="CYX112" s="83"/>
      <c r="CYY112" s="83"/>
      <c r="CYZ112" s="83"/>
      <c r="CZA112" s="83"/>
      <c r="CZB112" s="82"/>
      <c r="CZC112" s="83"/>
      <c r="CZD112" s="83"/>
      <c r="CZE112" s="83"/>
      <c r="CZF112" s="83"/>
      <c r="CZG112" s="83"/>
      <c r="CZH112" s="83"/>
      <c r="CZI112" s="83"/>
      <c r="CZJ112" s="83"/>
      <c r="CZK112" s="83"/>
      <c r="CZL112" s="83"/>
      <c r="CZM112" s="83"/>
      <c r="CZN112" s="83"/>
      <c r="CZO112" s="83"/>
      <c r="CZP112" s="83"/>
      <c r="CZQ112" s="83"/>
      <c r="CZR112" s="83"/>
      <c r="CZS112" s="83"/>
      <c r="CZT112" s="83"/>
      <c r="CZU112" s="83"/>
      <c r="CZV112" s="83"/>
      <c r="CZW112" s="83"/>
      <c r="CZX112" s="82"/>
      <c r="CZY112" s="83"/>
      <c r="CZZ112" s="83"/>
      <c r="DAA112" s="83"/>
      <c r="DAB112" s="83"/>
      <c r="DAC112" s="83"/>
      <c r="DAD112" s="83"/>
      <c r="DAE112" s="83"/>
      <c r="DAF112" s="83"/>
      <c r="DAG112" s="83"/>
      <c r="DAH112" s="83"/>
      <c r="DAI112" s="83"/>
      <c r="DAJ112" s="83"/>
      <c r="DAK112" s="83"/>
      <c r="DAL112" s="83"/>
      <c r="DAM112" s="83"/>
      <c r="DAN112" s="83"/>
      <c r="DAO112" s="83"/>
      <c r="DAP112" s="83"/>
      <c r="DAQ112" s="83"/>
      <c r="DAR112" s="83"/>
      <c r="DAS112" s="83"/>
      <c r="DAT112" s="82"/>
      <c r="DAU112" s="83"/>
      <c r="DAV112" s="83"/>
      <c r="DAW112" s="83"/>
      <c r="DAX112" s="83"/>
      <c r="DAY112" s="83"/>
      <c r="DAZ112" s="83"/>
      <c r="DBA112" s="83"/>
      <c r="DBB112" s="83"/>
      <c r="DBC112" s="83"/>
      <c r="DBD112" s="83"/>
      <c r="DBE112" s="83"/>
      <c r="DBF112" s="83"/>
      <c r="DBG112" s="83"/>
      <c r="DBH112" s="83"/>
      <c r="DBI112" s="83"/>
      <c r="DBJ112" s="83"/>
      <c r="DBK112" s="83"/>
      <c r="DBL112" s="83"/>
      <c r="DBM112" s="83"/>
      <c r="DBN112" s="83"/>
      <c r="DBO112" s="83"/>
      <c r="DBP112" s="82"/>
      <c r="DBQ112" s="83"/>
      <c r="DBR112" s="83"/>
      <c r="DBS112" s="83"/>
      <c r="DBT112" s="83"/>
      <c r="DBU112" s="83"/>
      <c r="DBV112" s="83"/>
      <c r="DBW112" s="83"/>
      <c r="DBX112" s="83"/>
      <c r="DBY112" s="83"/>
      <c r="DBZ112" s="83"/>
      <c r="DCA112" s="83"/>
      <c r="DCB112" s="83"/>
      <c r="DCC112" s="83"/>
      <c r="DCD112" s="83"/>
      <c r="DCE112" s="83"/>
      <c r="DCF112" s="83"/>
      <c r="DCG112" s="83"/>
      <c r="DCH112" s="83"/>
      <c r="DCI112" s="83"/>
      <c r="DCJ112" s="83"/>
      <c r="DCK112" s="83"/>
      <c r="DCL112" s="82"/>
      <c r="DCM112" s="83"/>
      <c r="DCN112" s="83"/>
      <c r="DCO112" s="83"/>
      <c r="DCP112" s="83"/>
      <c r="DCQ112" s="83"/>
      <c r="DCR112" s="83"/>
      <c r="DCS112" s="83"/>
      <c r="DCT112" s="83"/>
      <c r="DCU112" s="83"/>
      <c r="DCV112" s="83"/>
      <c r="DCW112" s="83"/>
      <c r="DCX112" s="83"/>
      <c r="DCY112" s="83"/>
      <c r="DCZ112" s="83"/>
      <c r="DDA112" s="83"/>
      <c r="DDB112" s="83"/>
      <c r="DDC112" s="83"/>
      <c r="DDD112" s="83"/>
      <c r="DDE112" s="83"/>
      <c r="DDF112" s="83"/>
      <c r="DDG112" s="83"/>
      <c r="DDH112" s="82"/>
      <c r="DDI112" s="83"/>
      <c r="DDJ112" s="83"/>
      <c r="DDK112" s="83"/>
      <c r="DDL112" s="83"/>
      <c r="DDM112" s="83"/>
      <c r="DDN112" s="83"/>
      <c r="DDO112" s="83"/>
      <c r="DDP112" s="83"/>
      <c r="DDQ112" s="83"/>
      <c r="DDR112" s="83"/>
      <c r="DDS112" s="83"/>
      <c r="DDT112" s="83"/>
      <c r="DDU112" s="83"/>
      <c r="DDV112" s="83"/>
      <c r="DDW112" s="83"/>
      <c r="DDX112" s="83"/>
      <c r="DDY112" s="83"/>
      <c r="DDZ112" s="83"/>
      <c r="DEA112" s="83"/>
      <c r="DEB112" s="83"/>
      <c r="DEC112" s="83"/>
      <c r="DED112" s="82"/>
      <c r="DEE112" s="83"/>
      <c r="DEF112" s="83"/>
      <c r="DEG112" s="83"/>
      <c r="DEH112" s="83"/>
      <c r="DEI112" s="83"/>
      <c r="DEJ112" s="83"/>
      <c r="DEK112" s="83"/>
      <c r="DEL112" s="83"/>
      <c r="DEM112" s="83"/>
      <c r="DEN112" s="83"/>
      <c r="DEO112" s="83"/>
      <c r="DEP112" s="83"/>
      <c r="DEQ112" s="83"/>
      <c r="DER112" s="83"/>
      <c r="DES112" s="83"/>
      <c r="DET112" s="83"/>
      <c r="DEU112" s="83"/>
      <c r="DEV112" s="83"/>
      <c r="DEW112" s="83"/>
      <c r="DEX112" s="83"/>
      <c r="DEY112" s="83"/>
      <c r="DEZ112" s="82"/>
      <c r="DFA112" s="83"/>
      <c r="DFB112" s="83"/>
      <c r="DFC112" s="83"/>
      <c r="DFD112" s="83"/>
      <c r="DFE112" s="83"/>
      <c r="DFF112" s="83"/>
      <c r="DFG112" s="83"/>
      <c r="DFH112" s="83"/>
      <c r="DFI112" s="83"/>
      <c r="DFJ112" s="83"/>
      <c r="DFK112" s="83"/>
      <c r="DFL112" s="83"/>
      <c r="DFM112" s="83"/>
      <c r="DFN112" s="83"/>
      <c r="DFO112" s="83"/>
      <c r="DFP112" s="83"/>
      <c r="DFQ112" s="83"/>
      <c r="DFR112" s="83"/>
      <c r="DFS112" s="83"/>
      <c r="DFT112" s="83"/>
      <c r="DFU112" s="83"/>
      <c r="DFV112" s="82"/>
      <c r="DFW112" s="83"/>
      <c r="DFX112" s="83"/>
      <c r="DFY112" s="83"/>
      <c r="DFZ112" s="83"/>
      <c r="DGA112" s="83"/>
      <c r="DGB112" s="83"/>
      <c r="DGC112" s="83"/>
      <c r="DGD112" s="83"/>
      <c r="DGE112" s="83"/>
      <c r="DGF112" s="83"/>
      <c r="DGG112" s="83"/>
      <c r="DGH112" s="83"/>
      <c r="DGI112" s="83"/>
      <c r="DGJ112" s="83"/>
      <c r="DGK112" s="83"/>
      <c r="DGL112" s="83"/>
      <c r="DGM112" s="83"/>
      <c r="DGN112" s="83"/>
      <c r="DGO112" s="83"/>
      <c r="DGP112" s="83"/>
      <c r="DGQ112" s="83"/>
      <c r="DGR112" s="82"/>
      <c r="DGS112" s="83"/>
      <c r="DGT112" s="83"/>
      <c r="DGU112" s="83"/>
      <c r="DGV112" s="83"/>
      <c r="DGW112" s="83"/>
      <c r="DGX112" s="83"/>
      <c r="DGY112" s="83"/>
      <c r="DGZ112" s="83"/>
      <c r="DHA112" s="83"/>
      <c r="DHB112" s="83"/>
      <c r="DHC112" s="83"/>
      <c r="DHD112" s="83"/>
      <c r="DHE112" s="83"/>
      <c r="DHF112" s="83"/>
      <c r="DHG112" s="83"/>
      <c r="DHH112" s="83"/>
      <c r="DHI112" s="83"/>
      <c r="DHJ112" s="83"/>
      <c r="DHK112" s="83"/>
      <c r="DHL112" s="83"/>
      <c r="DHM112" s="83"/>
      <c r="DHN112" s="82"/>
      <c r="DHO112" s="83"/>
      <c r="DHP112" s="83"/>
      <c r="DHQ112" s="83"/>
      <c r="DHR112" s="83"/>
      <c r="DHS112" s="83"/>
      <c r="DHT112" s="83"/>
      <c r="DHU112" s="83"/>
      <c r="DHV112" s="83"/>
      <c r="DHW112" s="83"/>
      <c r="DHX112" s="83"/>
      <c r="DHY112" s="83"/>
      <c r="DHZ112" s="83"/>
      <c r="DIA112" s="83"/>
      <c r="DIB112" s="83"/>
      <c r="DIC112" s="83"/>
      <c r="DID112" s="83"/>
      <c r="DIE112" s="83"/>
      <c r="DIF112" s="83"/>
      <c r="DIG112" s="83"/>
      <c r="DIH112" s="83"/>
      <c r="DII112" s="83"/>
      <c r="DIJ112" s="82"/>
      <c r="DIK112" s="83"/>
      <c r="DIL112" s="83"/>
      <c r="DIM112" s="83"/>
      <c r="DIN112" s="83"/>
      <c r="DIO112" s="83"/>
      <c r="DIP112" s="83"/>
      <c r="DIQ112" s="83"/>
      <c r="DIR112" s="83"/>
      <c r="DIS112" s="83"/>
      <c r="DIT112" s="83"/>
      <c r="DIU112" s="83"/>
      <c r="DIV112" s="83"/>
      <c r="DIW112" s="83"/>
      <c r="DIX112" s="83"/>
      <c r="DIY112" s="83"/>
      <c r="DIZ112" s="83"/>
      <c r="DJA112" s="83"/>
      <c r="DJB112" s="83"/>
      <c r="DJC112" s="83"/>
      <c r="DJD112" s="83"/>
      <c r="DJE112" s="83"/>
      <c r="DJF112" s="82"/>
      <c r="DJG112" s="83"/>
      <c r="DJH112" s="83"/>
      <c r="DJI112" s="83"/>
      <c r="DJJ112" s="83"/>
      <c r="DJK112" s="83"/>
      <c r="DJL112" s="83"/>
      <c r="DJM112" s="83"/>
      <c r="DJN112" s="83"/>
      <c r="DJO112" s="83"/>
      <c r="DJP112" s="83"/>
      <c r="DJQ112" s="83"/>
      <c r="DJR112" s="83"/>
      <c r="DJS112" s="83"/>
      <c r="DJT112" s="83"/>
      <c r="DJU112" s="83"/>
      <c r="DJV112" s="83"/>
      <c r="DJW112" s="83"/>
      <c r="DJX112" s="83"/>
      <c r="DJY112" s="83"/>
      <c r="DJZ112" s="83"/>
      <c r="DKA112" s="83"/>
      <c r="DKB112" s="82"/>
      <c r="DKC112" s="83"/>
      <c r="DKD112" s="83"/>
      <c r="DKE112" s="83"/>
      <c r="DKF112" s="83"/>
      <c r="DKG112" s="83"/>
      <c r="DKH112" s="83"/>
      <c r="DKI112" s="83"/>
      <c r="DKJ112" s="83"/>
      <c r="DKK112" s="83"/>
      <c r="DKL112" s="83"/>
      <c r="DKM112" s="83"/>
      <c r="DKN112" s="83"/>
      <c r="DKO112" s="83"/>
      <c r="DKP112" s="83"/>
      <c r="DKQ112" s="83"/>
      <c r="DKR112" s="83"/>
      <c r="DKS112" s="83"/>
      <c r="DKT112" s="83"/>
      <c r="DKU112" s="83"/>
      <c r="DKV112" s="83"/>
      <c r="DKW112" s="83"/>
      <c r="DKX112" s="82"/>
      <c r="DKY112" s="83"/>
      <c r="DKZ112" s="83"/>
      <c r="DLA112" s="83"/>
      <c r="DLB112" s="83"/>
      <c r="DLC112" s="83"/>
      <c r="DLD112" s="83"/>
      <c r="DLE112" s="83"/>
      <c r="DLF112" s="83"/>
      <c r="DLG112" s="83"/>
      <c r="DLH112" s="83"/>
      <c r="DLI112" s="83"/>
      <c r="DLJ112" s="83"/>
      <c r="DLK112" s="83"/>
      <c r="DLL112" s="83"/>
      <c r="DLM112" s="83"/>
      <c r="DLN112" s="83"/>
      <c r="DLO112" s="83"/>
      <c r="DLP112" s="83"/>
      <c r="DLQ112" s="83"/>
      <c r="DLR112" s="83"/>
      <c r="DLS112" s="83"/>
      <c r="DLT112" s="82"/>
      <c r="DLU112" s="83"/>
      <c r="DLV112" s="83"/>
      <c r="DLW112" s="83"/>
      <c r="DLX112" s="83"/>
      <c r="DLY112" s="83"/>
      <c r="DLZ112" s="83"/>
      <c r="DMA112" s="83"/>
      <c r="DMB112" s="83"/>
      <c r="DMC112" s="83"/>
      <c r="DMD112" s="83"/>
      <c r="DME112" s="83"/>
      <c r="DMF112" s="83"/>
      <c r="DMG112" s="83"/>
      <c r="DMH112" s="83"/>
      <c r="DMI112" s="83"/>
      <c r="DMJ112" s="83"/>
      <c r="DMK112" s="83"/>
      <c r="DML112" s="83"/>
      <c r="DMM112" s="83"/>
      <c r="DMN112" s="83"/>
      <c r="DMO112" s="83"/>
      <c r="DMP112" s="82"/>
      <c r="DMQ112" s="83"/>
      <c r="DMR112" s="83"/>
      <c r="DMS112" s="83"/>
      <c r="DMT112" s="83"/>
      <c r="DMU112" s="83"/>
      <c r="DMV112" s="83"/>
      <c r="DMW112" s="83"/>
      <c r="DMX112" s="83"/>
      <c r="DMY112" s="83"/>
      <c r="DMZ112" s="83"/>
      <c r="DNA112" s="83"/>
      <c r="DNB112" s="83"/>
      <c r="DNC112" s="83"/>
      <c r="DND112" s="83"/>
      <c r="DNE112" s="83"/>
      <c r="DNF112" s="83"/>
      <c r="DNG112" s="83"/>
      <c r="DNH112" s="83"/>
      <c r="DNI112" s="83"/>
      <c r="DNJ112" s="83"/>
      <c r="DNK112" s="83"/>
      <c r="DNL112" s="82"/>
      <c r="DNM112" s="83"/>
      <c r="DNN112" s="83"/>
      <c r="DNO112" s="83"/>
      <c r="DNP112" s="83"/>
      <c r="DNQ112" s="83"/>
      <c r="DNR112" s="83"/>
      <c r="DNS112" s="83"/>
      <c r="DNT112" s="83"/>
      <c r="DNU112" s="83"/>
      <c r="DNV112" s="83"/>
      <c r="DNW112" s="83"/>
      <c r="DNX112" s="83"/>
      <c r="DNY112" s="83"/>
      <c r="DNZ112" s="83"/>
      <c r="DOA112" s="83"/>
      <c r="DOB112" s="83"/>
      <c r="DOC112" s="83"/>
      <c r="DOD112" s="83"/>
      <c r="DOE112" s="83"/>
      <c r="DOF112" s="83"/>
      <c r="DOG112" s="83"/>
      <c r="DOH112" s="82"/>
      <c r="DOI112" s="83"/>
      <c r="DOJ112" s="83"/>
      <c r="DOK112" s="83"/>
      <c r="DOL112" s="83"/>
      <c r="DOM112" s="83"/>
      <c r="DON112" s="83"/>
      <c r="DOO112" s="83"/>
      <c r="DOP112" s="83"/>
      <c r="DOQ112" s="83"/>
      <c r="DOR112" s="83"/>
      <c r="DOS112" s="83"/>
      <c r="DOT112" s="83"/>
      <c r="DOU112" s="83"/>
      <c r="DOV112" s="83"/>
      <c r="DOW112" s="83"/>
      <c r="DOX112" s="83"/>
      <c r="DOY112" s="83"/>
      <c r="DOZ112" s="83"/>
      <c r="DPA112" s="83"/>
      <c r="DPB112" s="83"/>
      <c r="DPC112" s="83"/>
      <c r="DPD112" s="82"/>
      <c r="DPE112" s="83"/>
      <c r="DPF112" s="83"/>
      <c r="DPG112" s="83"/>
      <c r="DPH112" s="83"/>
      <c r="DPI112" s="83"/>
      <c r="DPJ112" s="83"/>
      <c r="DPK112" s="83"/>
      <c r="DPL112" s="83"/>
      <c r="DPM112" s="83"/>
      <c r="DPN112" s="83"/>
      <c r="DPO112" s="83"/>
      <c r="DPP112" s="83"/>
      <c r="DPQ112" s="83"/>
      <c r="DPR112" s="83"/>
      <c r="DPS112" s="83"/>
      <c r="DPT112" s="83"/>
      <c r="DPU112" s="83"/>
      <c r="DPV112" s="83"/>
      <c r="DPW112" s="83"/>
      <c r="DPX112" s="83"/>
      <c r="DPY112" s="83"/>
      <c r="DPZ112" s="82"/>
      <c r="DQA112" s="83"/>
      <c r="DQB112" s="83"/>
      <c r="DQC112" s="83"/>
      <c r="DQD112" s="83"/>
      <c r="DQE112" s="83"/>
      <c r="DQF112" s="83"/>
      <c r="DQG112" s="83"/>
      <c r="DQH112" s="83"/>
      <c r="DQI112" s="83"/>
      <c r="DQJ112" s="83"/>
      <c r="DQK112" s="83"/>
      <c r="DQL112" s="83"/>
      <c r="DQM112" s="83"/>
      <c r="DQN112" s="83"/>
      <c r="DQO112" s="83"/>
      <c r="DQP112" s="83"/>
      <c r="DQQ112" s="83"/>
      <c r="DQR112" s="83"/>
      <c r="DQS112" s="83"/>
      <c r="DQT112" s="83"/>
      <c r="DQU112" s="83"/>
      <c r="DQV112" s="82"/>
      <c r="DQW112" s="83"/>
      <c r="DQX112" s="83"/>
      <c r="DQY112" s="83"/>
      <c r="DQZ112" s="83"/>
      <c r="DRA112" s="83"/>
      <c r="DRB112" s="83"/>
      <c r="DRC112" s="83"/>
      <c r="DRD112" s="83"/>
      <c r="DRE112" s="83"/>
      <c r="DRF112" s="83"/>
      <c r="DRG112" s="83"/>
      <c r="DRH112" s="83"/>
      <c r="DRI112" s="83"/>
      <c r="DRJ112" s="83"/>
      <c r="DRK112" s="83"/>
      <c r="DRL112" s="83"/>
      <c r="DRM112" s="83"/>
      <c r="DRN112" s="83"/>
      <c r="DRO112" s="83"/>
      <c r="DRP112" s="83"/>
      <c r="DRQ112" s="83"/>
      <c r="DRR112" s="82"/>
      <c r="DRS112" s="83"/>
      <c r="DRT112" s="83"/>
      <c r="DRU112" s="83"/>
      <c r="DRV112" s="83"/>
      <c r="DRW112" s="83"/>
      <c r="DRX112" s="83"/>
      <c r="DRY112" s="83"/>
      <c r="DRZ112" s="83"/>
      <c r="DSA112" s="83"/>
      <c r="DSB112" s="83"/>
      <c r="DSC112" s="83"/>
      <c r="DSD112" s="83"/>
      <c r="DSE112" s="83"/>
      <c r="DSF112" s="83"/>
      <c r="DSG112" s="83"/>
      <c r="DSH112" s="83"/>
      <c r="DSI112" s="83"/>
      <c r="DSJ112" s="83"/>
      <c r="DSK112" s="83"/>
      <c r="DSL112" s="83"/>
      <c r="DSM112" s="83"/>
      <c r="DSN112" s="82"/>
      <c r="DSO112" s="83"/>
      <c r="DSP112" s="83"/>
      <c r="DSQ112" s="83"/>
      <c r="DSR112" s="83"/>
      <c r="DSS112" s="83"/>
      <c r="DST112" s="83"/>
      <c r="DSU112" s="83"/>
      <c r="DSV112" s="83"/>
      <c r="DSW112" s="83"/>
      <c r="DSX112" s="83"/>
      <c r="DSY112" s="83"/>
      <c r="DSZ112" s="83"/>
      <c r="DTA112" s="83"/>
      <c r="DTB112" s="83"/>
      <c r="DTC112" s="83"/>
      <c r="DTD112" s="83"/>
      <c r="DTE112" s="83"/>
      <c r="DTF112" s="83"/>
      <c r="DTG112" s="83"/>
      <c r="DTH112" s="83"/>
      <c r="DTI112" s="83"/>
      <c r="DTJ112" s="82"/>
      <c r="DTK112" s="83"/>
      <c r="DTL112" s="83"/>
      <c r="DTM112" s="83"/>
      <c r="DTN112" s="83"/>
      <c r="DTO112" s="83"/>
      <c r="DTP112" s="83"/>
      <c r="DTQ112" s="83"/>
      <c r="DTR112" s="83"/>
      <c r="DTS112" s="83"/>
      <c r="DTT112" s="83"/>
      <c r="DTU112" s="83"/>
      <c r="DTV112" s="83"/>
      <c r="DTW112" s="83"/>
      <c r="DTX112" s="83"/>
      <c r="DTY112" s="83"/>
      <c r="DTZ112" s="83"/>
      <c r="DUA112" s="83"/>
      <c r="DUB112" s="83"/>
      <c r="DUC112" s="83"/>
      <c r="DUD112" s="83"/>
      <c r="DUE112" s="83"/>
      <c r="DUF112" s="82"/>
      <c r="DUG112" s="83"/>
      <c r="DUH112" s="83"/>
      <c r="DUI112" s="83"/>
      <c r="DUJ112" s="83"/>
      <c r="DUK112" s="83"/>
      <c r="DUL112" s="83"/>
      <c r="DUM112" s="83"/>
      <c r="DUN112" s="83"/>
      <c r="DUO112" s="83"/>
      <c r="DUP112" s="83"/>
      <c r="DUQ112" s="83"/>
      <c r="DUR112" s="83"/>
      <c r="DUS112" s="83"/>
      <c r="DUT112" s="83"/>
      <c r="DUU112" s="83"/>
      <c r="DUV112" s="83"/>
      <c r="DUW112" s="83"/>
      <c r="DUX112" s="83"/>
      <c r="DUY112" s="83"/>
      <c r="DUZ112" s="83"/>
      <c r="DVA112" s="83"/>
      <c r="DVB112" s="82"/>
      <c r="DVC112" s="83"/>
      <c r="DVD112" s="83"/>
      <c r="DVE112" s="83"/>
      <c r="DVF112" s="83"/>
      <c r="DVG112" s="83"/>
      <c r="DVH112" s="83"/>
      <c r="DVI112" s="83"/>
      <c r="DVJ112" s="83"/>
      <c r="DVK112" s="83"/>
      <c r="DVL112" s="83"/>
      <c r="DVM112" s="83"/>
      <c r="DVN112" s="83"/>
      <c r="DVO112" s="83"/>
      <c r="DVP112" s="83"/>
      <c r="DVQ112" s="83"/>
      <c r="DVR112" s="83"/>
      <c r="DVS112" s="83"/>
      <c r="DVT112" s="83"/>
      <c r="DVU112" s="83"/>
      <c r="DVV112" s="83"/>
      <c r="DVW112" s="83"/>
      <c r="DVX112" s="82"/>
      <c r="DVY112" s="83"/>
      <c r="DVZ112" s="83"/>
      <c r="DWA112" s="83"/>
      <c r="DWB112" s="83"/>
      <c r="DWC112" s="83"/>
      <c r="DWD112" s="83"/>
      <c r="DWE112" s="83"/>
      <c r="DWF112" s="83"/>
      <c r="DWG112" s="83"/>
      <c r="DWH112" s="83"/>
      <c r="DWI112" s="83"/>
      <c r="DWJ112" s="83"/>
      <c r="DWK112" s="83"/>
      <c r="DWL112" s="83"/>
      <c r="DWM112" s="83"/>
      <c r="DWN112" s="83"/>
      <c r="DWO112" s="83"/>
      <c r="DWP112" s="83"/>
      <c r="DWQ112" s="83"/>
      <c r="DWR112" s="83"/>
      <c r="DWS112" s="83"/>
      <c r="DWT112" s="82"/>
      <c r="DWU112" s="83"/>
      <c r="DWV112" s="83"/>
      <c r="DWW112" s="83"/>
      <c r="DWX112" s="83"/>
      <c r="DWY112" s="83"/>
      <c r="DWZ112" s="83"/>
      <c r="DXA112" s="83"/>
      <c r="DXB112" s="83"/>
      <c r="DXC112" s="83"/>
      <c r="DXD112" s="83"/>
      <c r="DXE112" s="83"/>
      <c r="DXF112" s="83"/>
      <c r="DXG112" s="83"/>
      <c r="DXH112" s="83"/>
      <c r="DXI112" s="83"/>
      <c r="DXJ112" s="83"/>
      <c r="DXK112" s="83"/>
      <c r="DXL112" s="83"/>
      <c r="DXM112" s="83"/>
      <c r="DXN112" s="83"/>
      <c r="DXO112" s="83"/>
      <c r="DXP112" s="82"/>
      <c r="DXQ112" s="83"/>
      <c r="DXR112" s="83"/>
      <c r="DXS112" s="83"/>
      <c r="DXT112" s="83"/>
      <c r="DXU112" s="83"/>
      <c r="DXV112" s="83"/>
      <c r="DXW112" s="83"/>
      <c r="DXX112" s="83"/>
      <c r="DXY112" s="83"/>
      <c r="DXZ112" s="83"/>
      <c r="DYA112" s="83"/>
      <c r="DYB112" s="83"/>
      <c r="DYC112" s="83"/>
      <c r="DYD112" s="83"/>
      <c r="DYE112" s="83"/>
      <c r="DYF112" s="83"/>
      <c r="DYG112" s="83"/>
      <c r="DYH112" s="83"/>
      <c r="DYI112" s="83"/>
      <c r="DYJ112" s="83"/>
      <c r="DYK112" s="83"/>
      <c r="DYL112" s="82"/>
      <c r="DYM112" s="83"/>
      <c r="DYN112" s="83"/>
      <c r="DYO112" s="83"/>
      <c r="DYP112" s="83"/>
      <c r="DYQ112" s="83"/>
      <c r="DYR112" s="83"/>
      <c r="DYS112" s="83"/>
      <c r="DYT112" s="83"/>
      <c r="DYU112" s="83"/>
      <c r="DYV112" s="83"/>
      <c r="DYW112" s="83"/>
      <c r="DYX112" s="83"/>
      <c r="DYY112" s="83"/>
      <c r="DYZ112" s="83"/>
      <c r="DZA112" s="83"/>
      <c r="DZB112" s="83"/>
      <c r="DZC112" s="83"/>
      <c r="DZD112" s="83"/>
      <c r="DZE112" s="83"/>
      <c r="DZF112" s="83"/>
      <c r="DZG112" s="83"/>
      <c r="DZH112" s="82"/>
      <c r="DZI112" s="83"/>
      <c r="DZJ112" s="83"/>
      <c r="DZK112" s="83"/>
      <c r="DZL112" s="83"/>
      <c r="DZM112" s="83"/>
      <c r="DZN112" s="83"/>
      <c r="DZO112" s="83"/>
      <c r="DZP112" s="83"/>
      <c r="DZQ112" s="83"/>
      <c r="DZR112" s="83"/>
      <c r="DZS112" s="83"/>
      <c r="DZT112" s="83"/>
      <c r="DZU112" s="83"/>
      <c r="DZV112" s="83"/>
      <c r="DZW112" s="83"/>
      <c r="DZX112" s="83"/>
      <c r="DZY112" s="83"/>
      <c r="DZZ112" s="83"/>
      <c r="EAA112" s="83"/>
      <c r="EAB112" s="83"/>
      <c r="EAC112" s="83"/>
      <c r="EAD112" s="82"/>
      <c r="EAE112" s="83"/>
      <c r="EAF112" s="83"/>
      <c r="EAG112" s="83"/>
      <c r="EAH112" s="83"/>
      <c r="EAI112" s="83"/>
      <c r="EAJ112" s="83"/>
      <c r="EAK112" s="83"/>
      <c r="EAL112" s="83"/>
      <c r="EAM112" s="83"/>
      <c r="EAN112" s="83"/>
      <c r="EAO112" s="83"/>
      <c r="EAP112" s="83"/>
      <c r="EAQ112" s="83"/>
      <c r="EAR112" s="83"/>
      <c r="EAS112" s="83"/>
      <c r="EAT112" s="83"/>
      <c r="EAU112" s="83"/>
      <c r="EAV112" s="83"/>
      <c r="EAW112" s="83"/>
      <c r="EAX112" s="83"/>
      <c r="EAY112" s="83"/>
      <c r="EAZ112" s="82"/>
      <c r="EBA112" s="83"/>
      <c r="EBB112" s="83"/>
      <c r="EBC112" s="83"/>
      <c r="EBD112" s="83"/>
      <c r="EBE112" s="83"/>
      <c r="EBF112" s="83"/>
      <c r="EBG112" s="83"/>
      <c r="EBH112" s="83"/>
      <c r="EBI112" s="83"/>
      <c r="EBJ112" s="83"/>
      <c r="EBK112" s="83"/>
      <c r="EBL112" s="83"/>
      <c r="EBM112" s="83"/>
      <c r="EBN112" s="83"/>
      <c r="EBO112" s="83"/>
      <c r="EBP112" s="83"/>
      <c r="EBQ112" s="83"/>
      <c r="EBR112" s="83"/>
      <c r="EBS112" s="83"/>
      <c r="EBT112" s="83"/>
      <c r="EBU112" s="83"/>
      <c r="EBV112" s="82"/>
      <c r="EBW112" s="83"/>
      <c r="EBX112" s="83"/>
      <c r="EBY112" s="83"/>
      <c r="EBZ112" s="83"/>
      <c r="ECA112" s="83"/>
      <c r="ECB112" s="83"/>
      <c r="ECC112" s="83"/>
      <c r="ECD112" s="83"/>
      <c r="ECE112" s="83"/>
      <c r="ECF112" s="83"/>
      <c r="ECG112" s="83"/>
      <c r="ECH112" s="83"/>
      <c r="ECI112" s="83"/>
      <c r="ECJ112" s="83"/>
      <c r="ECK112" s="83"/>
      <c r="ECL112" s="83"/>
      <c r="ECM112" s="83"/>
      <c r="ECN112" s="83"/>
      <c r="ECO112" s="83"/>
      <c r="ECP112" s="83"/>
      <c r="ECQ112" s="83"/>
      <c r="ECR112" s="82"/>
      <c r="ECS112" s="83"/>
      <c r="ECT112" s="83"/>
      <c r="ECU112" s="83"/>
      <c r="ECV112" s="83"/>
      <c r="ECW112" s="83"/>
      <c r="ECX112" s="83"/>
      <c r="ECY112" s="83"/>
      <c r="ECZ112" s="83"/>
      <c r="EDA112" s="83"/>
      <c r="EDB112" s="83"/>
      <c r="EDC112" s="83"/>
      <c r="EDD112" s="83"/>
      <c r="EDE112" s="83"/>
      <c r="EDF112" s="83"/>
      <c r="EDG112" s="83"/>
      <c r="EDH112" s="83"/>
      <c r="EDI112" s="83"/>
      <c r="EDJ112" s="83"/>
      <c r="EDK112" s="83"/>
      <c r="EDL112" s="83"/>
      <c r="EDM112" s="83"/>
      <c r="EDN112" s="82"/>
      <c r="EDO112" s="83"/>
      <c r="EDP112" s="83"/>
      <c r="EDQ112" s="83"/>
      <c r="EDR112" s="83"/>
      <c r="EDS112" s="83"/>
      <c r="EDT112" s="83"/>
      <c r="EDU112" s="83"/>
      <c r="EDV112" s="83"/>
      <c r="EDW112" s="83"/>
      <c r="EDX112" s="83"/>
      <c r="EDY112" s="83"/>
      <c r="EDZ112" s="83"/>
      <c r="EEA112" s="83"/>
      <c r="EEB112" s="83"/>
      <c r="EEC112" s="83"/>
      <c r="EED112" s="83"/>
      <c r="EEE112" s="83"/>
      <c r="EEF112" s="83"/>
      <c r="EEG112" s="83"/>
      <c r="EEH112" s="83"/>
      <c r="EEI112" s="83"/>
      <c r="EEJ112" s="82"/>
      <c r="EEK112" s="83"/>
      <c r="EEL112" s="83"/>
      <c r="EEM112" s="83"/>
      <c r="EEN112" s="83"/>
      <c r="EEO112" s="83"/>
      <c r="EEP112" s="83"/>
      <c r="EEQ112" s="83"/>
      <c r="EER112" s="83"/>
      <c r="EES112" s="83"/>
      <c r="EET112" s="83"/>
      <c r="EEU112" s="83"/>
      <c r="EEV112" s="83"/>
      <c r="EEW112" s="83"/>
      <c r="EEX112" s="83"/>
      <c r="EEY112" s="83"/>
      <c r="EEZ112" s="83"/>
      <c r="EFA112" s="83"/>
      <c r="EFB112" s="83"/>
      <c r="EFC112" s="83"/>
      <c r="EFD112" s="83"/>
      <c r="EFE112" s="83"/>
      <c r="EFF112" s="82"/>
      <c r="EFG112" s="83"/>
      <c r="EFH112" s="83"/>
      <c r="EFI112" s="83"/>
      <c r="EFJ112" s="83"/>
      <c r="EFK112" s="83"/>
      <c r="EFL112" s="83"/>
      <c r="EFM112" s="83"/>
      <c r="EFN112" s="83"/>
      <c r="EFO112" s="83"/>
      <c r="EFP112" s="83"/>
      <c r="EFQ112" s="83"/>
      <c r="EFR112" s="83"/>
      <c r="EFS112" s="83"/>
      <c r="EFT112" s="83"/>
      <c r="EFU112" s="83"/>
      <c r="EFV112" s="83"/>
      <c r="EFW112" s="83"/>
      <c r="EFX112" s="83"/>
      <c r="EFY112" s="83"/>
      <c r="EFZ112" s="83"/>
      <c r="EGA112" s="83"/>
      <c r="EGB112" s="82"/>
      <c r="EGC112" s="83"/>
      <c r="EGD112" s="83"/>
      <c r="EGE112" s="83"/>
      <c r="EGF112" s="83"/>
      <c r="EGG112" s="83"/>
      <c r="EGH112" s="83"/>
      <c r="EGI112" s="83"/>
      <c r="EGJ112" s="83"/>
      <c r="EGK112" s="83"/>
      <c r="EGL112" s="83"/>
      <c r="EGM112" s="83"/>
      <c r="EGN112" s="83"/>
      <c r="EGO112" s="83"/>
      <c r="EGP112" s="83"/>
      <c r="EGQ112" s="83"/>
      <c r="EGR112" s="83"/>
      <c r="EGS112" s="83"/>
      <c r="EGT112" s="83"/>
      <c r="EGU112" s="83"/>
      <c r="EGV112" s="83"/>
      <c r="EGW112" s="83"/>
      <c r="EGX112" s="82"/>
      <c r="EGY112" s="83"/>
      <c r="EGZ112" s="83"/>
      <c r="EHA112" s="83"/>
      <c r="EHB112" s="83"/>
      <c r="EHC112" s="83"/>
      <c r="EHD112" s="83"/>
      <c r="EHE112" s="83"/>
      <c r="EHF112" s="83"/>
      <c r="EHG112" s="83"/>
      <c r="EHH112" s="83"/>
      <c r="EHI112" s="83"/>
      <c r="EHJ112" s="83"/>
      <c r="EHK112" s="83"/>
      <c r="EHL112" s="83"/>
      <c r="EHM112" s="83"/>
      <c r="EHN112" s="83"/>
      <c r="EHO112" s="83"/>
      <c r="EHP112" s="83"/>
      <c r="EHQ112" s="83"/>
      <c r="EHR112" s="83"/>
      <c r="EHS112" s="83"/>
      <c r="EHT112" s="82"/>
      <c r="EHU112" s="83"/>
      <c r="EHV112" s="83"/>
      <c r="EHW112" s="83"/>
      <c r="EHX112" s="83"/>
      <c r="EHY112" s="83"/>
      <c r="EHZ112" s="83"/>
      <c r="EIA112" s="83"/>
      <c r="EIB112" s="83"/>
      <c r="EIC112" s="83"/>
      <c r="EID112" s="83"/>
      <c r="EIE112" s="83"/>
      <c r="EIF112" s="83"/>
      <c r="EIG112" s="83"/>
      <c r="EIH112" s="83"/>
      <c r="EII112" s="83"/>
      <c r="EIJ112" s="83"/>
      <c r="EIK112" s="83"/>
      <c r="EIL112" s="83"/>
      <c r="EIM112" s="83"/>
      <c r="EIN112" s="83"/>
      <c r="EIO112" s="83"/>
      <c r="EIP112" s="82"/>
      <c r="EIQ112" s="83"/>
      <c r="EIR112" s="83"/>
      <c r="EIS112" s="83"/>
      <c r="EIT112" s="83"/>
      <c r="EIU112" s="83"/>
      <c r="EIV112" s="83"/>
      <c r="EIW112" s="83"/>
      <c r="EIX112" s="83"/>
      <c r="EIY112" s="83"/>
      <c r="EIZ112" s="83"/>
      <c r="EJA112" s="83"/>
      <c r="EJB112" s="83"/>
      <c r="EJC112" s="83"/>
      <c r="EJD112" s="83"/>
      <c r="EJE112" s="83"/>
      <c r="EJF112" s="83"/>
      <c r="EJG112" s="83"/>
      <c r="EJH112" s="83"/>
      <c r="EJI112" s="83"/>
      <c r="EJJ112" s="83"/>
      <c r="EJK112" s="83"/>
      <c r="EJL112" s="82"/>
      <c r="EJM112" s="83"/>
      <c r="EJN112" s="83"/>
      <c r="EJO112" s="83"/>
      <c r="EJP112" s="83"/>
      <c r="EJQ112" s="83"/>
      <c r="EJR112" s="83"/>
      <c r="EJS112" s="83"/>
      <c r="EJT112" s="83"/>
      <c r="EJU112" s="83"/>
      <c r="EJV112" s="83"/>
      <c r="EJW112" s="83"/>
      <c r="EJX112" s="83"/>
      <c r="EJY112" s="83"/>
      <c r="EJZ112" s="83"/>
      <c r="EKA112" s="83"/>
      <c r="EKB112" s="83"/>
      <c r="EKC112" s="83"/>
      <c r="EKD112" s="83"/>
      <c r="EKE112" s="83"/>
      <c r="EKF112" s="83"/>
      <c r="EKG112" s="83"/>
      <c r="EKH112" s="82"/>
      <c r="EKI112" s="83"/>
      <c r="EKJ112" s="83"/>
      <c r="EKK112" s="83"/>
      <c r="EKL112" s="83"/>
      <c r="EKM112" s="83"/>
      <c r="EKN112" s="83"/>
      <c r="EKO112" s="83"/>
      <c r="EKP112" s="83"/>
      <c r="EKQ112" s="83"/>
      <c r="EKR112" s="83"/>
      <c r="EKS112" s="83"/>
      <c r="EKT112" s="83"/>
      <c r="EKU112" s="83"/>
      <c r="EKV112" s="83"/>
      <c r="EKW112" s="83"/>
      <c r="EKX112" s="83"/>
      <c r="EKY112" s="83"/>
      <c r="EKZ112" s="83"/>
      <c r="ELA112" s="83"/>
      <c r="ELB112" s="83"/>
      <c r="ELC112" s="83"/>
      <c r="ELD112" s="82"/>
      <c r="ELE112" s="83"/>
      <c r="ELF112" s="83"/>
      <c r="ELG112" s="83"/>
      <c r="ELH112" s="83"/>
      <c r="ELI112" s="83"/>
      <c r="ELJ112" s="83"/>
      <c r="ELK112" s="83"/>
      <c r="ELL112" s="83"/>
      <c r="ELM112" s="83"/>
      <c r="ELN112" s="83"/>
      <c r="ELO112" s="83"/>
      <c r="ELP112" s="83"/>
      <c r="ELQ112" s="83"/>
      <c r="ELR112" s="83"/>
      <c r="ELS112" s="83"/>
      <c r="ELT112" s="83"/>
      <c r="ELU112" s="83"/>
      <c r="ELV112" s="83"/>
      <c r="ELW112" s="83"/>
      <c r="ELX112" s="83"/>
      <c r="ELY112" s="83"/>
      <c r="ELZ112" s="82"/>
      <c r="EMA112" s="83"/>
      <c r="EMB112" s="83"/>
      <c r="EMC112" s="83"/>
      <c r="EMD112" s="83"/>
      <c r="EME112" s="83"/>
      <c r="EMF112" s="83"/>
      <c r="EMG112" s="83"/>
      <c r="EMH112" s="83"/>
      <c r="EMI112" s="83"/>
      <c r="EMJ112" s="83"/>
      <c r="EMK112" s="83"/>
      <c r="EML112" s="83"/>
      <c r="EMM112" s="83"/>
      <c r="EMN112" s="83"/>
      <c r="EMO112" s="83"/>
      <c r="EMP112" s="83"/>
      <c r="EMQ112" s="83"/>
      <c r="EMR112" s="83"/>
      <c r="EMS112" s="83"/>
      <c r="EMT112" s="83"/>
      <c r="EMU112" s="83"/>
      <c r="EMV112" s="82"/>
      <c r="EMW112" s="83"/>
      <c r="EMX112" s="83"/>
      <c r="EMY112" s="83"/>
      <c r="EMZ112" s="83"/>
      <c r="ENA112" s="83"/>
      <c r="ENB112" s="83"/>
      <c r="ENC112" s="83"/>
      <c r="END112" s="83"/>
      <c r="ENE112" s="83"/>
      <c r="ENF112" s="83"/>
      <c r="ENG112" s="83"/>
      <c r="ENH112" s="83"/>
      <c r="ENI112" s="83"/>
      <c r="ENJ112" s="83"/>
      <c r="ENK112" s="83"/>
      <c r="ENL112" s="83"/>
      <c r="ENM112" s="83"/>
      <c r="ENN112" s="83"/>
      <c r="ENO112" s="83"/>
      <c r="ENP112" s="83"/>
      <c r="ENQ112" s="83"/>
      <c r="ENR112" s="82"/>
      <c r="ENS112" s="83"/>
      <c r="ENT112" s="83"/>
      <c r="ENU112" s="83"/>
      <c r="ENV112" s="83"/>
      <c r="ENW112" s="83"/>
      <c r="ENX112" s="83"/>
      <c r="ENY112" s="83"/>
      <c r="ENZ112" s="83"/>
      <c r="EOA112" s="83"/>
      <c r="EOB112" s="83"/>
      <c r="EOC112" s="83"/>
      <c r="EOD112" s="83"/>
      <c r="EOE112" s="83"/>
      <c r="EOF112" s="83"/>
      <c r="EOG112" s="83"/>
      <c r="EOH112" s="83"/>
      <c r="EOI112" s="83"/>
      <c r="EOJ112" s="83"/>
      <c r="EOK112" s="83"/>
      <c r="EOL112" s="83"/>
      <c r="EOM112" s="83"/>
      <c r="EON112" s="82"/>
      <c r="EOO112" s="83"/>
      <c r="EOP112" s="83"/>
      <c r="EOQ112" s="83"/>
      <c r="EOR112" s="83"/>
      <c r="EOS112" s="83"/>
      <c r="EOT112" s="83"/>
      <c r="EOU112" s="83"/>
      <c r="EOV112" s="83"/>
      <c r="EOW112" s="83"/>
      <c r="EOX112" s="83"/>
      <c r="EOY112" s="83"/>
      <c r="EOZ112" s="83"/>
      <c r="EPA112" s="83"/>
      <c r="EPB112" s="83"/>
      <c r="EPC112" s="83"/>
      <c r="EPD112" s="83"/>
      <c r="EPE112" s="83"/>
      <c r="EPF112" s="83"/>
      <c r="EPG112" s="83"/>
      <c r="EPH112" s="83"/>
      <c r="EPI112" s="83"/>
      <c r="EPJ112" s="82"/>
      <c r="EPK112" s="83"/>
      <c r="EPL112" s="83"/>
      <c r="EPM112" s="83"/>
      <c r="EPN112" s="83"/>
      <c r="EPO112" s="83"/>
      <c r="EPP112" s="83"/>
      <c r="EPQ112" s="83"/>
      <c r="EPR112" s="83"/>
      <c r="EPS112" s="83"/>
      <c r="EPT112" s="83"/>
      <c r="EPU112" s="83"/>
      <c r="EPV112" s="83"/>
      <c r="EPW112" s="83"/>
      <c r="EPX112" s="83"/>
      <c r="EPY112" s="83"/>
      <c r="EPZ112" s="83"/>
      <c r="EQA112" s="83"/>
      <c r="EQB112" s="83"/>
      <c r="EQC112" s="83"/>
      <c r="EQD112" s="83"/>
      <c r="EQE112" s="83"/>
      <c r="EQF112" s="82"/>
      <c r="EQG112" s="83"/>
      <c r="EQH112" s="83"/>
      <c r="EQI112" s="83"/>
      <c r="EQJ112" s="83"/>
      <c r="EQK112" s="83"/>
      <c r="EQL112" s="83"/>
      <c r="EQM112" s="83"/>
      <c r="EQN112" s="83"/>
      <c r="EQO112" s="83"/>
      <c r="EQP112" s="83"/>
      <c r="EQQ112" s="83"/>
      <c r="EQR112" s="83"/>
      <c r="EQS112" s="83"/>
      <c r="EQT112" s="83"/>
      <c r="EQU112" s="83"/>
      <c r="EQV112" s="83"/>
      <c r="EQW112" s="83"/>
      <c r="EQX112" s="83"/>
      <c r="EQY112" s="83"/>
      <c r="EQZ112" s="83"/>
      <c r="ERA112" s="83"/>
      <c r="ERB112" s="82"/>
      <c r="ERC112" s="83"/>
      <c r="ERD112" s="83"/>
      <c r="ERE112" s="83"/>
      <c r="ERF112" s="83"/>
      <c r="ERG112" s="83"/>
      <c r="ERH112" s="83"/>
      <c r="ERI112" s="83"/>
      <c r="ERJ112" s="83"/>
      <c r="ERK112" s="83"/>
      <c r="ERL112" s="83"/>
      <c r="ERM112" s="83"/>
      <c r="ERN112" s="83"/>
      <c r="ERO112" s="83"/>
      <c r="ERP112" s="83"/>
      <c r="ERQ112" s="83"/>
      <c r="ERR112" s="83"/>
      <c r="ERS112" s="83"/>
      <c r="ERT112" s="83"/>
      <c r="ERU112" s="83"/>
      <c r="ERV112" s="83"/>
      <c r="ERW112" s="83"/>
      <c r="ERX112" s="82"/>
      <c r="ERY112" s="83"/>
      <c r="ERZ112" s="83"/>
      <c r="ESA112" s="83"/>
      <c r="ESB112" s="83"/>
      <c r="ESC112" s="83"/>
      <c r="ESD112" s="83"/>
      <c r="ESE112" s="83"/>
      <c r="ESF112" s="83"/>
      <c r="ESG112" s="83"/>
      <c r="ESH112" s="83"/>
      <c r="ESI112" s="83"/>
      <c r="ESJ112" s="83"/>
      <c r="ESK112" s="83"/>
      <c r="ESL112" s="83"/>
      <c r="ESM112" s="83"/>
      <c r="ESN112" s="83"/>
      <c r="ESO112" s="83"/>
      <c r="ESP112" s="83"/>
      <c r="ESQ112" s="83"/>
      <c r="ESR112" s="83"/>
      <c r="ESS112" s="83"/>
      <c r="EST112" s="82"/>
      <c r="ESU112" s="83"/>
      <c r="ESV112" s="83"/>
      <c r="ESW112" s="83"/>
      <c r="ESX112" s="83"/>
      <c r="ESY112" s="83"/>
      <c r="ESZ112" s="83"/>
      <c r="ETA112" s="83"/>
      <c r="ETB112" s="83"/>
      <c r="ETC112" s="83"/>
      <c r="ETD112" s="83"/>
      <c r="ETE112" s="83"/>
      <c r="ETF112" s="83"/>
      <c r="ETG112" s="83"/>
      <c r="ETH112" s="83"/>
      <c r="ETI112" s="83"/>
      <c r="ETJ112" s="83"/>
      <c r="ETK112" s="83"/>
      <c r="ETL112" s="83"/>
      <c r="ETM112" s="83"/>
      <c r="ETN112" s="83"/>
      <c r="ETO112" s="83"/>
      <c r="ETP112" s="82"/>
      <c r="ETQ112" s="83"/>
      <c r="ETR112" s="83"/>
      <c r="ETS112" s="83"/>
      <c r="ETT112" s="83"/>
      <c r="ETU112" s="83"/>
      <c r="ETV112" s="83"/>
      <c r="ETW112" s="83"/>
      <c r="ETX112" s="83"/>
      <c r="ETY112" s="83"/>
      <c r="ETZ112" s="83"/>
      <c r="EUA112" s="83"/>
      <c r="EUB112" s="83"/>
      <c r="EUC112" s="83"/>
      <c r="EUD112" s="83"/>
      <c r="EUE112" s="83"/>
      <c r="EUF112" s="83"/>
      <c r="EUG112" s="83"/>
      <c r="EUH112" s="83"/>
      <c r="EUI112" s="83"/>
      <c r="EUJ112" s="83"/>
      <c r="EUK112" s="83"/>
      <c r="EUL112" s="82"/>
      <c r="EUM112" s="83"/>
      <c r="EUN112" s="83"/>
      <c r="EUO112" s="83"/>
      <c r="EUP112" s="83"/>
      <c r="EUQ112" s="83"/>
      <c r="EUR112" s="83"/>
      <c r="EUS112" s="83"/>
      <c r="EUT112" s="83"/>
      <c r="EUU112" s="83"/>
      <c r="EUV112" s="83"/>
      <c r="EUW112" s="83"/>
      <c r="EUX112" s="83"/>
      <c r="EUY112" s="83"/>
      <c r="EUZ112" s="83"/>
      <c r="EVA112" s="83"/>
      <c r="EVB112" s="83"/>
      <c r="EVC112" s="83"/>
      <c r="EVD112" s="83"/>
      <c r="EVE112" s="83"/>
      <c r="EVF112" s="83"/>
      <c r="EVG112" s="83"/>
      <c r="EVH112" s="82"/>
      <c r="EVI112" s="83"/>
      <c r="EVJ112" s="83"/>
      <c r="EVK112" s="83"/>
      <c r="EVL112" s="83"/>
      <c r="EVM112" s="83"/>
      <c r="EVN112" s="83"/>
      <c r="EVO112" s="83"/>
      <c r="EVP112" s="83"/>
      <c r="EVQ112" s="83"/>
      <c r="EVR112" s="83"/>
      <c r="EVS112" s="83"/>
      <c r="EVT112" s="83"/>
      <c r="EVU112" s="83"/>
      <c r="EVV112" s="83"/>
      <c r="EVW112" s="83"/>
      <c r="EVX112" s="83"/>
      <c r="EVY112" s="83"/>
      <c r="EVZ112" s="83"/>
      <c r="EWA112" s="83"/>
      <c r="EWB112" s="83"/>
      <c r="EWC112" s="83"/>
      <c r="EWD112" s="82"/>
      <c r="EWE112" s="83"/>
      <c r="EWF112" s="83"/>
      <c r="EWG112" s="83"/>
      <c r="EWH112" s="83"/>
      <c r="EWI112" s="83"/>
      <c r="EWJ112" s="83"/>
      <c r="EWK112" s="83"/>
      <c r="EWL112" s="83"/>
      <c r="EWM112" s="83"/>
      <c r="EWN112" s="83"/>
      <c r="EWO112" s="83"/>
      <c r="EWP112" s="83"/>
      <c r="EWQ112" s="83"/>
      <c r="EWR112" s="83"/>
      <c r="EWS112" s="83"/>
      <c r="EWT112" s="83"/>
      <c r="EWU112" s="83"/>
      <c r="EWV112" s="83"/>
      <c r="EWW112" s="83"/>
      <c r="EWX112" s="83"/>
      <c r="EWY112" s="83"/>
      <c r="EWZ112" s="82"/>
      <c r="EXA112" s="83"/>
      <c r="EXB112" s="83"/>
      <c r="EXC112" s="83"/>
      <c r="EXD112" s="83"/>
      <c r="EXE112" s="83"/>
      <c r="EXF112" s="83"/>
      <c r="EXG112" s="83"/>
      <c r="EXH112" s="83"/>
      <c r="EXI112" s="83"/>
      <c r="EXJ112" s="83"/>
      <c r="EXK112" s="83"/>
      <c r="EXL112" s="83"/>
      <c r="EXM112" s="83"/>
      <c r="EXN112" s="83"/>
      <c r="EXO112" s="83"/>
      <c r="EXP112" s="83"/>
      <c r="EXQ112" s="83"/>
      <c r="EXR112" s="83"/>
      <c r="EXS112" s="83"/>
      <c r="EXT112" s="83"/>
      <c r="EXU112" s="83"/>
      <c r="EXV112" s="82"/>
      <c r="EXW112" s="83"/>
      <c r="EXX112" s="83"/>
      <c r="EXY112" s="83"/>
      <c r="EXZ112" s="83"/>
      <c r="EYA112" s="83"/>
      <c r="EYB112" s="83"/>
      <c r="EYC112" s="83"/>
      <c r="EYD112" s="83"/>
      <c r="EYE112" s="83"/>
      <c r="EYF112" s="83"/>
      <c r="EYG112" s="83"/>
      <c r="EYH112" s="83"/>
      <c r="EYI112" s="83"/>
      <c r="EYJ112" s="83"/>
      <c r="EYK112" s="83"/>
      <c r="EYL112" s="83"/>
      <c r="EYM112" s="83"/>
      <c r="EYN112" s="83"/>
      <c r="EYO112" s="83"/>
      <c r="EYP112" s="83"/>
      <c r="EYQ112" s="83"/>
      <c r="EYR112" s="82"/>
      <c r="EYS112" s="83"/>
      <c r="EYT112" s="83"/>
      <c r="EYU112" s="83"/>
      <c r="EYV112" s="83"/>
      <c r="EYW112" s="83"/>
      <c r="EYX112" s="83"/>
      <c r="EYY112" s="83"/>
      <c r="EYZ112" s="83"/>
      <c r="EZA112" s="83"/>
      <c r="EZB112" s="83"/>
      <c r="EZC112" s="83"/>
      <c r="EZD112" s="83"/>
      <c r="EZE112" s="83"/>
      <c r="EZF112" s="83"/>
      <c r="EZG112" s="83"/>
      <c r="EZH112" s="83"/>
      <c r="EZI112" s="83"/>
      <c r="EZJ112" s="83"/>
      <c r="EZK112" s="83"/>
      <c r="EZL112" s="83"/>
      <c r="EZM112" s="83"/>
      <c r="EZN112" s="82"/>
      <c r="EZO112" s="83"/>
      <c r="EZP112" s="83"/>
      <c r="EZQ112" s="83"/>
      <c r="EZR112" s="83"/>
      <c r="EZS112" s="83"/>
      <c r="EZT112" s="83"/>
      <c r="EZU112" s="83"/>
      <c r="EZV112" s="83"/>
      <c r="EZW112" s="83"/>
      <c r="EZX112" s="83"/>
      <c r="EZY112" s="83"/>
      <c r="EZZ112" s="83"/>
      <c r="FAA112" s="83"/>
      <c r="FAB112" s="83"/>
      <c r="FAC112" s="83"/>
      <c r="FAD112" s="83"/>
      <c r="FAE112" s="83"/>
      <c r="FAF112" s="83"/>
      <c r="FAG112" s="83"/>
      <c r="FAH112" s="83"/>
      <c r="FAI112" s="83"/>
      <c r="FAJ112" s="82"/>
      <c r="FAK112" s="83"/>
      <c r="FAL112" s="83"/>
      <c r="FAM112" s="83"/>
      <c r="FAN112" s="83"/>
      <c r="FAO112" s="83"/>
      <c r="FAP112" s="83"/>
      <c r="FAQ112" s="83"/>
      <c r="FAR112" s="83"/>
      <c r="FAS112" s="83"/>
      <c r="FAT112" s="83"/>
      <c r="FAU112" s="83"/>
      <c r="FAV112" s="83"/>
      <c r="FAW112" s="83"/>
      <c r="FAX112" s="83"/>
      <c r="FAY112" s="83"/>
      <c r="FAZ112" s="83"/>
      <c r="FBA112" s="83"/>
      <c r="FBB112" s="83"/>
      <c r="FBC112" s="83"/>
      <c r="FBD112" s="83"/>
      <c r="FBE112" s="83"/>
      <c r="FBF112" s="82"/>
      <c r="FBG112" s="83"/>
      <c r="FBH112" s="83"/>
      <c r="FBI112" s="83"/>
      <c r="FBJ112" s="83"/>
      <c r="FBK112" s="83"/>
      <c r="FBL112" s="83"/>
      <c r="FBM112" s="83"/>
      <c r="FBN112" s="83"/>
      <c r="FBO112" s="83"/>
      <c r="FBP112" s="83"/>
      <c r="FBQ112" s="83"/>
      <c r="FBR112" s="83"/>
      <c r="FBS112" s="83"/>
      <c r="FBT112" s="83"/>
      <c r="FBU112" s="83"/>
      <c r="FBV112" s="83"/>
      <c r="FBW112" s="83"/>
      <c r="FBX112" s="83"/>
      <c r="FBY112" s="83"/>
      <c r="FBZ112" s="83"/>
      <c r="FCA112" s="83"/>
      <c r="FCB112" s="82"/>
      <c r="FCC112" s="83"/>
      <c r="FCD112" s="83"/>
      <c r="FCE112" s="83"/>
      <c r="FCF112" s="83"/>
      <c r="FCG112" s="83"/>
      <c r="FCH112" s="83"/>
      <c r="FCI112" s="83"/>
      <c r="FCJ112" s="83"/>
      <c r="FCK112" s="83"/>
      <c r="FCL112" s="83"/>
      <c r="FCM112" s="83"/>
      <c r="FCN112" s="83"/>
      <c r="FCO112" s="83"/>
      <c r="FCP112" s="83"/>
      <c r="FCQ112" s="83"/>
      <c r="FCR112" s="83"/>
      <c r="FCS112" s="83"/>
      <c r="FCT112" s="83"/>
      <c r="FCU112" s="83"/>
      <c r="FCV112" s="83"/>
      <c r="FCW112" s="83"/>
      <c r="FCX112" s="82"/>
      <c r="FCY112" s="83"/>
      <c r="FCZ112" s="83"/>
      <c r="FDA112" s="83"/>
      <c r="FDB112" s="83"/>
      <c r="FDC112" s="83"/>
      <c r="FDD112" s="83"/>
      <c r="FDE112" s="83"/>
      <c r="FDF112" s="83"/>
      <c r="FDG112" s="83"/>
      <c r="FDH112" s="83"/>
      <c r="FDI112" s="83"/>
      <c r="FDJ112" s="83"/>
      <c r="FDK112" s="83"/>
      <c r="FDL112" s="83"/>
      <c r="FDM112" s="83"/>
      <c r="FDN112" s="83"/>
      <c r="FDO112" s="83"/>
      <c r="FDP112" s="83"/>
      <c r="FDQ112" s="83"/>
      <c r="FDR112" s="83"/>
      <c r="FDS112" s="83"/>
      <c r="FDT112" s="82"/>
      <c r="FDU112" s="83"/>
      <c r="FDV112" s="83"/>
      <c r="FDW112" s="83"/>
      <c r="FDX112" s="83"/>
      <c r="FDY112" s="83"/>
      <c r="FDZ112" s="83"/>
      <c r="FEA112" s="83"/>
      <c r="FEB112" s="83"/>
      <c r="FEC112" s="83"/>
      <c r="FED112" s="83"/>
      <c r="FEE112" s="83"/>
      <c r="FEF112" s="83"/>
      <c r="FEG112" s="83"/>
      <c r="FEH112" s="83"/>
      <c r="FEI112" s="83"/>
      <c r="FEJ112" s="83"/>
      <c r="FEK112" s="83"/>
      <c r="FEL112" s="83"/>
      <c r="FEM112" s="83"/>
      <c r="FEN112" s="83"/>
      <c r="FEO112" s="83"/>
      <c r="FEP112" s="82"/>
      <c r="FEQ112" s="83"/>
      <c r="FER112" s="83"/>
      <c r="FES112" s="83"/>
      <c r="FET112" s="83"/>
      <c r="FEU112" s="83"/>
      <c r="FEV112" s="83"/>
      <c r="FEW112" s="83"/>
      <c r="FEX112" s="83"/>
      <c r="FEY112" s="83"/>
      <c r="FEZ112" s="83"/>
      <c r="FFA112" s="83"/>
      <c r="FFB112" s="83"/>
      <c r="FFC112" s="83"/>
      <c r="FFD112" s="83"/>
      <c r="FFE112" s="83"/>
      <c r="FFF112" s="83"/>
      <c r="FFG112" s="83"/>
      <c r="FFH112" s="83"/>
      <c r="FFI112" s="83"/>
      <c r="FFJ112" s="83"/>
      <c r="FFK112" s="83"/>
      <c r="FFL112" s="82"/>
      <c r="FFM112" s="83"/>
      <c r="FFN112" s="83"/>
      <c r="FFO112" s="83"/>
      <c r="FFP112" s="83"/>
      <c r="FFQ112" s="83"/>
      <c r="FFR112" s="83"/>
      <c r="FFS112" s="83"/>
      <c r="FFT112" s="83"/>
      <c r="FFU112" s="83"/>
      <c r="FFV112" s="83"/>
      <c r="FFW112" s="83"/>
      <c r="FFX112" s="83"/>
      <c r="FFY112" s="83"/>
      <c r="FFZ112" s="83"/>
      <c r="FGA112" s="83"/>
      <c r="FGB112" s="83"/>
      <c r="FGC112" s="83"/>
      <c r="FGD112" s="83"/>
      <c r="FGE112" s="83"/>
      <c r="FGF112" s="83"/>
      <c r="FGG112" s="83"/>
      <c r="FGH112" s="82"/>
      <c r="FGI112" s="83"/>
      <c r="FGJ112" s="83"/>
      <c r="FGK112" s="83"/>
      <c r="FGL112" s="83"/>
      <c r="FGM112" s="83"/>
      <c r="FGN112" s="83"/>
      <c r="FGO112" s="83"/>
      <c r="FGP112" s="83"/>
      <c r="FGQ112" s="83"/>
      <c r="FGR112" s="83"/>
      <c r="FGS112" s="83"/>
      <c r="FGT112" s="83"/>
      <c r="FGU112" s="83"/>
      <c r="FGV112" s="83"/>
      <c r="FGW112" s="83"/>
      <c r="FGX112" s="83"/>
      <c r="FGY112" s="83"/>
      <c r="FGZ112" s="83"/>
      <c r="FHA112" s="83"/>
      <c r="FHB112" s="83"/>
      <c r="FHC112" s="83"/>
      <c r="FHD112" s="82"/>
      <c r="FHE112" s="83"/>
      <c r="FHF112" s="83"/>
      <c r="FHG112" s="83"/>
      <c r="FHH112" s="83"/>
      <c r="FHI112" s="83"/>
      <c r="FHJ112" s="83"/>
      <c r="FHK112" s="83"/>
      <c r="FHL112" s="83"/>
      <c r="FHM112" s="83"/>
      <c r="FHN112" s="83"/>
      <c r="FHO112" s="83"/>
      <c r="FHP112" s="83"/>
      <c r="FHQ112" s="83"/>
      <c r="FHR112" s="83"/>
      <c r="FHS112" s="83"/>
      <c r="FHT112" s="83"/>
      <c r="FHU112" s="83"/>
      <c r="FHV112" s="83"/>
      <c r="FHW112" s="83"/>
      <c r="FHX112" s="83"/>
      <c r="FHY112" s="83"/>
      <c r="FHZ112" s="82"/>
      <c r="FIA112" s="83"/>
      <c r="FIB112" s="83"/>
      <c r="FIC112" s="83"/>
      <c r="FID112" s="83"/>
      <c r="FIE112" s="83"/>
      <c r="FIF112" s="83"/>
      <c r="FIG112" s="83"/>
      <c r="FIH112" s="83"/>
      <c r="FII112" s="83"/>
      <c r="FIJ112" s="83"/>
      <c r="FIK112" s="83"/>
      <c r="FIL112" s="83"/>
      <c r="FIM112" s="83"/>
      <c r="FIN112" s="83"/>
      <c r="FIO112" s="83"/>
      <c r="FIP112" s="83"/>
      <c r="FIQ112" s="83"/>
      <c r="FIR112" s="83"/>
      <c r="FIS112" s="83"/>
      <c r="FIT112" s="83"/>
      <c r="FIU112" s="83"/>
      <c r="FIV112" s="82"/>
      <c r="FIW112" s="83"/>
      <c r="FIX112" s="83"/>
      <c r="FIY112" s="83"/>
      <c r="FIZ112" s="83"/>
      <c r="FJA112" s="83"/>
      <c r="FJB112" s="83"/>
      <c r="FJC112" s="83"/>
      <c r="FJD112" s="83"/>
      <c r="FJE112" s="83"/>
      <c r="FJF112" s="83"/>
      <c r="FJG112" s="83"/>
      <c r="FJH112" s="83"/>
      <c r="FJI112" s="83"/>
      <c r="FJJ112" s="83"/>
      <c r="FJK112" s="83"/>
      <c r="FJL112" s="83"/>
      <c r="FJM112" s="83"/>
      <c r="FJN112" s="83"/>
      <c r="FJO112" s="83"/>
      <c r="FJP112" s="83"/>
      <c r="FJQ112" s="83"/>
      <c r="FJR112" s="82"/>
      <c r="FJS112" s="83"/>
      <c r="FJT112" s="83"/>
      <c r="FJU112" s="83"/>
      <c r="FJV112" s="83"/>
      <c r="FJW112" s="83"/>
      <c r="FJX112" s="83"/>
      <c r="FJY112" s="83"/>
      <c r="FJZ112" s="83"/>
      <c r="FKA112" s="83"/>
      <c r="FKB112" s="83"/>
      <c r="FKC112" s="83"/>
      <c r="FKD112" s="83"/>
      <c r="FKE112" s="83"/>
      <c r="FKF112" s="83"/>
      <c r="FKG112" s="83"/>
      <c r="FKH112" s="83"/>
      <c r="FKI112" s="83"/>
      <c r="FKJ112" s="83"/>
      <c r="FKK112" s="83"/>
      <c r="FKL112" s="83"/>
      <c r="FKM112" s="83"/>
      <c r="FKN112" s="82"/>
      <c r="FKO112" s="83"/>
      <c r="FKP112" s="83"/>
      <c r="FKQ112" s="83"/>
      <c r="FKR112" s="83"/>
      <c r="FKS112" s="83"/>
      <c r="FKT112" s="83"/>
      <c r="FKU112" s="83"/>
      <c r="FKV112" s="83"/>
      <c r="FKW112" s="83"/>
      <c r="FKX112" s="83"/>
      <c r="FKY112" s="83"/>
      <c r="FKZ112" s="83"/>
      <c r="FLA112" s="83"/>
      <c r="FLB112" s="83"/>
      <c r="FLC112" s="83"/>
      <c r="FLD112" s="83"/>
      <c r="FLE112" s="83"/>
      <c r="FLF112" s="83"/>
      <c r="FLG112" s="83"/>
      <c r="FLH112" s="83"/>
      <c r="FLI112" s="83"/>
      <c r="FLJ112" s="82"/>
      <c r="FLK112" s="83"/>
      <c r="FLL112" s="83"/>
      <c r="FLM112" s="83"/>
      <c r="FLN112" s="83"/>
      <c r="FLO112" s="83"/>
      <c r="FLP112" s="83"/>
      <c r="FLQ112" s="83"/>
      <c r="FLR112" s="83"/>
      <c r="FLS112" s="83"/>
      <c r="FLT112" s="83"/>
      <c r="FLU112" s="83"/>
      <c r="FLV112" s="83"/>
      <c r="FLW112" s="83"/>
      <c r="FLX112" s="83"/>
      <c r="FLY112" s="83"/>
      <c r="FLZ112" s="83"/>
      <c r="FMA112" s="83"/>
      <c r="FMB112" s="83"/>
      <c r="FMC112" s="83"/>
      <c r="FMD112" s="83"/>
      <c r="FME112" s="83"/>
      <c r="FMF112" s="82"/>
      <c r="FMG112" s="83"/>
      <c r="FMH112" s="83"/>
      <c r="FMI112" s="83"/>
      <c r="FMJ112" s="83"/>
      <c r="FMK112" s="83"/>
      <c r="FML112" s="83"/>
      <c r="FMM112" s="83"/>
      <c r="FMN112" s="83"/>
      <c r="FMO112" s="83"/>
      <c r="FMP112" s="83"/>
      <c r="FMQ112" s="83"/>
      <c r="FMR112" s="83"/>
      <c r="FMS112" s="83"/>
      <c r="FMT112" s="83"/>
      <c r="FMU112" s="83"/>
      <c r="FMV112" s="83"/>
      <c r="FMW112" s="83"/>
      <c r="FMX112" s="83"/>
      <c r="FMY112" s="83"/>
      <c r="FMZ112" s="83"/>
      <c r="FNA112" s="83"/>
      <c r="FNB112" s="82"/>
      <c r="FNC112" s="83"/>
      <c r="FND112" s="83"/>
      <c r="FNE112" s="83"/>
      <c r="FNF112" s="83"/>
      <c r="FNG112" s="83"/>
      <c r="FNH112" s="83"/>
      <c r="FNI112" s="83"/>
      <c r="FNJ112" s="83"/>
      <c r="FNK112" s="83"/>
      <c r="FNL112" s="83"/>
      <c r="FNM112" s="83"/>
      <c r="FNN112" s="83"/>
      <c r="FNO112" s="83"/>
      <c r="FNP112" s="83"/>
      <c r="FNQ112" s="83"/>
      <c r="FNR112" s="83"/>
      <c r="FNS112" s="83"/>
      <c r="FNT112" s="83"/>
      <c r="FNU112" s="83"/>
      <c r="FNV112" s="83"/>
      <c r="FNW112" s="83"/>
      <c r="FNX112" s="82"/>
      <c r="FNY112" s="83"/>
      <c r="FNZ112" s="83"/>
      <c r="FOA112" s="83"/>
      <c r="FOB112" s="83"/>
      <c r="FOC112" s="83"/>
      <c r="FOD112" s="83"/>
      <c r="FOE112" s="83"/>
      <c r="FOF112" s="83"/>
      <c r="FOG112" s="83"/>
      <c r="FOH112" s="83"/>
      <c r="FOI112" s="83"/>
      <c r="FOJ112" s="83"/>
      <c r="FOK112" s="83"/>
      <c r="FOL112" s="83"/>
      <c r="FOM112" s="83"/>
      <c r="FON112" s="83"/>
      <c r="FOO112" s="83"/>
      <c r="FOP112" s="83"/>
      <c r="FOQ112" s="83"/>
      <c r="FOR112" s="83"/>
      <c r="FOS112" s="83"/>
      <c r="FOT112" s="82"/>
      <c r="FOU112" s="83"/>
      <c r="FOV112" s="83"/>
      <c r="FOW112" s="83"/>
      <c r="FOX112" s="83"/>
      <c r="FOY112" s="83"/>
      <c r="FOZ112" s="83"/>
      <c r="FPA112" s="83"/>
      <c r="FPB112" s="83"/>
      <c r="FPC112" s="83"/>
      <c r="FPD112" s="83"/>
      <c r="FPE112" s="83"/>
      <c r="FPF112" s="83"/>
      <c r="FPG112" s="83"/>
      <c r="FPH112" s="83"/>
      <c r="FPI112" s="83"/>
      <c r="FPJ112" s="83"/>
      <c r="FPK112" s="83"/>
      <c r="FPL112" s="83"/>
      <c r="FPM112" s="83"/>
      <c r="FPN112" s="83"/>
      <c r="FPO112" s="83"/>
      <c r="FPP112" s="82"/>
      <c r="FPQ112" s="83"/>
      <c r="FPR112" s="83"/>
      <c r="FPS112" s="83"/>
      <c r="FPT112" s="83"/>
      <c r="FPU112" s="83"/>
      <c r="FPV112" s="83"/>
      <c r="FPW112" s="83"/>
      <c r="FPX112" s="83"/>
      <c r="FPY112" s="83"/>
      <c r="FPZ112" s="83"/>
      <c r="FQA112" s="83"/>
      <c r="FQB112" s="83"/>
      <c r="FQC112" s="83"/>
      <c r="FQD112" s="83"/>
      <c r="FQE112" s="83"/>
      <c r="FQF112" s="83"/>
      <c r="FQG112" s="83"/>
      <c r="FQH112" s="83"/>
      <c r="FQI112" s="83"/>
      <c r="FQJ112" s="83"/>
      <c r="FQK112" s="83"/>
      <c r="FQL112" s="82"/>
      <c r="FQM112" s="83"/>
      <c r="FQN112" s="83"/>
      <c r="FQO112" s="83"/>
      <c r="FQP112" s="83"/>
      <c r="FQQ112" s="83"/>
      <c r="FQR112" s="83"/>
      <c r="FQS112" s="83"/>
      <c r="FQT112" s="83"/>
      <c r="FQU112" s="83"/>
      <c r="FQV112" s="83"/>
      <c r="FQW112" s="83"/>
      <c r="FQX112" s="83"/>
      <c r="FQY112" s="83"/>
      <c r="FQZ112" s="83"/>
      <c r="FRA112" s="83"/>
      <c r="FRB112" s="83"/>
      <c r="FRC112" s="83"/>
      <c r="FRD112" s="83"/>
      <c r="FRE112" s="83"/>
      <c r="FRF112" s="83"/>
      <c r="FRG112" s="83"/>
      <c r="FRH112" s="82"/>
      <c r="FRI112" s="83"/>
      <c r="FRJ112" s="83"/>
      <c r="FRK112" s="83"/>
      <c r="FRL112" s="83"/>
      <c r="FRM112" s="83"/>
      <c r="FRN112" s="83"/>
      <c r="FRO112" s="83"/>
      <c r="FRP112" s="83"/>
      <c r="FRQ112" s="83"/>
      <c r="FRR112" s="83"/>
      <c r="FRS112" s="83"/>
      <c r="FRT112" s="83"/>
      <c r="FRU112" s="83"/>
      <c r="FRV112" s="83"/>
      <c r="FRW112" s="83"/>
      <c r="FRX112" s="83"/>
      <c r="FRY112" s="83"/>
      <c r="FRZ112" s="83"/>
      <c r="FSA112" s="83"/>
      <c r="FSB112" s="83"/>
      <c r="FSC112" s="83"/>
      <c r="FSD112" s="82"/>
      <c r="FSE112" s="83"/>
      <c r="FSF112" s="83"/>
      <c r="FSG112" s="83"/>
      <c r="FSH112" s="83"/>
      <c r="FSI112" s="83"/>
      <c r="FSJ112" s="83"/>
      <c r="FSK112" s="83"/>
      <c r="FSL112" s="83"/>
      <c r="FSM112" s="83"/>
      <c r="FSN112" s="83"/>
      <c r="FSO112" s="83"/>
      <c r="FSP112" s="83"/>
      <c r="FSQ112" s="83"/>
      <c r="FSR112" s="83"/>
      <c r="FSS112" s="83"/>
      <c r="FST112" s="83"/>
      <c r="FSU112" s="83"/>
      <c r="FSV112" s="83"/>
      <c r="FSW112" s="83"/>
      <c r="FSX112" s="83"/>
      <c r="FSY112" s="83"/>
      <c r="FSZ112" s="82"/>
      <c r="FTA112" s="83"/>
      <c r="FTB112" s="83"/>
      <c r="FTC112" s="83"/>
      <c r="FTD112" s="83"/>
      <c r="FTE112" s="83"/>
      <c r="FTF112" s="83"/>
      <c r="FTG112" s="83"/>
      <c r="FTH112" s="83"/>
      <c r="FTI112" s="83"/>
      <c r="FTJ112" s="83"/>
      <c r="FTK112" s="83"/>
      <c r="FTL112" s="83"/>
      <c r="FTM112" s="83"/>
      <c r="FTN112" s="83"/>
      <c r="FTO112" s="83"/>
      <c r="FTP112" s="83"/>
      <c r="FTQ112" s="83"/>
      <c r="FTR112" s="83"/>
      <c r="FTS112" s="83"/>
      <c r="FTT112" s="83"/>
      <c r="FTU112" s="83"/>
      <c r="FTV112" s="82"/>
      <c r="FTW112" s="83"/>
      <c r="FTX112" s="83"/>
      <c r="FTY112" s="83"/>
      <c r="FTZ112" s="83"/>
      <c r="FUA112" s="83"/>
      <c r="FUB112" s="83"/>
      <c r="FUC112" s="83"/>
      <c r="FUD112" s="83"/>
      <c r="FUE112" s="83"/>
      <c r="FUF112" s="83"/>
      <c r="FUG112" s="83"/>
      <c r="FUH112" s="83"/>
      <c r="FUI112" s="83"/>
      <c r="FUJ112" s="83"/>
      <c r="FUK112" s="83"/>
      <c r="FUL112" s="83"/>
      <c r="FUM112" s="83"/>
      <c r="FUN112" s="83"/>
      <c r="FUO112" s="83"/>
      <c r="FUP112" s="83"/>
      <c r="FUQ112" s="83"/>
      <c r="FUR112" s="82"/>
      <c r="FUS112" s="83"/>
      <c r="FUT112" s="83"/>
      <c r="FUU112" s="83"/>
      <c r="FUV112" s="83"/>
      <c r="FUW112" s="83"/>
      <c r="FUX112" s="83"/>
      <c r="FUY112" s="83"/>
      <c r="FUZ112" s="83"/>
      <c r="FVA112" s="83"/>
      <c r="FVB112" s="83"/>
      <c r="FVC112" s="83"/>
      <c r="FVD112" s="83"/>
      <c r="FVE112" s="83"/>
      <c r="FVF112" s="83"/>
      <c r="FVG112" s="83"/>
      <c r="FVH112" s="83"/>
      <c r="FVI112" s="83"/>
      <c r="FVJ112" s="83"/>
      <c r="FVK112" s="83"/>
      <c r="FVL112" s="83"/>
      <c r="FVM112" s="83"/>
      <c r="FVN112" s="82"/>
      <c r="FVO112" s="83"/>
      <c r="FVP112" s="83"/>
      <c r="FVQ112" s="83"/>
      <c r="FVR112" s="83"/>
      <c r="FVS112" s="83"/>
      <c r="FVT112" s="83"/>
      <c r="FVU112" s="83"/>
      <c r="FVV112" s="83"/>
      <c r="FVW112" s="83"/>
      <c r="FVX112" s="83"/>
      <c r="FVY112" s="83"/>
      <c r="FVZ112" s="83"/>
      <c r="FWA112" s="83"/>
      <c r="FWB112" s="83"/>
      <c r="FWC112" s="83"/>
      <c r="FWD112" s="83"/>
      <c r="FWE112" s="83"/>
      <c r="FWF112" s="83"/>
      <c r="FWG112" s="83"/>
      <c r="FWH112" s="83"/>
      <c r="FWI112" s="83"/>
      <c r="FWJ112" s="82"/>
      <c r="FWK112" s="83"/>
      <c r="FWL112" s="83"/>
      <c r="FWM112" s="83"/>
      <c r="FWN112" s="83"/>
      <c r="FWO112" s="83"/>
      <c r="FWP112" s="83"/>
      <c r="FWQ112" s="83"/>
      <c r="FWR112" s="83"/>
      <c r="FWS112" s="83"/>
      <c r="FWT112" s="83"/>
      <c r="FWU112" s="83"/>
      <c r="FWV112" s="83"/>
      <c r="FWW112" s="83"/>
      <c r="FWX112" s="83"/>
      <c r="FWY112" s="83"/>
      <c r="FWZ112" s="83"/>
      <c r="FXA112" s="83"/>
      <c r="FXB112" s="83"/>
      <c r="FXC112" s="83"/>
      <c r="FXD112" s="83"/>
      <c r="FXE112" s="83"/>
      <c r="FXF112" s="82"/>
      <c r="FXG112" s="83"/>
      <c r="FXH112" s="83"/>
      <c r="FXI112" s="83"/>
      <c r="FXJ112" s="83"/>
      <c r="FXK112" s="83"/>
      <c r="FXL112" s="83"/>
      <c r="FXM112" s="83"/>
      <c r="FXN112" s="83"/>
      <c r="FXO112" s="83"/>
      <c r="FXP112" s="83"/>
      <c r="FXQ112" s="83"/>
      <c r="FXR112" s="83"/>
      <c r="FXS112" s="83"/>
      <c r="FXT112" s="83"/>
      <c r="FXU112" s="83"/>
      <c r="FXV112" s="83"/>
      <c r="FXW112" s="83"/>
      <c r="FXX112" s="83"/>
      <c r="FXY112" s="83"/>
      <c r="FXZ112" s="83"/>
      <c r="FYA112" s="83"/>
      <c r="FYB112" s="82"/>
      <c r="FYC112" s="83"/>
      <c r="FYD112" s="83"/>
      <c r="FYE112" s="83"/>
      <c r="FYF112" s="83"/>
      <c r="FYG112" s="83"/>
      <c r="FYH112" s="83"/>
      <c r="FYI112" s="83"/>
      <c r="FYJ112" s="83"/>
      <c r="FYK112" s="83"/>
      <c r="FYL112" s="83"/>
      <c r="FYM112" s="83"/>
      <c r="FYN112" s="83"/>
      <c r="FYO112" s="83"/>
      <c r="FYP112" s="83"/>
      <c r="FYQ112" s="83"/>
      <c r="FYR112" s="83"/>
      <c r="FYS112" s="83"/>
      <c r="FYT112" s="83"/>
      <c r="FYU112" s="83"/>
      <c r="FYV112" s="83"/>
      <c r="FYW112" s="83"/>
      <c r="FYX112" s="82"/>
      <c r="FYY112" s="83"/>
      <c r="FYZ112" s="83"/>
      <c r="FZA112" s="83"/>
      <c r="FZB112" s="83"/>
      <c r="FZC112" s="83"/>
      <c r="FZD112" s="83"/>
      <c r="FZE112" s="83"/>
      <c r="FZF112" s="83"/>
      <c r="FZG112" s="83"/>
      <c r="FZH112" s="83"/>
      <c r="FZI112" s="83"/>
      <c r="FZJ112" s="83"/>
      <c r="FZK112" s="83"/>
      <c r="FZL112" s="83"/>
      <c r="FZM112" s="83"/>
      <c r="FZN112" s="83"/>
      <c r="FZO112" s="83"/>
      <c r="FZP112" s="83"/>
      <c r="FZQ112" s="83"/>
      <c r="FZR112" s="83"/>
      <c r="FZS112" s="83"/>
      <c r="FZT112" s="82"/>
      <c r="FZU112" s="83"/>
      <c r="FZV112" s="83"/>
      <c r="FZW112" s="83"/>
      <c r="FZX112" s="83"/>
      <c r="FZY112" s="83"/>
      <c r="FZZ112" s="83"/>
      <c r="GAA112" s="83"/>
      <c r="GAB112" s="83"/>
      <c r="GAC112" s="83"/>
      <c r="GAD112" s="83"/>
      <c r="GAE112" s="83"/>
      <c r="GAF112" s="83"/>
      <c r="GAG112" s="83"/>
      <c r="GAH112" s="83"/>
      <c r="GAI112" s="83"/>
      <c r="GAJ112" s="83"/>
      <c r="GAK112" s="83"/>
      <c r="GAL112" s="83"/>
      <c r="GAM112" s="83"/>
      <c r="GAN112" s="83"/>
      <c r="GAO112" s="83"/>
      <c r="GAP112" s="82"/>
      <c r="GAQ112" s="83"/>
      <c r="GAR112" s="83"/>
      <c r="GAS112" s="83"/>
      <c r="GAT112" s="83"/>
      <c r="GAU112" s="83"/>
      <c r="GAV112" s="83"/>
      <c r="GAW112" s="83"/>
      <c r="GAX112" s="83"/>
      <c r="GAY112" s="83"/>
      <c r="GAZ112" s="83"/>
      <c r="GBA112" s="83"/>
      <c r="GBB112" s="83"/>
      <c r="GBC112" s="83"/>
      <c r="GBD112" s="83"/>
      <c r="GBE112" s="83"/>
      <c r="GBF112" s="83"/>
      <c r="GBG112" s="83"/>
      <c r="GBH112" s="83"/>
      <c r="GBI112" s="83"/>
      <c r="GBJ112" s="83"/>
      <c r="GBK112" s="83"/>
      <c r="GBL112" s="82"/>
      <c r="GBM112" s="83"/>
      <c r="GBN112" s="83"/>
      <c r="GBO112" s="83"/>
      <c r="GBP112" s="83"/>
      <c r="GBQ112" s="83"/>
      <c r="GBR112" s="83"/>
      <c r="GBS112" s="83"/>
      <c r="GBT112" s="83"/>
      <c r="GBU112" s="83"/>
      <c r="GBV112" s="83"/>
      <c r="GBW112" s="83"/>
      <c r="GBX112" s="83"/>
      <c r="GBY112" s="83"/>
      <c r="GBZ112" s="83"/>
      <c r="GCA112" s="83"/>
      <c r="GCB112" s="83"/>
      <c r="GCC112" s="83"/>
      <c r="GCD112" s="83"/>
      <c r="GCE112" s="83"/>
      <c r="GCF112" s="83"/>
      <c r="GCG112" s="83"/>
      <c r="GCH112" s="82"/>
      <c r="GCI112" s="83"/>
      <c r="GCJ112" s="83"/>
      <c r="GCK112" s="83"/>
      <c r="GCL112" s="83"/>
      <c r="GCM112" s="83"/>
      <c r="GCN112" s="83"/>
      <c r="GCO112" s="83"/>
      <c r="GCP112" s="83"/>
      <c r="GCQ112" s="83"/>
      <c r="GCR112" s="83"/>
      <c r="GCS112" s="83"/>
      <c r="GCT112" s="83"/>
      <c r="GCU112" s="83"/>
      <c r="GCV112" s="83"/>
      <c r="GCW112" s="83"/>
      <c r="GCX112" s="83"/>
      <c r="GCY112" s="83"/>
      <c r="GCZ112" s="83"/>
      <c r="GDA112" s="83"/>
      <c r="GDB112" s="83"/>
      <c r="GDC112" s="83"/>
      <c r="GDD112" s="82"/>
      <c r="GDE112" s="83"/>
      <c r="GDF112" s="83"/>
      <c r="GDG112" s="83"/>
      <c r="GDH112" s="83"/>
      <c r="GDI112" s="83"/>
      <c r="GDJ112" s="83"/>
      <c r="GDK112" s="83"/>
      <c r="GDL112" s="83"/>
      <c r="GDM112" s="83"/>
      <c r="GDN112" s="83"/>
      <c r="GDO112" s="83"/>
      <c r="GDP112" s="83"/>
      <c r="GDQ112" s="83"/>
      <c r="GDR112" s="83"/>
      <c r="GDS112" s="83"/>
      <c r="GDT112" s="83"/>
      <c r="GDU112" s="83"/>
      <c r="GDV112" s="83"/>
      <c r="GDW112" s="83"/>
      <c r="GDX112" s="83"/>
      <c r="GDY112" s="83"/>
      <c r="GDZ112" s="82"/>
      <c r="GEA112" s="83"/>
      <c r="GEB112" s="83"/>
      <c r="GEC112" s="83"/>
      <c r="GED112" s="83"/>
      <c r="GEE112" s="83"/>
      <c r="GEF112" s="83"/>
      <c r="GEG112" s="83"/>
      <c r="GEH112" s="83"/>
      <c r="GEI112" s="83"/>
      <c r="GEJ112" s="83"/>
      <c r="GEK112" s="83"/>
      <c r="GEL112" s="83"/>
      <c r="GEM112" s="83"/>
      <c r="GEN112" s="83"/>
      <c r="GEO112" s="83"/>
      <c r="GEP112" s="83"/>
      <c r="GEQ112" s="83"/>
      <c r="GER112" s="83"/>
      <c r="GES112" s="83"/>
      <c r="GET112" s="83"/>
      <c r="GEU112" s="83"/>
      <c r="GEV112" s="82"/>
      <c r="GEW112" s="83"/>
      <c r="GEX112" s="83"/>
      <c r="GEY112" s="83"/>
      <c r="GEZ112" s="83"/>
      <c r="GFA112" s="83"/>
      <c r="GFB112" s="83"/>
      <c r="GFC112" s="83"/>
      <c r="GFD112" s="83"/>
      <c r="GFE112" s="83"/>
      <c r="GFF112" s="83"/>
      <c r="GFG112" s="83"/>
      <c r="GFH112" s="83"/>
      <c r="GFI112" s="83"/>
      <c r="GFJ112" s="83"/>
      <c r="GFK112" s="83"/>
      <c r="GFL112" s="83"/>
      <c r="GFM112" s="83"/>
      <c r="GFN112" s="83"/>
      <c r="GFO112" s="83"/>
      <c r="GFP112" s="83"/>
      <c r="GFQ112" s="83"/>
      <c r="GFR112" s="82"/>
      <c r="GFS112" s="83"/>
      <c r="GFT112" s="83"/>
      <c r="GFU112" s="83"/>
      <c r="GFV112" s="83"/>
      <c r="GFW112" s="83"/>
      <c r="GFX112" s="83"/>
      <c r="GFY112" s="83"/>
      <c r="GFZ112" s="83"/>
      <c r="GGA112" s="83"/>
      <c r="GGB112" s="83"/>
      <c r="GGC112" s="83"/>
      <c r="GGD112" s="83"/>
      <c r="GGE112" s="83"/>
      <c r="GGF112" s="83"/>
      <c r="GGG112" s="83"/>
      <c r="GGH112" s="83"/>
      <c r="GGI112" s="83"/>
      <c r="GGJ112" s="83"/>
      <c r="GGK112" s="83"/>
      <c r="GGL112" s="83"/>
      <c r="GGM112" s="83"/>
      <c r="GGN112" s="82"/>
      <c r="GGO112" s="83"/>
      <c r="GGP112" s="83"/>
      <c r="GGQ112" s="83"/>
      <c r="GGR112" s="83"/>
      <c r="GGS112" s="83"/>
      <c r="GGT112" s="83"/>
      <c r="GGU112" s="83"/>
      <c r="GGV112" s="83"/>
      <c r="GGW112" s="83"/>
      <c r="GGX112" s="83"/>
      <c r="GGY112" s="83"/>
      <c r="GGZ112" s="83"/>
      <c r="GHA112" s="83"/>
      <c r="GHB112" s="83"/>
      <c r="GHC112" s="83"/>
      <c r="GHD112" s="83"/>
      <c r="GHE112" s="83"/>
      <c r="GHF112" s="83"/>
      <c r="GHG112" s="83"/>
      <c r="GHH112" s="83"/>
      <c r="GHI112" s="83"/>
      <c r="GHJ112" s="82"/>
      <c r="GHK112" s="83"/>
      <c r="GHL112" s="83"/>
      <c r="GHM112" s="83"/>
      <c r="GHN112" s="83"/>
      <c r="GHO112" s="83"/>
      <c r="GHP112" s="83"/>
      <c r="GHQ112" s="83"/>
      <c r="GHR112" s="83"/>
      <c r="GHS112" s="83"/>
      <c r="GHT112" s="83"/>
      <c r="GHU112" s="83"/>
      <c r="GHV112" s="83"/>
      <c r="GHW112" s="83"/>
      <c r="GHX112" s="83"/>
      <c r="GHY112" s="83"/>
      <c r="GHZ112" s="83"/>
      <c r="GIA112" s="83"/>
      <c r="GIB112" s="83"/>
      <c r="GIC112" s="83"/>
      <c r="GID112" s="83"/>
      <c r="GIE112" s="83"/>
      <c r="GIF112" s="82"/>
      <c r="GIG112" s="83"/>
      <c r="GIH112" s="83"/>
      <c r="GII112" s="83"/>
      <c r="GIJ112" s="83"/>
      <c r="GIK112" s="83"/>
      <c r="GIL112" s="83"/>
      <c r="GIM112" s="83"/>
      <c r="GIN112" s="83"/>
      <c r="GIO112" s="83"/>
      <c r="GIP112" s="83"/>
      <c r="GIQ112" s="83"/>
      <c r="GIR112" s="83"/>
      <c r="GIS112" s="83"/>
      <c r="GIT112" s="83"/>
      <c r="GIU112" s="83"/>
      <c r="GIV112" s="83"/>
      <c r="GIW112" s="83"/>
      <c r="GIX112" s="83"/>
      <c r="GIY112" s="83"/>
      <c r="GIZ112" s="83"/>
      <c r="GJA112" s="83"/>
      <c r="GJB112" s="82"/>
      <c r="GJC112" s="83"/>
      <c r="GJD112" s="83"/>
      <c r="GJE112" s="83"/>
      <c r="GJF112" s="83"/>
      <c r="GJG112" s="83"/>
      <c r="GJH112" s="83"/>
      <c r="GJI112" s="83"/>
      <c r="GJJ112" s="83"/>
      <c r="GJK112" s="83"/>
      <c r="GJL112" s="83"/>
      <c r="GJM112" s="83"/>
      <c r="GJN112" s="83"/>
      <c r="GJO112" s="83"/>
      <c r="GJP112" s="83"/>
      <c r="GJQ112" s="83"/>
      <c r="GJR112" s="83"/>
      <c r="GJS112" s="83"/>
      <c r="GJT112" s="83"/>
      <c r="GJU112" s="83"/>
      <c r="GJV112" s="83"/>
      <c r="GJW112" s="83"/>
      <c r="GJX112" s="82"/>
      <c r="GJY112" s="83"/>
      <c r="GJZ112" s="83"/>
      <c r="GKA112" s="83"/>
      <c r="GKB112" s="83"/>
      <c r="GKC112" s="83"/>
      <c r="GKD112" s="83"/>
      <c r="GKE112" s="83"/>
      <c r="GKF112" s="83"/>
      <c r="GKG112" s="83"/>
      <c r="GKH112" s="83"/>
      <c r="GKI112" s="83"/>
      <c r="GKJ112" s="83"/>
      <c r="GKK112" s="83"/>
      <c r="GKL112" s="83"/>
      <c r="GKM112" s="83"/>
      <c r="GKN112" s="83"/>
      <c r="GKO112" s="83"/>
      <c r="GKP112" s="83"/>
      <c r="GKQ112" s="83"/>
      <c r="GKR112" s="83"/>
      <c r="GKS112" s="83"/>
      <c r="GKT112" s="82"/>
      <c r="GKU112" s="83"/>
      <c r="GKV112" s="83"/>
      <c r="GKW112" s="83"/>
      <c r="GKX112" s="83"/>
      <c r="GKY112" s="83"/>
      <c r="GKZ112" s="83"/>
      <c r="GLA112" s="83"/>
      <c r="GLB112" s="83"/>
      <c r="GLC112" s="83"/>
      <c r="GLD112" s="83"/>
      <c r="GLE112" s="83"/>
      <c r="GLF112" s="83"/>
      <c r="GLG112" s="83"/>
      <c r="GLH112" s="83"/>
      <c r="GLI112" s="83"/>
      <c r="GLJ112" s="83"/>
      <c r="GLK112" s="83"/>
      <c r="GLL112" s="83"/>
      <c r="GLM112" s="83"/>
      <c r="GLN112" s="83"/>
      <c r="GLO112" s="83"/>
      <c r="GLP112" s="82"/>
      <c r="GLQ112" s="83"/>
      <c r="GLR112" s="83"/>
      <c r="GLS112" s="83"/>
      <c r="GLT112" s="83"/>
      <c r="GLU112" s="83"/>
      <c r="GLV112" s="83"/>
      <c r="GLW112" s="83"/>
      <c r="GLX112" s="83"/>
      <c r="GLY112" s="83"/>
      <c r="GLZ112" s="83"/>
      <c r="GMA112" s="83"/>
      <c r="GMB112" s="83"/>
      <c r="GMC112" s="83"/>
      <c r="GMD112" s="83"/>
      <c r="GME112" s="83"/>
      <c r="GMF112" s="83"/>
      <c r="GMG112" s="83"/>
      <c r="GMH112" s="83"/>
      <c r="GMI112" s="83"/>
      <c r="GMJ112" s="83"/>
      <c r="GMK112" s="83"/>
      <c r="GML112" s="82"/>
      <c r="GMM112" s="83"/>
      <c r="GMN112" s="83"/>
      <c r="GMO112" s="83"/>
      <c r="GMP112" s="83"/>
      <c r="GMQ112" s="83"/>
      <c r="GMR112" s="83"/>
      <c r="GMS112" s="83"/>
      <c r="GMT112" s="83"/>
      <c r="GMU112" s="83"/>
      <c r="GMV112" s="83"/>
      <c r="GMW112" s="83"/>
      <c r="GMX112" s="83"/>
      <c r="GMY112" s="83"/>
      <c r="GMZ112" s="83"/>
      <c r="GNA112" s="83"/>
      <c r="GNB112" s="83"/>
      <c r="GNC112" s="83"/>
      <c r="GND112" s="83"/>
      <c r="GNE112" s="83"/>
      <c r="GNF112" s="83"/>
      <c r="GNG112" s="83"/>
      <c r="GNH112" s="82"/>
      <c r="GNI112" s="83"/>
      <c r="GNJ112" s="83"/>
      <c r="GNK112" s="83"/>
      <c r="GNL112" s="83"/>
      <c r="GNM112" s="83"/>
      <c r="GNN112" s="83"/>
      <c r="GNO112" s="83"/>
      <c r="GNP112" s="83"/>
      <c r="GNQ112" s="83"/>
      <c r="GNR112" s="83"/>
      <c r="GNS112" s="83"/>
      <c r="GNT112" s="83"/>
      <c r="GNU112" s="83"/>
      <c r="GNV112" s="83"/>
      <c r="GNW112" s="83"/>
      <c r="GNX112" s="83"/>
      <c r="GNY112" s="83"/>
      <c r="GNZ112" s="83"/>
      <c r="GOA112" s="83"/>
      <c r="GOB112" s="83"/>
      <c r="GOC112" s="83"/>
      <c r="GOD112" s="82"/>
      <c r="GOE112" s="83"/>
      <c r="GOF112" s="83"/>
      <c r="GOG112" s="83"/>
      <c r="GOH112" s="83"/>
      <c r="GOI112" s="83"/>
      <c r="GOJ112" s="83"/>
      <c r="GOK112" s="83"/>
      <c r="GOL112" s="83"/>
      <c r="GOM112" s="83"/>
      <c r="GON112" s="83"/>
      <c r="GOO112" s="83"/>
      <c r="GOP112" s="83"/>
      <c r="GOQ112" s="83"/>
      <c r="GOR112" s="83"/>
      <c r="GOS112" s="83"/>
      <c r="GOT112" s="83"/>
      <c r="GOU112" s="83"/>
      <c r="GOV112" s="83"/>
      <c r="GOW112" s="83"/>
      <c r="GOX112" s="83"/>
      <c r="GOY112" s="83"/>
      <c r="GOZ112" s="82"/>
      <c r="GPA112" s="83"/>
      <c r="GPB112" s="83"/>
      <c r="GPC112" s="83"/>
      <c r="GPD112" s="83"/>
      <c r="GPE112" s="83"/>
      <c r="GPF112" s="83"/>
      <c r="GPG112" s="83"/>
      <c r="GPH112" s="83"/>
      <c r="GPI112" s="83"/>
      <c r="GPJ112" s="83"/>
      <c r="GPK112" s="83"/>
      <c r="GPL112" s="83"/>
      <c r="GPM112" s="83"/>
      <c r="GPN112" s="83"/>
      <c r="GPO112" s="83"/>
      <c r="GPP112" s="83"/>
      <c r="GPQ112" s="83"/>
      <c r="GPR112" s="83"/>
      <c r="GPS112" s="83"/>
      <c r="GPT112" s="83"/>
      <c r="GPU112" s="83"/>
      <c r="GPV112" s="82"/>
      <c r="GPW112" s="83"/>
      <c r="GPX112" s="83"/>
      <c r="GPY112" s="83"/>
      <c r="GPZ112" s="83"/>
      <c r="GQA112" s="83"/>
      <c r="GQB112" s="83"/>
      <c r="GQC112" s="83"/>
      <c r="GQD112" s="83"/>
      <c r="GQE112" s="83"/>
      <c r="GQF112" s="83"/>
      <c r="GQG112" s="83"/>
      <c r="GQH112" s="83"/>
      <c r="GQI112" s="83"/>
      <c r="GQJ112" s="83"/>
      <c r="GQK112" s="83"/>
      <c r="GQL112" s="83"/>
      <c r="GQM112" s="83"/>
      <c r="GQN112" s="83"/>
      <c r="GQO112" s="83"/>
      <c r="GQP112" s="83"/>
      <c r="GQQ112" s="83"/>
      <c r="GQR112" s="82"/>
      <c r="GQS112" s="83"/>
      <c r="GQT112" s="83"/>
      <c r="GQU112" s="83"/>
      <c r="GQV112" s="83"/>
      <c r="GQW112" s="83"/>
      <c r="GQX112" s="83"/>
      <c r="GQY112" s="83"/>
      <c r="GQZ112" s="83"/>
      <c r="GRA112" s="83"/>
      <c r="GRB112" s="83"/>
      <c r="GRC112" s="83"/>
      <c r="GRD112" s="83"/>
      <c r="GRE112" s="83"/>
      <c r="GRF112" s="83"/>
      <c r="GRG112" s="83"/>
      <c r="GRH112" s="83"/>
      <c r="GRI112" s="83"/>
      <c r="GRJ112" s="83"/>
      <c r="GRK112" s="83"/>
      <c r="GRL112" s="83"/>
      <c r="GRM112" s="83"/>
      <c r="GRN112" s="82"/>
      <c r="GRO112" s="83"/>
      <c r="GRP112" s="83"/>
      <c r="GRQ112" s="83"/>
      <c r="GRR112" s="83"/>
      <c r="GRS112" s="83"/>
      <c r="GRT112" s="83"/>
      <c r="GRU112" s="83"/>
      <c r="GRV112" s="83"/>
      <c r="GRW112" s="83"/>
      <c r="GRX112" s="83"/>
      <c r="GRY112" s="83"/>
      <c r="GRZ112" s="83"/>
      <c r="GSA112" s="83"/>
      <c r="GSB112" s="83"/>
      <c r="GSC112" s="83"/>
      <c r="GSD112" s="83"/>
      <c r="GSE112" s="83"/>
      <c r="GSF112" s="83"/>
      <c r="GSG112" s="83"/>
      <c r="GSH112" s="83"/>
      <c r="GSI112" s="83"/>
      <c r="GSJ112" s="82"/>
      <c r="GSK112" s="83"/>
      <c r="GSL112" s="83"/>
      <c r="GSM112" s="83"/>
      <c r="GSN112" s="83"/>
      <c r="GSO112" s="83"/>
      <c r="GSP112" s="83"/>
      <c r="GSQ112" s="83"/>
      <c r="GSR112" s="83"/>
      <c r="GSS112" s="83"/>
      <c r="GST112" s="83"/>
      <c r="GSU112" s="83"/>
      <c r="GSV112" s="83"/>
      <c r="GSW112" s="83"/>
      <c r="GSX112" s="83"/>
      <c r="GSY112" s="83"/>
      <c r="GSZ112" s="83"/>
      <c r="GTA112" s="83"/>
      <c r="GTB112" s="83"/>
      <c r="GTC112" s="83"/>
      <c r="GTD112" s="83"/>
      <c r="GTE112" s="83"/>
      <c r="GTF112" s="82"/>
      <c r="GTG112" s="83"/>
      <c r="GTH112" s="83"/>
      <c r="GTI112" s="83"/>
      <c r="GTJ112" s="83"/>
      <c r="GTK112" s="83"/>
      <c r="GTL112" s="83"/>
      <c r="GTM112" s="83"/>
      <c r="GTN112" s="83"/>
      <c r="GTO112" s="83"/>
      <c r="GTP112" s="83"/>
      <c r="GTQ112" s="83"/>
      <c r="GTR112" s="83"/>
      <c r="GTS112" s="83"/>
      <c r="GTT112" s="83"/>
      <c r="GTU112" s="83"/>
      <c r="GTV112" s="83"/>
      <c r="GTW112" s="83"/>
      <c r="GTX112" s="83"/>
      <c r="GTY112" s="83"/>
      <c r="GTZ112" s="83"/>
      <c r="GUA112" s="83"/>
      <c r="GUB112" s="82"/>
      <c r="GUC112" s="83"/>
      <c r="GUD112" s="83"/>
      <c r="GUE112" s="83"/>
      <c r="GUF112" s="83"/>
      <c r="GUG112" s="83"/>
      <c r="GUH112" s="83"/>
      <c r="GUI112" s="83"/>
      <c r="GUJ112" s="83"/>
      <c r="GUK112" s="83"/>
      <c r="GUL112" s="83"/>
      <c r="GUM112" s="83"/>
      <c r="GUN112" s="83"/>
      <c r="GUO112" s="83"/>
      <c r="GUP112" s="83"/>
      <c r="GUQ112" s="83"/>
      <c r="GUR112" s="83"/>
      <c r="GUS112" s="83"/>
      <c r="GUT112" s="83"/>
      <c r="GUU112" s="83"/>
      <c r="GUV112" s="83"/>
      <c r="GUW112" s="83"/>
      <c r="GUX112" s="82"/>
      <c r="GUY112" s="83"/>
      <c r="GUZ112" s="83"/>
      <c r="GVA112" s="83"/>
      <c r="GVB112" s="83"/>
      <c r="GVC112" s="83"/>
      <c r="GVD112" s="83"/>
      <c r="GVE112" s="83"/>
      <c r="GVF112" s="83"/>
      <c r="GVG112" s="83"/>
      <c r="GVH112" s="83"/>
      <c r="GVI112" s="83"/>
      <c r="GVJ112" s="83"/>
      <c r="GVK112" s="83"/>
      <c r="GVL112" s="83"/>
      <c r="GVM112" s="83"/>
      <c r="GVN112" s="83"/>
      <c r="GVO112" s="83"/>
      <c r="GVP112" s="83"/>
      <c r="GVQ112" s="83"/>
      <c r="GVR112" s="83"/>
      <c r="GVS112" s="83"/>
      <c r="GVT112" s="82"/>
      <c r="GVU112" s="83"/>
      <c r="GVV112" s="83"/>
      <c r="GVW112" s="83"/>
      <c r="GVX112" s="83"/>
      <c r="GVY112" s="83"/>
      <c r="GVZ112" s="83"/>
      <c r="GWA112" s="83"/>
      <c r="GWB112" s="83"/>
      <c r="GWC112" s="83"/>
      <c r="GWD112" s="83"/>
      <c r="GWE112" s="83"/>
      <c r="GWF112" s="83"/>
      <c r="GWG112" s="83"/>
      <c r="GWH112" s="83"/>
      <c r="GWI112" s="83"/>
      <c r="GWJ112" s="83"/>
      <c r="GWK112" s="83"/>
      <c r="GWL112" s="83"/>
      <c r="GWM112" s="83"/>
      <c r="GWN112" s="83"/>
      <c r="GWO112" s="83"/>
      <c r="GWP112" s="82"/>
      <c r="GWQ112" s="83"/>
      <c r="GWR112" s="83"/>
      <c r="GWS112" s="83"/>
      <c r="GWT112" s="83"/>
      <c r="GWU112" s="83"/>
      <c r="GWV112" s="83"/>
      <c r="GWW112" s="83"/>
      <c r="GWX112" s="83"/>
      <c r="GWY112" s="83"/>
      <c r="GWZ112" s="83"/>
      <c r="GXA112" s="83"/>
      <c r="GXB112" s="83"/>
      <c r="GXC112" s="83"/>
      <c r="GXD112" s="83"/>
      <c r="GXE112" s="83"/>
      <c r="GXF112" s="83"/>
      <c r="GXG112" s="83"/>
      <c r="GXH112" s="83"/>
      <c r="GXI112" s="83"/>
      <c r="GXJ112" s="83"/>
      <c r="GXK112" s="83"/>
      <c r="GXL112" s="82"/>
      <c r="GXM112" s="83"/>
      <c r="GXN112" s="83"/>
      <c r="GXO112" s="83"/>
      <c r="GXP112" s="83"/>
      <c r="GXQ112" s="83"/>
      <c r="GXR112" s="83"/>
      <c r="GXS112" s="83"/>
      <c r="GXT112" s="83"/>
      <c r="GXU112" s="83"/>
      <c r="GXV112" s="83"/>
      <c r="GXW112" s="83"/>
      <c r="GXX112" s="83"/>
      <c r="GXY112" s="83"/>
      <c r="GXZ112" s="83"/>
      <c r="GYA112" s="83"/>
      <c r="GYB112" s="83"/>
      <c r="GYC112" s="83"/>
      <c r="GYD112" s="83"/>
      <c r="GYE112" s="83"/>
      <c r="GYF112" s="83"/>
      <c r="GYG112" s="83"/>
      <c r="GYH112" s="82"/>
      <c r="GYI112" s="83"/>
      <c r="GYJ112" s="83"/>
      <c r="GYK112" s="83"/>
      <c r="GYL112" s="83"/>
      <c r="GYM112" s="83"/>
      <c r="GYN112" s="83"/>
      <c r="GYO112" s="83"/>
      <c r="GYP112" s="83"/>
      <c r="GYQ112" s="83"/>
      <c r="GYR112" s="83"/>
      <c r="GYS112" s="83"/>
      <c r="GYT112" s="83"/>
      <c r="GYU112" s="83"/>
      <c r="GYV112" s="83"/>
      <c r="GYW112" s="83"/>
      <c r="GYX112" s="83"/>
      <c r="GYY112" s="83"/>
      <c r="GYZ112" s="83"/>
      <c r="GZA112" s="83"/>
      <c r="GZB112" s="83"/>
      <c r="GZC112" s="83"/>
      <c r="GZD112" s="82"/>
      <c r="GZE112" s="83"/>
      <c r="GZF112" s="83"/>
      <c r="GZG112" s="83"/>
      <c r="GZH112" s="83"/>
      <c r="GZI112" s="83"/>
      <c r="GZJ112" s="83"/>
      <c r="GZK112" s="83"/>
      <c r="GZL112" s="83"/>
      <c r="GZM112" s="83"/>
      <c r="GZN112" s="83"/>
      <c r="GZO112" s="83"/>
      <c r="GZP112" s="83"/>
      <c r="GZQ112" s="83"/>
      <c r="GZR112" s="83"/>
      <c r="GZS112" s="83"/>
      <c r="GZT112" s="83"/>
      <c r="GZU112" s="83"/>
      <c r="GZV112" s="83"/>
      <c r="GZW112" s="83"/>
      <c r="GZX112" s="83"/>
      <c r="GZY112" s="83"/>
      <c r="GZZ112" s="82"/>
      <c r="HAA112" s="83"/>
      <c r="HAB112" s="83"/>
      <c r="HAC112" s="83"/>
      <c r="HAD112" s="83"/>
      <c r="HAE112" s="83"/>
      <c r="HAF112" s="83"/>
      <c r="HAG112" s="83"/>
      <c r="HAH112" s="83"/>
      <c r="HAI112" s="83"/>
      <c r="HAJ112" s="83"/>
      <c r="HAK112" s="83"/>
      <c r="HAL112" s="83"/>
      <c r="HAM112" s="83"/>
      <c r="HAN112" s="83"/>
      <c r="HAO112" s="83"/>
      <c r="HAP112" s="83"/>
      <c r="HAQ112" s="83"/>
      <c r="HAR112" s="83"/>
      <c r="HAS112" s="83"/>
      <c r="HAT112" s="83"/>
      <c r="HAU112" s="83"/>
      <c r="HAV112" s="82"/>
      <c r="HAW112" s="83"/>
      <c r="HAX112" s="83"/>
      <c r="HAY112" s="83"/>
      <c r="HAZ112" s="83"/>
      <c r="HBA112" s="83"/>
      <c r="HBB112" s="83"/>
      <c r="HBC112" s="83"/>
      <c r="HBD112" s="83"/>
      <c r="HBE112" s="83"/>
      <c r="HBF112" s="83"/>
      <c r="HBG112" s="83"/>
      <c r="HBH112" s="83"/>
      <c r="HBI112" s="83"/>
      <c r="HBJ112" s="83"/>
      <c r="HBK112" s="83"/>
      <c r="HBL112" s="83"/>
      <c r="HBM112" s="83"/>
      <c r="HBN112" s="83"/>
      <c r="HBO112" s="83"/>
      <c r="HBP112" s="83"/>
      <c r="HBQ112" s="83"/>
      <c r="HBR112" s="82"/>
      <c r="HBS112" s="83"/>
      <c r="HBT112" s="83"/>
      <c r="HBU112" s="83"/>
      <c r="HBV112" s="83"/>
      <c r="HBW112" s="83"/>
      <c r="HBX112" s="83"/>
      <c r="HBY112" s="83"/>
      <c r="HBZ112" s="83"/>
      <c r="HCA112" s="83"/>
      <c r="HCB112" s="83"/>
      <c r="HCC112" s="83"/>
      <c r="HCD112" s="83"/>
      <c r="HCE112" s="83"/>
      <c r="HCF112" s="83"/>
      <c r="HCG112" s="83"/>
      <c r="HCH112" s="83"/>
      <c r="HCI112" s="83"/>
      <c r="HCJ112" s="83"/>
      <c r="HCK112" s="83"/>
      <c r="HCL112" s="83"/>
      <c r="HCM112" s="83"/>
      <c r="HCN112" s="82"/>
      <c r="HCO112" s="83"/>
      <c r="HCP112" s="83"/>
      <c r="HCQ112" s="83"/>
      <c r="HCR112" s="83"/>
      <c r="HCS112" s="83"/>
      <c r="HCT112" s="83"/>
      <c r="HCU112" s="83"/>
      <c r="HCV112" s="83"/>
      <c r="HCW112" s="83"/>
      <c r="HCX112" s="83"/>
      <c r="HCY112" s="83"/>
      <c r="HCZ112" s="83"/>
      <c r="HDA112" s="83"/>
      <c r="HDB112" s="83"/>
      <c r="HDC112" s="83"/>
      <c r="HDD112" s="83"/>
      <c r="HDE112" s="83"/>
      <c r="HDF112" s="83"/>
      <c r="HDG112" s="83"/>
      <c r="HDH112" s="83"/>
      <c r="HDI112" s="83"/>
      <c r="HDJ112" s="82"/>
      <c r="HDK112" s="83"/>
      <c r="HDL112" s="83"/>
      <c r="HDM112" s="83"/>
      <c r="HDN112" s="83"/>
      <c r="HDO112" s="83"/>
      <c r="HDP112" s="83"/>
      <c r="HDQ112" s="83"/>
      <c r="HDR112" s="83"/>
      <c r="HDS112" s="83"/>
      <c r="HDT112" s="83"/>
      <c r="HDU112" s="83"/>
      <c r="HDV112" s="83"/>
      <c r="HDW112" s="83"/>
      <c r="HDX112" s="83"/>
      <c r="HDY112" s="83"/>
      <c r="HDZ112" s="83"/>
      <c r="HEA112" s="83"/>
      <c r="HEB112" s="83"/>
      <c r="HEC112" s="83"/>
      <c r="HED112" s="83"/>
      <c r="HEE112" s="83"/>
      <c r="HEF112" s="82"/>
      <c r="HEG112" s="83"/>
      <c r="HEH112" s="83"/>
      <c r="HEI112" s="83"/>
      <c r="HEJ112" s="83"/>
      <c r="HEK112" s="83"/>
      <c r="HEL112" s="83"/>
      <c r="HEM112" s="83"/>
      <c r="HEN112" s="83"/>
      <c r="HEO112" s="83"/>
      <c r="HEP112" s="83"/>
      <c r="HEQ112" s="83"/>
      <c r="HER112" s="83"/>
      <c r="HES112" s="83"/>
      <c r="HET112" s="83"/>
      <c r="HEU112" s="83"/>
      <c r="HEV112" s="83"/>
      <c r="HEW112" s="83"/>
      <c r="HEX112" s="83"/>
      <c r="HEY112" s="83"/>
      <c r="HEZ112" s="83"/>
      <c r="HFA112" s="83"/>
      <c r="HFB112" s="82"/>
      <c r="HFC112" s="83"/>
      <c r="HFD112" s="83"/>
      <c r="HFE112" s="83"/>
      <c r="HFF112" s="83"/>
      <c r="HFG112" s="83"/>
      <c r="HFH112" s="83"/>
      <c r="HFI112" s="83"/>
      <c r="HFJ112" s="83"/>
      <c r="HFK112" s="83"/>
      <c r="HFL112" s="83"/>
      <c r="HFM112" s="83"/>
      <c r="HFN112" s="83"/>
      <c r="HFO112" s="83"/>
      <c r="HFP112" s="83"/>
      <c r="HFQ112" s="83"/>
      <c r="HFR112" s="83"/>
      <c r="HFS112" s="83"/>
      <c r="HFT112" s="83"/>
      <c r="HFU112" s="83"/>
      <c r="HFV112" s="83"/>
      <c r="HFW112" s="83"/>
      <c r="HFX112" s="82"/>
      <c r="HFY112" s="83"/>
      <c r="HFZ112" s="83"/>
      <c r="HGA112" s="83"/>
      <c r="HGB112" s="83"/>
      <c r="HGC112" s="83"/>
      <c r="HGD112" s="83"/>
      <c r="HGE112" s="83"/>
      <c r="HGF112" s="83"/>
      <c r="HGG112" s="83"/>
      <c r="HGH112" s="83"/>
      <c r="HGI112" s="83"/>
      <c r="HGJ112" s="83"/>
      <c r="HGK112" s="83"/>
      <c r="HGL112" s="83"/>
      <c r="HGM112" s="83"/>
      <c r="HGN112" s="83"/>
      <c r="HGO112" s="83"/>
      <c r="HGP112" s="83"/>
      <c r="HGQ112" s="83"/>
      <c r="HGR112" s="83"/>
      <c r="HGS112" s="83"/>
      <c r="HGT112" s="82"/>
      <c r="HGU112" s="83"/>
      <c r="HGV112" s="83"/>
      <c r="HGW112" s="83"/>
      <c r="HGX112" s="83"/>
      <c r="HGY112" s="83"/>
      <c r="HGZ112" s="83"/>
      <c r="HHA112" s="83"/>
      <c r="HHB112" s="83"/>
      <c r="HHC112" s="83"/>
      <c r="HHD112" s="83"/>
      <c r="HHE112" s="83"/>
      <c r="HHF112" s="83"/>
      <c r="HHG112" s="83"/>
      <c r="HHH112" s="83"/>
      <c r="HHI112" s="83"/>
      <c r="HHJ112" s="83"/>
      <c r="HHK112" s="83"/>
      <c r="HHL112" s="83"/>
      <c r="HHM112" s="83"/>
      <c r="HHN112" s="83"/>
      <c r="HHO112" s="83"/>
      <c r="HHP112" s="82"/>
      <c r="HHQ112" s="83"/>
      <c r="HHR112" s="83"/>
      <c r="HHS112" s="83"/>
      <c r="HHT112" s="83"/>
      <c r="HHU112" s="83"/>
      <c r="HHV112" s="83"/>
      <c r="HHW112" s="83"/>
      <c r="HHX112" s="83"/>
      <c r="HHY112" s="83"/>
      <c r="HHZ112" s="83"/>
      <c r="HIA112" s="83"/>
      <c r="HIB112" s="83"/>
      <c r="HIC112" s="83"/>
      <c r="HID112" s="83"/>
      <c r="HIE112" s="83"/>
      <c r="HIF112" s="83"/>
      <c r="HIG112" s="83"/>
      <c r="HIH112" s="83"/>
      <c r="HII112" s="83"/>
      <c r="HIJ112" s="83"/>
      <c r="HIK112" s="83"/>
      <c r="HIL112" s="82"/>
      <c r="HIM112" s="83"/>
      <c r="HIN112" s="83"/>
      <c r="HIO112" s="83"/>
      <c r="HIP112" s="83"/>
      <c r="HIQ112" s="83"/>
      <c r="HIR112" s="83"/>
      <c r="HIS112" s="83"/>
      <c r="HIT112" s="83"/>
      <c r="HIU112" s="83"/>
      <c r="HIV112" s="83"/>
      <c r="HIW112" s="83"/>
      <c r="HIX112" s="83"/>
      <c r="HIY112" s="83"/>
      <c r="HIZ112" s="83"/>
      <c r="HJA112" s="83"/>
      <c r="HJB112" s="83"/>
      <c r="HJC112" s="83"/>
      <c r="HJD112" s="83"/>
      <c r="HJE112" s="83"/>
      <c r="HJF112" s="83"/>
      <c r="HJG112" s="83"/>
      <c r="HJH112" s="82"/>
      <c r="HJI112" s="83"/>
      <c r="HJJ112" s="83"/>
      <c r="HJK112" s="83"/>
      <c r="HJL112" s="83"/>
      <c r="HJM112" s="83"/>
      <c r="HJN112" s="83"/>
      <c r="HJO112" s="83"/>
      <c r="HJP112" s="83"/>
      <c r="HJQ112" s="83"/>
      <c r="HJR112" s="83"/>
      <c r="HJS112" s="83"/>
      <c r="HJT112" s="83"/>
      <c r="HJU112" s="83"/>
      <c r="HJV112" s="83"/>
      <c r="HJW112" s="83"/>
      <c r="HJX112" s="83"/>
      <c r="HJY112" s="83"/>
      <c r="HJZ112" s="83"/>
      <c r="HKA112" s="83"/>
      <c r="HKB112" s="83"/>
      <c r="HKC112" s="83"/>
      <c r="HKD112" s="82"/>
      <c r="HKE112" s="83"/>
      <c r="HKF112" s="83"/>
      <c r="HKG112" s="83"/>
      <c r="HKH112" s="83"/>
      <c r="HKI112" s="83"/>
      <c r="HKJ112" s="83"/>
      <c r="HKK112" s="83"/>
      <c r="HKL112" s="83"/>
      <c r="HKM112" s="83"/>
      <c r="HKN112" s="83"/>
      <c r="HKO112" s="83"/>
      <c r="HKP112" s="83"/>
      <c r="HKQ112" s="83"/>
      <c r="HKR112" s="83"/>
      <c r="HKS112" s="83"/>
      <c r="HKT112" s="83"/>
      <c r="HKU112" s="83"/>
      <c r="HKV112" s="83"/>
      <c r="HKW112" s="83"/>
      <c r="HKX112" s="83"/>
      <c r="HKY112" s="83"/>
      <c r="HKZ112" s="82"/>
      <c r="HLA112" s="83"/>
      <c r="HLB112" s="83"/>
      <c r="HLC112" s="83"/>
      <c r="HLD112" s="83"/>
      <c r="HLE112" s="83"/>
      <c r="HLF112" s="83"/>
      <c r="HLG112" s="83"/>
      <c r="HLH112" s="83"/>
      <c r="HLI112" s="83"/>
      <c r="HLJ112" s="83"/>
      <c r="HLK112" s="83"/>
      <c r="HLL112" s="83"/>
      <c r="HLM112" s="83"/>
      <c r="HLN112" s="83"/>
      <c r="HLO112" s="83"/>
      <c r="HLP112" s="83"/>
      <c r="HLQ112" s="83"/>
      <c r="HLR112" s="83"/>
      <c r="HLS112" s="83"/>
      <c r="HLT112" s="83"/>
      <c r="HLU112" s="83"/>
      <c r="HLV112" s="82"/>
      <c r="HLW112" s="83"/>
      <c r="HLX112" s="83"/>
      <c r="HLY112" s="83"/>
      <c r="HLZ112" s="83"/>
      <c r="HMA112" s="83"/>
      <c r="HMB112" s="83"/>
      <c r="HMC112" s="83"/>
      <c r="HMD112" s="83"/>
      <c r="HME112" s="83"/>
      <c r="HMF112" s="83"/>
      <c r="HMG112" s="83"/>
      <c r="HMH112" s="83"/>
      <c r="HMI112" s="83"/>
      <c r="HMJ112" s="83"/>
      <c r="HMK112" s="83"/>
      <c r="HML112" s="83"/>
      <c r="HMM112" s="83"/>
      <c r="HMN112" s="83"/>
      <c r="HMO112" s="83"/>
      <c r="HMP112" s="83"/>
      <c r="HMQ112" s="83"/>
      <c r="HMR112" s="82"/>
      <c r="HMS112" s="83"/>
      <c r="HMT112" s="83"/>
      <c r="HMU112" s="83"/>
      <c r="HMV112" s="83"/>
      <c r="HMW112" s="83"/>
      <c r="HMX112" s="83"/>
      <c r="HMY112" s="83"/>
      <c r="HMZ112" s="83"/>
      <c r="HNA112" s="83"/>
      <c r="HNB112" s="83"/>
      <c r="HNC112" s="83"/>
      <c r="HND112" s="83"/>
      <c r="HNE112" s="83"/>
      <c r="HNF112" s="83"/>
      <c r="HNG112" s="83"/>
      <c r="HNH112" s="83"/>
      <c r="HNI112" s="83"/>
      <c r="HNJ112" s="83"/>
      <c r="HNK112" s="83"/>
      <c r="HNL112" s="83"/>
      <c r="HNM112" s="83"/>
      <c r="HNN112" s="82"/>
      <c r="HNO112" s="83"/>
      <c r="HNP112" s="83"/>
      <c r="HNQ112" s="83"/>
      <c r="HNR112" s="83"/>
      <c r="HNS112" s="83"/>
      <c r="HNT112" s="83"/>
      <c r="HNU112" s="83"/>
      <c r="HNV112" s="83"/>
      <c r="HNW112" s="83"/>
      <c r="HNX112" s="83"/>
      <c r="HNY112" s="83"/>
      <c r="HNZ112" s="83"/>
      <c r="HOA112" s="83"/>
      <c r="HOB112" s="83"/>
      <c r="HOC112" s="83"/>
      <c r="HOD112" s="83"/>
      <c r="HOE112" s="83"/>
      <c r="HOF112" s="83"/>
      <c r="HOG112" s="83"/>
      <c r="HOH112" s="83"/>
      <c r="HOI112" s="83"/>
      <c r="HOJ112" s="82"/>
      <c r="HOK112" s="83"/>
      <c r="HOL112" s="83"/>
      <c r="HOM112" s="83"/>
      <c r="HON112" s="83"/>
      <c r="HOO112" s="83"/>
      <c r="HOP112" s="83"/>
      <c r="HOQ112" s="83"/>
      <c r="HOR112" s="83"/>
      <c r="HOS112" s="83"/>
      <c r="HOT112" s="83"/>
      <c r="HOU112" s="83"/>
      <c r="HOV112" s="83"/>
      <c r="HOW112" s="83"/>
      <c r="HOX112" s="83"/>
      <c r="HOY112" s="83"/>
      <c r="HOZ112" s="83"/>
      <c r="HPA112" s="83"/>
      <c r="HPB112" s="83"/>
      <c r="HPC112" s="83"/>
      <c r="HPD112" s="83"/>
      <c r="HPE112" s="83"/>
      <c r="HPF112" s="82"/>
      <c r="HPG112" s="83"/>
      <c r="HPH112" s="83"/>
      <c r="HPI112" s="83"/>
      <c r="HPJ112" s="83"/>
      <c r="HPK112" s="83"/>
      <c r="HPL112" s="83"/>
      <c r="HPM112" s="83"/>
      <c r="HPN112" s="83"/>
      <c r="HPO112" s="83"/>
      <c r="HPP112" s="83"/>
      <c r="HPQ112" s="83"/>
      <c r="HPR112" s="83"/>
      <c r="HPS112" s="83"/>
      <c r="HPT112" s="83"/>
      <c r="HPU112" s="83"/>
      <c r="HPV112" s="83"/>
      <c r="HPW112" s="83"/>
      <c r="HPX112" s="83"/>
      <c r="HPY112" s="83"/>
      <c r="HPZ112" s="83"/>
      <c r="HQA112" s="83"/>
      <c r="HQB112" s="82"/>
      <c r="HQC112" s="83"/>
      <c r="HQD112" s="83"/>
      <c r="HQE112" s="83"/>
      <c r="HQF112" s="83"/>
      <c r="HQG112" s="83"/>
      <c r="HQH112" s="83"/>
      <c r="HQI112" s="83"/>
      <c r="HQJ112" s="83"/>
      <c r="HQK112" s="83"/>
      <c r="HQL112" s="83"/>
      <c r="HQM112" s="83"/>
      <c r="HQN112" s="83"/>
      <c r="HQO112" s="83"/>
      <c r="HQP112" s="83"/>
      <c r="HQQ112" s="83"/>
      <c r="HQR112" s="83"/>
      <c r="HQS112" s="83"/>
      <c r="HQT112" s="83"/>
      <c r="HQU112" s="83"/>
      <c r="HQV112" s="83"/>
      <c r="HQW112" s="83"/>
      <c r="HQX112" s="82"/>
      <c r="HQY112" s="83"/>
      <c r="HQZ112" s="83"/>
      <c r="HRA112" s="83"/>
      <c r="HRB112" s="83"/>
      <c r="HRC112" s="83"/>
      <c r="HRD112" s="83"/>
      <c r="HRE112" s="83"/>
      <c r="HRF112" s="83"/>
      <c r="HRG112" s="83"/>
      <c r="HRH112" s="83"/>
      <c r="HRI112" s="83"/>
      <c r="HRJ112" s="83"/>
      <c r="HRK112" s="83"/>
      <c r="HRL112" s="83"/>
      <c r="HRM112" s="83"/>
      <c r="HRN112" s="83"/>
      <c r="HRO112" s="83"/>
      <c r="HRP112" s="83"/>
      <c r="HRQ112" s="83"/>
      <c r="HRR112" s="83"/>
      <c r="HRS112" s="83"/>
      <c r="HRT112" s="82"/>
      <c r="HRU112" s="83"/>
      <c r="HRV112" s="83"/>
      <c r="HRW112" s="83"/>
      <c r="HRX112" s="83"/>
      <c r="HRY112" s="83"/>
      <c r="HRZ112" s="83"/>
      <c r="HSA112" s="83"/>
      <c r="HSB112" s="83"/>
      <c r="HSC112" s="83"/>
      <c r="HSD112" s="83"/>
      <c r="HSE112" s="83"/>
      <c r="HSF112" s="83"/>
      <c r="HSG112" s="83"/>
      <c r="HSH112" s="83"/>
      <c r="HSI112" s="83"/>
      <c r="HSJ112" s="83"/>
      <c r="HSK112" s="83"/>
      <c r="HSL112" s="83"/>
      <c r="HSM112" s="83"/>
      <c r="HSN112" s="83"/>
      <c r="HSO112" s="83"/>
      <c r="HSP112" s="82"/>
      <c r="HSQ112" s="83"/>
      <c r="HSR112" s="83"/>
      <c r="HSS112" s="83"/>
      <c r="HST112" s="83"/>
      <c r="HSU112" s="83"/>
      <c r="HSV112" s="83"/>
      <c r="HSW112" s="83"/>
      <c r="HSX112" s="83"/>
      <c r="HSY112" s="83"/>
      <c r="HSZ112" s="83"/>
      <c r="HTA112" s="83"/>
      <c r="HTB112" s="83"/>
      <c r="HTC112" s="83"/>
      <c r="HTD112" s="83"/>
      <c r="HTE112" s="83"/>
      <c r="HTF112" s="83"/>
      <c r="HTG112" s="83"/>
      <c r="HTH112" s="83"/>
      <c r="HTI112" s="83"/>
      <c r="HTJ112" s="83"/>
      <c r="HTK112" s="83"/>
      <c r="HTL112" s="82"/>
      <c r="HTM112" s="83"/>
      <c r="HTN112" s="83"/>
      <c r="HTO112" s="83"/>
      <c r="HTP112" s="83"/>
      <c r="HTQ112" s="83"/>
      <c r="HTR112" s="83"/>
      <c r="HTS112" s="83"/>
      <c r="HTT112" s="83"/>
      <c r="HTU112" s="83"/>
      <c r="HTV112" s="83"/>
      <c r="HTW112" s="83"/>
      <c r="HTX112" s="83"/>
      <c r="HTY112" s="83"/>
      <c r="HTZ112" s="83"/>
      <c r="HUA112" s="83"/>
      <c r="HUB112" s="83"/>
      <c r="HUC112" s="83"/>
      <c r="HUD112" s="83"/>
      <c r="HUE112" s="83"/>
      <c r="HUF112" s="83"/>
      <c r="HUG112" s="83"/>
      <c r="HUH112" s="82"/>
      <c r="HUI112" s="83"/>
      <c r="HUJ112" s="83"/>
      <c r="HUK112" s="83"/>
      <c r="HUL112" s="83"/>
      <c r="HUM112" s="83"/>
      <c r="HUN112" s="83"/>
      <c r="HUO112" s="83"/>
      <c r="HUP112" s="83"/>
      <c r="HUQ112" s="83"/>
      <c r="HUR112" s="83"/>
      <c r="HUS112" s="83"/>
      <c r="HUT112" s="83"/>
      <c r="HUU112" s="83"/>
      <c r="HUV112" s="83"/>
      <c r="HUW112" s="83"/>
      <c r="HUX112" s="83"/>
      <c r="HUY112" s="83"/>
      <c r="HUZ112" s="83"/>
      <c r="HVA112" s="83"/>
      <c r="HVB112" s="83"/>
      <c r="HVC112" s="83"/>
      <c r="HVD112" s="82"/>
      <c r="HVE112" s="83"/>
      <c r="HVF112" s="83"/>
      <c r="HVG112" s="83"/>
      <c r="HVH112" s="83"/>
      <c r="HVI112" s="83"/>
      <c r="HVJ112" s="83"/>
      <c r="HVK112" s="83"/>
      <c r="HVL112" s="83"/>
      <c r="HVM112" s="83"/>
      <c r="HVN112" s="83"/>
      <c r="HVO112" s="83"/>
      <c r="HVP112" s="83"/>
      <c r="HVQ112" s="83"/>
      <c r="HVR112" s="83"/>
      <c r="HVS112" s="83"/>
      <c r="HVT112" s="83"/>
      <c r="HVU112" s="83"/>
      <c r="HVV112" s="83"/>
      <c r="HVW112" s="83"/>
      <c r="HVX112" s="83"/>
      <c r="HVY112" s="83"/>
      <c r="HVZ112" s="82"/>
      <c r="HWA112" s="83"/>
      <c r="HWB112" s="83"/>
      <c r="HWC112" s="83"/>
      <c r="HWD112" s="83"/>
      <c r="HWE112" s="83"/>
      <c r="HWF112" s="83"/>
      <c r="HWG112" s="83"/>
      <c r="HWH112" s="83"/>
      <c r="HWI112" s="83"/>
      <c r="HWJ112" s="83"/>
      <c r="HWK112" s="83"/>
      <c r="HWL112" s="83"/>
      <c r="HWM112" s="83"/>
      <c r="HWN112" s="83"/>
      <c r="HWO112" s="83"/>
      <c r="HWP112" s="83"/>
      <c r="HWQ112" s="83"/>
      <c r="HWR112" s="83"/>
      <c r="HWS112" s="83"/>
      <c r="HWT112" s="83"/>
      <c r="HWU112" s="83"/>
      <c r="HWV112" s="82"/>
      <c r="HWW112" s="83"/>
      <c r="HWX112" s="83"/>
      <c r="HWY112" s="83"/>
      <c r="HWZ112" s="83"/>
      <c r="HXA112" s="83"/>
      <c r="HXB112" s="83"/>
      <c r="HXC112" s="83"/>
      <c r="HXD112" s="83"/>
      <c r="HXE112" s="83"/>
      <c r="HXF112" s="83"/>
      <c r="HXG112" s="83"/>
      <c r="HXH112" s="83"/>
      <c r="HXI112" s="83"/>
      <c r="HXJ112" s="83"/>
      <c r="HXK112" s="83"/>
      <c r="HXL112" s="83"/>
      <c r="HXM112" s="83"/>
      <c r="HXN112" s="83"/>
      <c r="HXO112" s="83"/>
      <c r="HXP112" s="83"/>
      <c r="HXQ112" s="83"/>
      <c r="HXR112" s="82"/>
      <c r="HXS112" s="83"/>
      <c r="HXT112" s="83"/>
      <c r="HXU112" s="83"/>
      <c r="HXV112" s="83"/>
      <c r="HXW112" s="83"/>
      <c r="HXX112" s="83"/>
      <c r="HXY112" s="83"/>
      <c r="HXZ112" s="83"/>
      <c r="HYA112" s="83"/>
      <c r="HYB112" s="83"/>
      <c r="HYC112" s="83"/>
      <c r="HYD112" s="83"/>
      <c r="HYE112" s="83"/>
      <c r="HYF112" s="83"/>
      <c r="HYG112" s="83"/>
      <c r="HYH112" s="83"/>
      <c r="HYI112" s="83"/>
      <c r="HYJ112" s="83"/>
      <c r="HYK112" s="83"/>
      <c r="HYL112" s="83"/>
      <c r="HYM112" s="83"/>
      <c r="HYN112" s="82"/>
      <c r="HYO112" s="83"/>
      <c r="HYP112" s="83"/>
      <c r="HYQ112" s="83"/>
      <c r="HYR112" s="83"/>
      <c r="HYS112" s="83"/>
      <c r="HYT112" s="83"/>
      <c r="HYU112" s="83"/>
      <c r="HYV112" s="83"/>
      <c r="HYW112" s="83"/>
      <c r="HYX112" s="83"/>
      <c r="HYY112" s="83"/>
      <c r="HYZ112" s="83"/>
      <c r="HZA112" s="83"/>
      <c r="HZB112" s="83"/>
      <c r="HZC112" s="83"/>
      <c r="HZD112" s="83"/>
      <c r="HZE112" s="83"/>
      <c r="HZF112" s="83"/>
      <c r="HZG112" s="83"/>
      <c r="HZH112" s="83"/>
      <c r="HZI112" s="83"/>
      <c r="HZJ112" s="82"/>
      <c r="HZK112" s="83"/>
      <c r="HZL112" s="83"/>
      <c r="HZM112" s="83"/>
      <c r="HZN112" s="83"/>
      <c r="HZO112" s="83"/>
      <c r="HZP112" s="83"/>
      <c r="HZQ112" s="83"/>
      <c r="HZR112" s="83"/>
      <c r="HZS112" s="83"/>
      <c r="HZT112" s="83"/>
      <c r="HZU112" s="83"/>
      <c r="HZV112" s="83"/>
      <c r="HZW112" s="83"/>
      <c r="HZX112" s="83"/>
      <c r="HZY112" s="83"/>
      <c r="HZZ112" s="83"/>
      <c r="IAA112" s="83"/>
      <c r="IAB112" s="83"/>
      <c r="IAC112" s="83"/>
      <c r="IAD112" s="83"/>
      <c r="IAE112" s="83"/>
      <c r="IAF112" s="82"/>
      <c r="IAG112" s="83"/>
      <c r="IAH112" s="83"/>
      <c r="IAI112" s="83"/>
      <c r="IAJ112" s="83"/>
      <c r="IAK112" s="83"/>
      <c r="IAL112" s="83"/>
      <c r="IAM112" s="83"/>
      <c r="IAN112" s="83"/>
      <c r="IAO112" s="83"/>
      <c r="IAP112" s="83"/>
      <c r="IAQ112" s="83"/>
      <c r="IAR112" s="83"/>
      <c r="IAS112" s="83"/>
      <c r="IAT112" s="83"/>
      <c r="IAU112" s="83"/>
      <c r="IAV112" s="83"/>
      <c r="IAW112" s="83"/>
      <c r="IAX112" s="83"/>
      <c r="IAY112" s="83"/>
      <c r="IAZ112" s="83"/>
      <c r="IBA112" s="83"/>
      <c r="IBB112" s="82"/>
      <c r="IBC112" s="83"/>
      <c r="IBD112" s="83"/>
      <c r="IBE112" s="83"/>
      <c r="IBF112" s="83"/>
      <c r="IBG112" s="83"/>
      <c r="IBH112" s="83"/>
      <c r="IBI112" s="83"/>
      <c r="IBJ112" s="83"/>
      <c r="IBK112" s="83"/>
      <c r="IBL112" s="83"/>
      <c r="IBM112" s="83"/>
      <c r="IBN112" s="83"/>
      <c r="IBO112" s="83"/>
      <c r="IBP112" s="83"/>
      <c r="IBQ112" s="83"/>
      <c r="IBR112" s="83"/>
      <c r="IBS112" s="83"/>
      <c r="IBT112" s="83"/>
      <c r="IBU112" s="83"/>
      <c r="IBV112" s="83"/>
      <c r="IBW112" s="83"/>
      <c r="IBX112" s="82"/>
      <c r="IBY112" s="83"/>
      <c r="IBZ112" s="83"/>
      <c r="ICA112" s="83"/>
      <c r="ICB112" s="83"/>
      <c r="ICC112" s="83"/>
      <c r="ICD112" s="83"/>
      <c r="ICE112" s="83"/>
      <c r="ICF112" s="83"/>
      <c r="ICG112" s="83"/>
      <c r="ICH112" s="83"/>
      <c r="ICI112" s="83"/>
      <c r="ICJ112" s="83"/>
      <c r="ICK112" s="83"/>
      <c r="ICL112" s="83"/>
      <c r="ICM112" s="83"/>
      <c r="ICN112" s="83"/>
      <c r="ICO112" s="83"/>
      <c r="ICP112" s="83"/>
      <c r="ICQ112" s="83"/>
      <c r="ICR112" s="83"/>
      <c r="ICS112" s="83"/>
      <c r="ICT112" s="82"/>
      <c r="ICU112" s="83"/>
      <c r="ICV112" s="83"/>
      <c r="ICW112" s="83"/>
      <c r="ICX112" s="83"/>
      <c r="ICY112" s="83"/>
      <c r="ICZ112" s="83"/>
      <c r="IDA112" s="83"/>
      <c r="IDB112" s="83"/>
      <c r="IDC112" s="83"/>
      <c r="IDD112" s="83"/>
      <c r="IDE112" s="83"/>
      <c r="IDF112" s="83"/>
      <c r="IDG112" s="83"/>
      <c r="IDH112" s="83"/>
      <c r="IDI112" s="83"/>
      <c r="IDJ112" s="83"/>
      <c r="IDK112" s="83"/>
      <c r="IDL112" s="83"/>
      <c r="IDM112" s="83"/>
      <c r="IDN112" s="83"/>
      <c r="IDO112" s="83"/>
      <c r="IDP112" s="82"/>
      <c r="IDQ112" s="83"/>
      <c r="IDR112" s="83"/>
      <c r="IDS112" s="83"/>
      <c r="IDT112" s="83"/>
      <c r="IDU112" s="83"/>
      <c r="IDV112" s="83"/>
      <c r="IDW112" s="83"/>
      <c r="IDX112" s="83"/>
      <c r="IDY112" s="83"/>
      <c r="IDZ112" s="83"/>
      <c r="IEA112" s="83"/>
      <c r="IEB112" s="83"/>
      <c r="IEC112" s="83"/>
      <c r="IED112" s="83"/>
      <c r="IEE112" s="83"/>
      <c r="IEF112" s="83"/>
      <c r="IEG112" s="83"/>
      <c r="IEH112" s="83"/>
      <c r="IEI112" s="83"/>
      <c r="IEJ112" s="83"/>
      <c r="IEK112" s="83"/>
      <c r="IEL112" s="82"/>
      <c r="IEM112" s="83"/>
      <c r="IEN112" s="83"/>
      <c r="IEO112" s="83"/>
      <c r="IEP112" s="83"/>
      <c r="IEQ112" s="83"/>
      <c r="IER112" s="83"/>
      <c r="IES112" s="83"/>
      <c r="IET112" s="83"/>
      <c r="IEU112" s="83"/>
      <c r="IEV112" s="83"/>
      <c r="IEW112" s="83"/>
      <c r="IEX112" s="83"/>
      <c r="IEY112" s="83"/>
      <c r="IEZ112" s="83"/>
      <c r="IFA112" s="83"/>
      <c r="IFB112" s="83"/>
      <c r="IFC112" s="83"/>
      <c r="IFD112" s="83"/>
      <c r="IFE112" s="83"/>
      <c r="IFF112" s="83"/>
      <c r="IFG112" s="83"/>
      <c r="IFH112" s="82"/>
      <c r="IFI112" s="83"/>
      <c r="IFJ112" s="83"/>
      <c r="IFK112" s="83"/>
      <c r="IFL112" s="83"/>
      <c r="IFM112" s="83"/>
      <c r="IFN112" s="83"/>
      <c r="IFO112" s="83"/>
      <c r="IFP112" s="83"/>
      <c r="IFQ112" s="83"/>
      <c r="IFR112" s="83"/>
      <c r="IFS112" s="83"/>
      <c r="IFT112" s="83"/>
      <c r="IFU112" s="83"/>
      <c r="IFV112" s="83"/>
      <c r="IFW112" s="83"/>
      <c r="IFX112" s="83"/>
      <c r="IFY112" s="83"/>
      <c r="IFZ112" s="83"/>
      <c r="IGA112" s="83"/>
      <c r="IGB112" s="83"/>
      <c r="IGC112" s="83"/>
      <c r="IGD112" s="82"/>
      <c r="IGE112" s="83"/>
      <c r="IGF112" s="83"/>
      <c r="IGG112" s="83"/>
      <c r="IGH112" s="83"/>
      <c r="IGI112" s="83"/>
      <c r="IGJ112" s="83"/>
      <c r="IGK112" s="83"/>
      <c r="IGL112" s="83"/>
      <c r="IGM112" s="83"/>
      <c r="IGN112" s="83"/>
      <c r="IGO112" s="83"/>
      <c r="IGP112" s="83"/>
      <c r="IGQ112" s="83"/>
      <c r="IGR112" s="83"/>
      <c r="IGS112" s="83"/>
      <c r="IGT112" s="83"/>
      <c r="IGU112" s="83"/>
      <c r="IGV112" s="83"/>
      <c r="IGW112" s="83"/>
      <c r="IGX112" s="83"/>
      <c r="IGY112" s="83"/>
      <c r="IGZ112" s="82"/>
      <c r="IHA112" s="83"/>
      <c r="IHB112" s="83"/>
      <c r="IHC112" s="83"/>
      <c r="IHD112" s="83"/>
      <c r="IHE112" s="83"/>
      <c r="IHF112" s="83"/>
      <c r="IHG112" s="83"/>
      <c r="IHH112" s="83"/>
      <c r="IHI112" s="83"/>
      <c r="IHJ112" s="83"/>
      <c r="IHK112" s="83"/>
      <c r="IHL112" s="83"/>
      <c r="IHM112" s="83"/>
      <c r="IHN112" s="83"/>
      <c r="IHO112" s="83"/>
      <c r="IHP112" s="83"/>
      <c r="IHQ112" s="83"/>
      <c r="IHR112" s="83"/>
      <c r="IHS112" s="83"/>
      <c r="IHT112" s="83"/>
      <c r="IHU112" s="83"/>
      <c r="IHV112" s="82"/>
      <c r="IHW112" s="83"/>
      <c r="IHX112" s="83"/>
      <c r="IHY112" s="83"/>
      <c r="IHZ112" s="83"/>
      <c r="IIA112" s="83"/>
      <c r="IIB112" s="83"/>
      <c r="IIC112" s="83"/>
      <c r="IID112" s="83"/>
      <c r="IIE112" s="83"/>
      <c r="IIF112" s="83"/>
      <c r="IIG112" s="83"/>
      <c r="IIH112" s="83"/>
      <c r="III112" s="83"/>
      <c r="IIJ112" s="83"/>
      <c r="IIK112" s="83"/>
      <c r="IIL112" s="83"/>
      <c r="IIM112" s="83"/>
      <c r="IIN112" s="83"/>
      <c r="IIO112" s="83"/>
      <c r="IIP112" s="83"/>
      <c r="IIQ112" s="83"/>
      <c r="IIR112" s="82"/>
      <c r="IIS112" s="83"/>
      <c r="IIT112" s="83"/>
      <c r="IIU112" s="83"/>
      <c r="IIV112" s="83"/>
      <c r="IIW112" s="83"/>
      <c r="IIX112" s="83"/>
      <c r="IIY112" s="83"/>
      <c r="IIZ112" s="83"/>
      <c r="IJA112" s="83"/>
      <c r="IJB112" s="83"/>
      <c r="IJC112" s="83"/>
      <c r="IJD112" s="83"/>
      <c r="IJE112" s="83"/>
      <c r="IJF112" s="83"/>
      <c r="IJG112" s="83"/>
      <c r="IJH112" s="83"/>
      <c r="IJI112" s="83"/>
      <c r="IJJ112" s="83"/>
      <c r="IJK112" s="83"/>
      <c r="IJL112" s="83"/>
      <c r="IJM112" s="83"/>
      <c r="IJN112" s="82"/>
      <c r="IJO112" s="83"/>
      <c r="IJP112" s="83"/>
      <c r="IJQ112" s="83"/>
      <c r="IJR112" s="83"/>
      <c r="IJS112" s="83"/>
      <c r="IJT112" s="83"/>
      <c r="IJU112" s="83"/>
      <c r="IJV112" s="83"/>
      <c r="IJW112" s="83"/>
      <c r="IJX112" s="83"/>
      <c r="IJY112" s="83"/>
      <c r="IJZ112" s="83"/>
      <c r="IKA112" s="83"/>
      <c r="IKB112" s="83"/>
      <c r="IKC112" s="83"/>
      <c r="IKD112" s="83"/>
      <c r="IKE112" s="83"/>
      <c r="IKF112" s="83"/>
      <c r="IKG112" s="83"/>
      <c r="IKH112" s="83"/>
      <c r="IKI112" s="83"/>
      <c r="IKJ112" s="82"/>
      <c r="IKK112" s="83"/>
      <c r="IKL112" s="83"/>
      <c r="IKM112" s="83"/>
      <c r="IKN112" s="83"/>
      <c r="IKO112" s="83"/>
      <c r="IKP112" s="83"/>
      <c r="IKQ112" s="83"/>
      <c r="IKR112" s="83"/>
      <c r="IKS112" s="83"/>
      <c r="IKT112" s="83"/>
      <c r="IKU112" s="83"/>
      <c r="IKV112" s="83"/>
      <c r="IKW112" s="83"/>
      <c r="IKX112" s="83"/>
      <c r="IKY112" s="83"/>
      <c r="IKZ112" s="83"/>
      <c r="ILA112" s="83"/>
      <c r="ILB112" s="83"/>
      <c r="ILC112" s="83"/>
      <c r="ILD112" s="83"/>
      <c r="ILE112" s="83"/>
      <c r="ILF112" s="82"/>
      <c r="ILG112" s="83"/>
      <c r="ILH112" s="83"/>
      <c r="ILI112" s="83"/>
      <c r="ILJ112" s="83"/>
      <c r="ILK112" s="83"/>
      <c r="ILL112" s="83"/>
      <c r="ILM112" s="83"/>
      <c r="ILN112" s="83"/>
      <c r="ILO112" s="83"/>
      <c r="ILP112" s="83"/>
      <c r="ILQ112" s="83"/>
      <c r="ILR112" s="83"/>
      <c r="ILS112" s="83"/>
      <c r="ILT112" s="83"/>
      <c r="ILU112" s="83"/>
      <c r="ILV112" s="83"/>
      <c r="ILW112" s="83"/>
      <c r="ILX112" s="83"/>
      <c r="ILY112" s="83"/>
      <c r="ILZ112" s="83"/>
      <c r="IMA112" s="83"/>
      <c r="IMB112" s="82"/>
      <c r="IMC112" s="83"/>
      <c r="IMD112" s="83"/>
      <c r="IME112" s="83"/>
      <c r="IMF112" s="83"/>
      <c r="IMG112" s="83"/>
      <c r="IMH112" s="83"/>
      <c r="IMI112" s="83"/>
      <c r="IMJ112" s="83"/>
      <c r="IMK112" s="83"/>
      <c r="IML112" s="83"/>
      <c r="IMM112" s="83"/>
      <c r="IMN112" s="83"/>
      <c r="IMO112" s="83"/>
      <c r="IMP112" s="83"/>
      <c r="IMQ112" s="83"/>
      <c r="IMR112" s="83"/>
      <c r="IMS112" s="83"/>
      <c r="IMT112" s="83"/>
      <c r="IMU112" s="83"/>
      <c r="IMV112" s="83"/>
      <c r="IMW112" s="83"/>
      <c r="IMX112" s="82"/>
      <c r="IMY112" s="83"/>
      <c r="IMZ112" s="83"/>
      <c r="INA112" s="83"/>
      <c r="INB112" s="83"/>
      <c r="INC112" s="83"/>
      <c r="IND112" s="83"/>
      <c r="INE112" s="83"/>
      <c r="INF112" s="83"/>
      <c r="ING112" s="83"/>
      <c r="INH112" s="83"/>
      <c r="INI112" s="83"/>
      <c r="INJ112" s="83"/>
      <c r="INK112" s="83"/>
      <c r="INL112" s="83"/>
      <c r="INM112" s="83"/>
      <c r="INN112" s="83"/>
      <c r="INO112" s="83"/>
      <c r="INP112" s="83"/>
      <c r="INQ112" s="83"/>
      <c r="INR112" s="83"/>
      <c r="INS112" s="83"/>
      <c r="INT112" s="82"/>
      <c r="INU112" s="83"/>
      <c r="INV112" s="83"/>
      <c r="INW112" s="83"/>
      <c r="INX112" s="83"/>
      <c r="INY112" s="83"/>
      <c r="INZ112" s="83"/>
      <c r="IOA112" s="83"/>
      <c r="IOB112" s="83"/>
      <c r="IOC112" s="83"/>
      <c r="IOD112" s="83"/>
      <c r="IOE112" s="83"/>
      <c r="IOF112" s="83"/>
      <c r="IOG112" s="83"/>
      <c r="IOH112" s="83"/>
      <c r="IOI112" s="83"/>
      <c r="IOJ112" s="83"/>
      <c r="IOK112" s="83"/>
      <c r="IOL112" s="83"/>
      <c r="IOM112" s="83"/>
      <c r="ION112" s="83"/>
      <c r="IOO112" s="83"/>
      <c r="IOP112" s="82"/>
      <c r="IOQ112" s="83"/>
      <c r="IOR112" s="83"/>
      <c r="IOS112" s="83"/>
      <c r="IOT112" s="83"/>
      <c r="IOU112" s="83"/>
      <c r="IOV112" s="83"/>
      <c r="IOW112" s="83"/>
      <c r="IOX112" s="83"/>
      <c r="IOY112" s="83"/>
      <c r="IOZ112" s="83"/>
      <c r="IPA112" s="83"/>
      <c r="IPB112" s="83"/>
      <c r="IPC112" s="83"/>
      <c r="IPD112" s="83"/>
      <c r="IPE112" s="83"/>
      <c r="IPF112" s="83"/>
      <c r="IPG112" s="83"/>
      <c r="IPH112" s="83"/>
      <c r="IPI112" s="83"/>
      <c r="IPJ112" s="83"/>
      <c r="IPK112" s="83"/>
      <c r="IPL112" s="82"/>
      <c r="IPM112" s="83"/>
      <c r="IPN112" s="83"/>
      <c r="IPO112" s="83"/>
      <c r="IPP112" s="83"/>
      <c r="IPQ112" s="83"/>
      <c r="IPR112" s="83"/>
      <c r="IPS112" s="83"/>
      <c r="IPT112" s="83"/>
      <c r="IPU112" s="83"/>
      <c r="IPV112" s="83"/>
      <c r="IPW112" s="83"/>
      <c r="IPX112" s="83"/>
      <c r="IPY112" s="83"/>
      <c r="IPZ112" s="83"/>
      <c r="IQA112" s="83"/>
      <c r="IQB112" s="83"/>
      <c r="IQC112" s="83"/>
      <c r="IQD112" s="83"/>
      <c r="IQE112" s="83"/>
      <c r="IQF112" s="83"/>
      <c r="IQG112" s="83"/>
      <c r="IQH112" s="82"/>
      <c r="IQI112" s="83"/>
      <c r="IQJ112" s="83"/>
      <c r="IQK112" s="83"/>
      <c r="IQL112" s="83"/>
      <c r="IQM112" s="83"/>
      <c r="IQN112" s="83"/>
      <c r="IQO112" s="83"/>
      <c r="IQP112" s="83"/>
      <c r="IQQ112" s="83"/>
      <c r="IQR112" s="83"/>
      <c r="IQS112" s="83"/>
      <c r="IQT112" s="83"/>
      <c r="IQU112" s="83"/>
      <c r="IQV112" s="83"/>
      <c r="IQW112" s="83"/>
      <c r="IQX112" s="83"/>
      <c r="IQY112" s="83"/>
      <c r="IQZ112" s="83"/>
      <c r="IRA112" s="83"/>
      <c r="IRB112" s="83"/>
      <c r="IRC112" s="83"/>
      <c r="IRD112" s="82"/>
      <c r="IRE112" s="83"/>
      <c r="IRF112" s="83"/>
      <c r="IRG112" s="83"/>
      <c r="IRH112" s="83"/>
      <c r="IRI112" s="83"/>
      <c r="IRJ112" s="83"/>
      <c r="IRK112" s="83"/>
      <c r="IRL112" s="83"/>
      <c r="IRM112" s="83"/>
      <c r="IRN112" s="83"/>
      <c r="IRO112" s="83"/>
      <c r="IRP112" s="83"/>
      <c r="IRQ112" s="83"/>
      <c r="IRR112" s="83"/>
      <c r="IRS112" s="83"/>
      <c r="IRT112" s="83"/>
      <c r="IRU112" s="83"/>
      <c r="IRV112" s="83"/>
      <c r="IRW112" s="83"/>
      <c r="IRX112" s="83"/>
      <c r="IRY112" s="83"/>
      <c r="IRZ112" s="82"/>
      <c r="ISA112" s="83"/>
      <c r="ISB112" s="83"/>
      <c r="ISC112" s="83"/>
      <c r="ISD112" s="83"/>
      <c r="ISE112" s="83"/>
      <c r="ISF112" s="83"/>
      <c r="ISG112" s="83"/>
      <c r="ISH112" s="83"/>
      <c r="ISI112" s="83"/>
      <c r="ISJ112" s="83"/>
      <c r="ISK112" s="83"/>
      <c r="ISL112" s="83"/>
      <c r="ISM112" s="83"/>
      <c r="ISN112" s="83"/>
      <c r="ISO112" s="83"/>
      <c r="ISP112" s="83"/>
      <c r="ISQ112" s="83"/>
      <c r="ISR112" s="83"/>
      <c r="ISS112" s="83"/>
      <c r="IST112" s="83"/>
      <c r="ISU112" s="83"/>
      <c r="ISV112" s="82"/>
      <c r="ISW112" s="83"/>
      <c r="ISX112" s="83"/>
      <c r="ISY112" s="83"/>
      <c r="ISZ112" s="83"/>
      <c r="ITA112" s="83"/>
      <c r="ITB112" s="83"/>
      <c r="ITC112" s="83"/>
      <c r="ITD112" s="83"/>
      <c r="ITE112" s="83"/>
      <c r="ITF112" s="83"/>
      <c r="ITG112" s="83"/>
      <c r="ITH112" s="83"/>
      <c r="ITI112" s="83"/>
      <c r="ITJ112" s="83"/>
      <c r="ITK112" s="83"/>
      <c r="ITL112" s="83"/>
      <c r="ITM112" s="83"/>
      <c r="ITN112" s="83"/>
      <c r="ITO112" s="83"/>
      <c r="ITP112" s="83"/>
      <c r="ITQ112" s="83"/>
      <c r="ITR112" s="82"/>
      <c r="ITS112" s="83"/>
      <c r="ITT112" s="83"/>
      <c r="ITU112" s="83"/>
      <c r="ITV112" s="83"/>
      <c r="ITW112" s="83"/>
      <c r="ITX112" s="83"/>
      <c r="ITY112" s="83"/>
      <c r="ITZ112" s="83"/>
      <c r="IUA112" s="83"/>
      <c r="IUB112" s="83"/>
      <c r="IUC112" s="83"/>
      <c r="IUD112" s="83"/>
      <c r="IUE112" s="83"/>
      <c r="IUF112" s="83"/>
      <c r="IUG112" s="83"/>
      <c r="IUH112" s="83"/>
      <c r="IUI112" s="83"/>
      <c r="IUJ112" s="83"/>
      <c r="IUK112" s="83"/>
      <c r="IUL112" s="83"/>
      <c r="IUM112" s="83"/>
      <c r="IUN112" s="82"/>
      <c r="IUO112" s="83"/>
      <c r="IUP112" s="83"/>
      <c r="IUQ112" s="83"/>
      <c r="IUR112" s="83"/>
      <c r="IUS112" s="83"/>
      <c r="IUT112" s="83"/>
      <c r="IUU112" s="83"/>
      <c r="IUV112" s="83"/>
      <c r="IUW112" s="83"/>
      <c r="IUX112" s="83"/>
      <c r="IUY112" s="83"/>
      <c r="IUZ112" s="83"/>
      <c r="IVA112" s="83"/>
      <c r="IVB112" s="83"/>
      <c r="IVC112" s="83"/>
      <c r="IVD112" s="83"/>
      <c r="IVE112" s="83"/>
      <c r="IVF112" s="83"/>
      <c r="IVG112" s="83"/>
      <c r="IVH112" s="83"/>
      <c r="IVI112" s="83"/>
      <c r="IVJ112" s="82"/>
      <c r="IVK112" s="83"/>
      <c r="IVL112" s="83"/>
      <c r="IVM112" s="83"/>
      <c r="IVN112" s="83"/>
      <c r="IVO112" s="83"/>
      <c r="IVP112" s="83"/>
      <c r="IVQ112" s="83"/>
      <c r="IVR112" s="83"/>
      <c r="IVS112" s="83"/>
      <c r="IVT112" s="83"/>
      <c r="IVU112" s="83"/>
      <c r="IVV112" s="83"/>
      <c r="IVW112" s="83"/>
      <c r="IVX112" s="83"/>
      <c r="IVY112" s="83"/>
      <c r="IVZ112" s="83"/>
      <c r="IWA112" s="83"/>
      <c r="IWB112" s="83"/>
      <c r="IWC112" s="83"/>
      <c r="IWD112" s="83"/>
      <c r="IWE112" s="83"/>
      <c r="IWF112" s="82"/>
      <c r="IWG112" s="83"/>
      <c r="IWH112" s="83"/>
      <c r="IWI112" s="83"/>
      <c r="IWJ112" s="83"/>
      <c r="IWK112" s="83"/>
      <c r="IWL112" s="83"/>
      <c r="IWM112" s="83"/>
      <c r="IWN112" s="83"/>
      <c r="IWO112" s="83"/>
      <c r="IWP112" s="83"/>
      <c r="IWQ112" s="83"/>
      <c r="IWR112" s="83"/>
      <c r="IWS112" s="83"/>
      <c r="IWT112" s="83"/>
      <c r="IWU112" s="83"/>
      <c r="IWV112" s="83"/>
      <c r="IWW112" s="83"/>
      <c r="IWX112" s="83"/>
      <c r="IWY112" s="83"/>
      <c r="IWZ112" s="83"/>
      <c r="IXA112" s="83"/>
      <c r="IXB112" s="82"/>
      <c r="IXC112" s="83"/>
      <c r="IXD112" s="83"/>
      <c r="IXE112" s="83"/>
      <c r="IXF112" s="83"/>
      <c r="IXG112" s="83"/>
      <c r="IXH112" s="83"/>
      <c r="IXI112" s="83"/>
      <c r="IXJ112" s="83"/>
      <c r="IXK112" s="83"/>
      <c r="IXL112" s="83"/>
      <c r="IXM112" s="83"/>
      <c r="IXN112" s="83"/>
      <c r="IXO112" s="83"/>
      <c r="IXP112" s="83"/>
      <c r="IXQ112" s="83"/>
      <c r="IXR112" s="83"/>
      <c r="IXS112" s="83"/>
      <c r="IXT112" s="83"/>
      <c r="IXU112" s="83"/>
      <c r="IXV112" s="83"/>
      <c r="IXW112" s="83"/>
      <c r="IXX112" s="82"/>
      <c r="IXY112" s="83"/>
      <c r="IXZ112" s="83"/>
      <c r="IYA112" s="83"/>
      <c r="IYB112" s="83"/>
      <c r="IYC112" s="83"/>
      <c r="IYD112" s="83"/>
      <c r="IYE112" s="83"/>
      <c r="IYF112" s="83"/>
      <c r="IYG112" s="83"/>
      <c r="IYH112" s="83"/>
      <c r="IYI112" s="83"/>
      <c r="IYJ112" s="83"/>
      <c r="IYK112" s="83"/>
      <c r="IYL112" s="83"/>
      <c r="IYM112" s="83"/>
      <c r="IYN112" s="83"/>
      <c r="IYO112" s="83"/>
      <c r="IYP112" s="83"/>
      <c r="IYQ112" s="83"/>
      <c r="IYR112" s="83"/>
      <c r="IYS112" s="83"/>
      <c r="IYT112" s="82"/>
      <c r="IYU112" s="83"/>
      <c r="IYV112" s="83"/>
      <c r="IYW112" s="83"/>
      <c r="IYX112" s="83"/>
      <c r="IYY112" s="83"/>
      <c r="IYZ112" s="83"/>
      <c r="IZA112" s="83"/>
      <c r="IZB112" s="83"/>
      <c r="IZC112" s="83"/>
      <c r="IZD112" s="83"/>
      <c r="IZE112" s="83"/>
      <c r="IZF112" s="83"/>
      <c r="IZG112" s="83"/>
      <c r="IZH112" s="83"/>
      <c r="IZI112" s="83"/>
      <c r="IZJ112" s="83"/>
      <c r="IZK112" s="83"/>
      <c r="IZL112" s="83"/>
      <c r="IZM112" s="83"/>
      <c r="IZN112" s="83"/>
      <c r="IZO112" s="83"/>
      <c r="IZP112" s="82"/>
      <c r="IZQ112" s="83"/>
      <c r="IZR112" s="83"/>
      <c r="IZS112" s="83"/>
      <c r="IZT112" s="83"/>
      <c r="IZU112" s="83"/>
      <c r="IZV112" s="83"/>
      <c r="IZW112" s="83"/>
      <c r="IZX112" s="83"/>
      <c r="IZY112" s="83"/>
      <c r="IZZ112" s="83"/>
      <c r="JAA112" s="83"/>
      <c r="JAB112" s="83"/>
      <c r="JAC112" s="83"/>
      <c r="JAD112" s="83"/>
      <c r="JAE112" s="83"/>
      <c r="JAF112" s="83"/>
      <c r="JAG112" s="83"/>
      <c r="JAH112" s="83"/>
      <c r="JAI112" s="83"/>
      <c r="JAJ112" s="83"/>
      <c r="JAK112" s="83"/>
      <c r="JAL112" s="82"/>
      <c r="JAM112" s="83"/>
      <c r="JAN112" s="83"/>
      <c r="JAO112" s="83"/>
      <c r="JAP112" s="83"/>
      <c r="JAQ112" s="83"/>
      <c r="JAR112" s="83"/>
      <c r="JAS112" s="83"/>
      <c r="JAT112" s="83"/>
      <c r="JAU112" s="83"/>
      <c r="JAV112" s="83"/>
      <c r="JAW112" s="83"/>
      <c r="JAX112" s="83"/>
      <c r="JAY112" s="83"/>
      <c r="JAZ112" s="83"/>
      <c r="JBA112" s="83"/>
      <c r="JBB112" s="83"/>
      <c r="JBC112" s="83"/>
      <c r="JBD112" s="83"/>
      <c r="JBE112" s="83"/>
      <c r="JBF112" s="83"/>
      <c r="JBG112" s="83"/>
      <c r="JBH112" s="82"/>
      <c r="JBI112" s="83"/>
      <c r="JBJ112" s="83"/>
      <c r="JBK112" s="83"/>
      <c r="JBL112" s="83"/>
      <c r="JBM112" s="83"/>
      <c r="JBN112" s="83"/>
      <c r="JBO112" s="83"/>
      <c r="JBP112" s="83"/>
      <c r="JBQ112" s="83"/>
      <c r="JBR112" s="83"/>
      <c r="JBS112" s="83"/>
      <c r="JBT112" s="83"/>
      <c r="JBU112" s="83"/>
      <c r="JBV112" s="83"/>
      <c r="JBW112" s="83"/>
      <c r="JBX112" s="83"/>
      <c r="JBY112" s="83"/>
      <c r="JBZ112" s="83"/>
      <c r="JCA112" s="83"/>
      <c r="JCB112" s="83"/>
      <c r="JCC112" s="83"/>
      <c r="JCD112" s="82"/>
      <c r="JCE112" s="83"/>
      <c r="JCF112" s="83"/>
      <c r="JCG112" s="83"/>
      <c r="JCH112" s="83"/>
      <c r="JCI112" s="83"/>
      <c r="JCJ112" s="83"/>
      <c r="JCK112" s="83"/>
      <c r="JCL112" s="83"/>
      <c r="JCM112" s="83"/>
      <c r="JCN112" s="83"/>
      <c r="JCO112" s="83"/>
      <c r="JCP112" s="83"/>
      <c r="JCQ112" s="83"/>
      <c r="JCR112" s="83"/>
      <c r="JCS112" s="83"/>
      <c r="JCT112" s="83"/>
      <c r="JCU112" s="83"/>
      <c r="JCV112" s="83"/>
      <c r="JCW112" s="83"/>
      <c r="JCX112" s="83"/>
      <c r="JCY112" s="83"/>
      <c r="JCZ112" s="82"/>
      <c r="JDA112" s="83"/>
      <c r="JDB112" s="83"/>
      <c r="JDC112" s="83"/>
      <c r="JDD112" s="83"/>
      <c r="JDE112" s="83"/>
      <c r="JDF112" s="83"/>
      <c r="JDG112" s="83"/>
      <c r="JDH112" s="83"/>
      <c r="JDI112" s="83"/>
      <c r="JDJ112" s="83"/>
      <c r="JDK112" s="83"/>
      <c r="JDL112" s="83"/>
      <c r="JDM112" s="83"/>
      <c r="JDN112" s="83"/>
      <c r="JDO112" s="83"/>
      <c r="JDP112" s="83"/>
      <c r="JDQ112" s="83"/>
      <c r="JDR112" s="83"/>
      <c r="JDS112" s="83"/>
      <c r="JDT112" s="83"/>
      <c r="JDU112" s="83"/>
      <c r="JDV112" s="82"/>
      <c r="JDW112" s="83"/>
      <c r="JDX112" s="83"/>
      <c r="JDY112" s="83"/>
      <c r="JDZ112" s="83"/>
      <c r="JEA112" s="83"/>
      <c r="JEB112" s="83"/>
      <c r="JEC112" s="83"/>
      <c r="JED112" s="83"/>
      <c r="JEE112" s="83"/>
      <c r="JEF112" s="83"/>
      <c r="JEG112" s="83"/>
      <c r="JEH112" s="83"/>
      <c r="JEI112" s="83"/>
      <c r="JEJ112" s="83"/>
      <c r="JEK112" s="83"/>
      <c r="JEL112" s="83"/>
      <c r="JEM112" s="83"/>
      <c r="JEN112" s="83"/>
      <c r="JEO112" s="83"/>
      <c r="JEP112" s="83"/>
      <c r="JEQ112" s="83"/>
      <c r="JER112" s="82"/>
      <c r="JES112" s="83"/>
      <c r="JET112" s="83"/>
      <c r="JEU112" s="83"/>
      <c r="JEV112" s="83"/>
      <c r="JEW112" s="83"/>
      <c r="JEX112" s="83"/>
      <c r="JEY112" s="83"/>
      <c r="JEZ112" s="83"/>
      <c r="JFA112" s="83"/>
      <c r="JFB112" s="83"/>
      <c r="JFC112" s="83"/>
      <c r="JFD112" s="83"/>
      <c r="JFE112" s="83"/>
      <c r="JFF112" s="83"/>
      <c r="JFG112" s="83"/>
      <c r="JFH112" s="83"/>
      <c r="JFI112" s="83"/>
      <c r="JFJ112" s="83"/>
      <c r="JFK112" s="83"/>
      <c r="JFL112" s="83"/>
      <c r="JFM112" s="83"/>
      <c r="JFN112" s="82"/>
      <c r="JFO112" s="83"/>
      <c r="JFP112" s="83"/>
      <c r="JFQ112" s="83"/>
      <c r="JFR112" s="83"/>
      <c r="JFS112" s="83"/>
      <c r="JFT112" s="83"/>
      <c r="JFU112" s="83"/>
      <c r="JFV112" s="83"/>
      <c r="JFW112" s="83"/>
      <c r="JFX112" s="83"/>
      <c r="JFY112" s="83"/>
      <c r="JFZ112" s="83"/>
      <c r="JGA112" s="83"/>
      <c r="JGB112" s="83"/>
      <c r="JGC112" s="83"/>
      <c r="JGD112" s="83"/>
      <c r="JGE112" s="83"/>
      <c r="JGF112" s="83"/>
      <c r="JGG112" s="83"/>
      <c r="JGH112" s="83"/>
      <c r="JGI112" s="83"/>
      <c r="JGJ112" s="82"/>
      <c r="JGK112" s="83"/>
      <c r="JGL112" s="83"/>
      <c r="JGM112" s="83"/>
      <c r="JGN112" s="83"/>
      <c r="JGO112" s="83"/>
      <c r="JGP112" s="83"/>
      <c r="JGQ112" s="83"/>
      <c r="JGR112" s="83"/>
      <c r="JGS112" s="83"/>
      <c r="JGT112" s="83"/>
      <c r="JGU112" s="83"/>
      <c r="JGV112" s="83"/>
      <c r="JGW112" s="83"/>
      <c r="JGX112" s="83"/>
      <c r="JGY112" s="83"/>
      <c r="JGZ112" s="83"/>
      <c r="JHA112" s="83"/>
      <c r="JHB112" s="83"/>
      <c r="JHC112" s="83"/>
      <c r="JHD112" s="83"/>
      <c r="JHE112" s="83"/>
      <c r="JHF112" s="82"/>
      <c r="JHG112" s="83"/>
      <c r="JHH112" s="83"/>
      <c r="JHI112" s="83"/>
      <c r="JHJ112" s="83"/>
      <c r="JHK112" s="83"/>
      <c r="JHL112" s="83"/>
      <c r="JHM112" s="83"/>
      <c r="JHN112" s="83"/>
      <c r="JHO112" s="83"/>
      <c r="JHP112" s="83"/>
      <c r="JHQ112" s="83"/>
      <c r="JHR112" s="83"/>
      <c r="JHS112" s="83"/>
      <c r="JHT112" s="83"/>
      <c r="JHU112" s="83"/>
      <c r="JHV112" s="83"/>
      <c r="JHW112" s="83"/>
      <c r="JHX112" s="83"/>
      <c r="JHY112" s="83"/>
      <c r="JHZ112" s="83"/>
      <c r="JIA112" s="83"/>
      <c r="JIB112" s="82"/>
      <c r="JIC112" s="83"/>
      <c r="JID112" s="83"/>
      <c r="JIE112" s="83"/>
      <c r="JIF112" s="83"/>
      <c r="JIG112" s="83"/>
      <c r="JIH112" s="83"/>
      <c r="JII112" s="83"/>
      <c r="JIJ112" s="83"/>
      <c r="JIK112" s="83"/>
      <c r="JIL112" s="83"/>
      <c r="JIM112" s="83"/>
      <c r="JIN112" s="83"/>
      <c r="JIO112" s="83"/>
      <c r="JIP112" s="83"/>
      <c r="JIQ112" s="83"/>
      <c r="JIR112" s="83"/>
      <c r="JIS112" s="83"/>
      <c r="JIT112" s="83"/>
      <c r="JIU112" s="83"/>
      <c r="JIV112" s="83"/>
      <c r="JIW112" s="83"/>
      <c r="JIX112" s="82"/>
      <c r="JIY112" s="83"/>
      <c r="JIZ112" s="83"/>
      <c r="JJA112" s="83"/>
      <c r="JJB112" s="83"/>
      <c r="JJC112" s="83"/>
      <c r="JJD112" s="83"/>
      <c r="JJE112" s="83"/>
      <c r="JJF112" s="83"/>
      <c r="JJG112" s="83"/>
      <c r="JJH112" s="83"/>
      <c r="JJI112" s="83"/>
      <c r="JJJ112" s="83"/>
      <c r="JJK112" s="83"/>
      <c r="JJL112" s="83"/>
      <c r="JJM112" s="83"/>
      <c r="JJN112" s="83"/>
      <c r="JJO112" s="83"/>
      <c r="JJP112" s="83"/>
      <c r="JJQ112" s="83"/>
      <c r="JJR112" s="83"/>
      <c r="JJS112" s="83"/>
      <c r="JJT112" s="82"/>
      <c r="JJU112" s="83"/>
      <c r="JJV112" s="83"/>
      <c r="JJW112" s="83"/>
      <c r="JJX112" s="83"/>
      <c r="JJY112" s="83"/>
      <c r="JJZ112" s="83"/>
      <c r="JKA112" s="83"/>
      <c r="JKB112" s="83"/>
      <c r="JKC112" s="83"/>
      <c r="JKD112" s="83"/>
      <c r="JKE112" s="83"/>
      <c r="JKF112" s="83"/>
      <c r="JKG112" s="83"/>
      <c r="JKH112" s="83"/>
      <c r="JKI112" s="83"/>
      <c r="JKJ112" s="83"/>
      <c r="JKK112" s="83"/>
      <c r="JKL112" s="83"/>
      <c r="JKM112" s="83"/>
      <c r="JKN112" s="83"/>
      <c r="JKO112" s="83"/>
      <c r="JKP112" s="82"/>
      <c r="JKQ112" s="83"/>
      <c r="JKR112" s="83"/>
      <c r="JKS112" s="83"/>
      <c r="JKT112" s="83"/>
      <c r="JKU112" s="83"/>
      <c r="JKV112" s="83"/>
      <c r="JKW112" s="83"/>
      <c r="JKX112" s="83"/>
      <c r="JKY112" s="83"/>
      <c r="JKZ112" s="83"/>
      <c r="JLA112" s="83"/>
      <c r="JLB112" s="83"/>
      <c r="JLC112" s="83"/>
      <c r="JLD112" s="83"/>
      <c r="JLE112" s="83"/>
      <c r="JLF112" s="83"/>
      <c r="JLG112" s="83"/>
      <c r="JLH112" s="83"/>
      <c r="JLI112" s="83"/>
      <c r="JLJ112" s="83"/>
      <c r="JLK112" s="83"/>
      <c r="JLL112" s="82"/>
      <c r="JLM112" s="83"/>
      <c r="JLN112" s="83"/>
      <c r="JLO112" s="83"/>
      <c r="JLP112" s="83"/>
      <c r="JLQ112" s="83"/>
      <c r="JLR112" s="83"/>
      <c r="JLS112" s="83"/>
      <c r="JLT112" s="83"/>
      <c r="JLU112" s="83"/>
      <c r="JLV112" s="83"/>
      <c r="JLW112" s="83"/>
      <c r="JLX112" s="83"/>
      <c r="JLY112" s="83"/>
      <c r="JLZ112" s="83"/>
      <c r="JMA112" s="83"/>
      <c r="JMB112" s="83"/>
      <c r="JMC112" s="83"/>
      <c r="JMD112" s="83"/>
      <c r="JME112" s="83"/>
      <c r="JMF112" s="83"/>
      <c r="JMG112" s="83"/>
      <c r="JMH112" s="82"/>
      <c r="JMI112" s="83"/>
      <c r="JMJ112" s="83"/>
      <c r="JMK112" s="83"/>
      <c r="JML112" s="83"/>
      <c r="JMM112" s="83"/>
      <c r="JMN112" s="83"/>
      <c r="JMO112" s="83"/>
      <c r="JMP112" s="83"/>
      <c r="JMQ112" s="83"/>
      <c r="JMR112" s="83"/>
      <c r="JMS112" s="83"/>
      <c r="JMT112" s="83"/>
      <c r="JMU112" s="83"/>
      <c r="JMV112" s="83"/>
      <c r="JMW112" s="83"/>
      <c r="JMX112" s="83"/>
      <c r="JMY112" s="83"/>
      <c r="JMZ112" s="83"/>
      <c r="JNA112" s="83"/>
      <c r="JNB112" s="83"/>
      <c r="JNC112" s="83"/>
      <c r="JND112" s="82"/>
      <c r="JNE112" s="83"/>
      <c r="JNF112" s="83"/>
      <c r="JNG112" s="83"/>
      <c r="JNH112" s="83"/>
      <c r="JNI112" s="83"/>
      <c r="JNJ112" s="83"/>
      <c r="JNK112" s="83"/>
      <c r="JNL112" s="83"/>
      <c r="JNM112" s="83"/>
      <c r="JNN112" s="83"/>
      <c r="JNO112" s="83"/>
      <c r="JNP112" s="83"/>
      <c r="JNQ112" s="83"/>
      <c r="JNR112" s="83"/>
      <c r="JNS112" s="83"/>
      <c r="JNT112" s="83"/>
      <c r="JNU112" s="83"/>
      <c r="JNV112" s="83"/>
      <c r="JNW112" s="83"/>
      <c r="JNX112" s="83"/>
      <c r="JNY112" s="83"/>
      <c r="JNZ112" s="82"/>
      <c r="JOA112" s="83"/>
      <c r="JOB112" s="83"/>
      <c r="JOC112" s="83"/>
      <c r="JOD112" s="83"/>
      <c r="JOE112" s="83"/>
      <c r="JOF112" s="83"/>
      <c r="JOG112" s="83"/>
      <c r="JOH112" s="83"/>
      <c r="JOI112" s="83"/>
      <c r="JOJ112" s="83"/>
      <c r="JOK112" s="83"/>
      <c r="JOL112" s="83"/>
      <c r="JOM112" s="83"/>
      <c r="JON112" s="83"/>
      <c r="JOO112" s="83"/>
      <c r="JOP112" s="83"/>
      <c r="JOQ112" s="83"/>
      <c r="JOR112" s="83"/>
      <c r="JOS112" s="83"/>
      <c r="JOT112" s="83"/>
      <c r="JOU112" s="83"/>
      <c r="JOV112" s="82"/>
      <c r="JOW112" s="83"/>
      <c r="JOX112" s="83"/>
      <c r="JOY112" s="83"/>
      <c r="JOZ112" s="83"/>
      <c r="JPA112" s="83"/>
      <c r="JPB112" s="83"/>
      <c r="JPC112" s="83"/>
      <c r="JPD112" s="83"/>
      <c r="JPE112" s="83"/>
      <c r="JPF112" s="83"/>
      <c r="JPG112" s="83"/>
      <c r="JPH112" s="83"/>
      <c r="JPI112" s="83"/>
      <c r="JPJ112" s="83"/>
      <c r="JPK112" s="83"/>
      <c r="JPL112" s="83"/>
      <c r="JPM112" s="83"/>
      <c r="JPN112" s="83"/>
      <c r="JPO112" s="83"/>
      <c r="JPP112" s="83"/>
      <c r="JPQ112" s="83"/>
      <c r="JPR112" s="82"/>
      <c r="JPS112" s="83"/>
      <c r="JPT112" s="83"/>
      <c r="JPU112" s="83"/>
      <c r="JPV112" s="83"/>
      <c r="JPW112" s="83"/>
      <c r="JPX112" s="83"/>
      <c r="JPY112" s="83"/>
      <c r="JPZ112" s="83"/>
      <c r="JQA112" s="83"/>
      <c r="JQB112" s="83"/>
      <c r="JQC112" s="83"/>
      <c r="JQD112" s="83"/>
      <c r="JQE112" s="83"/>
      <c r="JQF112" s="83"/>
      <c r="JQG112" s="83"/>
      <c r="JQH112" s="83"/>
      <c r="JQI112" s="83"/>
      <c r="JQJ112" s="83"/>
      <c r="JQK112" s="83"/>
      <c r="JQL112" s="83"/>
      <c r="JQM112" s="83"/>
      <c r="JQN112" s="82"/>
      <c r="JQO112" s="83"/>
      <c r="JQP112" s="83"/>
      <c r="JQQ112" s="83"/>
      <c r="JQR112" s="83"/>
      <c r="JQS112" s="83"/>
      <c r="JQT112" s="83"/>
      <c r="JQU112" s="83"/>
      <c r="JQV112" s="83"/>
      <c r="JQW112" s="83"/>
      <c r="JQX112" s="83"/>
      <c r="JQY112" s="83"/>
      <c r="JQZ112" s="83"/>
      <c r="JRA112" s="83"/>
      <c r="JRB112" s="83"/>
      <c r="JRC112" s="83"/>
      <c r="JRD112" s="83"/>
      <c r="JRE112" s="83"/>
      <c r="JRF112" s="83"/>
      <c r="JRG112" s="83"/>
      <c r="JRH112" s="83"/>
      <c r="JRI112" s="83"/>
      <c r="JRJ112" s="82"/>
      <c r="JRK112" s="83"/>
      <c r="JRL112" s="83"/>
      <c r="JRM112" s="83"/>
      <c r="JRN112" s="83"/>
      <c r="JRO112" s="83"/>
      <c r="JRP112" s="83"/>
      <c r="JRQ112" s="83"/>
      <c r="JRR112" s="83"/>
      <c r="JRS112" s="83"/>
      <c r="JRT112" s="83"/>
      <c r="JRU112" s="83"/>
      <c r="JRV112" s="83"/>
      <c r="JRW112" s="83"/>
      <c r="JRX112" s="83"/>
      <c r="JRY112" s="83"/>
      <c r="JRZ112" s="83"/>
      <c r="JSA112" s="83"/>
      <c r="JSB112" s="83"/>
      <c r="JSC112" s="83"/>
      <c r="JSD112" s="83"/>
      <c r="JSE112" s="83"/>
      <c r="JSF112" s="82"/>
      <c r="JSG112" s="83"/>
      <c r="JSH112" s="83"/>
      <c r="JSI112" s="83"/>
      <c r="JSJ112" s="83"/>
      <c r="JSK112" s="83"/>
      <c r="JSL112" s="83"/>
      <c r="JSM112" s="83"/>
      <c r="JSN112" s="83"/>
      <c r="JSO112" s="83"/>
      <c r="JSP112" s="83"/>
      <c r="JSQ112" s="83"/>
      <c r="JSR112" s="83"/>
      <c r="JSS112" s="83"/>
      <c r="JST112" s="83"/>
      <c r="JSU112" s="83"/>
      <c r="JSV112" s="83"/>
      <c r="JSW112" s="83"/>
      <c r="JSX112" s="83"/>
      <c r="JSY112" s="83"/>
      <c r="JSZ112" s="83"/>
      <c r="JTA112" s="83"/>
      <c r="JTB112" s="82"/>
      <c r="JTC112" s="83"/>
      <c r="JTD112" s="83"/>
      <c r="JTE112" s="83"/>
      <c r="JTF112" s="83"/>
      <c r="JTG112" s="83"/>
      <c r="JTH112" s="83"/>
      <c r="JTI112" s="83"/>
      <c r="JTJ112" s="83"/>
      <c r="JTK112" s="83"/>
      <c r="JTL112" s="83"/>
      <c r="JTM112" s="83"/>
      <c r="JTN112" s="83"/>
      <c r="JTO112" s="83"/>
      <c r="JTP112" s="83"/>
      <c r="JTQ112" s="83"/>
      <c r="JTR112" s="83"/>
      <c r="JTS112" s="83"/>
      <c r="JTT112" s="83"/>
      <c r="JTU112" s="83"/>
      <c r="JTV112" s="83"/>
      <c r="JTW112" s="83"/>
      <c r="JTX112" s="82"/>
      <c r="JTY112" s="83"/>
      <c r="JTZ112" s="83"/>
      <c r="JUA112" s="83"/>
      <c r="JUB112" s="83"/>
      <c r="JUC112" s="83"/>
      <c r="JUD112" s="83"/>
      <c r="JUE112" s="83"/>
      <c r="JUF112" s="83"/>
      <c r="JUG112" s="83"/>
      <c r="JUH112" s="83"/>
      <c r="JUI112" s="83"/>
      <c r="JUJ112" s="83"/>
      <c r="JUK112" s="83"/>
      <c r="JUL112" s="83"/>
      <c r="JUM112" s="83"/>
      <c r="JUN112" s="83"/>
      <c r="JUO112" s="83"/>
      <c r="JUP112" s="83"/>
      <c r="JUQ112" s="83"/>
      <c r="JUR112" s="83"/>
      <c r="JUS112" s="83"/>
      <c r="JUT112" s="82"/>
      <c r="JUU112" s="83"/>
      <c r="JUV112" s="83"/>
      <c r="JUW112" s="83"/>
      <c r="JUX112" s="83"/>
      <c r="JUY112" s="83"/>
      <c r="JUZ112" s="83"/>
      <c r="JVA112" s="83"/>
      <c r="JVB112" s="83"/>
      <c r="JVC112" s="83"/>
      <c r="JVD112" s="83"/>
      <c r="JVE112" s="83"/>
      <c r="JVF112" s="83"/>
      <c r="JVG112" s="83"/>
      <c r="JVH112" s="83"/>
      <c r="JVI112" s="83"/>
      <c r="JVJ112" s="83"/>
      <c r="JVK112" s="83"/>
      <c r="JVL112" s="83"/>
      <c r="JVM112" s="83"/>
      <c r="JVN112" s="83"/>
      <c r="JVO112" s="83"/>
      <c r="JVP112" s="82"/>
      <c r="JVQ112" s="83"/>
      <c r="JVR112" s="83"/>
      <c r="JVS112" s="83"/>
      <c r="JVT112" s="83"/>
      <c r="JVU112" s="83"/>
      <c r="JVV112" s="83"/>
      <c r="JVW112" s="83"/>
      <c r="JVX112" s="83"/>
      <c r="JVY112" s="83"/>
      <c r="JVZ112" s="83"/>
      <c r="JWA112" s="83"/>
      <c r="JWB112" s="83"/>
      <c r="JWC112" s="83"/>
      <c r="JWD112" s="83"/>
      <c r="JWE112" s="83"/>
      <c r="JWF112" s="83"/>
      <c r="JWG112" s="83"/>
      <c r="JWH112" s="83"/>
      <c r="JWI112" s="83"/>
      <c r="JWJ112" s="83"/>
      <c r="JWK112" s="83"/>
      <c r="JWL112" s="82"/>
      <c r="JWM112" s="83"/>
      <c r="JWN112" s="83"/>
      <c r="JWO112" s="83"/>
      <c r="JWP112" s="83"/>
      <c r="JWQ112" s="83"/>
      <c r="JWR112" s="83"/>
      <c r="JWS112" s="83"/>
      <c r="JWT112" s="83"/>
      <c r="JWU112" s="83"/>
      <c r="JWV112" s="83"/>
      <c r="JWW112" s="83"/>
      <c r="JWX112" s="83"/>
      <c r="JWY112" s="83"/>
      <c r="JWZ112" s="83"/>
      <c r="JXA112" s="83"/>
      <c r="JXB112" s="83"/>
      <c r="JXC112" s="83"/>
      <c r="JXD112" s="83"/>
      <c r="JXE112" s="83"/>
      <c r="JXF112" s="83"/>
      <c r="JXG112" s="83"/>
      <c r="JXH112" s="82"/>
      <c r="JXI112" s="83"/>
      <c r="JXJ112" s="83"/>
      <c r="JXK112" s="83"/>
      <c r="JXL112" s="83"/>
      <c r="JXM112" s="83"/>
      <c r="JXN112" s="83"/>
      <c r="JXO112" s="83"/>
      <c r="JXP112" s="83"/>
      <c r="JXQ112" s="83"/>
      <c r="JXR112" s="83"/>
      <c r="JXS112" s="83"/>
      <c r="JXT112" s="83"/>
      <c r="JXU112" s="83"/>
      <c r="JXV112" s="83"/>
      <c r="JXW112" s="83"/>
      <c r="JXX112" s="83"/>
      <c r="JXY112" s="83"/>
      <c r="JXZ112" s="83"/>
      <c r="JYA112" s="83"/>
      <c r="JYB112" s="83"/>
      <c r="JYC112" s="83"/>
      <c r="JYD112" s="82"/>
      <c r="JYE112" s="83"/>
      <c r="JYF112" s="83"/>
      <c r="JYG112" s="83"/>
      <c r="JYH112" s="83"/>
      <c r="JYI112" s="83"/>
      <c r="JYJ112" s="83"/>
      <c r="JYK112" s="83"/>
      <c r="JYL112" s="83"/>
      <c r="JYM112" s="83"/>
      <c r="JYN112" s="83"/>
      <c r="JYO112" s="83"/>
      <c r="JYP112" s="83"/>
      <c r="JYQ112" s="83"/>
      <c r="JYR112" s="83"/>
      <c r="JYS112" s="83"/>
      <c r="JYT112" s="83"/>
      <c r="JYU112" s="83"/>
      <c r="JYV112" s="83"/>
      <c r="JYW112" s="83"/>
      <c r="JYX112" s="83"/>
      <c r="JYY112" s="83"/>
      <c r="JYZ112" s="82"/>
      <c r="JZA112" s="83"/>
      <c r="JZB112" s="83"/>
      <c r="JZC112" s="83"/>
      <c r="JZD112" s="83"/>
      <c r="JZE112" s="83"/>
      <c r="JZF112" s="83"/>
      <c r="JZG112" s="83"/>
      <c r="JZH112" s="83"/>
      <c r="JZI112" s="83"/>
      <c r="JZJ112" s="83"/>
      <c r="JZK112" s="83"/>
      <c r="JZL112" s="83"/>
      <c r="JZM112" s="83"/>
      <c r="JZN112" s="83"/>
      <c r="JZO112" s="83"/>
      <c r="JZP112" s="83"/>
      <c r="JZQ112" s="83"/>
      <c r="JZR112" s="83"/>
      <c r="JZS112" s="83"/>
      <c r="JZT112" s="83"/>
      <c r="JZU112" s="83"/>
      <c r="JZV112" s="82"/>
      <c r="JZW112" s="83"/>
      <c r="JZX112" s="83"/>
      <c r="JZY112" s="83"/>
      <c r="JZZ112" s="83"/>
      <c r="KAA112" s="83"/>
      <c r="KAB112" s="83"/>
      <c r="KAC112" s="83"/>
      <c r="KAD112" s="83"/>
      <c r="KAE112" s="83"/>
      <c r="KAF112" s="83"/>
      <c r="KAG112" s="83"/>
      <c r="KAH112" s="83"/>
      <c r="KAI112" s="83"/>
      <c r="KAJ112" s="83"/>
      <c r="KAK112" s="83"/>
      <c r="KAL112" s="83"/>
      <c r="KAM112" s="83"/>
      <c r="KAN112" s="83"/>
      <c r="KAO112" s="83"/>
      <c r="KAP112" s="83"/>
      <c r="KAQ112" s="83"/>
      <c r="KAR112" s="82"/>
      <c r="KAS112" s="83"/>
      <c r="KAT112" s="83"/>
      <c r="KAU112" s="83"/>
      <c r="KAV112" s="83"/>
      <c r="KAW112" s="83"/>
      <c r="KAX112" s="83"/>
      <c r="KAY112" s="83"/>
      <c r="KAZ112" s="83"/>
      <c r="KBA112" s="83"/>
      <c r="KBB112" s="83"/>
      <c r="KBC112" s="83"/>
      <c r="KBD112" s="83"/>
      <c r="KBE112" s="83"/>
      <c r="KBF112" s="83"/>
      <c r="KBG112" s="83"/>
      <c r="KBH112" s="83"/>
      <c r="KBI112" s="83"/>
      <c r="KBJ112" s="83"/>
      <c r="KBK112" s="83"/>
      <c r="KBL112" s="83"/>
      <c r="KBM112" s="83"/>
      <c r="KBN112" s="82"/>
      <c r="KBO112" s="83"/>
      <c r="KBP112" s="83"/>
      <c r="KBQ112" s="83"/>
      <c r="KBR112" s="83"/>
      <c r="KBS112" s="83"/>
      <c r="KBT112" s="83"/>
      <c r="KBU112" s="83"/>
      <c r="KBV112" s="83"/>
      <c r="KBW112" s="83"/>
      <c r="KBX112" s="83"/>
      <c r="KBY112" s="83"/>
      <c r="KBZ112" s="83"/>
      <c r="KCA112" s="83"/>
      <c r="KCB112" s="83"/>
      <c r="KCC112" s="83"/>
      <c r="KCD112" s="83"/>
      <c r="KCE112" s="83"/>
      <c r="KCF112" s="83"/>
      <c r="KCG112" s="83"/>
      <c r="KCH112" s="83"/>
      <c r="KCI112" s="83"/>
      <c r="KCJ112" s="82"/>
      <c r="KCK112" s="83"/>
      <c r="KCL112" s="83"/>
      <c r="KCM112" s="83"/>
      <c r="KCN112" s="83"/>
      <c r="KCO112" s="83"/>
      <c r="KCP112" s="83"/>
      <c r="KCQ112" s="83"/>
      <c r="KCR112" s="83"/>
      <c r="KCS112" s="83"/>
      <c r="KCT112" s="83"/>
      <c r="KCU112" s="83"/>
      <c r="KCV112" s="83"/>
      <c r="KCW112" s="83"/>
      <c r="KCX112" s="83"/>
      <c r="KCY112" s="83"/>
      <c r="KCZ112" s="83"/>
      <c r="KDA112" s="83"/>
      <c r="KDB112" s="83"/>
      <c r="KDC112" s="83"/>
      <c r="KDD112" s="83"/>
      <c r="KDE112" s="83"/>
      <c r="KDF112" s="82"/>
      <c r="KDG112" s="83"/>
      <c r="KDH112" s="83"/>
      <c r="KDI112" s="83"/>
      <c r="KDJ112" s="83"/>
      <c r="KDK112" s="83"/>
      <c r="KDL112" s="83"/>
      <c r="KDM112" s="83"/>
      <c r="KDN112" s="83"/>
      <c r="KDO112" s="83"/>
      <c r="KDP112" s="83"/>
      <c r="KDQ112" s="83"/>
      <c r="KDR112" s="83"/>
      <c r="KDS112" s="83"/>
      <c r="KDT112" s="83"/>
      <c r="KDU112" s="83"/>
      <c r="KDV112" s="83"/>
      <c r="KDW112" s="83"/>
      <c r="KDX112" s="83"/>
      <c r="KDY112" s="83"/>
      <c r="KDZ112" s="83"/>
      <c r="KEA112" s="83"/>
      <c r="KEB112" s="82"/>
      <c r="KEC112" s="83"/>
      <c r="KED112" s="83"/>
      <c r="KEE112" s="83"/>
      <c r="KEF112" s="83"/>
      <c r="KEG112" s="83"/>
      <c r="KEH112" s="83"/>
      <c r="KEI112" s="83"/>
      <c r="KEJ112" s="83"/>
      <c r="KEK112" s="83"/>
      <c r="KEL112" s="83"/>
      <c r="KEM112" s="83"/>
      <c r="KEN112" s="83"/>
      <c r="KEO112" s="83"/>
      <c r="KEP112" s="83"/>
      <c r="KEQ112" s="83"/>
      <c r="KER112" s="83"/>
      <c r="KES112" s="83"/>
      <c r="KET112" s="83"/>
      <c r="KEU112" s="83"/>
      <c r="KEV112" s="83"/>
      <c r="KEW112" s="83"/>
      <c r="KEX112" s="82"/>
      <c r="KEY112" s="83"/>
      <c r="KEZ112" s="83"/>
      <c r="KFA112" s="83"/>
      <c r="KFB112" s="83"/>
      <c r="KFC112" s="83"/>
      <c r="KFD112" s="83"/>
      <c r="KFE112" s="83"/>
      <c r="KFF112" s="83"/>
      <c r="KFG112" s="83"/>
      <c r="KFH112" s="83"/>
      <c r="KFI112" s="83"/>
      <c r="KFJ112" s="83"/>
      <c r="KFK112" s="83"/>
      <c r="KFL112" s="83"/>
      <c r="KFM112" s="83"/>
      <c r="KFN112" s="83"/>
      <c r="KFO112" s="83"/>
      <c r="KFP112" s="83"/>
      <c r="KFQ112" s="83"/>
      <c r="KFR112" s="83"/>
      <c r="KFS112" s="83"/>
      <c r="KFT112" s="82"/>
      <c r="KFU112" s="83"/>
      <c r="KFV112" s="83"/>
      <c r="KFW112" s="83"/>
      <c r="KFX112" s="83"/>
      <c r="KFY112" s="83"/>
      <c r="KFZ112" s="83"/>
      <c r="KGA112" s="83"/>
      <c r="KGB112" s="83"/>
      <c r="KGC112" s="83"/>
      <c r="KGD112" s="83"/>
      <c r="KGE112" s="83"/>
      <c r="KGF112" s="83"/>
      <c r="KGG112" s="83"/>
      <c r="KGH112" s="83"/>
      <c r="KGI112" s="83"/>
      <c r="KGJ112" s="83"/>
      <c r="KGK112" s="83"/>
      <c r="KGL112" s="83"/>
      <c r="KGM112" s="83"/>
      <c r="KGN112" s="83"/>
      <c r="KGO112" s="83"/>
      <c r="KGP112" s="82"/>
      <c r="KGQ112" s="83"/>
      <c r="KGR112" s="83"/>
      <c r="KGS112" s="83"/>
      <c r="KGT112" s="83"/>
      <c r="KGU112" s="83"/>
      <c r="KGV112" s="83"/>
      <c r="KGW112" s="83"/>
      <c r="KGX112" s="83"/>
      <c r="KGY112" s="83"/>
      <c r="KGZ112" s="83"/>
      <c r="KHA112" s="83"/>
      <c r="KHB112" s="83"/>
      <c r="KHC112" s="83"/>
      <c r="KHD112" s="83"/>
      <c r="KHE112" s="83"/>
      <c r="KHF112" s="83"/>
      <c r="KHG112" s="83"/>
      <c r="KHH112" s="83"/>
      <c r="KHI112" s="83"/>
      <c r="KHJ112" s="83"/>
      <c r="KHK112" s="83"/>
      <c r="KHL112" s="82"/>
      <c r="KHM112" s="83"/>
      <c r="KHN112" s="83"/>
      <c r="KHO112" s="83"/>
      <c r="KHP112" s="83"/>
      <c r="KHQ112" s="83"/>
      <c r="KHR112" s="83"/>
      <c r="KHS112" s="83"/>
      <c r="KHT112" s="83"/>
      <c r="KHU112" s="83"/>
      <c r="KHV112" s="83"/>
      <c r="KHW112" s="83"/>
      <c r="KHX112" s="83"/>
      <c r="KHY112" s="83"/>
      <c r="KHZ112" s="83"/>
      <c r="KIA112" s="83"/>
      <c r="KIB112" s="83"/>
      <c r="KIC112" s="83"/>
      <c r="KID112" s="83"/>
      <c r="KIE112" s="83"/>
      <c r="KIF112" s="83"/>
      <c r="KIG112" s="83"/>
      <c r="KIH112" s="82"/>
      <c r="KII112" s="83"/>
      <c r="KIJ112" s="83"/>
      <c r="KIK112" s="83"/>
      <c r="KIL112" s="83"/>
      <c r="KIM112" s="83"/>
      <c r="KIN112" s="83"/>
      <c r="KIO112" s="83"/>
      <c r="KIP112" s="83"/>
      <c r="KIQ112" s="83"/>
      <c r="KIR112" s="83"/>
      <c r="KIS112" s="83"/>
      <c r="KIT112" s="83"/>
      <c r="KIU112" s="83"/>
      <c r="KIV112" s="83"/>
      <c r="KIW112" s="83"/>
      <c r="KIX112" s="83"/>
      <c r="KIY112" s="83"/>
      <c r="KIZ112" s="83"/>
      <c r="KJA112" s="83"/>
      <c r="KJB112" s="83"/>
      <c r="KJC112" s="83"/>
      <c r="KJD112" s="82"/>
      <c r="KJE112" s="83"/>
      <c r="KJF112" s="83"/>
      <c r="KJG112" s="83"/>
      <c r="KJH112" s="83"/>
      <c r="KJI112" s="83"/>
      <c r="KJJ112" s="83"/>
      <c r="KJK112" s="83"/>
      <c r="KJL112" s="83"/>
      <c r="KJM112" s="83"/>
      <c r="KJN112" s="83"/>
      <c r="KJO112" s="83"/>
      <c r="KJP112" s="83"/>
      <c r="KJQ112" s="83"/>
      <c r="KJR112" s="83"/>
      <c r="KJS112" s="83"/>
      <c r="KJT112" s="83"/>
      <c r="KJU112" s="83"/>
      <c r="KJV112" s="83"/>
      <c r="KJW112" s="83"/>
      <c r="KJX112" s="83"/>
      <c r="KJY112" s="83"/>
      <c r="KJZ112" s="82"/>
      <c r="KKA112" s="83"/>
      <c r="KKB112" s="83"/>
      <c r="KKC112" s="83"/>
      <c r="KKD112" s="83"/>
      <c r="KKE112" s="83"/>
      <c r="KKF112" s="83"/>
      <c r="KKG112" s="83"/>
      <c r="KKH112" s="83"/>
      <c r="KKI112" s="83"/>
      <c r="KKJ112" s="83"/>
      <c r="KKK112" s="83"/>
      <c r="KKL112" s="83"/>
      <c r="KKM112" s="83"/>
      <c r="KKN112" s="83"/>
      <c r="KKO112" s="83"/>
      <c r="KKP112" s="83"/>
      <c r="KKQ112" s="83"/>
      <c r="KKR112" s="83"/>
      <c r="KKS112" s="83"/>
      <c r="KKT112" s="83"/>
      <c r="KKU112" s="83"/>
      <c r="KKV112" s="82"/>
      <c r="KKW112" s="83"/>
      <c r="KKX112" s="83"/>
      <c r="KKY112" s="83"/>
      <c r="KKZ112" s="83"/>
      <c r="KLA112" s="83"/>
      <c r="KLB112" s="83"/>
      <c r="KLC112" s="83"/>
      <c r="KLD112" s="83"/>
      <c r="KLE112" s="83"/>
      <c r="KLF112" s="83"/>
      <c r="KLG112" s="83"/>
      <c r="KLH112" s="83"/>
      <c r="KLI112" s="83"/>
      <c r="KLJ112" s="83"/>
      <c r="KLK112" s="83"/>
      <c r="KLL112" s="83"/>
      <c r="KLM112" s="83"/>
      <c r="KLN112" s="83"/>
      <c r="KLO112" s="83"/>
      <c r="KLP112" s="83"/>
      <c r="KLQ112" s="83"/>
      <c r="KLR112" s="82"/>
      <c r="KLS112" s="83"/>
      <c r="KLT112" s="83"/>
      <c r="KLU112" s="83"/>
      <c r="KLV112" s="83"/>
      <c r="KLW112" s="83"/>
      <c r="KLX112" s="83"/>
      <c r="KLY112" s="83"/>
      <c r="KLZ112" s="83"/>
      <c r="KMA112" s="83"/>
      <c r="KMB112" s="83"/>
      <c r="KMC112" s="83"/>
      <c r="KMD112" s="83"/>
      <c r="KME112" s="83"/>
      <c r="KMF112" s="83"/>
      <c r="KMG112" s="83"/>
      <c r="KMH112" s="83"/>
      <c r="KMI112" s="83"/>
      <c r="KMJ112" s="83"/>
      <c r="KMK112" s="83"/>
      <c r="KML112" s="83"/>
      <c r="KMM112" s="83"/>
      <c r="KMN112" s="82"/>
      <c r="KMO112" s="83"/>
      <c r="KMP112" s="83"/>
      <c r="KMQ112" s="83"/>
      <c r="KMR112" s="83"/>
      <c r="KMS112" s="83"/>
      <c r="KMT112" s="83"/>
      <c r="KMU112" s="83"/>
      <c r="KMV112" s="83"/>
      <c r="KMW112" s="83"/>
      <c r="KMX112" s="83"/>
      <c r="KMY112" s="83"/>
      <c r="KMZ112" s="83"/>
      <c r="KNA112" s="83"/>
      <c r="KNB112" s="83"/>
      <c r="KNC112" s="83"/>
      <c r="KND112" s="83"/>
      <c r="KNE112" s="83"/>
      <c r="KNF112" s="83"/>
      <c r="KNG112" s="83"/>
      <c r="KNH112" s="83"/>
      <c r="KNI112" s="83"/>
      <c r="KNJ112" s="82"/>
      <c r="KNK112" s="83"/>
      <c r="KNL112" s="83"/>
      <c r="KNM112" s="83"/>
      <c r="KNN112" s="83"/>
      <c r="KNO112" s="83"/>
      <c r="KNP112" s="83"/>
      <c r="KNQ112" s="83"/>
      <c r="KNR112" s="83"/>
      <c r="KNS112" s="83"/>
      <c r="KNT112" s="83"/>
      <c r="KNU112" s="83"/>
      <c r="KNV112" s="83"/>
      <c r="KNW112" s="83"/>
      <c r="KNX112" s="83"/>
      <c r="KNY112" s="83"/>
      <c r="KNZ112" s="83"/>
      <c r="KOA112" s="83"/>
      <c r="KOB112" s="83"/>
      <c r="KOC112" s="83"/>
      <c r="KOD112" s="83"/>
      <c r="KOE112" s="83"/>
      <c r="KOF112" s="82"/>
      <c r="KOG112" s="83"/>
      <c r="KOH112" s="83"/>
      <c r="KOI112" s="83"/>
      <c r="KOJ112" s="83"/>
      <c r="KOK112" s="83"/>
      <c r="KOL112" s="83"/>
      <c r="KOM112" s="83"/>
      <c r="KON112" s="83"/>
      <c r="KOO112" s="83"/>
      <c r="KOP112" s="83"/>
      <c r="KOQ112" s="83"/>
      <c r="KOR112" s="83"/>
      <c r="KOS112" s="83"/>
      <c r="KOT112" s="83"/>
      <c r="KOU112" s="83"/>
      <c r="KOV112" s="83"/>
      <c r="KOW112" s="83"/>
      <c r="KOX112" s="83"/>
      <c r="KOY112" s="83"/>
      <c r="KOZ112" s="83"/>
      <c r="KPA112" s="83"/>
      <c r="KPB112" s="82"/>
      <c r="KPC112" s="83"/>
      <c r="KPD112" s="83"/>
      <c r="KPE112" s="83"/>
      <c r="KPF112" s="83"/>
      <c r="KPG112" s="83"/>
      <c r="KPH112" s="83"/>
      <c r="KPI112" s="83"/>
      <c r="KPJ112" s="83"/>
      <c r="KPK112" s="83"/>
      <c r="KPL112" s="83"/>
      <c r="KPM112" s="83"/>
      <c r="KPN112" s="83"/>
      <c r="KPO112" s="83"/>
      <c r="KPP112" s="83"/>
      <c r="KPQ112" s="83"/>
      <c r="KPR112" s="83"/>
      <c r="KPS112" s="83"/>
      <c r="KPT112" s="83"/>
      <c r="KPU112" s="83"/>
      <c r="KPV112" s="83"/>
      <c r="KPW112" s="83"/>
      <c r="KPX112" s="82"/>
      <c r="KPY112" s="83"/>
      <c r="KPZ112" s="83"/>
      <c r="KQA112" s="83"/>
      <c r="KQB112" s="83"/>
      <c r="KQC112" s="83"/>
      <c r="KQD112" s="83"/>
      <c r="KQE112" s="83"/>
      <c r="KQF112" s="83"/>
      <c r="KQG112" s="83"/>
      <c r="KQH112" s="83"/>
      <c r="KQI112" s="83"/>
      <c r="KQJ112" s="83"/>
      <c r="KQK112" s="83"/>
      <c r="KQL112" s="83"/>
      <c r="KQM112" s="83"/>
      <c r="KQN112" s="83"/>
      <c r="KQO112" s="83"/>
      <c r="KQP112" s="83"/>
      <c r="KQQ112" s="83"/>
      <c r="KQR112" s="83"/>
      <c r="KQS112" s="83"/>
      <c r="KQT112" s="82"/>
      <c r="KQU112" s="83"/>
      <c r="KQV112" s="83"/>
      <c r="KQW112" s="83"/>
      <c r="KQX112" s="83"/>
      <c r="KQY112" s="83"/>
      <c r="KQZ112" s="83"/>
      <c r="KRA112" s="83"/>
      <c r="KRB112" s="83"/>
      <c r="KRC112" s="83"/>
      <c r="KRD112" s="83"/>
      <c r="KRE112" s="83"/>
      <c r="KRF112" s="83"/>
      <c r="KRG112" s="83"/>
      <c r="KRH112" s="83"/>
      <c r="KRI112" s="83"/>
      <c r="KRJ112" s="83"/>
      <c r="KRK112" s="83"/>
      <c r="KRL112" s="83"/>
      <c r="KRM112" s="83"/>
      <c r="KRN112" s="83"/>
      <c r="KRO112" s="83"/>
      <c r="KRP112" s="82"/>
      <c r="KRQ112" s="83"/>
      <c r="KRR112" s="83"/>
      <c r="KRS112" s="83"/>
      <c r="KRT112" s="83"/>
      <c r="KRU112" s="83"/>
      <c r="KRV112" s="83"/>
      <c r="KRW112" s="83"/>
      <c r="KRX112" s="83"/>
      <c r="KRY112" s="83"/>
      <c r="KRZ112" s="83"/>
      <c r="KSA112" s="83"/>
      <c r="KSB112" s="83"/>
      <c r="KSC112" s="83"/>
      <c r="KSD112" s="83"/>
      <c r="KSE112" s="83"/>
      <c r="KSF112" s="83"/>
      <c r="KSG112" s="83"/>
      <c r="KSH112" s="83"/>
      <c r="KSI112" s="83"/>
      <c r="KSJ112" s="83"/>
      <c r="KSK112" s="83"/>
      <c r="KSL112" s="82"/>
      <c r="KSM112" s="83"/>
      <c r="KSN112" s="83"/>
      <c r="KSO112" s="83"/>
      <c r="KSP112" s="83"/>
      <c r="KSQ112" s="83"/>
      <c r="KSR112" s="83"/>
      <c r="KSS112" s="83"/>
      <c r="KST112" s="83"/>
      <c r="KSU112" s="83"/>
      <c r="KSV112" s="83"/>
      <c r="KSW112" s="83"/>
      <c r="KSX112" s="83"/>
      <c r="KSY112" s="83"/>
      <c r="KSZ112" s="83"/>
      <c r="KTA112" s="83"/>
      <c r="KTB112" s="83"/>
      <c r="KTC112" s="83"/>
      <c r="KTD112" s="83"/>
      <c r="KTE112" s="83"/>
      <c r="KTF112" s="83"/>
      <c r="KTG112" s="83"/>
      <c r="KTH112" s="82"/>
      <c r="KTI112" s="83"/>
      <c r="KTJ112" s="83"/>
      <c r="KTK112" s="83"/>
      <c r="KTL112" s="83"/>
      <c r="KTM112" s="83"/>
      <c r="KTN112" s="83"/>
      <c r="KTO112" s="83"/>
      <c r="KTP112" s="83"/>
      <c r="KTQ112" s="83"/>
      <c r="KTR112" s="83"/>
      <c r="KTS112" s="83"/>
      <c r="KTT112" s="83"/>
      <c r="KTU112" s="83"/>
      <c r="KTV112" s="83"/>
      <c r="KTW112" s="83"/>
      <c r="KTX112" s="83"/>
      <c r="KTY112" s="83"/>
      <c r="KTZ112" s="83"/>
      <c r="KUA112" s="83"/>
      <c r="KUB112" s="83"/>
      <c r="KUC112" s="83"/>
      <c r="KUD112" s="82"/>
      <c r="KUE112" s="83"/>
      <c r="KUF112" s="83"/>
      <c r="KUG112" s="83"/>
      <c r="KUH112" s="83"/>
      <c r="KUI112" s="83"/>
      <c r="KUJ112" s="83"/>
      <c r="KUK112" s="83"/>
      <c r="KUL112" s="83"/>
      <c r="KUM112" s="83"/>
      <c r="KUN112" s="83"/>
      <c r="KUO112" s="83"/>
      <c r="KUP112" s="83"/>
      <c r="KUQ112" s="83"/>
      <c r="KUR112" s="83"/>
      <c r="KUS112" s="83"/>
      <c r="KUT112" s="83"/>
      <c r="KUU112" s="83"/>
      <c r="KUV112" s="83"/>
      <c r="KUW112" s="83"/>
      <c r="KUX112" s="83"/>
      <c r="KUY112" s="83"/>
      <c r="KUZ112" s="82"/>
      <c r="KVA112" s="83"/>
      <c r="KVB112" s="83"/>
      <c r="KVC112" s="83"/>
      <c r="KVD112" s="83"/>
      <c r="KVE112" s="83"/>
      <c r="KVF112" s="83"/>
      <c r="KVG112" s="83"/>
      <c r="KVH112" s="83"/>
      <c r="KVI112" s="83"/>
      <c r="KVJ112" s="83"/>
      <c r="KVK112" s="83"/>
      <c r="KVL112" s="83"/>
      <c r="KVM112" s="83"/>
      <c r="KVN112" s="83"/>
      <c r="KVO112" s="83"/>
      <c r="KVP112" s="83"/>
      <c r="KVQ112" s="83"/>
      <c r="KVR112" s="83"/>
      <c r="KVS112" s="83"/>
      <c r="KVT112" s="83"/>
      <c r="KVU112" s="83"/>
      <c r="KVV112" s="82"/>
      <c r="KVW112" s="83"/>
      <c r="KVX112" s="83"/>
      <c r="KVY112" s="83"/>
      <c r="KVZ112" s="83"/>
      <c r="KWA112" s="83"/>
      <c r="KWB112" s="83"/>
      <c r="KWC112" s="83"/>
      <c r="KWD112" s="83"/>
      <c r="KWE112" s="83"/>
      <c r="KWF112" s="83"/>
      <c r="KWG112" s="83"/>
      <c r="KWH112" s="83"/>
      <c r="KWI112" s="83"/>
      <c r="KWJ112" s="83"/>
      <c r="KWK112" s="83"/>
      <c r="KWL112" s="83"/>
      <c r="KWM112" s="83"/>
      <c r="KWN112" s="83"/>
      <c r="KWO112" s="83"/>
      <c r="KWP112" s="83"/>
      <c r="KWQ112" s="83"/>
      <c r="KWR112" s="82"/>
      <c r="KWS112" s="83"/>
      <c r="KWT112" s="83"/>
      <c r="KWU112" s="83"/>
      <c r="KWV112" s="83"/>
      <c r="KWW112" s="83"/>
      <c r="KWX112" s="83"/>
      <c r="KWY112" s="83"/>
      <c r="KWZ112" s="83"/>
      <c r="KXA112" s="83"/>
      <c r="KXB112" s="83"/>
      <c r="KXC112" s="83"/>
      <c r="KXD112" s="83"/>
      <c r="KXE112" s="83"/>
      <c r="KXF112" s="83"/>
      <c r="KXG112" s="83"/>
      <c r="KXH112" s="83"/>
      <c r="KXI112" s="83"/>
      <c r="KXJ112" s="83"/>
      <c r="KXK112" s="83"/>
      <c r="KXL112" s="83"/>
      <c r="KXM112" s="83"/>
      <c r="KXN112" s="82"/>
      <c r="KXO112" s="83"/>
      <c r="KXP112" s="83"/>
      <c r="KXQ112" s="83"/>
      <c r="KXR112" s="83"/>
      <c r="KXS112" s="83"/>
      <c r="KXT112" s="83"/>
      <c r="KXU112" s="83"/>
      <c r="KXV112" s="83"/>
      <c r="KXW112" s="83"/>
      <c r="KXX112" s="83"/>
      <c r="KXY112" s="83"/>
      <c r="KXZ112" s="83"/>
      <c r="KYA112" s="83"/>
      <c r="KYB112" s="83"/>
      <c r="KYC112" s="83"/>
      <c r="KYD112" s="83"/>
      <c r="KYE112" s="83"/>
      <c r="KYF112" s="83"/>
      <c r="KYG112" s="83"/>
      <c r="KYH112" s="83"/>
      <c r="KYI112" s="83"/>
      <c r="KYJ112" s="82"/>
      <c r="KYK112" s="83"/>
      <c r="KYL112" s="83"/>
      <c r="KYM112" s="83"/>
      <c r="KYN112" s="83"/>
      <c r="KYO112" s="83"/>
      <c r="KYP112" s="83"/>
      <c r="KYQ112" s="83"/>
      <c r="KYR112" s="83"/>
      <c r="KYS112" s="83"/>
      <c r="KYT112" s="83"/>
      <c r="KYU112" s="83"/>
      <c r="KYV112" s="83"/>
      <c r="KYW112" s="83"/>
      <c r="KYX112" s="83"/>
      <c r="KYY112" s="83"/>
      <c r="KYZ112" s="83"/>
      <c r="KZA112" s="83"/>
      <c r="KZB112" s="83"/>
      <c r="KZC112" s="83"/>
      <c r="KZD112" s="83"/>
      <c r="KZE112" s="83"/>
      <c r="KZF112" s="82"/>
      <c r="KZG112" s="83"/>
      <c r="KZH112" s="83"/>
      <c r="KZI112" s="83"/>
      <c r="KZJ112" s="83"/>
      <c r="KZK112" s="83"/>
      <c r="KZL112" s="83"/>
      <c r="KZM112" s="83"/>
      <c r="KZN112" s="83"/>
      <c r="KZO112" s="83"/>
      <c r="KZP112" s="83"/>
      <c r="KZQ112" s="83"/>
      <c r="KZR112" s="83"/>
      <c r="KZS112" s="83"/>
      <c r="KZT112" s="83"/>
      <c r="KZU112" s="83"/>
      <c r="KZV112" s="83"/>
      <c r="KZW112" s="83"/>
      <c r="KZX112" s="83"/>
      <c r="KZY112" s="83"/>
      <c r="KZZ112" s="83"/>
      <c r="LAA112" s="83"/>
      <c r="LAB112" s="82"/>
      <c r="LAC112" s="83"/>
      <c r="LAD112" s="83"/>
      <c r="LAE112" s="83"/>
      <c r="LAF112" s="83"/>
      <c r="LAG112" s="83"/>
      <c r="LAH112" s="83"/>
      <c r="LAI112" s="83"/>
      <c r="LAJ112" s="83"/>
      <c r="LAK112" s="83"/>
      <c r="LAL112" s="83"/>
      <c r="LAM112" s="83"/>
      <c r="LAN112" s="83"/>
      <c r="LAO112" s="83"/>
      <c r="LAP112" s="83"/>
      <c r="LAQ112" s="83"/>
      <c r="LAR112" s="83"/>
      <c r="LAS112" s="83"/>
      <c r="LAT112" s="83"/>
      <c r="LAU112" s="83"/>
      <c r="LAV112" s="83"/>
      <c r="LAW112" s="83"/>
      <c r="LAX112" s="82"/>
      <c r="LAY112" s="83"/>
      <c r="LAZ112" s="83"/>
      <c r="LBA112" s="83"/>
      <c r="LBB112" s="83"/>
      <c r="LBC112" s="83"/>
      <c r="LBD112" s="83"/>
      <c r="LBE112" s="83"/>
      <c r="LBF112" s="83"/>
      <c r="LBG112" s="83"/>
      <c r="LBH112" s="83"/>
      <c r="LBI112" s="83"/>
      <c r="LBJ112" s="83"/>
      <c r="LBK112" s="83"/>
      <c r="LBL112" s="83"/>
      <c r="LBM112" s="83"/>
      <c r="LBN112" s="83"/>
      <c r="LBO112" s="83"/>
      <c r="LBP112" s="83"/>
      <c r="LBQ112" s="83"/>
      <c r="LBR112" s="83"/>
      <c r="LBS112" s="83"/>
      <c r="LBT112" s="82"/>
      <c r="LBU112" s="83"/>
      <c r="LBV112" s="83"/>
      <c r="LBW112" s="83"/>
      <c r="LBX112" s="83"/>
      <c r="LBY112" s="83"/>
      <c r="LBZ112" s="83"/>
      <c r="LCA112" s="83"/>
      <c r="LCB112" s="83"/>
      <c r="LCC112" s="83"/>
      <c r="LCD112" s="83"/>
      <c r="LCE112" s="83"/>
      <c r="LCF112" s="83"/>
      <c r="LCG112" s="83"/>
      <c r="LCH112" s="83"/>
      <c r="LCI112" s="83"/>
      <c r="LCJ112" s="83"/>
      <c r="LCK112" s="83"/>
      <c r="LCL112" s="83"/>
      <c r="LCM112" s="83"/>
      <c r="LCN112" s="83"/>
      <c r="LCO112" s="83"/>
      <c r="LCP112" s="82"/>
      <c r="LCQ112" s="83"/>
      <c r="LCR112" s="83"/>
      <c r="LCS112" s="83"/>
      <c r="LCT112" s="83"/>
      <c r="LCU112" s="83"/>
      <c r="LCV112" s="83"/>
      <c r="LCW112" s="83"/>
      <c r="LCX112" s="83"/>
      <c r="LCY112" s="83"/>
      <c r="LCZ112" s="83"/>
      <c r="LDA112" s="83"/>
      <c r="LDB112" s="83"/>
      <c r="LDC112" s="83"/>
      <c r="LDD112" s="83"/>
      <c r="LDE112" s="83"/>
      <c r="LDF112" s="83"/>
      <c r="LDG112" s="83"/>
      <c r="LDH112" s="83"/>
      <c r="LDI112" s="83"/>
      <c r="LDJ112" s="83"/>
      <c r="LDK112" s="83"/>
      <c r="LDL112" s="82"/>
      <c r="LDM112" s="83"/>
      <c r="LDN112" s="83"/>
      <c r="LDO112" s="83"/>
      <c r="LDP112" s="83"/>
      <c r="LDQ112" s="83"/>
      <c r="LDR112" s="83"/>
      <c r="LDS112" s="83"/>
      <c r="LDT112" s="83"/>
      <c r="LDU112" s="83"/>
      <c r="LDV112" s="83"/>
      <c r="LDW112" s="83"/>
      <c r="LDX112" s="83"/>
      <c r="LDY112" s="83"/>
      <c r="LDZ112" s="83"/>
      <c r="LEA112" s="83"/>
      <c r="LEB112" s="83"/>
      <c r="LEC112" s="83"/>
      <c r="LED112" s="83"/>
      <c r="LEE112" s="83"/>
      <c r="LEF112" s="83"/>
      <c r="LEG112" s="83"/>
      <c r="LEH112" s="82"/>
      <c r="LEI112" s="83"/>
      <c r="LEJ112" s="83"/>
      <c r="LEK112" s="83"/>
      <c r="LEL112" s="83"/>
      <c r="LEM112" s="83"/>
      <c r="LEN112" s="83"/>
      <c r="LEO112" s="83"/>
      <c r="LEP112" s="83"/>
      <c r="LEQ112" s="83"/>
      <c r="LER112" s="83"/>
      <c r="LES112" s="83"/>
      <c r="LET112" s="83"/>
      <c r="LEU112" s="83"/>
      <c r="LEV112" s="83"/>
      <c r="LEW112" s="83"/>
      <c r="LEX112" s="83"/>
      <c r="LEY112" s="83"/>
      <c r="LEZ112" s="83"/>
      <c r="LFA112" s="83"/>
      <c r="LFB112" s="83"/>
      <c r="LFC112" s="83"/>
      <c r="LFD112" s="82"/>
      <c r="LFE112" s="83"/>
      <c r="LFF112" s="83"/>
      <c r="LFG112" s="83"/>
      <c r="LFH112" s="83"/>
      <c r="LFI112" s="83"/>
      <c r="LFJ112" s="83"/>
      <c r="LFK112" s="83"/>
      <c r="LFL112" s="83"/>
      <c r="LFM112" s="83"/>
      <c r="LFN112" s="83"/>
      <c r="LFO112" s="83"/>
      <c r="LFP112" s="83"/>
      <c r="LFQ112" s="83"/>
      <c r="LFR112" s="83"/>
      <c r="LFS112" s="83"/>
      <c r="LFT112" s="83"/>
      <c r="LFU112" s="83"/>
      <c r="LFV112" s="83"/>
      <c r="LFW112" s="83"/>
      <c r="LFX112" s="83"/>
      <c r="LFY112" s="83"/>
      <c r="LFZ112" s="82"/>
      <c r="LGA112" s="83"/>
      <c r="LGB112" s="83"/>
      <c r="LGC112" s="83"/>
      <c r="LGD112" s="83"/>
      <c r="LGE112" s="83"/>
      <c r="LGF112" s="83"/>
      <c r="LGG112" s="83"/>
      <c r="LGH112" s="83"/>
      <c r="LGI112" s="83"/>
      <c r="LGJ112" s="83"/>
      <c r="LGK112" s="83"/>
      <c r="LGL112" s="83"/>
      <c r="LGM112" s="83"/>
      <c r="LGN112" s="83"/>
      <c r="LGO112" s="83"/>
      <c r="LGP112" s="83"/>
      <c r="LGQ112" s="83"/>
      <c r="LGR112" s="83"/>
      <c r="LGS112" s="83"/>
      <c r="LGT112" s="83"/>
      <c r="LGU112" s="83"/>
      <c r="LGV112" s="82"/>
      <c r="LGW112" s="83"/>
      <c r="LGX112" s="83"/>
      <c r="LGY112" s="83"/>
      <c r="LGZ112" s="83"/>
      <c r="LHA112" s="83"/>
      <c r="LHB112" s="83"/>
      <c r="LHC112" s="83"/>
      <c r="LHD112" s="83"/>
      <c r="LHE112" s="83"/>
      <c r="LHF112" s="83"/>
      <c r="LHG112" s="83"/>
      <c r="LHH112" s="83"/>
      <c r="LHI112" s="83"/>
      <c r="LHJ112" s="83"/>
      <c r="LHK112" s="83"/>
      <c r="LHL112" s="83"/>
      <c r="LHM112" s="83"/>
      <c r="LHN112" s="83"/>
      <c r="LHO112" s="83"/>
      <c r="LHP112" s="83"/>
      <c r="LHQ112" s="83"/>
      <c r="LHR112" s="82"/>
      <c r="LHS112" s="83"/>
      <c r="LHT112" s="83"/>
      <c r="LHU112" s="83"/>
      <c r="LHV112" s="83"/>
      <c r="LHW112" s="83"/>
      <c r="LHX112" s="83"/>
      <c r="LHY112" s="83"/>
      <c r="LHZ112" s="83"/>
      <c r="LIA112" s="83"/>
      <c r="LIB112" s="83"/>
      <c r="LIC112" s="83"/>
      <c r="LID112" s="83"/>
      <c r="LIE112" s="83"/>
      <c r="LIF112" s="83"/>
      <c r="LIG112" s="83"/>
      <c r="LIH112" s="83"/>
      <c r="LII112" s="83"/>
      <c r="LIJ112" s="83"/>
      <c r="LIK112" s="83"/>
      <c r="LIL112" s="83"/>
      <c r="LIM112" s="83"/>
      <c r="LIN112" s="82"/>
      <c r="LIO112" s="83"/>
      <c r="LIP112" s="83"/>
      <c r="LIQ112" s="83"/>
      <c r="LIR112" s="83"/>
      <c r="LIS112" s="83"/>
      <c r="LIT112" s="83"/>
      <c r="LIU112" s="83"/>
      <c r="LIV112" s="83"/>
      <c r="LIW112" s="83"/>
      <c r="LIX112" s="83"/>
      <c r="LIY112" s="83"/>
      <c r="LIZ112" s="83"/>
      <c r="LJA112" s="83"/>
      <c r="LJB112" s="83"/>
      <c r="LJC112" s="83"/>
      <c r="LJD112" s="83"/>
      <c r="LJE112" s="83"/>
      <c r="LJF112" s="83"/>
      <c r="LJG112" s="83"/>
      <c r="LJH112" s="83"/>
      <c r="LJI112" s="83"/>
      <c r="LJJ112" s="82"/>
      <c r="LJK112" s="83"/>
      <c r="LJL112" s="83"/>
      <c r="LJM112" s="83"/>
      <c r="LJN112" s="83"/>
      <c r="LJO112" s="83"/>
      <c r="LJP112" s="83"/>
      <c r="LJQ112" s="83"/>
      <c r="LJR112" s="83"/>
      <c r="LJS112" s="83"/>
      <c r="LJT112" s="83"/>
      <c r="LJU112" s="83"/>
      <c r="LJV112" s="83"/>
      <c r="LJW112" s="83"/>
      <c r="LJX112" s="83"/>
      <c r="LJY112" s="83"/>
      <c r="LJZ112" s="83"/>
      <c r="LKA112" s="83"/>
      <c r="LKB112" s="83"/>
      <c r="LKC112" s="83"/>
      <c r="LKD112" s="83"/>
      <c r="LKE112" s="83"/>
      <c r="LKF112" s="82"/>
      <c r="LKG112" s="83"/>
      <c r="LKH112" s="83"/>
      <c r="LKI112" s="83"/>
      <c r="LKJ112" s="83"/>
      <c r="LKK112" s="83"/>
      <c r="LKL112" s="83"/>
      <c r="LKM112" s="83"/>
      <c r="LKN112" s="83"/>
      <c r="LKO112" s="83"/>
      <c r="LKP112" s="83"/>
      <c r="LKQ112" s="83"/>
      <c r="LKR112" s="83"/>
      <c r="LKS112" s="83"/>
      <c r="LKT112" s="83"/>
      <c r="LKU112" s="83"/>
      <c r="LKV112" s="83"/>
      <c r="LKW112" s="83"/>
      <c r="LKX112" s="83"/>
      <c r="LKY112" s="83"/>
      <c r="LKZ112" s="83"/>
      <c r="LLA112" s="83"/>
      <c r="LLB112" s="82"/>
      <c r="LLC112" s="83"/>
      <c r="LLD112" s="83"/>
      <c r="LLE112" s="83"/>
      <c r="LLF112" s="83"/>
      <c r="LLG112" s="83"/>
      <c r="LLH112" s="83"/>
      <c r="LLI112" s="83"/>
      <c r="LLJ112" s="83"/>
      <c r="LLK112" s="83"/>
      <c r="LLL112" s="83"/>
      <c r="LLM112" s="83"/>
      <c r="LLN112" s="83"/>
      <c r="LLO112" s="83"/>
      <c r="LLP112" s="83"/>
      <c r="LLQ112" s="83"/>
      <c r="LLR112" s="83"/>
      <c r="LLS112" s="83"/>
      <c r="LLT112" s="83"/>
      <c r="LLU112" s="83"/>
      <c r="LLV112" s="83"/>
      <c r="LLW112" s="83"/>
      <c r="LLX112" s="82"/>
      <c r="LLY112" s="83"/>
      <c r="LLZ112" s="83"/>
      <c r="LMA112" s="83"/>
      <c r="LMB112" s="83"/>
      <c r="LMC112" s="83"/>
      <c r="LMD112" s="83"/>
      <c r="LME112" s="83"/>
      <c r="LMF112" s="83"/>
      <c r="LMG112" s="83"/>
      <c r="LMH112" s="83"/>
      <c r="LMI112" s="83"/>
      <c r="LMJ112" s="83"/>
      <c r="LMK112" s="83"/>
      <c r="LML112" s="83"/>
      <c r="LMM112" s="83"/>
      <c r="LMN112" s="83"/>
      <c r="LMO112" s="83"/>
      <c r="LMP112" s="83"/>
      <c r="LMQ112" s="83"/>
      <c r="LMR112" s="83"/>
      <c r="LMS112" s="83"/>
      <c r="LMT112" s="82"/>
      <c r="LMU112" s="83"/>
      <c r="LMV112" s="83"/>
      <c r="LMW112" s="83"/>
      <c r="LMX112" s="83"/>
      <c r="LMY112" s="83"/>
      <c r="LMZ112" s="83"/>
      <c r="LNA112" s="83"/>
      <c r="LNB112" s="83"/>
      <c r="LNC112" s="83"/>
      <c r="LND112" s="83"/>
      <c r="LNE112" s="83"/>
      <c r="LNF112" s="83"/>
      <c r="LNG112" s="83"/>
      <c r="LNH112" s="83"/>
      <c r="LNI112" s="83"/>
      <c r="LNJ112" s="83"/>
      <c r="LNK112" s="83"/>
      <c r="LNL112" s="83"/>
      <c r="LNM112" s="83"/>
      <c r="LNN112" s="83"/>
      <c r="LNO112" s="83"/>
      <c r="LNP112" s="82"/>
      <c r="LNQ112" s="83"/>
      <c r="LNR112" s="83"/>
      <c r="LNS112" s="83"/>
      <c r="LNT112" s="83"/>
      <c r="LNU112" s="83"/>
      <c r="LNV112" s="83"/>
      <c r="LNW112" s="83"/>
      <c r="LNX112" s="83"/>
      <c r="LNY112" s="83"/>
      <c r="LNZ112" s="83"/>
      <c r="LOA112" s="83"/>
      <c r="LOB112" s="83"/>
      <c r="LOC112" s="83"/>
      <c r="LOD112" s="83"/>
      <c r="LOE112" s="83"/>
      <c r="LOF112" s="83"/>
      <c r="LOG112" s="83"/>
      <c r="LOH112" s="83"/>
      <c r="LOI112" s="83"/>
      <c r="LOJ112" s="83"/>
      <c r="LOK112" s="83"/>
      <c r="LOL112" s="82"/>
      <c r="LOM112" s="83"/>
      <c r="LON112" s="83"/>
      <c r="LOO112" s="83"/>
      <c r="LOP112" s="83"/>
      <c r="LOQ112" s="83"/>
      <c r="LOR112" s="83"/>
      <c r="LOS112" s="83"/>
      <c r="LOT112" s="83"/>
      <c r="LOU112" s="83"/>
      <c r="LOV112" s="83"/>
      <c r="LOW112" s="83"/>
      <c r="LOX112" s="83"/>
      <c r="LOY112" s="83"/>
      <c r="LOZ112" s="83"/>
      <c r="LPA112" s="83"/>
      <c r="LPB112" s="83"/>
      <c r="LPC112" s="83"/>
      <c r="LPD112" s="83"/>
      <c r="LPE112" s="83"/>
      <c r="LPF112" s="83"/>
      <c r="LPG112" s="83"/>
      <c r="LPH112" s="82"/>
      <c r="LPI112" s="83"/>
      <c r="LPJ112" s="83"/>
      <c r="LPK112" s="83"/>
      <c r="LPL112" s="83"/>
      <c r="LPM112" s="83"/>
      <c r="LPN112" s="83"/>
      <c r="LPO112" s="83"/>
      <c r="LPP112" s="83"/>
      <c r="LPQ112" s="83"/>
      <c r="LPR112" s="83"/>
      <c r="LPS112" s="83"/>
      <c r="LPT112" s="83"/>
      <c r="LPU112" s="83"/>
      <c r="LPV112" s="83"/>
      <c r="LPW112" s="83"/>
      <c r="LPX112" s="83"/>
      <c r="LPY112" s="83"/>
      <c r="LPZ112" s="83"/>
      <c r="LQA112" s="83"/>
      <c r="LQB112" s="83"/>
      <c r="LQC112" s="83"/>
      <c r="LQD112" s="82"/>
      <c r="LQE112" s="83"/>
      <c r="LQF112" s="83"/>
      <c r="LQG112" s="83"/>
      <c r="LQH112" s="83"/>
      <c r="LQI112" s="83"/>
      <c r="LQJ112" s="83"/>
      <c r="LQK112" s="83"/>
      <c r="LQL112" s="83"/>
      <c r="LQM112" s="83"/>
      <c r="LQN112" s="83"/>
      <c r="LQO112" s="83"/>
      <c r="LQP112" s="83"/>
      <c r="LQQ112" s="83"/>
      <c r="LQR112" s="83"/>
      <c r="LQS112" s="83"/>
      <c r="LQT112" s="83"/>
      <c r="LQU112" s="83"/>
      <c r="LQV112" s="83"/>
      <c r="LQW112" s="83"/>
      <c r="LQX112" s="83"/>
      <c r="LQY112" s="83"/>
      <c r="LQZ112" s="82"/>
      <c r="LRA112" s="83"/>
      <c r="LRB112" s="83"/>
      <c r="LRC112" s="83"/>
      <c r="LRD112" s="83"/>
      <c r="LRE112" s="83"/>
      <c r="LRF112" s="83"/>
      <c r="LRG112" s="83"/>
      <c r="LRH112" s="83"/>
      <c r="LRI112" s="83"/>
      <c r="LRJ112" s="83"/>
      <c r="LRK112" s="83"/>
      <c r="LRL112" s="83"/>
      <c r="LRM112" s="83"/>
      <c r="LRN112" s="83"/>
      <c r="LRO112" s="83"/>
      <c r="LRP112" s="83"/>
      <c r="LRQ112" s="83"/>
      <c r="LRR112" s="83"/>
      <c r="LRS112" s="83"/>
      <c r="LRT112" s="83"/>
      <c r="LRU112" s="83"/>
      <c r="LRV112" s="82"/>
      <c r="LRW112" s="83"/>
      <c r="LRX112" s="83"/>
      <c r="LRY112" s="83"/>
      <c r="LRZ112" s="83"/>
      <c r="LSA112" s="83"/>
      <c r="LSB112" s="83"/>
      <c r="LSC112" s="83"/>
      <c r="LSD112" s="83"/>
      <c r="LSE112" s="83"/>
      <c r="LSF112" s="83"/>
      <c r="LSG112" s="83"/>
      <c r="LSH112" s="83"/>
      <c r="LSI112" s="83"/>
      <c r="LSJ112" s="83"/>
      <c r="LSK112" s="83"/>
      <c r="LSL112" s="83"/>
      <c r="LSM112" s="83"/>
      <c r="LSN112" s="83"/>
      <c r="LSO112" s="83"/>
      <c r="LSP112" s="83"/>
      <c r="LSQ112" s="83"/>
      <c r="LSR112" s="82"/>
      <c r="LSS112" s="83"/>
      <c r="LST112" s="83"/>
      <c r="LSU112" s="83"/>
      <c r="LSV112" s="83"/>
      <c r="LSW112" s="83"/>
      <c r="LSX112" s="83"/>
      <c r="LSY112" s="83"/>
      <c r="LSZ112" s="83"/>
      <c r="LTA112" s="83"/>
      <c r="LTB112" s="83"/>
      <c r="LTC112" s="83"/>
      <c r="LTD112" s="83"/>
      <c r="LTE112" s="83"/>
      <c r="LTF112" s="83"/>
      <c r="LTG112" s="83"/>
      <c r="LTH112" s="83"/>
      <c r="LTI112" s="83"/>
      <c r="LTJ112" s="83"/>
      <c r="LTK112" s="83"/>
      <c r="LTL112" s="83"/>
      <c r="LTM112" s="83"/>
      <c r="LTN112" s="82"/>
      <c r="LTO112" s="83"/>
      <c r="LTP112" s="83"/>
      <c r="LTQ112" s="83"/>
      <c r="LTR112" s="83"/>
      <c r="LTS112" s="83"/>
      <c r="LTT112" s="83"/>
      <c r="LTU112" s="83"/>
      <c r="LTV112" s="83"/>
      <c r="LTW112" s="83"/>
      <c r="LTX112" s="83"/>
      <c r="LTY112" s="83"/>
      <c r="LTZ112" s="83"/>
      <c r="LUA112" s="83"/>
      <c r="LUB112" s="83"/>
      <c r="LUC112" s="83"/>
      <c r="LUD112" s="83"/>
      <c r="LUE112" s="83"/>
      <c r="LUF112" s="83"/>
      <c r="LUG112" s="83"/>
      <c r="LUH112" s="83"/>
      <c r="LUI112" s="83"/>
      <c r="LUJ112" s="82"/>
      <c r="LUK112" s="83"/>
      <c r="LUL112" s="83"/>
      <c r="LUM112" s="83"/>
      <c r="LUN112" s="83"/>
      <c r="LUO112" s="83"/>
      <c r="LUP112" s="83"/>
      <c r="LUQ112" s="83"/>
      <c r="LUR112" s="83"/>
      <c r="LUS112" s="83"/>
      <c r="LUT112" s="83"/>
      <c r="LUU112" s="83"/>
      <c r="LUV112" s="83"/>
      <c r="LUW112" s="83"/>
      <c r="LUX112" s="83"/>
      <c r="LUY112" s="83"/>
      <c r="LUZ112" s="83"/>
      <c r="LVA112" s="83"/>
      <c r="LVB112" s="83"/>
      <c r="LVC112" s="83"/>
      <c r="LVD112" s="83"/>
      <c r="LVE112" s="83"/>
      <c r="LVF112" s="82"/>
      <c r="LVG112" s="83"/>
      <c r="LVH112" s="83"/>
      <c r="LVI112" s="83"/>
      <c r="LVJ112" s="83"/>
      <c r="LVK112" s="83"/>
      <c r="LVL112" s="83"/>
      <c r="LVM112" s="83"/>
      <c r="LVN112" s="83"/>
      <c r="LVO112" s="83"/>
      <c r="LVP112" s="83"/>
      <c r="LVQ112" s="83"/>
      <c r="LVR112" s="83"/>
      <c r="LVS112" s="83"/>
      <c r="LVT112" s="83"/>
      <c r="LVU112" s="83"/>
      <c r="LVV112" s="83"/>
      <c r="LVW112" s="83"/>
      <c r="LVX112" s="83"/>
      <c r="LVY112" s="83"/>
      <c r="LVZ112" s="83"/>
      <c r="LWA112" s="83"/>
      <c r="LWB112" s="82"/>
      <c r="LWC112" s="83"/>
      <c r="LWD112" s="83"/>
      <c r="LWE112" s="83"/>
      <c r="LWF112" s="83"/>
      <c r="LWG112" s="83"/>
      <c r="LWH112" s="83"/>
      <c r="LWI112" s="83"/>
      <c r="LWJ112" s="83"/>
      <c r="LWK112" s="83"/>
      <c r="LWL112" s="83"/>
      <c r="LWM112" s="83"/>
      <c r="LWN112" s="83"/>
      <c r="LWO112" s="83"/>
      <c r="LWP112" s="83"/>
      <c r="LWQ112" s="83"/>
      <c r="LWR112" s="83"/>
      <c r="LWS112" s="83"/>
      <c r="LWT112" s="83"/>
      <c r="LWU112" s="83"/>
      <c r="LWV112" s="83"/>
      <c r="LWW112" s="83"/>
      <c r="LWX112" s="82"/>
      <c r="LWY112" s="83"/>
      <c r="LWZ112" s="83"/>
      <c r="LXA112" s="83"/>
      <c r="LXB112" s="83"/>
      <c r="LXC112" s="83"/>
      <c r="LXD112" s="83"/>
      <c r="LXE112" s="83"/>
      <c r="LXF112" s="83"/>
      <c r="LXG112" s="83"/>
      <c r="LXH112" s="83"/>
      <c r="LXI112" s="83"/>
      <c r="LXJ112" s="83"/>
      <c r="LXK112" s="83"/>
      <c r="LXL112" s="83"/>
      <c r="LXM112" s="83"/>
      <c r="LXN112" s="83"/>
      <c r="LXO112" s="83"/>
      <c r="LXP112" s="83"/>
      <c r="LXQ112" s="83"/>
      <c r="LXR112" s="83"/>
      <c r="LXS112" s="83"/>
      <c r="LXT112" s="82"/>
      <c r="LXU112" s="83"/>
      <c r="LXV112" s="83"/>
      <c r="LXW112" s="83"/>
      <c r="LXX112" s="83"/>
      <c r="LXY112" s="83"/>
      <c r="LXZ112" s="83"/>
      <c r="LYA112" s="83"/>
      <c r="LYB112" s="83"/>
      <c r="LYC112" s="83"/>
      <c r="LYD112" s="83"/>
      <c r="LYE112" s="83"/>
      <c r="LYF112" s="83"/>
      <c r="LYG112" s="83"/>
      <c r="LYH112" s="83"/>
      <c r="LYI112" s="83"/>
      <c r="LYJ112" s="83"/>
      <c r="LYK112" s="83"/>
      <c r="LYL112" s="83"/>
      <c r="LYM112" s="83"/>
      <c r="LYN112" s="83"/>
      <c r="LYO112" s="83"/>
      <c r="LYP112" s="82"/>
      <c r="LYQ112" s="83"/>
      <c r="LYR112" s="83"/>
      <c r="LYS112" s="83"/>
      <c r="LYT112" s="83"/>
      <c r="LYU112" s="83"/>
      <c r="LYV112" s="83"/>
      <c r="LYW112" s="83"/>
      <c r="LYX112" s="83"/>
      <c r="LYY112" s="83"/>
      <c r="LYZ112" s="83"/>
      <c r="LZA112" s="83"/>
      <c r="LZB112" s="83"/>
      <c r="LZC112" s="83"/>
      <c r="LZD112" s="83"/>
      <c r="LZE112" s="83"/>
      <c r="LZF112" s="83"/>
      <c r="LZG112" s="83"/>
      <c r="LZH112" s="83"/>
      <c r="LZI112" s="83"/>
      <c r="LZJ112" s="83"/>
      <c r="LZK112" s="83"/>
      <c r="LZL112" s="82"/>
      <c r="LZM112" s="83"/>
      <c r="LZN112" s="83"/>
      <c r="LZO112" s="83"/>
      <c r="LZP112" s="83"/>
      <c r="LZQ112" s="83"/>
      <c r="LZR112" s="83"/>
      <c r="LZS112" s="83"/>
      <c r="LZT112" s="83"/>
      <c r="LZU112" s="83"/>
      <c r="LZV112" s="83"/>
      <c r="LZW112" s="83"/>
      <c r="LZX112" s="83"/>
      <c r="LZY112" s="83"/>
      <c r="LZZ112" s="83"/>
      <c r="MAA112" s="83"/>
      <c r="MAB112" s="83"/>
      <c r="MAC112" s="83"/>
      <c r="MAD112" s="83"/>
      <c r="MAE112" s="83"/>
      <c r="MAF112" s="83"/>
      <c r="MAG112" s="83"/>
      <c r="MAH112" s="82"/>
      <c r="MAI112" s="83"/>
      <c r="MAJ112" s="83"/>
      <c r="MAK112" s="83"/>
      <c r="MAL112" s="83"/>
      <c r="MAM112" s="83"/>
      <c r="MAN112" s="83"/>
      <c r="MAO112" s="83"/>
      <c r="MAP112" s="83"/>
      <c r="MAQ112" s="83"/>
      <c r="MAR112" s="83"/>
      <c r="MAS112" s="83"/>
      <c r="MAT112" s="83"/>
      <c r="MAU112" s="83"/>
      <c r="MAV112" s="83"/>
      <c r="MAW112" s="83"/>
      <c r="MAX112" s="83"/>
      <c r="MAY112" s="83"/>
      <c r="MAZ112" s="83"/>
      <c r="MBA112" s="83"/>
      <c r="MBB112" s="83"/>
      <c r="MBC112" s="83"/>
      <c r="MBD112" s="82"/>
      <c r="MBE112" s="83"/>
      <c r="MBF112" s="83"/>
      <c r="MBG112" s="83"/>
      <c r="MBH112" s="83"/>
      <c r="MBI112" s="83"/>
      <c r="MBJ112" s="83"/>
      <c r="MBK112" s="83"/>
      <c r="MBL112" s="83"/>
      <c r="MBM112" s="83"/>
      <c r="MBN112" s="83"/>
      <c r="MBO112" s="83"/>
      <c r="MBP112" s="83"/>
      <c r="MBQ112" s="83"/>
      <c r="MBR112" s="83"/>
      <c r="MBS112" s="83"/>
      <c r="MBT112" s="83"/>
      <c r="MBU112" s="83"/>
      <c r="MBV112" s="83"/>
      <c r="MBW112" s="83"/>
      <c r="MBX112" s="83"/>
      <c r="MBY112" s="83"/>
      <c r="MBZ112" s="82"/>
      <c r="MCA112" s="83"/>
      <c r="MCB112" s="83"/>
      <c r="MCC112" s="83"/>
      <c r="MCD112" s="83"/>
      <c r="MCE112" s="83"/>
      <c r="MCF112" s="83"/>
      <c r="MCG112" s="83"/>
      <c r="MCH112" s="83"/>
      <c r="MCI112" s="83"/>
      <c r="MCJ112" s="83"/>
      <c r="MCK112" s="83"/>
      <c r="MCL112" s="83"/>
      <c r="MCM112" s="83"/>
      <c r="MCN112" s="83"/>
      <c r="MCO112" s="83"/>
      <c r="MCP112" s="83"/>
      <c r="MCQ112" s="83"/>
      <c r="MCR112" s="83"/>
      <c r="MCS112" s="83"/>
      <c r="MCT112" s="83"/>
      <c r="MCU112" s="83"/>
      <c r="MCV112" s="82"/>
      <c r="MCW112" s="83"/>
      <c r="MCX112" s="83"/>
      <c r="MCY112" s="83"/>
      <c r="MCZ112" s="83"/>
      <c r="MDA112" s="83"/>
      <c r="MDB112" s="83"/>
      <c r="MDC112" s="83"/>
      <c r="MDD112" s="83"/>
      <c r="MDE112" s="83"/>
      <c r="MDF112" s="83"/>
      <c r="MDG112" s="83"/>
      <c r="MDH112" s="83"/>
      <c r="MDI112" s="83"/>
      <c r="MDJ112" s="83"/>
      <c r="MDK112" s="83"/>
      <c r="MDL112" s="83"/>
      <c r="MDM112" s="83"/>
      <c r="MDN112" s="83"/>
      <c r="MDO112" s="83"/>
      <c r="MDP112" s="83"/>
      <c r="MDQ112" s="83"/>
      <c r="MDR112" s="82"/>
      <c r="MDS112" s="83"/>
      <c r="MDT112" s="83"/>
      <c r="MDU112" s="83"/>
      <c r="MDV112" s="83"/>
      <c r="MDW112" s="83"/>
      <c r="MDX112" s="83"/>
      <c r="MDY112" s="83"/>
      <c r="MDZ112" s="83"/>
      <c r="MEA112" s="83"/>
      <c r="MEB112" s="83"/>
      <c r="MEC112" s="83"/>
      <c r="MED112" s="83"/>
      <c r="MEE112" s="83"/>
      <c r="MEF112" s="83"/>
      <c r="MEG112" s="83"/>
      <c r="MEH112" s="83"/>
      <c r="MEI112" s="83"/>
      <c r="MEJ112" s="83"/>
      <c r="MEK112" s="83"/>
      <c r="MEL112" s="83"/>
      <c r="MEM112" s="83"/>
      <c r="MEN112" s="82"/>
      <c r="MEO112" s="83"/>
      <c r="MEP112" s="83"/>
      <c r="MEQ112" s="83"/>
      <c r="MER112" s="83"/>
      <c r="MES112" s="83"/>
      <c r="MET112" s="83"/>
      <c r="MEU112" s="83"/>
      <c r="MEV112" s="83"/>
      <c r="MEW112" s="83"/>
      <c r="MEX112" s="83"/>
      <c r="MEY112" s="83"/>
      <c r="MEZ112" s="83"/>
      <c r="MFA112" s="83"/>
      <c r="MFB112" s="83"/>
      <c r="MFC112" s="83"/>
      <c r="MFD112" s="83"/>
      <c r="MFE112" s="83"/>
      <c r="MFF112" s="83"/>
      <c r="MFG112" s="83"/>
      <c r="MFH112" s="83"/>
      <c r="MFI112" s="83"/>
      <c r="MFJ112" s="82"/>
      <c r="MFK112" s="83"/>
      <c r="MFL112" s="83"/>
      <c r="MFM112" s="83"/>
      <c r="MFN112" s="83"/>
      <c r="MFO112" s="83"/>
      <c r="MFP112" s="83"/>
      <c r="MFQ112" s="83"/>
      <c r="MFR112" s="83"/>
      <c r="MFS112" s="83"/>
      <c r="MFT112" s="83"/>
      <c r="MFU112" s="83"/>
      <c r="MFV112" s="83"/>
      <c r="MFW112" s="83"/>
      <c r="MFX112" s="83"/>
      <c r="MFY112" s="83"/>
      <c r="MFZ112" s="83"/>
      <c r="MGA112" s="83"/>
      <c r="MGB112" s="83"/>
      <c r="MGC112" s="83"/>
      <c r="MGD112" s="83"/>
      <c r="MGE112" s="83"/>
      <c r="MGF112" s="82"/>
      <c r="MGG112" s="83"/>
      <c r="MGH112" s="83"/>
      <c r="MGI112" s="83"/>
      <c r="MGJ112" s="83"/>
      <c r="MGK112" s="83"/>
      <c r="MGL112" s="83"/>
      <c r="MGM112" s="83"/>
      <c r="MGN112" s="83"/>
      <c r="MGO112" s="83"/>
      <c r="MGP112" s="83"/>
      <c r="MGQ112" s="83"/>
      <c r="MGR112" s="83"/>
      <c r="MGS112" s="83"/>
      <c r="MGT112" s="83"/>
      <c r="MGU112" s="83"/>
      <c r="MGV112" s="83"/>
      <c r="MGW112" s="83"/>
      <c r="MGX112" s="83"/>
      <c r="MGY112" s="83"/>
      <c r="MGZ112" s="83"/>
      <c r="MHA112" s="83"/>
      <c r="MHB112" s="82"/>
      <c r="MHC112" s="83"/>
      <c r="MHD112" s="83"/>
      <c r="MHE112" s="83"/>
      <c r="MHF112" s="83"/>
      <c r="MHG112" s="83"/>
      <c r="MHH112" s="83"/>
      <c r="MHI112" s="83"/>
      <c r="MHJ112" s="83"/>
      <c r="MHK112" s="83"/>
      <c r="MHL112" s="83"/>
      <c r="MHM112" s="83"/>
      <c r="MHN112" s="83"/>
      <c r="MHO112" s="83"/>
      <c r="MHP112" s="83"/>
      <c r="MHQ112" s="83"/>
      <c r="MHR112" s="83"/>
      <c r="MHS112" s="83"/>
      <c r="MHT112" s="83"/>
      <c r="MHU112" s="83"/>
      <c r="MHV112" s="83"/>
      <c r="MHW112" s="83"/>
      <c r="MHX112" s="82"/>
      <c r="MHY112" s="83"/>
      <c r="MHZ112" s="83"/>
      <c r="MIA112" s="83"/>
      <c r="MIB112" s="83"/>
      <c r="MIC112" s="83"/>
      <c r="MID112" s="83"/>
      <c r="MIE112" s="83"/>
      <c r="MIF112" s="83"/>
      <c r="MIG112" s="83"/>
      <c r="MIH112" s="83"/>
      <c r="MII112" s="83"/>
      <c r="MIJ112" s="83"/>
      <c r="MIK112" s="83"/>
      <c r="MIL112" s="83"/>
      <c r="MIM112" s="83"/>
      <c r="MIN112" s="83"/>
      <c r="MIO112" s="83"/>
      <c r="MIP112" s="83"/>
      <c r="MIQ112" s="83"/>
      <c r="MIR112" s="83"/>
      <c r="MIS112" s="83"/>
      <c r="MIT112" s="82"/>
      <c r="MIU112" s="83"/>
      <c r="MIV112" s="83"/>
      <c r="MIW112" s="83"/>
      <c r="MIX112" s="83"/>
      <c r="MIY112" s="83"/>
      <c r="MIZ112" s="83"/>
      <c r="MJA112" s="83"/>
      <c r="MJB112" s="83"/>
      <c r="MJC112" s="83"/>
      <c r="MJD112" s="83"/>
      <c r="MJE112" s="83"/>
      <c r="MJF112" s="83"/>
      <c r="MJG112" s="83"/>
      <c r="MJH112" s="83"/>
      <c r="MJI112" s="83"/>
      <c r="MJJ112" s="83"/>
      <c r="MJK112" s="83"/>
      <c r="MJL112" s="83"/>
      <c r="MJM112" s="83"/>
      <c r="MJN112" s="83"/>
      <c r="MJO112" s="83"/>
      <c r="MJP112" s="82"/>
      <c r="MJQ112" s="83"/>
      <c r="MJR112" s="83"/>
      <c r="MJS112" s="83"/>
      <c r="MJT112" s="83"/>
      <c r="MJU112" s="83"/>
      <c r="MJV112" s="83"/>
      <c r="MJW112" s="83"/>
      <c r="MJX112" s="83"/>
      <c r="MJY112" s="83"/>
      <c r="MJZ112" s="83"/>
      <c r="MKA112" s="83"/>
      <c r="MKB112" s="83"/>
      <c r="MKC112" s="83"/>
      <c r="MKD112" s="83"/>
      <c r="MKE112" s="83"/>
      <c r="MKF112" s="83"/>
      <c r="MKG112" s="83"/>
      <c r="MKH112" s="83"/>
      <c r="MKI112" s="83"/>
      <c r="MKJ112" s="83"/>
      <c r="MKK112" s="83"/>
      <c r="MKL112" s="82"/>
      <c r="MKM112" s="83"/>
      <c r="MKN112" s="83"/>
      <c r="MKO112" s="83"/>
      <c r="MKP112" s="83"/>
      <c r="MKQ112" s="83"/>
      <c r="MKR112" s="83"/>
      <c r="MKS112" s="83"/>
      <c r="MKT112" s="83"/>
      <c r="MKU112" s="83"/>
      <c r="MKV112" s="83"/>
      <c r="MKW112" s="83"/>
      <c r="MKX112" s="83"/>
      <c r="MKY112" s="83"/>
      <c r="MKZ112" s="83"/>
      <c r="MLA112" s="83"/>
      <c r="MLB112" s="83"/>
      <c r="MLC112" s="83"/>
      <c r="MLD112" s="83"/>
      <c r="MLE112" s="83"/>
      <c r="MLF112" s="83"/>
      <c r="MLG112" s="83"/>
      <c r="MLH112" s="82"/>
      <c r="MLI112" s="83"/>
      <c r="MLJ112" s="83"/>
      <c r="MLK112" s="83"/>
      <c r="MLL112" s="83"/>
      <c r="MLM112" s="83"/>
      <c r="MLN112" s="83"/>
      <c r="MLO112" s="83"/>
      <c r="MLP112" s="83"/>
      <c r="MLQ112" s="83"/>
      <c r="MLR112" s="83"/>
      <c r="MLS112" s="83"/>
      <c r="MLT112" s="83"/>
      <c r="MLU112" s="83"/>
      <c r="MLV112" s="83"/>
      <c r="MLW112" s="83"/>
      <c r="MLX112" s="83"/>
      <c r="MLY112" s="83"/>
      <c r="MLZ112" s="83"/>
      <c r="MMA112" s="83"/>
      <c r="MMB112" s="83"/>
      <c r="MMC112" s="83"/>
      <c r="MMD112" s="82"/>
      <c r="MME112" s="83"/>
      <c r="MMF112" s="83"/>
      <c r="MMG112" s="83"/>
      <c r="MMH112" s="83"/>
      <c r="MMI112" s="83"/>
      <c r="MMJ112" s="83"/>
      <c r="MMK112" s="83"/>
      <c r="MML112" s="83"/>
      <c r="MMM112" s="83"/>
      <c r="MMN112" s="83"/>
      <c r="MMO112" s="83"/>
      <c r="MMP112" s="83"/>
      <c r="MMQ112" s="83"/>
      <c r="MMR112" s="83"/>
      <c r="MMS112" s="83"/>
      <c r="MMT112" s="83"/>
      <c r="MMU112" s="83"/>
      <c r="MMV112" s="83"/>
      <c r="MMW112" s="83"/>
      <c r="MMX112" s="83"/>
      <c r="MMY112" s="83"/>
      <c r="MMZ112" s="82"/>
      <c r="MNA112" s="83"/>
      <c r="MNB112" s="83"/>
      <c r="MNC112" s="83"/>
      <c r="MND112" s="83"/>
      <c r="MNE112" s="83"/>
      <c r="MNF112" s="83"/>
      <c r="MNG112" s="83"/>
      <c r="MNH112" s="83"/>
      <c r="MNI112" s="83"/>
      <c r="MNJ112" s="83"/>
      <c r="MNK112" s="83"/>
      <c r="MNL112" s="83"/>
      <c r="MNM112" s="83"/>
      <c r="MNN112" s="83"/>
      <c r="MNO112" s="83"/>
      <c r="MNP112" s="83"/>
      <c r="MNQ112" s="83"/>
      <c r="MNR112" s="83"/>
      <c r="MNS112" s="83"/>
      <c r="MNT112" s="83"/>
      <c r="MNU112" s="83"/>
      <c r="MNV112" s="82"/>
      <c r="MNW112" s="83"/>
      <c r="MNX112" s="83"/>
      <c r="MNY112" s="83"/>
      <c r="MNZ112" s="83"/>
      <c r="MOA112" s="83"/>
      <c r="MOB112" s="83"/>
      <c r="MOC112" s="83"/>
      <c r="MOD112" s="83"/>
      <c r="MOE112" s="83"/>
      <c r="MOF112" s="83"/>
      <c r="MOG112" s="83"/>
      <c r="MOH112" s="83"/>
      <c r="MOI112" s="83"/>
      <c r="MOJ112" s="83"/>
      <c r="MOK112" s="83"/>
      <c r="MOL112" s="83"/>
      <c r="MOM112" s="83"/>
      <c r="MON112" s="83"/>
      <c r="MOO112" s="83"/>
      <c r="MOP112" s="83"/>
      <c r="MOQ112" s="83"/>
      <c r="MOR112" s="82"/>
      <c r="MOS112" s="83"/>
      <c r="MOT112" s="83"/>
      <c r="MOU112" s="83"/>
      <c r="MOV112" s="83"/>
      <c r="MOW112" s="83"/>
      <c r="MOX112" s="83"/>
      <c r="MOY112" s="83"/>
      <c r="MOZ112" s="83"/>
      <c r="MPA112" s="83"/>
      <c r="MPB112" s="83"/>
      <c r="MPC112" s="83"/>
      <c r="MPD112" s="83"/>
      <c r="MPE112" s="83"/>
      <c r="MPF112" s="83"/>
      <c r="MPG112" s="83"/>
      <c r="MPH112" s="83"/>
      <c r="MPI112" s="83"/>
      <c r="MPJ112" s="83"/>
      <c r="MPK112" s="83"/>
      <c r="MPL112" s="83"/>
      <c r="MPM112" s="83"/>
      <c r="MPN112" s="82"/>
      <c r="MPO112" s="83"/>
      <c r="MPP112" s="83"/>
      <c r="MPQ112" s="83"/>
      <c r="MPR112" s="83"/>
      <c r="MPS112" s="83"/>
      <c r="MPT112" s="83"/>
      <c r="MPU112" s="83"/>
      <c r="MPV112" s="83"/>
      <c r="MPW112" s="83"/>
      <c r="MPX112" s="83"/>
      <c r="MPY112" s="83"/>
      <c r="MPZ112" s="83"/>
      <c r="MQA112" s="83"/>
      <c r="MQB112" s="83"/>
      <c r="MQC112" s="83"/>
      <c r="MQD112" s="83"/>
      <c r="MQE112" s="83"/>
      <c r="MQF112" s="83"/>
      <c r="MQG112" s="83"/>
      <c r="MQH112" s="83"/>
      <c r="MQI112" s="83"/>
      <c r="MQJ112" s="82"/>
      <c r="MQK112" s="83"/>
      <c r="MQL112" s="83"/>
      <c r="MQM112" s="83"/>
      <c r="MQN112" s="83"/>
      <c r="MQO112" s="83"/>
      <c r="MQP112" s="83"/>
      <c r="MQQ112" s="83"/>
      <c r="MQR112" s="83"/>
      <c r="MQS112" s="83"/>
      <c r="MQT112" s="83"/>
      <c r="MQU112" s="83"/>
      <c r="MQV112" s="83"/>
      <c r="MQW112" s="83"/>
      <c r="MQX112" s="83"/>
      <c r="MQY112" s="83"/>
      <c r="MQZ112" s="83"/>
      <c r="MRA112" s="83"/>
      <c r="MRB112" s="83"/>
      <c r="MRC112" s="83"/>
      <c r="MRD112" s="83"/>
      <c r="MRE112" s="83"/>
      <c r="MRF112" s="82"/>
      <c r="MRG112" s="83"/>
      <c r="MRH112" s="83"/>
      <c r="MRI112" s="83"/>
      <c r="MRJ112" s="83"/>
      <c r="MRK112" s="83"/>
      <c r="MRL112" s="83"/>
      <c r="MRM112" s="83"/>
      <c r="MRN112" s="83"/>
      <c r="MRO112" s="83"/>
      <c r="MRP112" s="83"/>
      <c r="MRQ112" s="83"/>
      <c r="MRR112" s="83"/>
      <c r="MRS112" s="83"/>
      <c r="MRT112" s="83"/>
      <c r="MRU112" s="83"/>
      <c r="MRV112" s="83"/>
      <c r="MRW112" s="83"/>
      <c r="MRX112" s="83"/>
      <c r="MRY112" s="83"/>
      <c r="MRZ112" s="83"/>
      <c r="MSA112" s="83"/>
      <c r="MSB112" s="82"/>
      <c r="MSC112" s="83"/>
      <c r="MSD112" s="83"/>
      <c r="MSE112" s="83"/>
      <c r="MSF112" s="83"/>
      <c r="MSG112" s="83"/>
      <c r="MSH112" s="83"/>
      <c r="MSI112" s="83"/>
      <c r="MSJ112" s="83"/>
      <c r="MSK112" s="83"/>
      <c r="MSL112" s="83"/>
      <c r="MSM112" s="83"/>
      <c r="MSN112" s="83"/>
      <c r="MSO112" s="83"/>
      <c r="MSP112" s="83"/>
      <c r="MSQ112" s="83"/>
      <c r="MSR112" s="83"/>
      <c r="MSS112" s="83"/>
      <c r="MST112" s="83"/>
      <c r="MSU112" s="83"/>
      <c r="MSV112" s="83"/>
      <c r="MSW112" s="83"/>
      <c r="MSX112" s="82"/>
      <c r="MSY112" s="83"/>
      <c r="MSZ112" s="83"/>
      <c r="MTA112" s="83"/>
      <c r="MTB112" s="83"/>
      <c r="MTC112" s="83"/>
      <c r="MTD112" s="83"/>
      <c r="MTE112" s="83"/>
      <c r="MTF112" s="83"/>
      <c r="MTG112" s="83"/>
      <c r="MTH112" s="83"/>
      <c r="MTI112" s="83"/>
      <c r="MTJ112" s="83"/>
      <c r="MTK112" s="83"/>
      <c r="MTL112" s="83"/>
      <c r="MTM112" s="83"/>
      <c r="MTN112" s="83"/>
      <c r="MTO112" s="83"/>
      <c r="MTP112" s="83"/>
      <c r="MTQ112" s="83"/>
      <c r="MTR112" s="83"/>
      <c r="MTS112" s="83"/>
      <c r="MTT112" s="82"/>
      <c r="MTU112" s="83"/>
      <c r="MTV112" s="83"/>
      <c r="MTW112" s="83"/>
      <c r="MTX112" s="83"/>
      <c r="MTY112" s="83"/>
      <c r="MTZ112" s="83"/>
      <c r="MUA112" s="83"/>
      <c r="MUB112" s="83"/>
      <c r="MUC112" s="83"/>
      <c r="MUD112" s="83"/>
      <c r="MUE112" s="83"/>
      <c r="MUF112" s="83"/>
      <c r="MUG112" s="83"/>
      <c r="MUH112" s="83"/>
      <c r="MUI112" s="83"/>
      <c r="MUJ112" s="83"/>
      <c r="MUK112" s="83"/>
      <c r="MUL112" s="83"/>
      <c r="MUM112" s="83"/>
      <c r="MUN112" s="83"/>
      <c r="MUO112" s="83"/>
      <c r="MUP112" s="82"/>
      <c r="MUQ112" s="83"/>
      <c r="MUR112" s="83"/>
      <c r="MUS112" s="83"/>
      <c r="MUT112" s="83"/>
      <c r="MUU112" s="83"/>
      <c r="MUV112" s="83"/>
      <c r="MUW112" s="83"/>
      <c r="MUX112" s="83"/>
      <c r="MUY112" s="83"/>
      <c r="MUZ112" s="83"/>
      <c r="MVA112" s="83"/>
      <c r="MVB112" s="83"/>
      <c r="MVC112" s="83"/>
      <c r="MVD112" s="83"/>
      <c r="MVE112" s="83"/>
      <c r="MVF112" s="83"/>
      <c r="MVG112" s="83"/>
      <c r="MVH112" s="83"/>
      <c r="MVI112" s="83"/>
      <c r="MVJ112" s="83"/>
      <c r="MVK112" s="83"/>
      <c r="MVL112" s="82"/>
      <c r="MVM112" s="83"/>
      <c r="MVN112" s="83"/>
      <c r="MVO112" s="83"/>
      <c r="MVP112" s="83"/>
      <c r="MVQ112" s="83"/>
      <c r="MVR112" s="83"/>
      <c r="MVS112" s="83"/>
      <c r="MVT112" s="83"/>
      <c r="MVU112" s="83"/>
      <c r="MVV112" s="83"/>
      <c r="MVW112" s="83"/>
      <c r="MVX112" s="83"/>
      <c r="MVY112" s="83"/>
      <c r="MVZ112" s="83"/>
      <c r="MWA112" s="83"/>
      <c r="MWB112" s="83"/>
      <c r="MWC112" s="83"/>
      <c r="MWD112" s="83"/>
      <c r="MWE112" s="83"/>
      <c r="MWF112" s="83"/>
      <c r="MWG112" s="83"/>
      <c r="MWH112" s="82"/>
      <c r="MWI112" s="83"/>
      <c r="MWJ112" s="83"/>
      <c r="MWK112" s="83"/>
      <c r="MWL112" s="83"/>
      <c r="MWM112" s="83"/>
      <c r="MWN112" s="83"/>
      <c r="MWO112" s="83"/>
      <c r="MWP112" s="83"/>
      <c r="MWQ112" s="83"/>
      <c r="MWR112" s="83"/>
      <c r="MWS112" s="83"/>
      <c r="MWT112" s="83"/>
      <c r="MWU112" s="83"/>
      <c r="MWV112" s="83"/>
      <c r="MWW112" s="83"/>
      <c r="MWX112" s="83"/>
      <c r="MWY112" s="83"/>
      <c r="MWZ112" s="83"/>
      <c r="MXA112" s="83"/>
      <c r="MXB112" s="83"/>
      <c r="MXC112" s="83"/>
      <c r="MXD112" s="82"/>
      <c r="MXE112" s="83"/>
      <c r="MXF112" s="83"/>
      <c r="MXG112" s="83"/>
      <c r="MXH112" s="83"/>
      <c r="MXI112" s="83"/>
      <c r="MXJ112" s="83"/>
      <c r="MXK112" s="83"/>
      <c r="MXL112" s="83"/>
      <c r="MXM112" s="83"/>
      <c r="MXN112" s="83"/>
      <c r="MXO112" s="83"/>
      <c r="MXP112" s="83"/>
      <c r="MXQ112" s="83"/>
      <c r="MXR112" s="83"/>
      <c r="MXS112" s="83"/>
      <c r="MXT112" s="83"/>
      <c r="MXU112" s="83"/>
      <c r="MXV112" s="83"/>
      <c r="MXW112" s="83"/>
      <c r="MXX112" s="83"/>
      <c r="MXY112" s="83"/>
      <c r="MXZ112" s="82"/>
      <c r="MYA112" s="83"/>
      <c r="MYB112" s="83"/>
      <c r="MYC112" s="83"/>
      <c r="MYD112" s="83"/>
      <c r="MYE112" s="83"/>
      <c r="MYF112" s="83"/>
      <c r="MYG112" s="83"/>
      <c r="MYH112" s="83"/>
      <c r="MYI112" s="83"/>
      <c r="MYJ112" s="83"/>
      <c r="MYK112" s="83"/>
      <c r="MYL112" s="83"/>
      <c r="MYM112" s="83"/>
      <c r="MYN112" s="83"/>
      <c r="MYO112" s="83"/>
      <c r="MYP112" s="83"/>
      <c r="MYQ112" s="83"/>
      <c r="MYR112" s="83"/>
      <c r="MYS112" s="83"/>
      <c r="MYT112" s="83"/>
      <c r="MYU112" s="83"/>
      <c r="MYV112" s="82"/>
      <c r="MYW112" s="83"/>
      <c r="MYX112" s="83"/>
      <c r="MYY112" s="83"/>
      <c r="MYZ112" s="83"/>
      <c r="MZA112" s="83"/>
      <c r="MZB112" s="83"/>
      <c r="MZC112" s="83"/>
      <c r="MZD112" s="83"/>
      <c r="MZE112" s="83"/>
      <c r="MZF112" s="83"/>
      <c r="MZG112" s="83"/>
      <c r="MZH112" s="83"/>
      <c r="MZI112" s="83"/>
      <c r="MZJ112" s="83"/>
      <c r="MZK112" s="83"/>
      <c r="MZL112" s="83"/>
      <c r="MZM112" s="83"/>
      <c r="MZN112" s="83"/>
      <c r="MZO112" s="83"/>
      <c r="MZP112" s="83"/>
      <c r="MZQ112" s="83"/>
      <c r="MZR112" s="82"/>
      <c r="MZS112" s="83"/>
      <c r="MZT112" s="83"/>
      <c r="MZU112" s="83"/>
      <c r="MZV112" s="83"/>
      <c r="MZW112" s="83"/>
      <c r="MZX112" s="83"/>
      <c r="MZY112" s="83"/>
      <c r="MZZ112" s="83"/>
      <c r="NAA112" s="83"/>
      <c r="NAB112" s="83"/>
      <c r="NAC112" s="83"/>
      <c r="NAD112" s="83"/>
      <c r="NAE112" s="83"/>
      <c r="NAF112" s="83"/>
      <c r="NAG112" s="83"/>
      <c r="NAH112" s="83"/>
      <c r="NAI112" s="83"/>
      <c r="NAJ112" s="83"/>
      <c r="NAK112" s="83"/>
      <c r="NAL112" s="83"/>
      <c r="NAM112" s="83"/>
      <c r="NAN112" s="82"/>
      <c r="NAO112" s="83"/>
      <c r="NAP112" s="83"/>
      <c r="NAQ112" s="83"/>
      <c r="NAR112" s="83"/>
      <c r="NAS112" s="83"/>
      <c r="NAT112" s="83"/>
      <c r="NAU112" s="83"/>
      <c r="NAV112" s="83"/>
      <c r="NAW112" s="83"/>
      <c r="NAX112" s="83"/>
      <c r="NAY112" s="83"/>
      <c r="NAZ112" s="83"/>
      <c r="NBA112" s="83"/>
      <c r="NBB112" s="83"/>
      <c r="NBC112" s="83"/>
      <c r="NBD112" s="83"/>
      <c r="NBE112" s="83"/>
      <c r="NBF112" s="83"/>
      <c r="NBG112" s="83"/>
      <c r="NBH112" s="83"/>
      <c r="NBI112" s="83"/>
      <c r="NBJ112" s="82"/>
      <c r="NBK112" s="83"/>
      <c r="NBL112" s="83"/>
      <c r="NBM112" s="83"/>
      <c r="NBN112" s="83"/>
      <c r="NBO112" s="83"/>
      <c r="NBP112" s="83"/>
      <c r="NBQ112" s="83"/>
      <c r="NBR112" s="83"/>
      <c r="NBS112" s="83"/>
      <c r="NBT112" s="83"/>
      <c r="NBU112" s="83"/>
      <c r="NBV112" s="83"/>
      <c r="NBW112" s="83"/>
      <c r="NBX112" s="83"/>
      <c r="NBY112" s="83"/>
      <c r="NBZ112" s="83"/>
      <c r="NCA112" s="83"/>
      <c r="NCB112" s="83"/>
      <c r="NCC112" s="83"/>
      <c r="NCD112" s="83"/>
      <c r="NCE112" s="83"/>
      <c r="NCF112" s="82"/>
      <c r="NCG112" s="83"/>
      <c r="NCH112" s="83"/>
      <c r="NCI112" s="83"/>
      <c r="NCJ112" s="83"/>
      <c r="NCK112" s="83"/>
      <c r="NCL112" s="83"/>
      <c r="NCM112" s="83"/>
      <c r="NCN112" s="83"/>
      <c r="NCO112" s="83"/>
      <c r="NCP112" s="83"/>
      <c r="NCQ112" s="83"/>
      <c r="NCR112" s="83"/>
      <c r="NCS112" s="83"/>
      <c r="NCT112" s="83"/>
      <c r="NCU112" s="83"/>
      <c r="NCV112" s="83"/>
      <c r="NCW112" s="83"/>
      <c r="NCX112" s="83"/>
      <c r="NCY112" s="83"/>
      <c r="NCZ112" s="83"/>
      <c r="NDA112" s="83"/>
      <c r="NDB112" s="82"/>
      <c r="NDC112" s="83"/>
      <c r="NDD112" s="83"/>
      <c r="NDE112" s="83"/>
      <c r="NDF112" s="83"/>
      <c r="NDG112" s="83"/>
      <c r="NDH112" s="83"/>
      <c r="NDI112" s="83"/>
      <c r="NDJ112" s="83"/>
      <c r="NDK112" s="83"/>
      <c r="NDL112" s="83"/>
      <c r="NDM112" s="83"/>
      <c r="NDN112" s="83"/>
      <c r="NDO112" s="83"/>
      <c r="NDP112" s="83"/>
      <c r="NDQ112" s="83"/>
      <c r="NDR112" s="83"/>
      <c r="NDS112" s="83"/>
      <c r="NDT112" s="83"/>
      <c r="NDU112" s="83"/>
      <c r="NDV112" s="83"/>
      <c r="NDW112" s="83"/>
      <c r="NDX112" s="82"/>
      <c r="NDY112" s="83"/>
      <c r="NDZ112" s="83"/>
      <c r="NEA112" s="83"/>
      <c r="NEB112" s="83"/>
      <c r="NEC112" s="83"/>
      <c r="NED112" s="83"/>
      <c r="NEE112" s="83"/>
      <c r="NEF112" s="83"/>
      <c r="NEG112" s="83"/>
      <c r="NEH112" s="83"/>
      <c r="NEI112" s="83"/>
      <c r="NEJ112" s="83"/>
      <c r="NEK112" s="83"/>
      <c r="NEL112" s="83"/>
      <c r="NEM112" s="83"/>
      <c r="NEN112" s="83"/>
      <c r="NEO112" s="83"/>
      <c r="NEP112" s="83"/>
      <c r="NEQ112" s="83"/>
      <c r="NER112" s="83"/>
      <c r="NES112" s="83"/>
      <c r="NET112" s="82"/>
      <c r="NEU112" s="83"/>
      <c r="NEV112" s="83"/>
      <c r="NEW112" s="83"/>
      <c r="NEX112" s="83"/>
      <c r="NEY112" s="83"/>
      <c r="NEZ112" s="83"/>
      <c r="NFA112" s="83"/>
      <c r="NFB112" s="83"/>
      <c r="NFC112" s="83"/>
      <c r="NFD112" s="83"/>
      <c r="NFE112" s="83"/>
      <c r="NFF112" s="83"/>
      <c r="NFG112" s="83"/>
      <c r="NFH112" s="83"/>
      <c r="NFI112" s="83"/>
      <c r="NFJ112" s="83"/>
      <c r="NFK112" s="83"/>
      <c r="NFL112" s="83"/>
      <c r="NFM112" s="83"/>
      <c r="NFN112" s="83"/>
      <c r="NFO112" s="83"/>
      <c r="NFP112" s="82"/>
      <c r="NFQ112" s="83"/>
      <c r="NFR112" s="83"/>
      <c r="NFS112" s="83"/>
      <c r="NFT112" s="83"/>
      <c r="NFU112" s="83"/>
      <c r="NFV112" s="83"/>
      <c r="NFW112" s="83"/>
      <c r="NFX112" s="83"/>
      <c r="NFY112" s="83"/>
      <c r="NFZ112" s="83"/>
      <c r="NGA112" s="83"/>
      <c r="NGB112" s="83"/>
      <c r="NGC112" s="83"/>
      <c r="NGD112" s="83"/>
      <c r="NGE112" s="83"/>
      <c r="NGF112" s="83"/>
      <c r="NGG112" s="83"/>
      <c r="NGH112" s="83"/>
      <c r="NGI112" s="83"/>
      <c r="NGJ112" s="83"/>
      <c r="NGK112" s="83"/>
      <c r="NGL112" s="82"/>
      <c r="NGM112" s="83"/>
      <c r="NGN112" s="83"/>
      <c r="NGO112" s="83"/>
      <c r="NGP112" s="83"/>
      <c r="NGQ112" s="83"/>
      <c r="NGR112" s="83"/>
      <c r="NGS112" s="83"/>
      <c r="NGT112" s="83"/>
      <c r="NGU112" s="83"/>
      <c r="NGV112" s="83"/>
      <c r="NGW112" s="83"/>
      <c r="NGX112" s="83"/>
      <c r="NGY112" s="83"/>
      <c r="NGZ112" s="83"/>
      <c r="NHA112" s="83"/>
      <c r="NHB112" s="83"/>
      <c r="NHC112" s="83"/>
      <c r="NHD112" s="83"/>
      <c r="NHE112" s="83"/>
      <c r="NHF112" s="83"/>
      <c r="NHG112" s="83"/>
      <c r="NHH112" s="82"/>
      <c r="NHI112" s="83"/>
      <c r="NHJ112" s="83"/>
      <c r="NHK112" s="83"/>
      <c r="NHL112" s="83"/>
      <c r="NHM112" s="83"/>
      <c r="NHN112" s="83"/>
      <c r="NHO112" s="83"/>
      <c r="NHP112" s="83"/>
      <c r="NHQ112" s="83"/>
      <c r="NHR112" s="83"/>
      <c r="NHS112" s="83"/>
      <c r="NHT112" s="83"/>
      <c r="NHU112" s="83"/>
      <c r="NHV112" s="83"/>
      <c r="NHW112" s="83"/>
      <c r="NHX112" s="83"/>
      <c r="NHY112" s="83"/>
      <c r="NHZ112" s="83"/>
      <c r="NIA112" s="83"/>
      <c r="NIB112" s="83"/>
      <c r="NIC112" s="83"/>
      <c r="NID112" s="82"/>
      <c r="NIE112" s="83"/>
      <c r="NIF112" s="83"/>
      <c r="NIG112" s="83"/>
      <c r="NIH112" s="83"/>
      <c r="NII112" s="83"/>
      <c r="NIJ112" s="83"/>
      <c r="NIK112" s="83"/>
      <c r="NIL112" s="83"/>
      <c r="NIM112" s="83"/>
      <c r="NIN112" s="83"/>
      <c r="NIO112" s="83"/>
      <c r="NIP112" s="83"/>
      <c r="NIQ112" s="83"/>
      <c r="NIR112" s="83"/>
      <c r="NIS112" s="83"/>
      <c r="NIT112" s="83"/>
      <c r="NIU112" s="83"/>
      <c r="NIV112" s="83"/>
      <c r="NIW112" s="83"/>
      <c r="NIX112" s="83"/>
      <c r="NIY112" s="83"/>
      <c r="NIZ112" s="82"/>
      <c r="NJA112" s="83"/>
      <c r="NJB112" s="83"/>
      <c r="NJC112" s="83"/>
      <c r="NJD112" s="83"/>
      <c r="NJE112" s="83"/>
      <c r="NJF112" s="83"/>
      <c r="NJG112" s="83"/>
      <c r="NJH112" s="83"/>
      <c r="NJI112" s="83"/>
      <c r="NJJ112" s="83"/>
      <c r="NJK112" s="83"/>
      <c r="NJL112" s="83"/>
      <c r="NJM112" s="83"/>
      <c r="NJN112" s="83"/>
      <c r="NJO112" s="83"/>
      <c r="NJP112" s="83"/>
      <c r="NJQ112" s="83"/>
      <c r="NJR112" s="83"/>
      <c r="NJS112" s="83"/>
      <c r="NJT112" s="83"/>
      <c r="NJU112" s="83"/>
      <c r="NJV112" s="82"/>
      <c r="NJW112" s="83"/>
      <c r="NJX112" s="83"/>
      <c r="NJY112" s="83"/>
      <c r="NJZ112" s="83"/>
      <c r="NKA112" s="83"/>
      <c r="NKB112" s="83"/>
      <c r="NKC112" s="83"/>
      <c r="NKD112" s="83"/>
      <c r="NKE112" s="83"/>
      <c r="NKF112" s="83"/>
      <c r="NKG112" s="83"/>
      <c r="NKH112" s="83"/>
      <c r="NKI112" s="83"/>
      <c r="NKJ112" s="83"/>
      <c r="NKK112" s="83"/>
      <c r="NKL112" s="83"/>
      <c r="NKM112" s="83"/>
      <c r="NKN112" s="83"/>
      <c r="NKO112" s="83"/>
      <c r="NKP112" s="83"/>
      <c r="NKQ112" s="83"/>
      <c r="NKR112" s="82"/>
      <c r="NKS112" s="83"/>
      <c r="NKT112" s="83"/>
      <c r="NKU112" s="83"/>
      <c r="NKV112" s="83"/>
      <c r="NKW112" s="83"/>
      <c r="NKX112" s="83"/>
      <c r="NKY112" s="83"/>
      <c r="NKZ112" s="83"/>
      <c r="NLA112" s="83"/>
      <c r="NLB112" s="83"/>
      <c r="NLC112" s="83"/>
      <c r="NLD112" s="83"/>
      <c r="NLE112" s="83"/>
      <c r="NLF112" s="83"/>
      <c r="NLG112" s="83"/>
      <c r="NLH112" s="83"/>
      <c r="NLI112" s="83"/>
      <c r="NLJ112" s="83"/>
      <c r="NLK112" s="83"/>
      <c r="NLL112" s="83"/>
      <c r="NLM112" s="83"/>
      <c r="NLN112" s="82"/>
      <c r="NLO112" s="83"/>
      <c r="NLP112" s="83"/>
      <c r="NLQ112" s="83"/>
      <c r="NLR112" s="83"/>
      <c r="NLS112" s="83"/>
      <c r="NLT112" s="83"/>
      <c r="NLU112" s="83"/>
      <c r="NLV112" s="83"/>
      <c r="NLW112" s="83"/>
      <c r="NLX112" s="83"/>
      <c r="NLY112" s="83"/>
      <c r="NLZ112" s="83"/>
      <c r="NMA112" s="83"/>
      <c r="NMB112" s="83"/>
      <c r="NMC112" s="83"/>
      <c r="NMD112" s="83"/>
      <c r="NME112" s="83"/>
      <c r="NMF112" s="83"/>
      <c r="NMG112" s="83"/>
      <c r="NMH112" s="83"/>
      <c r="NMI112" s="83"/>
      <c r="NMJ112" s="82"/>
      <c r="NMK112" s="83"/>
      <c r="NML112" s="83"/>
      <c r="NMM112" s="83"/>
      <c r="NMN112" s="83"/>
      <c r="NMO112" s="83"/>
      <c r="NMP112" s="83"/>
      <c r="NMQ112" s="83"/>
      <c r="NMR112" s="83"/>
      <c r="NMS112" s="83"/>
      <c r="NMT112" s="83"/>
      <c r="NMU112" s="83"/>
      <c r="NMV112" s="83"/>
      <c r="NMW112" s="83"/>
      <c r="NMX112" s="83"/>
      <c r="NMY112" s="83"/>
      <c r="NMZ112" s="83"/>
      <c r="NNA112" s="83"/>
      <c r="NNB112" s="83"/>
      <c r="NNC112" s="83"/>
      <c r="NND112" s="83"/>
      <c r="NNE112" s="83"/>
      <c r="NNF112" s="82"/>
      <c r="NNG112" s="83"/>
      <c r="NNH112" s="83"/>
      <c r="NNI112" s="83"/>
      <c r="NNJ112" s="83"/>
      <c r="NNK112" s="83"/>
      <c r="NNL112" s="83"/>
      <c r="NNM112" s="83"/>
      <c r="NNN112" s="83"/>
      <c r="NNO112" s="83"/>
      <c r="NNP112" s="83"/>
      <c r="NNQ112" s="83"/>
      <c r="NNR112" s="83"/>
      <c r="NNS112" s="83"/>
      <c r="NNT112" s="83"/>
      <c r="NNU112" s="83"/>
      <c r="NNV112" s="83"/>
      <c r="NNW112" s="83"/>
      <c r="NNX112" s="83"/>
      <c r="NNY112" s="83"/>
      <c r="NNZ112" s="83"/>
      <c r="NOA112" s="83"/>
      <c r="NOB112" s="82"/>
      <c r="NOC112" s="83"/>
      <c r="NOD112" s="83"/>
      <c r="NOE112" s="83"/>
      <c r="NOF112" s="83"/>
      <c r="NOG112" s="83"/>
      <c r="NOH112" s="83"/>
      <c r="NOI112" s="83"/>
      <c r="NOJ112" s="83"/>
      <c r="NOK112" s="83"/>
      <c r="NOL112" s="83"/>
      <c r="NOM112" s="83"/>
      <c r="NON112" s="83"/>
      <c r="NOO112" s="83"/>
      <c r="NOP112" s="83"/>
      <c r="NOQ112" s="83"/>
      <c r="NOR112" s="83"/>
      <c r="NOS112" s="83"/>
      <c r="NOT112" s="83"/>
      <c r="NOU112" s="83"/>
      <c r="NOV112" s="83"/>
      <c r="NOW112" s="83"/>
      <c r="NOX112" s="82"/>
      <c r="NOY112" s="83"/>
      <c r="NOZ112" s="83"/>
      <c r="NPA112" s="83"/>
      <c r="NPB112" s="83"/>
      <c r="NPC112" s="83"/>
      <c r="NPD112" s="83"/>
      <c r="NPE112" s="83"/>
      <c r="NPF112" s="83"/>
      <c r="NPG112" s="83"/>
      <c r="NPH112" s="83"/>
      <c r="NPI112" s="83"/>
      <c r="NPJ112" s="83"/>
      <c r="NPK112" s="83"/>
      <c r="NPL112" s="83"/>
      <c r="NPM112" s="83"/>
      <c r="NPN112" s="83"/>
      <c r="NPO112" s="83"/>
      <c r="NPP112" s="83"/>
      <c r="NPQ112" s="83"/>
      <c r="NPR112" s="83"/>
      <c r="NPS112" s="83"/>
      <c r="NPT112" s="82"/>
      <c r="NPU112" s="83"/>
      <c r="NPV112" s="83"/>
      <c r="NPW112" s="83"/>
      <c r="NPX112" s="83"/>
      <c r="NPY112" s="83"/>
      <c r="NPZ112" s="83"/>
      <c r="NQA112" s="83"/>
      <c r="NQB112" s="83"/>
      <c r="NQC112" s="83"/>
      <c r="NQD112" s="83"/>
      <c r="NQE112" s="83"/>
      <c r="NQF112" s="83"/>
      <c r="NQG112" s="83"/>
      <c r="NQH112" s="83"/>
      <c r="NQI112" s="83"/>
      <c r="NQJ112" s="83"/>
      <c r="NQK112" s="83"/>
      <c r="NQL112" s="83"/>
      <c r="NQM112" s="83"/>
      <c r="NQN112" s="83"/>
      <c r="NQO112" s="83"/>
      <c r="NQP112" s="82"/>
      <c r="NQQ112" s="83"/>
      <c r="NQR112" s="83"/>
      <c r="NQS112" s="83"/>
      <c r="NQT112" s="83"/>
      <c r="NQU112" s="83"/>
      <c r="NQV112" s="83"/>
      <c r="NQW112" s="83"/>
      <c r="NQX112" s="83"/>
      <c r="NQY112" s="83"/>
      <c r="NQZ112" s="83"/>
      <c r="NRA112" s="83"/>
      <c r="NRB112" s="83"/>
      <c r="NRC112" s="83"/>
      <c r="NRD112" s="83"/>
      <c r="NRE112" s="83"/>
      <c r="NRF112" s="83"/>
      <c r="NRG112" s="83"/>
      <c r="NRH112" s="83"/>
      <c r="NRI112" s="83"/>
      <c r="NRJ112" s="83"/>
      <c r="NRK112" s="83"/>
      <c r="NRL112" s="82"/>
      <c r="NRM112" s="83"/>
      <c r="NRN112" s="83"/>
      <c r="NRO112" s="83"/>
      <c r="NRP112" s="83"/>
      <c r="NRQ112" s="83"/>
      <c r="NRR112" s="83"/>
      <c r="NRS112" s="83"/>
      <c r="NRT112" s="83"/>
      <c r="NRU112" s="83"/>
      <c r="NRV112" s="83"/>
      <c r="NRW112" s="83"/>
      <c r="NRX112" s="83"/>
      <c r="NRY112" s="83"/>
      <c r="NRZ112" s="83"/>
      <c r="NSA112" s="83"/>
      <c r="NSB112" s="83"/>
      <c r="NSC112" s="83"/>
      <c r="NSD112" s="83"/>
      <c r="NSE112" s="83"/>
      <c r="NSF112" s="83"/>
      <c r="NSG112" s="83"/>
      <c r="NSH112" s="82"/>
      <c r="NSI112" s="83"/>
      <c r="NSJ112" s="83"/>
      <c r="NSK112" s="83"/>
      <c r="NSL112" s="83"/>
      <c r="NSM112" s="83"/>
      <c r="NSN112" s="83"/>
      <c r="NSO112" s="83"/>
      <c r="NSP112" s="83"/>
      <c r="NSQ112" s="83"/>
      <c r="NSR112" s="83"/>
      <c r="NSS112" s="83"/>
      <c r="NST112" s="83"/>
      <c r="NSU112" s="83"/>
      <c r="NSV112" s="83"/>
      <c r="NSW112" s="83"/>
      <c r="NSX112" s="83"/>
      <c r="NSY112" s="83"/>
      <c r="NSZ112" s="83"/>
      <c r="NTA112" s="83"/>
      <c r="NTB112" s="83"/>
      <c r="NTC112" s="83"/>
      <c r="NTD112" s="82"/>
      <c r="NTE112" s="83"/>
      <c r="NTF112" s="83"/>
      <c r="NTG112" s="83"/>
      <c r="NTH112" s="83"/>
      <c r="NTI112" s="83"/>
      <c r="NTJ112" s="83"/>
      <c r="NTK112" s="83"/>
      <c r="NTL112" s="83"/>
      <c r="NTM112" s="83"/>
      <c r="NTN112" s="83"/>
      <c r="NTO112" s="83"/>
      <c r="NTP112" s="83"/>
      <c r="NTQ112" s="83"/>
      <c r="NTR112" s="83"/>
      <c r="NTS112" s="83"/>
      <c r="NTT112" s="83"/>
      <c r="NTU112" s="83"/>
      <c r="NTV112" s="83"/>
      <c r="NTW112" s="83"/>
      <c r="NTX112" s="83"/>
      <c r="NTY112" s="83"/>
      <c r="NTZ112" s="82"/>
      <c r="NUA112" s="83"/>
      <c r="NUB112" s="83"/>
      <c r="NUC112" s="83"/>
      <c r="NUD112" s="83"/>
      <c r="NUE112" s="83"/>
      <c r="NUF112" s="83"/>
      <c r="NUG112" s="83"/>
      <c r="NUH112" s="83"/>
      <c r="NUI112" s="83"/>
      <c r="NUJ112" s="83"/>
      <c r="NUK112" s="83"/>
      <c r="NUL112" s="83"/>
      <c r="NUM112" s="83"/>
      <c r="NUN112" s="83"/>
      <c r="NUO112" s="83"/>
      <c r="NUP112" s="83"/>
      <c r="NUQ112" s="83"/>
      <c r="NUR112" s="83"/>
      <c r="NUS112" s="83"/>
      <c r="NUT112" s="83"/>
      <c r="NUU112" s="83"/>
      <c r="NUV112" s="82"/>
      <c r="NUW112" s="83"/>
      <c r="NUX112" s="83"/>
      <c r="NUY112" s="83"/>
      <c r="NUZ112" s="83"/>
      <c r="NVA112" s="83"/>
      <c r="NVB112" s="83"/>
      <c r="NVC112" s="83"/>
      <c r="NVD112" s="83"/>
      <c r="NVE112" s="83"/>
      <c r="NVF112" s="83"/>
      <c r="NVG112" s="83"/>
      <c r="NVH112" s="83"/>
      <c r="NVI112" s="83"/>
      <c r="NVJ112" s="83"/>
      <c r="NVK112" s="83"/>
      <c r="NVL112" s="83"/>
      <c r="NVM112" s="83"/>
      <c r="NVN112" s="83"/>
      <c r="NVO112" s="83"/>
      <c r="NVP112" s="83"/>
      <c r="NVQ112" s="83"/>
      <c r="NVR112" s="82"/>
      <c r="NVS112" s="83"/>
      <c r="NVT112" s="83"/>
      <c r="NVU112" s="83"/>
      <c r="NVV112" s="83"/>
      <c r="NVW112" s="83"/>
      <c r="NVX112" s="83"/>
      <c r="NVY112" s="83"/>
      <c r="NVZ112" s="83"/>
      <c r="NWA112" s="83"/>
      <c r="NWB112" s="83"/>
      <c r="NWC112" s="83"/>
      <c r="NWD112" s="83"/>
      <c r="NWE112" s="83"/>
      <c r="NWF112" s="83"/>
      <c r="NWG112" s="83"/>
      <c r="NWH112" s="83"/>
      <c r="NWI112" s="83"/>
      <c r="NWJ112" s="83"/>
      <c r="NWK112" s="83"/>
      <c r="NWL112" s="83"/>
      <c r="NWM112" s="83"/>
      <c r="NWN112" s="82"/>
      <c r="NWO112" s="83"/>
      <c r="NWP112" s="83"/>
      <c r="NWQ112" s="83"/>
      <c r="NWR112" s="83"/>
      <c r="NWS112" s="83"/>
      <c r="NWT112" s="83"/>
      <c r="NWU112" s="83"/>
      <c r="NWV112" s="83"/>
      <c r="NWW112" s="83"/>
      <c r="NWX112" s="83"/>
      <c r="NWY112" s="83"/>
      <c r="NWZ112" s="83"/>
      <c r="NXA112" s="83"/>
      <c r="NXB112" s="83"/>
      <c r="NXC112" s="83"/>
      <c r="NXD112" s="83"/>
      <c r="NXE112" s="83"/>
      <c r="NXF112" s="83"/>
      <c r="NXG112" s="83"/>
      <c r="NXH112" s="83"/>
      <c r="NXI112" s="83"/>
      <c r="NXJ112" s="82"/>
      <c r="NXK112" s="83"/>
      <c r="NXL112" s="83"/>
      <c r="NXM112" s="83"/>
      <c r="NXN112" s="83"/>
      <c r="NXO112" s="83"/>
      <c r="NXP112" s="83"/>
      <c r="NXQ112" s="83"/>
      <c r="NXR112" s="83"/>
      <c r="NXS112" s="83"/>
      <c r="NXT112" s="83"/>
      <c r="NXU112" s="83"/>
      <c r="NXV112" s="83"/>
      <c r="NXW112" s="83"/>
      <c r="NXX112" s="83"/>
      <c r="NXY112" s="83"/>
      <c r="NXZ112" s="83"/>
      <c r="NYA112" s="83"/>
      <c r="NYB112" s="83"/>
      <c r="NYC112" s="83"/>
      <c r="NYD112" s="83"/>
      <c r="NYE112" s="83"/>
      <c r="NYF112" s="82"/>
      <c r="NYG112" s="83"/>
      <c r="NYH112" s="83"/>
      <c r="NYI112" s="83"/>
      <c r="NYJ112" s="83"/>
      <c r="NYK112" s="83"/>
      <c r="NYL112" s="83"/>
      <c r="NYM112" s="83"/>
      <c r="NYN112" s="83"/>
      <c r="NYO112" s="83"/>
      <c r="NYP112" s="83"/>
      <c r="NYQ112" s="83"/>
      <c r="NYR112" s="83"/>
      <c r="NYS112" s="83"/>
      <c r="NYT112" s="83"/>
      <c r="NYU112" s="83"/>
      <c r="NYV112" s="83"/>
      <c r="NYW112" s="83"/>
      <c r="NYX112" s="83"/>
      <c r="NYY112" s="83"/>
      <c r="NYZ112" s="83"/>
      <c r="NZA112" s="83"/>
      <c r="NZB112" s="82"/>
      <c r="NZC112" s="83"/>
      <c r="NZD112" s="83"/>
      <c r="NZE112" s="83"/>
      <c r="NZF112" s="83"/>
      <c r="NZG112" s="83"/>
      <c r="NZH112" s="83"/>
      <c r="NZI112" s="83"/>
      <c r="NZJ112" s="83"/>
      <c r="NZK112" s="83"/>
      <c r="NZL112" s="83"/>
      <c r="NZM112" s="83"/>
      <c r="NZN112" s="83"/>
      <c r="NZO112" s="83"/>
      <c r="NZP112" s="83"/>
      <c r="NZQ112" s="83"/>
      <c r="NZR112" s="83"/>
      <c r="NZS112" s="83"/>
      <c r="NZT112" s="83"/>
      <c r="NZU112" s="83"/>
      <c r="NZV112" s="83"/>
      <c r="NZW112" s="83"/>
      <c r="NZX112" s="82"/>
      <c r="NZY112" s="83"/>
      <c r="NZZ112" s="83"/>
      <c r="OAA112" s="83"/>
      <c r="OAB112" s="83"/>
      <c r="OAC112" s="83"/>
      <c r="OAD112" s="83"/>
      <c r="OAE112" s="83"/>
      <c r="OAF112" s="83"/>
      <c r="OAG112" s="83"/>
      <c r="OAH112" s="83"/>
      <c r="OAI112" s="83"/>
      <c r="OAJ112" s="83"/>
      <c r="OAK112" s="83"/>
      <c r="OAL112" s="83"/>
      <c r="OAM112" s="83"/>
      <c r="OAN112" s="83"/>
      <c r="OAO112" s="83"/>
      <c r="OAP112" s="83"/>
      <c r="OAQ112" s="83"/>
      <c r="OAR112" s="83"/>
      <c r="OAS112" s="83"/>
      <c r="OAT112" s="82"/>
      <c r="OAU112" s="83"/>
      <c r="OAV112" s="83"/>
      <c r="OAW112" s="83"/>
      <c r="OAX112" s="83"/>
      <c r="OAY112" s="83"/>
      <c r="OAZ112" s="83"/>
      <c r="OBA112" s="83"/>
      <c r="OBB112" s="83"/>
      <c r="OBC112" s="83"/>
      <c r="OBD112" s="83"/>
      <c r="OBE112" s="83"/>
      <c r="OBF112" s="83"/>
      <c r="OBG112" s="83"/>
      <c r="OBH112" s="83"/>
      <c r="OBI112" s="83"/>
      <c r="OBJ112" s="83"/>
      <c r="OBK112" s="83"/>
      <c r="OBL112" s="83"/>
      <c r="OBM112" s="83"/>
      <c r="OBN112" s="83"/>
      <c r="OBO112" s="83"/>
      <c r="OBP112" s="82"/>
      <c r="OBQ112" s="83"/>
      <c r="OBR112" s="83"/>
      <c r="OBS112" s="83"/>
      <c r="OBT112" s="83"/>
      <c r="OBU112" s="83"/>
      <c r="OBV112" s="83"/>
      <c r="OBW112" s="83"/>
      <c r="OBX112" s="83"/>
      <c r="OBY112" s="83"/>
      <c r="OBZ112" s="83"/>
      <c r="OCA112" s="83"/>
      <c r="OCB112" s="83"/>
      <c r="OCC112" s="83"/>
      <c r="OCD112" s="83"/>
      <c r="OCE112" s="83"/>
      <c r="OCF112" s="83"/>
      <c r="OCG112" s="83"/>
      <c r="OCH112" s="83"/>
      <c r="OCI112" s="83"/>
      <c r="OCJ112" s="83"/>
      <c r="OCK112" s="83"/>
      <c r="OCL112" s="82"/>
      <c r="OCM112" s="83"/>
      <c r="OCN112" s="83"/>
      <c r="OCO112" s="83"/>
      <c r="OCP112" s="83"/>
      <c r="OCQ112" s="83"/>
      <c r="OCR112" s="83"/>
      <c r="OCS112" s="83"/>
      <c r="OCT112" s="83"/>
      <c r="OCU112" s="83"/>
      <c r="OCV112" s="83"/>
      <c r="OCW112" s="83"/>
      <c r="OCX112" s="83"/>
      <c r="OCY112" s="83"/>
      <c r="OCZ112" s="83"/>
      <c r="ODA112" s="83"/>
      <c r="ODB112" s="83"/>
      <c r="ODC112" s="83"/>
      <c r="ODD112" s="83"/>
      <c r="ODE112" s="83"/>
      <c r="ODF112" s="83"/>
      <c r="ODG112" s="83"/>
      <c r="ODH112" s="82"/>
      <c r="ODI112" s="83"/>
      <c r="ODJ112" s="83"/>
      <c r="ODK112" s="83"/>
      <c r="ODL112" s="83"/>
      <c r="ODM112" s="83"/>
      <c r="ODN112" s="83"/>
      <c r="ODO112" s="83"/>
      <c r="ODP112" s="83"/>
      <c r="ODQ112" s="83"/>
      <c r="ODR112" s="83"/>
      <c r="ODS112" s="83"/>
      <c r="ODT112" s="83"/>
      <c r="ODU112" s="83"/>
      <c r="ODV112" s="83"/>
      <c r="ODW112" s="83"/>
      <c r="ODX112" s="83"/>
      <c r="ODY112" s="83"/>
      <c r="ODZ112" s="83"/>
      <c r="OEA112" s="83"/>
      <c r="OEB112" s="83"/>
      <c r="OEC112" s="83"/>
      <c r="OED112" s="82"/>
      <c r="OEE112" s="83"/>
      <c r="OEF112" s="83"/>
      <c r="OEG112" s="83"/>
      <c r="OEH112" s="83"/>
      <c r="OEI112" s="83"/>
      <c r="OEJ112" s="83"/>
      <c r="OEK112" s="83"/>
      <c r="OEL112" s="83"/>
      <c r="OEM112" s="83"/>
      <c r="OEN112" s="83"/>
      <c r="OEO112" s="83"/>
      <c r="OEP112" s="83"/>
      <c r="OEQ112" s="83"/>
      <c r="OER112" s="83"/>
      <c r="OES112" s="83"/>
      <c r="OET112" s="83"/>
      <c r="OEU112" s="83"/>
      <c r="OEV112" s="83"/>
      <c r="OEW112" s="83"/>
      <c r="OEX112" s="83"/>
      <c r="OEY112" s="83"/>
      <c r="OEZ112" s="82"/>
      <c r="OFA112" s="83"/>
      <c r="OFB112" s="83"/>
      <c r="OFC112" s="83"/>
      <c r="OFD112" s="83"/>
      <c r="OFE112" s="83"/>
      <c r="OFF112" s="83"/>
      <c r="OFG112" s="83"/>
      <c r="OFH112" s="83"/>
      <c r="OFI112" s="83"/>
      <c r="OFJ112" s="83"/>
      <c r="OFK112" s="83"/>
      <c r="OFL112" s="83"/>
      <c r="OFM112" s="83"/>
      <c r="OFN112" s="83"/>
      <c r="OFO112" s="83"/>
      <c r="OFP112" s="83"/>
      <c r="OFQ112" s="83"/>
      <c r="OFR112" s="83"/>
      <c r="OFS112" s="83"/>
      <c r="OFT112" s="83"/>
      <c r="OFU112" s="83"/>
      <c r="OFV112" s="82"/>
      <c r="OFW112" s="83"/>
      <c r="OFX112" s="83"/>
      <c r="OFY112" s="83"/>
      <c r="OFZ112" s="83"/>
      <c r="OGA112" s="83"/>
      <c r="OGB112" s="83"/>
      <c r="OGC112" s="83"/>
      <c r="OGD112" s="83"/>
      <c r="OGE112" s="83"/>
      <c r="OGF112" s="83"/>
      <c r="OGG112" s="83"/>
      <c r="OGH112" s="83"/>
      <c r="OGI112" s="83"/>
      <c r="OGJ112" s="83"/>
      <c r="OGK112" s="83"/>
      <c r="OGL112" s="83"/>
      <c r="OGM112" s="83"/>
      <c r="OGN112" s="83"/>
      <c r="OGO112" s="83"/>
      <c r="OGP112" s="83"/>
      <c r="OGQ112" s="83"/>
      <c r="OGR112" s="82"/>
      <c r="OGS112" s="83"/>
      <c r="OGT112" s="83"/>
      <c r="OGU112" s="83"/>
      <c r="OGV112" s="83"/>
      <c r="OGW112" s="83"/>
      <c r="OGX112" s="83"/>
      <c r="OGY112" s="83"/>
      <c r="OGZ112" s="83"/>
      <c r="OHA112" s="83"/>
      <c r="OHB112" s="83"/>
      <c r="OHC112" s="83"/>
      <c r="OHD112" s="83"/>
      <c r="OHE112" s="83"/>
      <c r="OHF112" s="83"/>
      <c r="OHG112" s="83"/>
      <c r="OHH112" s="83"/>
      <c r="OHI112" s="83"/>
      <c r="OHJ112" s="83"/>
      <c r="OHK112" s="83"/>
      <c r="OHL112" s="83"/>
      <c r="OHM112" s="83"/>
      <c r="OHN112" s="82"/>
      <c r="OHO112" s="83"/>
      <c r="OHP112" s="83"/>
      <c r="OHQ112" s="83"/>
      <c r="OHR112" s="83"/>
      <c r="OHS112" s="83"/>
      <c r="OHT112" s="83"/>
      <c r="OHU112" s="83"/>
      <c r="OHV112" s="83"/>
      <c r="OHW112" s="83"/>
      <c r="OHX112" s="83"/>
      <c r="OHY112" s="83"/>
      <c r="OHZ112" s="83"/>
      <c r="OIA112" s="83"/>
      <c r="OIB112" s="83"/>
      <c r="OIC112" s="83"/>
      <c r="OID112" s="83"/>
      <c r="OIE112" s="83"/>
      <c r="OIF112" s="83"/>
      <c r="OIG112" s="83"/>
      <c r="OIH112" s="83"/>
      <c r="OII112" s="83"/>
      <c r="OIJ112" s="82"/>
      <c r="OIK112" s="83"/>
      <c r="OIL112" s="83"/>
      <c r="OIM112" s="83"/>
      <c r="OIN112" s="83"/>
      <c r="OIO112" s="83"/>
      <c r="OIP112" s="83"/>
      <c r="OIQ112" s="83"/>
      <c r="OIR112" s="83"/>
      <c r="OIS112" s="83"/>
      <c r="OIT112" s="83"/>
      <c r="OIU112" s="83"/>
      <c r="OIV112" s="83"/>
      <c r="OIW112" s="83"/>
      <c r="OIX112" s="83"/>
      <c r="OIY112" s="83"/>
      <c r="OIZ112" s="83"/>
      <c r="OJA112" s="83"/>
      <c r="OJB112" s="83"/>
      <c r="OJC112" s="83"/>
      <c r="OJD112" s="83"/>
      <c r="OJE112" s="83"/>
      <c r="OJF112" s="82"/>
      <c r="OJG112" s="83"/>
      <c r="OJH112" s="83"/>
      <c r="OJI112" s="83"/>
      <c r="OJJ112" s="83"/>
      <c r="OJK112" s="83"/>
      <c r="OJL112" s="83"/>
      <c r="OJM112" s="83"/>
      <c r="OJN112" s="83"/>
      <c r="OJO112" s="83"/>
      <c r="OJP112" s="83"/>
      <c r="OJQ112" s="83"/>
      <c r="OJR112" s="83"/>
      <c r="OJS112" s="83"/>
      <c r="OJT112" s="83"/>
      <c r="OJU112" s="83"/>
      <c r="OJV112" s="83"/>
      <c r="OJW112" s="83"/>
      <c r="OJX112" s="83"/>
      <c r="OJY112" s="83"/>
      <c r="OJZ112" s="83"/>
      <c r="OKA112" s="83"/>
      <c r="OKB112" s="82"/>
      <c r="OKC112" s="83"/>
      <c r="OKD112" s="83"/>
      <c r="OKE112" s="83"/>
      <c r="OKF112" s="83"/>
      <c r="OKG112" s="83"/>
      <c r="OKH112" s="83"/>
      <c r="OKI112" s="83"/>
      <c r="OKJ112" s="83"/>
      <c r="OKK112" s="83"/>
      <c r="OKL112" s="83"/>
      <c r="OKM112" s="83"/>
      <c r="OKN112" s="83"/>
      <c r="OKO112" s="83"/>
      <c r="OKP112" s="83"/>
      <c r="OKQ112" s="83"/>
      <c r="OKR112" s="83"/>
      <c r="OKS112" s="83"/>
      <c r="OKT112" s="83"/>
      <c r="OKU112" s="83"/>
      <c r="OKV112" s="83"/>
      <c r="OKW112" s="83"/>
      <c r="OKX112" s="82"/>
      <c r="OKY112" s="83"/>
      <c r="OKZ112" s="83"/>
      <c r="OLA112" s="83"/>
      <c r="OLB112" s="83"/>
      <c r="OLC112" s="83"/>
      <c r="OLD112" s="83"/>
      <c r="OLE112" s="83"/>
      <c r="OLF112" s="83"/>
      <c r="OLG112" s="83"/>
      <c r="OLH112" s="83"/>
      <c r="OLI112" s="83"/>
      <c r="OLJ112" s="83"/>
      <c r="OLK112" s="83"/>
      <c r="OLL112" s="83"/>
      <c r="OLM112" s="83"/>
      <c r="OLN112" s="83"/>
      <c r="OLO112" s="83"/>
      <c r="OLP112" s="83"/>
      <c r="OLQ112" s="83"/>
      <c r="OLR112" s="83"/>
      <c r="OLS112" s="83"/>
      <c r="OLT112" s="82"/>
      <c r="OLU112" s="83"/>
      <c r="OLV112" s="83"/>
      <c r="OLW112" s="83"/>
      <c r="OLX112" s="83"/>
      <c r="OLY112" s="83"/>
      <c r="OLZ112" s="83"/>
      <c r="OMA112" s="83"/>
      <c r="OMB112" s="83"/>
      <c r="OMC112" s="83"/>
      <c r="OMD112" s="83"/>
      <c r="OME112" s="83"/>
      <c r="OMF112" s="83"/>
      <c r="OMG112" s="83"/>
      <c r="OMH112" s="83"/>
      <c r="OMI112" s="83"/>
      <c r="OMJ112" s="83"/>
      <c r="OMK112" s="83"/>
      <c r="OML112" s="83"/>
      <c r="OMM112" s="83"/>
      <c r="OMN112" s="83"/>
      <c r="OMO112" s="83"/>
      <c r="OMP112" s="82"/>
      <c r="OMQ112" s="83"/>
      <c r="OMR112" s="83"/>
      <c r="OMS112" s="83"/>
      <c r="OMT112" s="83"/>
      <c r="OMU112" s="83"/>
      <c r="OMV112" s="83"/>
      <c r="OMW112" s="83"/>
      <c r="OMX112" s="83"/>
      <c r="OMY112" s="83"/>
      <c r="OMZ112" s="83"/>
      <c r="ONA112" s="83"/>
      <c r="ONB112" s="83"/>
      <c r="ONC112" s="83"/>
      <c r="OND112" s="83"/>
      <c r="ONE112" s="83"/>
      <c r="ONF112" s="83"/>
      <c r="ONG112" s="83"/>
      <c r="ONH112" s="83"/>
      <c r="ONI112" s="83"/>
      <c r="ONJ112" s="83"/>
      <c r="ONK112" s="83"/>
      <c r="ONL112" s="82"/>
      <c r="ONM112" s="83"/>
      <c r="ONN112" s="83"/>
      <c r="ONO112" s="83"/>
      <c r="ONP112" s="83"/>
      <c r="ONQ112" s="83"/>
      <c r="ONR112" s="83"/>
      <c r="ONS112" s="83"/>
      <c r="ONT112" s="83"/>
      <c r="ONU112" s="83"/>
      <c r="ONV112" s="83"/>
      <c r="ONW112" s="83"/>
      <c r="ONX112" s="83"/>
      <c r="ONY112" s="83"/>
      <c r="ONZ112" s="83"/>
      <c r="OOA112" s="83"/>
      <c r="OOB112" s="83"/>
      <c r="OOC112" s="83"/>
      <c r="OOD112" s="83"/>
      <c r="OOE112" s="83"/>
      <c r="OOF112" s="83"/>
      <c r="OOG112" s="83"/>
      <c r="OOH112" s="82"/>
      <c r="OOI112" s="83"/>
      <c r="OOJ112" s="83"/>
      <c r="OOK112" s="83"/>
      <c r="OOL112" s="83"/>
      <c r="OOM112" s="83"/>
      <c r="OON112" s="83"/>
      <c r="OOO112" s="83"/>
      <c r="OOP112" s="83"/>
      <c r="OOQ112" s="83"/>
      <c r="OOR112" s="83"/>
      <c r="OOS112" s="83"/>
      <c r="OOT112" s="83"/>
      <c r="OOU112" s="83"/>
      <c r="OOV112" s="83"/>
      <c r="OOW112" s="83"/>
      <c r="OOX112" s="83"/>
      <c r="OOY112" s="83"/>
      <c r="OOZ112" s="83"/>
      <c r="OPA112" s="83"/>
      <c r="OPB112" s="83"/>
      <c r="OPC112" s="83"/>
      <c r="OPD112" s="82"/>
      <c r="OPE112" s="83"/>
      <c r="OPF112" s="83"/>
      <c r="OPG112" s="83"/>
      <c r="OPH112" s="83"/>
      <c r="OPI112" s="83"/>
      <c r="OPJ112" s="83"/>
      <c r="OPK112" s="83"/>
      <c r="OPL112" s="83"/>
      <c r="OPM112" s="83"/>
      <c r="OPN112" s="83"/>
      <c r="OPO112" s="83"/>
      <c r="OPP112" s="83"/>
      <c r="OPQ112" s="83"/>
      <c r="OPR112" s="83"/>
      <c r="OPS112" s="83"/>
      <c r="OPT112" s="83"/>
      <c r="OPU112" s="83"/>
      <c r="OPV112" s="83"/>
      <c r="OPW112" s="83"/>
      <c r="OPX112" s="83"/>
      <c r="OPY112" s="83"/>
      <c r="OPZ112" s="82"/>
      <c r="OQA112" s="83"/>
      <c r="OQB112" s="83"/>
      <c r="OQC112" s="83"/>
      <c r="OQD112" s="83"/>
      <c r="OQE112" s="83"/>
      <c r="OQF112" s="83"/>
      <c r="OQG112" s="83"/>
      <c r="OQH112" s="83"/>
      <c r="OQI112" s="83"/>
      <c r="OQJ112" s="83"/>
      <c r="OQK112" s="83"/>
      <c r="OQL112" s="83"/>
      <c r="OQM112" s="83"/>
      <c r="OQN112" s="83"/>
      <c r="OQO112" s="83"/>
      <c r="OQP112" s="83"/>
      <c r="OQQ112" s="83"/>
      <c r="OQR112" s="83"/>
      <c r="OQS112" s="83"/>
      <c r="OQT112" s="83"/>
      <c r="OQU112" s="83"/>
      <c r="OQV112" s="82"/>
      <c r="OQW112" s="83"/>
      <c r="OQX112" s="83"/>
      <c r="OQY112" s="83"/>
      <c r="OQZ112" s="83"/>
      <c r="ORA112" s="83"/>
      <c r="ORB112" s="83"/>
      <c r="ORC112" s="83"/>
      <c r="ORD112" s="83"/>
      <c r="ORE112" s="83"/>
      <c r="ORF112" s="83"/>
      <c r="ORG112" s="83"/>
      <c r="ORH112" s="83"/>
      <c r="ORI112" s="83"/>
      <c r="ORJ112" s="83"/>
      <c r="ORK112" s="83"/>
      <c r="ORL112" s="83"/>
      <c r="ORM112" s="83"/>
      <c r="ORN112" s="83"/>
      <c r="ORO112" s="83"/>
      <c r="ORP112" s="83"/>
      <c r="ORQ112" s="83"/>
      <c r="ORR112" s="82"/>
      <c r="ORS112" s="83"/>
      <c r="ORT112" s="83"/>
      <c r="ORU112" s="83"/>
      <c r="ORV112" s="83"/>
      <c r="ORW112" s="83"/>
      <c r="ORX112" s="83"/>
      <c r="ORY112" s="83"/>
      <c r="ORZ112" s="83"/>
      <c r="OSA112" s="83"/>
      <c r="OSB112" s="83"/>
      <c r="OSC112" s="83"/>
      <c r="OSD112" s="83"/>
      <c r="OSE112" s="83"/>
      <c r="OSF112" s="83"/>
      <c r="OSG112" s="83"/>
      <c r="OSH112" s="83"/>
      <c r="OSI112" s="83"/>
      <c r="OSJ112" s="83"/>
      <c r="OSK112" s="83"/>
      <c r="OSL112" s="83"/>
      <c r="OSM112" s="83"/>
      <c r="OSN112" s="82"/>
      <c r="OSO112" s="83"/>
      <c r="OSP112" s="83"/>
      <c r="OSQ112" s="83"/>
      <c r="OSR112" s="83"/>
      <c r="OSS112" s="83"/>
      <c r="OST112" s="83"/>
      <c r="OSU112" s="83"/>
      <c r="OSV112" s="83"/>
      <c r="OSW112" s="83"/>
      <c r="OSX112" s="83"/>
      <c r="OSY112" s="83"/>
      <c r="OSZ112" s="83"/>
      <c r="OTA112" s="83"/>
      <c r="OTB112" s="83"/>
      <c r="OTC112" s="83"/>
      <c r="OTD112" s="83"/>
      <c r="OTE112" s="83"/>
      <c r="OTF112" s="83"/>
      <c r="OTG112" s="83"/>
      <c r="OTH112" s="83"/>
      <c r="OTI112" s="83"/>
      <c r="OTJ112" s="82"/>
      <c r="OTK112" s="83"/>
      <c r="OTL112" s="83"/>
      <c r="OTM112" s="83"/>
      <c r="OTN112" s="83"/>
      <c r="OTO112" s="83"/>
      <c r="OTP112" s="83"/>
      <c r="OTQ112" s="83"/>
      <c r="OTR112" s="83"/>
      <c r="OTS112" s="83"/>
      <c r="OTT112" s="83"/>
      <c r="OTU112" s="83"/>
      <c r="OTV112" s="83"/>
      <c r="OTW112" s="83"/>
      <c r="OTX112" s="83"/>
      <c r="OTY112" s="83"/>
      <c r="OTZ112" s="83"/>
      <c r="OUA112" s="83"/>
      <c r="OUB112" s="83"/>
      <c r="OUC112" s="83"/>
      <c r="OUD112" s="83"/>
      <c r="OUE112" s="83"/>
      <c r="OUF112" s="82"/>
      <c r="OUG112" s="83"/>
      <c r="OUH112" s="83"/>
      <c r="OUI112" s="83"/>
      <c r="OUJ112" s="83"/>
      <c r="OUK112" s="83"/>
      <c r="OUL112" s="83"/>
      <c r="OUM112" s="83"/>
      <c r="OUN112" s="83"/>
      <c r="OUO112" s="83"/>
      <c r="OUP112" s="83"/>
      <c r="OUQ112" s="83"/>
      <c r="OUR112" s="83"/>
      <c r="OUS112" s="83"/>
      <c r="OUT112" s="83"/>
      <c r="OUU112" s="83"/>
      <c r="OUV112" s="83"/>
      <c r="OUW112" s="83"/>
      <c r="OUX112" s="83"/>
      <c r="OUY112" s="83"/>
      <c r="OUZ112" s="83"/>
      <c r="OVA112" s="83"/>
      <c r="OVB112" s="82"/>
      <c r="OVC112" s="83"/>
      <c r="OVD112" s="83"/>
      <c r="OVE112" s="83"/>
      <c r="OVF112" s="83"/>
      <c r="OVG112" s="83"/>
      <c r="OVH112" s="83"/>
      <c r="OVI112" s="83"/>
      <c r="OVJ112" s="83"/>
      <c r="OVK112" s="83"/>
      <c r="OVL112" s="83"/>
      <c r="OVM112" s="83"/>
      <c r="OVN112" s="83"/>
      <c r="OVO112" s="83"/>
      <c r="OVP112" s="83"/>
      <c r="OVQ112" s="83"/>
      <c r="OVR112" s="83"/>
      <c r="OVS112" s="83"/>
      <c r="OVT112" s="83"/>
      <c r="OVU112" s="83"/>
      <c r="OVV112" s="83"/>
      <c r="OVW112" s="83"/>
      <c r="OVX112" s="82"/>
      <c r="OVY112" s="83"/>
      <c r="OVZ112" s="83"/>
      <c r="OWA112" s="83"/>
      <c r="OWB112" s="83"/>
      <c r="OWC112" s="83"/>
      <c r="OWD112" s="83"/>
      <c r="OWE112" s="83"/>
      <c r="OWF112" s="83"/>
      <c r="OWG112" s="83"/>
      <c r="OWH112" s="83"/>
      <c r="OWI112" s="83"/>
      <c r="OWJ112" s="83"/>
      <c r="OWK112" s="83"/>
      <c r="OWL112" s="83"/>
      <c r="OWM112" s="83"/>
      <c r="OWN112" s="83"/>
      <c r="OWO112" s="83"/>
      <c r="OWP112" s="83"/>
      <c r="OWQ112" s="83"/>
      <c r="OWR112" s="83"/>
      <c r="OWS112" s="83"/>
      <c r="OWT112" s="82"/>
      <c r="OWU112" s="83"/>
      <c r="OWV112" s="83"/>
      <c r="OWW112" s="83"/>
      <c r="OWX112" s="83"/>
      <c r="OWY112" s="83"/>
      <c r="OWZ112" s="83"/>
      <c r="OXA112" s="83"/>
      <c r="OXB112" s="83"/>
      <c r="OXC112" s="83"/>
      <c r="OXD112" s="83"/>
      <c r="OXE112" s="83"/>
      <c r="OXF112" s="83"/>
      <c r="OXG112" s="83"/>
      <c r="OXH112" s="83"/>
      <c r="OXI112" s="83"/>
      <c r="OXJ112" s="83"/>
      <c r="OXK112" s="83"/>
      <c r="OXL112" s="83"/>
      <c r="OXM112" s="83"/>
      <c r="OXN112" s="83"/>
      <c r="OXO112" s="83"/>
      <c r="OXP112" s="82"/>
      <c r="OXQ112" s="83"/>
      <c r="OXR112" s="83"/>
      <c r="OXS112" s="83"/>
      <c r="OXT112" s="83"/>
      <c r="OXU112" s="83"/>
      <c r="OXV112" s="83"/>
      <c r="OXW112" s="83"/>
      <c r="OXX112" s="83"/>
      <c r="OXY112" s="83"/>
      <c r="OXZ112" s="83"/>
      <c r="OYA112" s="83"/>
      <c r="OYB112" s="83"/>
      <c r="OYC112" s="83"/>
      <c r="OYD112" s="83"/>
      <c r="OYE112" s="83"/>
      <c r="OYF112" s="83"/>
      <c r="OYG112" s="83"/>
      <c r="OYH112" s="83"/>
      <c r="OYI112" s="83"/>
      <c r="OYJ112" s="83"/>
      <c r="OYK112" s="83"/>
      <c r="OYL112" s="82"/>
      <c r="OYM112" s="83"/>
      <c r="OYN112" s="83"/>
      <c r="OYO112" s="83"/>
      <c r="OYP112" s="83"/>
      <c r="OYQ112" s="83"/>
      <c r="OYR112" s="83"/>
      <c r="OYS112" s="83"/>
      <c r="OYT112" s="83"/>
      <c r="OYU112" s="83"/>
      <c r="OYV112" s="83"/>
      <c r="OYW112" s="83"/>
      <c r="OYX112" s="83"/>
      <c r="OYY112" s="83"/>
      <c r="OYZ112" s="83"/>
      <c r="OZA112" s="83"/>
      <c r="OZB112" s="83"/>
      <c r="OZC112" s="83"/>
      <c r="OZD112" s="83"/>
      <c r="OZE112" s="83"/>
      <c r="OZF112" s="83"/>
      <c r="OZG112" s="83"/>
      <c r="OZH112" s="82"/>
      <c r="OZI112" s="83"/>
      <c r="OZJ112" s="83"/>
      <c r="OZK112" s="83"/>
      <c r="OZL112" s="83"/>
      <c r="OZM112" s="83"/>
      <c r="OZN112" s="83"/>
      <c r="OZO112" s="83"/>
      <c r="OZP112" s="83"/>
      <c r="OZQ112" s="83"/>
      <c r="OZR112" s="83"/>
      <c r="OZS112" s="83"/>
      <c r="OZT112" s="83"/>
      <c r="OZU112" s="83"/>
      <c r="OZV112" s="83"/>
      <c r="OZW112" s="83"/>
      <c r="OZX112" s="83"/>
      <c r="OZY112" s="83"/>
      <c r="OZZ112" s="83"/>
      <c r="PAA112" s="83"/>
      <c r="PAB112" s="83"/>
      <c r="PAC112" s="83"/>
      <c r="PAD112" s="82"/>
      <c r="PAE112" s="83"/>
      <c r="PAF112" s="83"/>
      <c r="PAG112" s="83"/>
      <c r="PAH112" s="83"/>
      <c r="PAI112" s="83"/>
      <c r="PAJ112" s="83"/>
      <c r="PAK112" s="83"/>
      <c r="PAL112" s="83"/>
      <c r="PAM112" s="83"/>
      <c r="PAN112" s="83"/>
      <c r="PAO112" s="83"/>
      <c r="PAP112" s="83"/>
      <c r="PAQ112" s="83"/>
      <c r="PAR112" s="83"/>
      <c r="PAS112" s="83"/>
      <c r="PAT112" s="83"/>
      <c r="PAU112" s="83"/>
      <c r="PAV112" s="83"/>
      <c r="PAW112" s="83"/>
      <c r="PAX112" s="83"/>
      <c r="PAY112" s="83"/>
      <c r="PAZ112" s="82"/>
      <c r="PBA112" s="83"/>
      <c r="PBB112" s="83"/>
      <c r="PBC112" s="83"/>
      <c r="PBD112" s="83"/>
      <c r="PBE112" s="83"/>
      <c r="PBF112" s="83"/>
      <c r="PBG112" s="83"/>
      <c r="PBH112" s="83"/>
      <c r="PBI112" s="83"/>
      <c r="PBJ112" s="83"/>
      <c r="PBK112" s="83"/>
      <c r="PBL112" s="83"/>
      <c r="PBM112" s="83"/>
      <c r="PBN112" s="83"/>
      <c r="PBO112" s="83"/>
      <c r="PBP112" s="83"/>
      <c r="PBQ112" s="83"/>
      <c r="PBR112" s="83"/>
      <c r="PBS112" s="83"/>
      <c r="PBT112" s="83"/>
      <c r="PBU112" s="83"/>
      <c r="PBV112" s="82"/>
      <c r="PBW112" s="83"/>
      <c r="PBX112" s="83"/>
      <c r="PBY112" s="83"/>
      <c r="PBZ112" s="83"/>
      <c r="PCA112" s="83"/>
      <c r="PCB112" s="83"/>
      <c r="PCC112" s="83"/>
      <c r="PCD112" s="83"/>
      <c r="PCE112" s="83"/>
      <c r="PCF112" s="83"/>
      <c r="PCG112" s="83"/>
      <c r="PCH112" s="83"/>
      <c r="PCI112" s="83"/>
      <c r="PCJ112" s="83"/>
      <c r="PCK112" s="83"/>
      <c r="PCL112" s="83"/>
      <c r="PCM112" s="83"/>
      <c r="PCN112" s="83"/>
      <c r="PCO112" s="83"/>
      <c r="PCP112" s="83"/>
      <c r="PCQ112" s="83"/>
      <c r="PCR112" s="82"/>
      <c r="PCS112" s="83"/>
      <c r="PCT112" s="83"/>
      <c r="PCU112" s="83"/>
      <c r="PCV112" s="83"/>
      <c r="PCW112" s="83"/>
      <c r="PCX112" s="83"/>
      <c r="PCY112" s="83"/>
      <c r="PCZ112" s="83"/>
      <c r="PDA112" s="83"/>
      <c r="PDB112" s="83"/>
      <c r="PDC112" s="83"/>
      <c r="PDD112" s="83"/>
      <c r="PDE112" s="83"/>
      <c r="PDF112" s="83"/>
      <c r="PDG112" s="83"/>
      <c r="PDH112" s="83"/>
      <c r="PDI112" s="83"/>
      <c r="PDJ112" s="83"/>
      <c r="PDK112" s="83"/>
      <c r="PDL112" s="83"/>
      <c r="PDM112" s="83"/>
      <c r="PDN112" s="82"/>
      <c r="PDO112" s="83"/>
      <c r="PDP112" s="83"/>
      <c r="PDQ112" s="83"/>
      <c r="PDR112" s="83"/>
      <c r="PDS112" s="83"/>
      <c r="PDT112" s="83"/>
      <c r="PDU112" s="83"/>
      <c r="PDV112" s="83"/>
      <c r="PDW112" s="83"/>
      <c r="PDX112" s="83"/>
      <c r="PDY112" s="83"/>
      <c r="PDZ112" s="83"/>
      <c r="PEA112" s="83"/>
      <c r="PEB112" s="83"/>
      <c r="PEC112" s="83"/>
      <c r="PED112" s="83"/>
      <c r="PEE112" s="83"/>
      <c r="PEF112" s="83"/>
      <c r="PEG112" s="83"/>
      <c r="PEH112" s="83"/>
      <c r="PEI112" s="83"/>
      <c r="PEJ112" s="82"/>
      <c r="PEK112" s="83"/>
      <c r="PEL112" s="83"/>
      <c r="PEM112" s="83"/>
      <c r="PEN112" s="83"/>
      <c r="PEO112" s="83"/>
      <c r="PEP112" s="83"/>
      <c r="PEQ112" s="83"/>
      <c r="PER112" s="83"/>
      <c r="PES112" s="83"/>
      <c r="PET112" s="83"/>
      <c r="PEU112" s="83"/>
      <c r="PEV112" s="83"/>
      <c r="PEW112" s="83"/>
      <c r="PEX112" s="83"/>
      <c r="PEY112" s="83"/>
      <c r="PEZ112" s="83"/>
      <c r="PFA112" s="83"/>
      <c r="PFB112" s="83"/>
      <c r="PFC112" s="83"/>
      <c r="PFD112" s="83"/>
      <c r="PFE112" s="83"/>
      <c r="PFF112" s="82"/>
      <c r="PFG112" s="83"/>
      <c r="PFH112" s="83"/>
      <c r="PFI112" s="83"/>
      <c r="PFJ112" s="83"/>
      <c r="PFK112" s="83"/>
      <c r="PFL112" s="83"/>
      <c r="PFM112" s="83"/>
      <c r="PFN112" s="83"/>
      <c r="PFO112" s="83"/>
      <c r="PFP112" s="83"/>
      <c r="PFQ112" s="83"/>
      <c r="PFR112" s="83"/>
      <c r="PFS112" s="83"/>
      <c r="PFT112" s="83"/>
      <c r="PFU112" s="83"/>
      <c r="PFV112" s="83"/>
      <c r="PFW112" s="83"/>
      <c r="PFX112" s="83"/>
      <c r="PFY112" s="83"/>
      <c r="PFZ112" s="83"/>
      <c r="PGA112" s="83"/>
      <c r="PGB112" s="82"/>
      <c r="PGC112" s="83"/>
      <c r="PGD112" s="83"/>
      <c r="PGE112" s="83"/>
      <c r="PGF112" s="83"/>
      <c r="PGG112" s="83"/>
      <c r="PGH112" s="83"/>
      <c r="PGI112" s="83"/>
      <c r="PGJ112" s="83"/>
      <c r="PGK112" s="83"/>
      <c r="PGL112" s="83"/>
      <c r="PGM112" s="83"/>
      <c r="PGN112" s="83"/>
      <c r="PGO112" s="83"/>
      <c r="PGP112" s="83"/>
      <c r="PGQ112" s="83"/>
      <c r="PGR112" s="83"/>
      <c r="PGS112" s="83"/>
      <c r="PGT112" s="83"/>
      <c r="PGU112" s="83"/>
      <c r="PGV112" s="83"/>
      <c r="PGW112" s="83"/>
      <c r="PGX112" s="82"/>
      <c r="PGY112" s="83"/>
      <c r="PGZ112" s="83"/>
      <c r="PHA112" s="83"/>
      <c r="PHB112" s="83"/>
      <c r="PHC112" s="83"/>
      <c r="PHD112" s="83"/>
      <c r="PHE112" s="83"/>
      <c r="PHF112" s="83"/>
      <c r="PHG112" s="83"/>
      <c r="PHH112" s="83"/>
      <c r="PHI112" s="83"/>
      <c r="PHJ112" s="83"/>
      <c r="PHK112" s="83"/>
      <c r="PHL112" s="83"/>
      <c r="PHM112" s="83"/>
      <c r="PHN112" s="83"/>
      <c r="PHO112" s="83"/>
      <c r="PHP112" s="83"/>
      <c r="PHQ112" s="83"/>
      <c r="PHR112" s="83"/>
      <c r="PHS112" s="83"/>
      <c r="PHT112" s="82"/>
      <c r="PHU112" s="83"/>
      <c r="PHV112" s="83"/>
      <c r="PHW112" s="83"/>
      <c r="PHX112" s="83"/>
      <c r="PHY112" s="83"/>
      <c r="PHZ112" s="83"/>
      <c r="PIA112" s="83"/>
      <c r="PIB112" s="83"/>
      <c r="PIC112" s="83"/>
      <c r="PID112" s="83"/>
      <c r="PIE112" s="83"/>
      <c r="PIF112" s="83"/>
      <c r="PIG112" s="83"/>
      <c r="PIH112" s="83"/>
      <c r="PII112" s="83"/>
      <c r="PIJ112" s="83"/>
      <c r="PIK112" s="83"/>
      <c r="PIL112" s="83"/>
      <c r="PIM112" s="83"/>
      <c r="PIN112" s="83"/>
      <c r="PIO112" s="83"/>
      <c r="PIP112" s="82"/>
      <c r="PIQ112" s="83"/>
      <c r="PIR112" s="83"/>
      <c r="PIS112" s="83"/>
      <c r="PIT112" s="83"/>
      <c r="PIU112" s="83"/>
      <c r="PIV112" s="83"/>
      <c r="PIW112" s="83"/>
      <c r="PIX112" s="83"/>
      <c r="PIY112" s="83"/>
      <c r="PIZ112" s="83"/>
      <c r="PJA112" s="83"/>
      <c r="PJB112" s="83"/>
      <c r="PJC112" s="83"/>
      <c r="PJD112" s="83"/>
      <c r="PJE112" s="83"/>
      <c r="PJF112" s="83"/>
      <c r="PJG112" s="83"/>
      <c r="PJH112" s="83"/>
      <c r="PJI112" s="83"/>
      <c r="PJJ112" s="83"/>
      <c r="PJK112" s="83"/>
      <c r="PJL112" s="82"/>
      <c r="PJM112" s="83"/>
      <c r="PJN112" s="83"/>
      <c r="PJO112" s="83"/>
      <c r="PJP112" s="83"/>
      <c r="PJQ112" s="83"/>
      <c r="PJR112" s="83"/>
      <c r="PJS112" s="83"/>
      <c r="PJT112" s="83"/>
      <c r="PJU112" s="83"/>
      <c r="PJV112" s="83"/>
      <c r="PJW112" s="83"/>
      <c r="PJX112" s="83"/>
      <c r="PJY112" s="83"/>
      <c r="PJZ112" s="83"/>
      <c r="PKA112" s="83"/>
      <c r="PKB112" s="83"/>
      <c r="PKC112" s="83"/>
      <c r="PKD112" s="83"/>
      <c r="PKE112" s="83"/>
      <c r="PKF112" s="83"/>
      <c r="PKG112" s="83"/>
      <c r="PKH112" s="82"/>
      <c r="PKI112" s="83"/>
      <c r="PKJ112" s="83"/>
      <c r="PKK112" s="83"/>
      <c r="PKL112" s="83"/>
      <c r="PKM112" s="83"/>
      <c r="PKN112" s="83"/>
      <c r="PKO112" s="83"/>
      <c r="PKP112" s="83"/>
      <c r="PKQ112" s="83"/>
      <c r="PKR112" s="83"/>
      <c r="PKS112" s="83"/>
      <c r="PKT112" s="83"/>
      <c r="PKU112" s="83"/>
      <c r="PKV112" s="83"/>
      <c r="PKW112" s="83"/>
      <c r="PKX112" s="83"/>
      <c r="PKY112" s="83"/>
      <c r="PKZ112" s="83"/>
      <c r="PLA112" s="83"/>
      <c r="PLB112" s="83"/>
      <c r="PLC112" s="83"/>
      <c r="PLD112" s="82"/>
      <c r="PLE112" s="83"/>
      <c r="PLF112" s="83"/>
      <c r="PLG112" s="83"/>
      <c r="PLH112" s="83"/>
      <c r="PLI112" s="83"/>
      <c r="PLJ112" s="83"/>
      <c r="PLK112" s="83"/>
      <c r="PLL112" s="83"/>
      <c r="PLM112" s="83"/>
      <c r="PLN112" s="83"/>
      <c r="PLO112" s="83"/>
      <c r="PLP112" s="83"/>
      <c r="PLQ112" s="83"/>
      <c r="PLR112" s="83"/>
      <c r="PLS112" s="83"/>
      <c r="PLT112" s="83"/>
      <c r="PLU112" s="83"/>
      <c r="PLV112" s="83"/>
      <c r="PLW112" s="83"/>
      <c r="PLX112" s="83"/>
      <c r="PLY112" s="83"/>
      <c r="PLZ112" s="82"/>
      <c r="PMA112" s="83"/>
      <c r="PMB112" s="83"/>
      <c r="PMC112" s="83"/>
      <c r="PMD112" s="83"/>
      <c r="PME112" s="83"/>
      <c r="PMF112" s="83"/>
      <c r="PMG112" s="83"/>
      <c r="PMH112" s="83"/>
      <c r="PMI112" s="83"/>
      <c r="PMJ112" s="83"/>
      <c r="PMK112" s="83"/>
      <c r="PML112" s="83"/>
      <c r="PMM112" s="83"/>
      <c r="PMN112" s="83"/>
      <c r="PMO112" s="83"/>
      <c r="PMP112" s="83"/>
      <c r="PMQ112" s="83"/>
      <c r="PMR112" s="83"/>
      <c r="PMS112" s="83"/>
      <c r="PMT112" s="83"/>
      <c r="PMU112" s="83"/>
      <c r="PMV112" s="82"/>
      <c r="PMW112" s="83"/>
      <c r="PMX112" s="83"/>
      <c r="PMY112" s="83"/>
      <c r="PMZ112" s="83"/>
      <c r="PNA112" s="83"/>
      <c r="PNB112" s="83"/>
      <c r="PNC112" s="83"/>
      <c r="PND112" s="83"/>
      <c r="PNE112" s="83"/>
      <c r="PNF112" s="83"/>
      <c r="PNG112" s="83"/>
      <c r="PNH112" s="83"/>
      <c r="PNI112" s="83"/>
      <c r="PNJ112" s="83"/>
      <c r="PNK112" s="83"/>
      <c r="PNL112" s="83"/>
      <c r="PNM112" s="83"/>
      <c r="PNN112" s="83"/>
      <c r="PNO112" s="83"/>
      <c r="PNP112" s="83"/>
      <c r="PNQ112" s="83"/>
      <c r="PNR112" s="82"/>
      <c r="PNS112" s="83"/>
      <c r="PNT112" s="83"/>
      <c r="PNU112" s="83"/>
      <c r="PNV112" s="83"/>
      <c r="PNW112" s="83"/>
      <c r="PNX112" s="83"/>
      <c r="PNY112" s="83"/>
      <c r="PNZ112" s="83"/>
      <c r="POA112" s="83"/>
      <c r="POB112" s="83"/>
      <c r="POC112" s="83"/>
      <c r="POD112" s="83"/>
      <c r="POE112" s="83"/>
      <c r="POF112" s="83"/>
      <c r="POG112" s="83"/>
      <c r="POH112" s="83"/>
      <c r="POI112" s="83"/>
      <c r="POJ112" s="83"/>
      <c r="POK112" s="83"/>
      <c r="POL112" s="83"/>
      <c r="POM112" s="83"/>
      <c r="PON112" s="82"/>
      <c r="POO112" s="83"/>
      <c r="POP112" s="83"/>
      <c r="POQ112" s="83"/>
      <c r="POR112" s="83"/>
      <c r="POS112" s="83"/>
      <c r="POT112" s="83"/>
      <c r="POU112" s="83"/>
      <c r="POV112" s="83"/>
      <c r="POW112" s="83"/>
      <c r="POX112" s="83"/>
      <c r="POY112" s="83"/>
      <c r="POZ112" s="83"/>
      <c r="PPA112" s="83"/>
      <c r="PPB112" s="83"/>
      <c r="PPC112" s="83"/>
      <c r="PPD112" s="83"/>
      <c r="PPE112" s="83"/>
      <c r="PPF112" s="83"/>
      <c r="PPG112" s="83"/>
      <c r="PPH112" s="83"/>
      <c r="PPI112" s="83"/>
      <c r="PPJ112" s="82"/>
      <c r="PPK112" s="83"/>
      <c r="PPL112" s="83"/>
      <c r="PPM112" s="83"/>
      <c r="PPN112" s="83"/>
      <c r="PPO112" s="83"/>
      <c r="PPP112" s="83"/>
      <c r="PPQ112" s="83"/>
      <c r="PPR112" s="83"/>
      <c r="PPS112" s="83"/>
      <c r="PPT112" s="83"/>
      <c r="PPU112" s="83"/>
      <c r="PPV112" s="83"/>
      <c r="PPW112" s="83"/>
      <c r="PPX112" s="83"/>
      <c r="PPY112" s="83"/>
      <c r="PPZ112" s="83"/>
      <c r="PQA112" s="83"/>
      <c r="PQB112" s="83"/>
      <c r="PQC112" s="83"/>
      <c r="PQD112" s="83"/>
      <c r="PQE112" s="83"/>
      <c r="PQF112" s="82"/>
      <c r="PQG112" s="83"/>
      <c r="PQH112" s="83"/>
      <c r="PQI112" s="83"/>
      <c r="PQJ112" s="83"/>
      <c r="PQK112" s="83"/>
      <c r="PQL112" s="83"/>
      <c r="PQM112" s="83"/>
      <c r="PQN112" s="83"/>
      <c r="PQO112" s="83"/>
      <c r="PQP112" s="83"/>
      <c r="PQQ112" s="83"/>
      <c r="PQR112" s="83"/>
      <c r="PQS112" s="83"/>
      <c r="PQT112" s="83"/>
      <c r="PQU112" s="83"/>
      <c r="PQV112" s="83"/>
      <c r="PQW112" s="83"/>
      <c r="PQX112" s="83"/>
      <c r="PQY112" s="83"/>
      <c r="PQZ112" s="83"/>
      <c r="PRA112" s="83"/>
      <c r="PRB112" s="82"/>
      <c r="PRC112" s="83"/>
      <c r="PRD112" s="83"/>
      <c r="PRE112" s="83"/>
      <c r="PRF112" s="83"/>
      <c r="PRG112" s="83"/>
      <c r="PRH112" s="83"/>
      <c r="PRI112" s="83"/>
      <c r="PRJ112" s="83"/>
      <c r="PRK112" s="83"/>
      <c r="PRL112" s="83"/>
      <c r="PRM112" s="83"/>
      <c r="PRN112" s="83"/>
      <c r="PRO112" s="83"/>
      <c r="PRP112" s="83"/>
      <c r="PRQ112" s="83"/>
      <c r="PRR112" s="83"/>
      <c r="PRS112" s="83"/>
      <c r="PRT112" s="83"/>
      <c r="PRU112" s="83"/>
      <c r="PRV112" s="83"/>
      <c r="PRW112" s="83"/>
      <c r="PRX112" s="82"/>
      <c r="PRY112" s="83"/>
      <c r="PRZ112" s="83"/>
      <c r="PSA112" s="83"/>
      <c r="PSB112" s="83"/>
      <c r="PSC112" s="83"/>
      <c r="PSD112" s="83"/>
      <c r="PSE112" s="83"/>
      <c r="PSF112" s="83"/>
      <c r="PSG112" s="83"/>
      <c r="PSH112" s="83"/>
      <c r="PSI112" s="83"/>
      <c r="PSJ112" s="83"/>
      <c r="PSK112" s="83"/>
      <c r="PSL112" s="83"/>
      <c r="PSM112" s="83"/>
      <c r="PSN112" s="83"/>
      <c r="PSO112" s="83"/>
      <c r="PSP112" s="83"/>
      <c r="PSQ112" s="83"/>
      <c r="PSR112" s="83"/>
      <c r="PSS112" s="83"/>
      <c r="PST112" s="82"/>
      <c r="PSU112" s="83"/>
      <c r="PSV112" s="83"/>
      <c r="PSW112" s="83"/>
      <c r="PSX112" s="83"/>
      <c r="PSY112" s="83"/>
      <c r="PSZ112" s="83"/>
      <c r="PTA112" s="83"/>
      <c r="PTB112" s="83"/>
      <c r="PTC112" s="83"/>
      <c r="PTD112" s="83"/>
      <c r="PTE112" s="83"/>
      <c r="PTF112" s="83"/>
      <c r="PTG112" s="83"/>
      <c r="PTH112" s="83"/>
      <c r="PTI112" s="83"/>
      <c r="PTJ112" s="83"/>
      <c r="PTK112" s="83"/>
      <c r="PTL112" s="83"/>
      <c r="PTM112" s="83"/>
      <c r="PTN112" s="83"/>
      <c r="PTO112" s="83"/>
      <c r="PTP112" s="82"/>
      <c r="PTQ112" s="83"/>
      <c r="PTR112" s="83"/>
      <c r="PTS112" s="83"/>
      <c r="PTT112" s="83"/>
      <c r="PTU112" s="83"/>
      <c r="PTV112" s="83"/>
      <c r="PTW112" s="83"/>
      <c r="PTX112" s="83"/>
      <c r="PTY112" s="83"/>
      <c r="PTZ112" s="83"/>
      <c r="PUA112" s="83"/>
      <c r="PUB112" s="83"/>
      <c r="PUC112" s="83"/>
      <c r="PUD112" s="83"/>
      <c r="PUE112" s="83"/>
      <c r="PUF112" s="83"/>
      <c r="PUG112" s="83"/>
      <c r="PUH112" s="83"/>
      <c r="PUI112" s="83"/>
      <c r="PUJ112" s="83"/>
      <c r="PUK112" s="83"/>
      <c r="PUL112" s="82"/>
      <c r="PUM112" s="83"/>
      <c r="PUN112" s="83"/>
      <c r="PUO112" s="83"/>
      <c r="PUP112" s="83"/>
      <c r="PUQ112" s="83"/>
      <c r="PUR112" s="83"/>
      <c r="PUS112" s="83"/>
      <c r="PUT112" s="83"/>
      <c r="PUU112" s="83"/>
      <c r="PUV112" s="83"/>
      <c r="PUW112" s="83"/>
      <c r="PUX112" s="83"/>
      <c r="PUY112" s="83"/>
      <c r="PUZ112" s="83"/>
      <c r="PVA112" s="83"/>
      <c r="PVB112" s="83"/>
      <c r="PVC112" s="83"/>
      <c r="PVD112" s="83"/>
      <c r="PVE112" s="83"/>
      <c r="PVF112" s="83"/>
      <c r="PVG112" s="83"/>
      <c r="PVH112" s="82"/>
      <c r="PVI112" s="83"/>
      <c r="PVJ112" s="83"/>
      <c r="PVK112" s="83"/>
      <c r="PVL112" s="83"/>
      <c r="PVM112" s="83"/>
      <c r="PVN112" s="83"/>
      <c r="PVO112" s="83"/>
      <c r="PVP112" s="83"/>
      <c r="PVQ112" s="83"/>
      <c r="PVR112" s="83"/>
      <c r="PVS112" s="83"/>
      <c r="PVT112" s="83"/>
      <c r="PVU112" s="83"/>
      <c r="PVV112" s="83"/>
      <c r="PVW112" s="83"/>
      <c r="PVX112" s="83"/>
      <c r="PVY112" s="83"/>
      <c r="PVZ112" s="83"/>
      <c r="PWA112" s="83"/>
      <c r="PWB112" s="83"/>
      <c r="PWC112" s="83"/>
      <c r="PWD112" s="82"/>
      <c r="PWE112" s="83"/>
      <c r="PWF112" s="83"/>
      <c r="PWG112" s="83"/>
      <c r="PWH112" s="83"/>
      <c r="PWI112" s="83"/>
      <c r="PWJ112" s="83"/>
      <c r="PWK112" s="83"/>
      <c r="PWL112" s="83"/>
      <c r="PWM112" s="83"/>
      <c r="PWN112" s="83"/>
      <c r="PWO112" s="83"/>
      <c r="PWP112" s="83"/>
      <c r="PWQ112" s="83"/>
      <c r="PWR112" s="83"/>
      <c r="PWS112" s="83"/>
      <c r="PWT112" s="83"/>
      <c r="PWU112" s="83"/>
      <c r="PWV112" s="83"/>
      <c r="PWW112" s="83"/>
      <c r="PWX112" s="83"/>
      <c r="PWY112" s="83"/>
      <c r="PWZ112" s="82"/>
      <c r="PXA112" s="83"/>
      <c r="PXB112" s="83"/>
      <c r="PXC112" s="83"/>
      <c r="PXD112" s="83"/>
      <c r="PXE112" s="83"/>
      <c r="PXF112" s="83"/>
      <c r="PXG112" s="83"/>
      <c r="PXH112" s="83"/>
      <c r="PXI112" s="83"/>
      <c r="PXJ112" s="83"/>
      <c r="PXK112" s="83"/>
      <c r="PXL112" s="83"/>
      <c r="PXM112" s="83"/>
      <c r="PXN112" s="83"/>
      <c r="PXO112" s="83"/>
      <c r="PXP112" s="83"/>
      <c r="PXQ112" s="83"/>
      <c r="PXR112" s="83"/>
      <c r="PXS112" s="83"/>
      <c r="PXT112" s="83"/>
      <c r="PXU112" s="83"/>
      <c r="PXV112" s="82"/>
      <c r="PXW112" s="83"/>
      <c r="PXX112" s="83"/>
      <c r="PXY112" s="83"/>
      <c r="PXZ112" s="83"/>
      <c r="PYA112" s="83"/>
      <c r="PYB112" s="83"/>
      <c r="PYC112" s="83"/>
      <c r="PYD112" s="83"/>
      <c r="PYE112" s="83"/>
      <c r="PYF112" s="83"/>
      <c r="PYG112" s="83"/>
      <c r="PYH112" s="83"/>
      <c r="PYI112" s="83"/>
      <c r="PYJ112" s="83"/>
      <c r="PYK112" s="83"/>
      <c r="PYL112" s="83"/>
      <c r="PYM112" s="83"/>
      <c r="PYN112" s="83"/>
      <c r="PYO112" s="83"/>
      <c r="PYP112" s="83"/>
      <c r="PYQ112" s="83"/>
      <c r="PYR112" s="82"/>
      <c r="PYS112" s="83"/>
      <c r="PYT112" s="83"/>
      <c r="PYU112" s="83"/>
      <c r="PYV112" s="83"/>
      <c r="PYW112" s="83"/>
      <c r="PYX112" s="83"/>
      <c r="PYY112" s="83"/>
      <c r="PYZ112" s="83"/>
      <c r="PZA112" s="83"/>
      <c r="PZB112" s="83"/>
      <c r="PZC112" s="83"/>
      <c r="PZD112" s="83"/>
      <c r="PZE112" s="83"/>
      <c r="PZF112" s="83"/>
      <c r="PZG112" s="83"/>
      <c r="PZH112" s="83"/>
      <c r="PZI112" s="83"/>
      <c r="PZJ112" s="83"/>
      <c r="PZK112" s="83"/>
      <c r="PZL112" s="83"/>
      <c r="PZM112" s="83"/>
      <c r="PZN112" s="82"/>
      <c r="PZO112" s="83"/>
      <c r="PZP112" s="83"/>
      <c r="PZQ112" s="83"/>
      <c r="PZR112" s="83"/>
      <c r="PZS112" s="83"/>
      <c r="PZT112" s="83"/>
      <c r="PZU112" s="83"/>
      <c r="PZV112" s="83"/>
      <c r="PZW112" s="83"/>
      <c r="PZX112" s="83"/>
      <c r="PZY112" s="83"/>
      <c r="PZZ112" s="83"/>
      <c r="QAA112" s="83"/>
      <c r="QAB112" s="83"/>
      <c r="QAC112" s="83"/>
      <c r="QAD112" s="83"/>
      <c r="QAE112" s="83"/>
      <c r="QAF112" s="83"/>
      <c r="QAG112" s="83"/>
      <c r="QAH112" s="83"/>
      <c r="QAI112" s="83"/>
      <c r="QAJ112" s="82"/>
      <c r="QAK112" s="83"/>
      <c r="QAL112" s="83"/>
      <c r="QAM112" s="83"/>
      <c r="QAN112" s="83"/>
      <c r="QAO112" s="83"/>
      <c r="QAP112" s="83"/>
      <c r="QAQ112" s="83"/>
      <c r="QAR112" s="83"/>
      <c r="QAS112" s="83"/>
      <c r="QAT112" s="83"/>
      <c r="QAU112" s="83"/>
      <c r="QAV112" s="83"/>
      <c r="QAW112" s="83"/>
      <c r="QAX112" s="83"/>
      <c r="QAY112" s="83"/>
      <c r="QAZ112" s="83"/>
      <c r="QBA112" s="83"/>
      <c r="QBB112" s="83"/>
      <c r="QBC112" s="83"/>
      <c r="QBD112" s="83"/>
      <c r="QBE112" s="83"/>
      <c r="QBF112" s="82"/>
      <c r="QBG112" s="83"/>
      <c r="QBH112" s="83"/>
      <c r="QBI112" s="83"/>
      <c r="QBJ112" s="83"/>
      <c r="QBK112" s="83"/>
      <c r="QBL112" s="83"/>
      <c r="QBM112" s="83"/>
      <c r="QBN112" s="83"/>
      <c r="QBO112" s="83"/>
      <c r="QBP112" s="83"/>
      <c r="QBQ112" s="83"/>
      <c r="QBR112" s="83"/>
      <c r="QBS112" s="83"/>
      <c r="QBT112" s="83"/>
      <c r="QBU112" s="83"/>
      <c r="QBV112" s="83"/>
      <c r="QBW112" s="83"/>
      <c r="QBX112" s="83"/>
      <c r="QBY112" s="83"/>
      <c r="QBZ112" s="83"/>
      <c r="QCA112" s="83"/>
      <c r="QCB112" s="82"/>
      <c r="QCC112" s="83"/>
      <c r="QCD112" s="83"/>
      <c r="QCE112" s="83"/>
      <c r="QCF112" s="83"/>
      <c r="QCG112" s="83"/>
      <c r="QCH112" s="83"/>
      <c r="QCI112" s="83"/>
      <c r="QCJ112" s="83"/>
      <c r="QCK112" s="83"/>
      <c r="QCL112" s="83"/>
      <c r="QCM112" s="83"/>
      <c r="QCN112" s="83"/>
      <c r="QCO112" s="83"/>
      <c r="QCP112" s="83"/>
      <c r="QCQ112" s="83"/>
      <c r="QCR112" s="83"/>
      <c r="QCS112" s="83"/>
      <c r="QCT112" s="83"/>
      <c r="QCU112" s="83"/>
      <c r="QCV112" s="83"/>
      <c r="QCW112" s="83"/>
      <c r="QCX112" s="82"/>
      <c r="QCY112" s="83"/>
      <c r="QCZ112" s="83"/>
      <c r="QDA112" s="83"/>
      <c r="QDB112" s="83"/>
      <c r="QDC112" s="83"/>
      <c r="QDD112" s="83"/>
      <c r="QDE112" s="83"/>
      <c r="QDF112" s="83"/>
      <c r="QDG112" s="83"/>
      <c r="QDH112" s="83"/>
      <c r="QDI112" s="83"/>
      <c r="QDJ112" s="83"/>
      <c r="QDK112" s="83"/>
      <c r="QDL112" s="83"/>
      <c r="QDM112" s="83"/>
      <c r="QDN112" s="83"/>
      <c r="QDO112" s="83"/>
      <c r="QDP112" s="83"/>
      <c r="QDQ112" s="83"/>
      <c r="QDR112" s="83"/>
      <c r="QDS112" s="83"/>
      <c r="QDT112" s="82"/>
      <c r="QDU112" s="83"/>
      <c r="QDV112" s="83"/>
      <c r="QDW112" s="83"/>
      <c r="QDX112" s="83"/>
      <c r="QDY112" s="83"/>
      <c r="QDZ112" s="83"/>
      <c r="QEA112" s="83"/>
      <c r="QEB112" s="83"/>
      <c r="QEC112" s="83"/>
      <c r="QED112" s="83"/>
      <c r="QEE112" s="83"/>
      <c r="QEF112" s="83"/>
      <c r="QEG112" s="83"/>
      <c r="QEH112" s="83"/>
      <c r="QEI112" s="83"/>
      <c r="QEJ112" s="83"/>
      <c r="QEK112" s="83"/>
      <c r="QEL112" s="83"/>
      <c r="QEM112" s="83"/>
      <c r="QEN112" s="83"/>
      <c r="QEO112" s="83"/>
      <c r="QEP112" s="82"/>
      <c r="QEQ112" s="83"/>
      <c r="QER112" s="83"/>
      <c r="QES112" s="83"/>
      <c r="QET112" s="83"/>
      <c r="QEU112" s="83"/>
      <c r="QEV112" s="83"/>
      <c r="QEW112" s="83"/>
      <c r="QEX112" s="83"/>
      <c r="QEY112" s="83"/>
      <c r="QEZ112" s="83"/>
      <c r="QFA112" s="83"/>
      <c r="QFB112" s="83"/>
      <c r="QFC112" s="83"/>
      <c r="QFD112" s="83"/>
      <c r="QFE112" s="83"/>
      <c r="QFF112" s="83"/>
      <c r="QFG112" s="83"/>
      <c r="QFH112" s="83"/>
      <c r="QFI112" s="83"/>
      <c r="QFJ112" s="83"/>
      <c r="QFK112" s="83"/>
      <c r="QFL112" s="82"/>
      <c r="QFM112" s="83"/>
      <c r="QFN112" s="83"/>
      <c r="QFO112" s="83"/>
      <c r="QFP112" s="83"/>
      <c r="QFQ112" s="83"/>
      <c r="QFR112" s="83"/>
      <c r="QFS112" s="83"/>
      <c r="QFT112" s="83"/>
      <c r="QFU112" s="83"/>
      <c r="QFV112" s="83"/>
      <c r="QFW112" s="83"/>
      <c r="QFX112" s="83"/>
      <c r="QFY112" s="83"/>
      <c r="QFZ112" s="83"/>
      <c r="QGA112" s="83"/>
      <c r="QGB112" s="83"/>
      <c r="QGC112" s="83"/>
      <c r="QGD112" s="83"/>
      <c r="QGE112" s="83"/>
      <c r="QGF112" s="83"/>
      <c r="QGG112" s="83"/>
      <c r="QGH112" s="82"/>
      <c r="QGI112" s="83"/>
      <c r="QGJ112" s="83"/>
      <c r="QGK112" s="83"/>
      <c r="QGL112" s="83"/>
      <c r="QGM112" s="83"/>
      <c r="QGN112" s="83"/>
      <c r="QGO112" s="83"/>
      <c r="QGP112" s="83"/>
      <c r="QGQ112" s="83"/>
      <c r="QGR112" s="83"/>
      <c r="QGS112" s="83"/>
      <c r="QGT112" s="83"/>
      <c r="QGU112" s="83"/>
      <c r="QGV112" s="83"/>
      <c r="QGW112" s="83"/>
      <c r="QGX112" s="83"/>
      <c r="QGY112" s="83"/>
      <c r="QGZ112" s="83"/>
      <c r="QHA112" s="83"/>
      <c r="QHB112" s="83"/>
      <c r="QHC112" s="83"/>
      <c r="QHD112" s="82"/>
      <c r="QHE112" s="83"/>
      <c r="QHF112" s="83"/>
      <c r="QHG112" s="83"/>
      <c r="QHH112" s="83"/>
      <c r="QHI112" s="83"/>
      <c r="QHJ112" s="83"/>
      <c r="QHK112" s="83"/>
      <c r="QHL112" s="83"/>
      <c r="QHM112" s="83"/>
      <c r="QHN112" s="83"/>
      <c r="QHO112" s="83"/>
      <c r="QHP112" s="83"/>
      <c r="QHQ112" s="83"/>
      <c r="QHR112" s="83"/>
      <c r="QHS112" s="83"/>
      <c r="QHT112" s="83"/>
      <c r="QHU112" s="83"/>
      <c r="QHV112" s="83"/>
      <c r="QHW112" s="83"/>
      <c r="QHX112" s="83"/>
      <c r="QHY112" s="83"/>
      <c r="QHZ112" s="82"/>
      <c r="QIA112" s="83"/>
      <c r="QIB112" s="83"/>
      <c r="QIC112" s="83"/>
      <c r="QID112" s="83"/>
      <c r="QIE112" s="83"/>
      <c r="QIF112" s="83"/>
      <c r="QIG112" s="83"/>
      <c r="QIH112" s="83"/>
      <c r="QII112" s="83"/>
      <c r="QIJ112" s="83"/>
      <c r="QIK112" s="83"/>
      <c r="QIL112" s="83"/>
      <c r="QIM112" s="83"/>
      <c r="QIN112" s="83"/>
      <c r="QIO112" s="83"/>
      <c r="QIP112" s="83"/>
      <c r="QIQ112" s="83"/>
      <c r="QIR112" s="83"/>
      <c r="QIS112" s="83"/>
      <c r="QIT112" s="83"/>
      <c r="QIU112" s="83"/>
      <c r="QIV112" s="82"/>
      <c r="QIW112" s="83"/>
      <c r="QIX112" s="83"/>
      <c r="QIY112" s="83"/>
      <c r="QIZ112" s="83"/>
      <c r="QJA112" s="83"/>
      <c r="QJB112" s="83"/>
      <c r="QJC112" s="83"/>
      <c r="QJD112" s="83"/>
      <c r="QJE112" s="83"/>
      <c r="QJF112" s="83"/>
      <c r="QJG112" s="83"/>
      <c r="QJH112" s="83"/>
      <c r="QJI112" s="83"/>
      <c r="QJJ112" s="83"/>
      <c r="QJK112" s="83"/>
      <c r="QJL112" s="83"/>
      <c r="QJM112" s="83"/>
      <c r="QJN112" s="83"/>
      <c r="QJO112" s="83"/>
      <c r="QJP112" s="83"/>
      <c r="QJQ112" s="83"/>
      <c r="QJR112" s="82"/>
      <c r="QJS112" s="83"/>
      <c r="QJT112" s="83"/>
      <c r="QJU112" s="83"/>
      <c r="QJV112" s="83"/>
      <c r="QJW112" s="83"/>
      <c r="QJX112" s="83"/>
      <c r="QJY112" s="83"/>
      <c r="QJZ112" s="83"/>
      <c r="QKA112" s="83"/>
      <c r="QKB112" s="83"/>
      <c r="QKC112" s="83"/>
      <c r="QKD112" s="83"/>
      <c r="QKE112" s="83"/>
      <c r="QKF112" s="83"/>
      <c r="QKG112" s="83"/>
      <c r="QKH112" s="83"/>
      <c r="QKI112" s="83"/>
      <c r="QKJ112" s="83"/>
      <c r="QKK112" s="83"/>
      <c r="QKL112" s="83"/>
      <c r="QKM112" s="83"/>
      <c r="QKN112" s="82"/>
      <c r="QKO112" s="83"/>
      <c r="QKP112" s="83"/>
      <c r="QKQ112" s="83"/>
      <c r="QKR112" s="83"/>
      <c r="QKS112" s="83"/>
      <c r="QKT112" s="83"/>
      <c r="QKU112" s="83"/>
      <c r="QKV112" s="83"/>
      <c r="QKW112" s="83"/>
      <c r="QKX112" s="83"/>
      <c r="QKY112" s="83"/>
      <c r="QKZ112" s="83"/>
      <c r="QLA112" s="83"/>
      <c r="QLB112" s="83"/>
      <c r="QLC112" s="83"/>
      <c r="QLD112" s="83"/>
      <c r="QLE112" s="83"/>
      <c r="QLF112" s="83"/>
      <c r="QLG112" s="83"/>
      <c r="QLH112" s="83"/>
      <c r="QLI112" s="83"/>
      <c r="QLJ112" s="82"/>
      <c r="QLK112" s="83"/>
      <c r="QLL112" s="83"/>
      <c r="QLM112" s="83"/>
      <c r="QLN112" s="83"/>
      <c r="QLO112" s="83"/>
      <c r="QLP112" s="83"/>
      <c r="QLQ112" s="83"/>
      <c r="QLR112" s="83"/>
      <c r="QLS112" s="83"/>
      <c r="QLT112" s="83"/>
      <c r="QLU112" s="83"/>
      <c r="QLV112" s="83"/>
      <c r="QLW112" s="83"/>
      <c r="QLX112" s="83"/>
      <c r="QLY112" s="83"/>
      <c r="QLZ112" s="83"/>
      <c r="QMA112" s="83"/>
      <c r="QMB112" s="83"/>
      <c r="QMC112" s="83"/>
      <c r="QMD112" s="83"/>
      <c r="QME112" s="83"/>
      <c r="QMF112" s="82"/>
      <c r="QMG112" s="83"/>
      <c r="QMH112" s="83"/>
      <c r="QMI112" s="83"/>
      <c r="QMJ112" s="83"/>
      <c r="QMK112" s="83"/>
      <c r="QML112" s="83"/>
      <c r="QMM112" s="83"/>
      <c r="QMN112" s="83"/>
      <c r="QMO112" s="83"/>
      <c r="QMP112" s="83"/>
      <c r="QMQ112" s="83"/>
      <c r="QMR112" s="83"/>
      <c r="QMS112" s="83"/>
      <c r="QMT112" s="83"/>
      <c r="QMU112" s="83"/>
      <c r="QMV112" s="83"/>
      <c r="QMW112" s="83"/>
      <c r="QMX112" s="83"/>
      <c r="QMY112" s="83"/>
      <c r="QMZ112" s="83"/>
      <c r="QNA112" s="83"/>
      <c r="QNB112" s="82"/>
      <c r="QNC112" s="83"/>
      <c r="QND112" s="83"/>
      <c r="QNE112" s="83"/>
      <c r="QNF112" s="83"/>
      <c r="QNG112" s="83"/>
      <c r="QNH112" s="83"/>
      <c r="QNI112" s="83"/>
      <c r="QNJ112" s="83"/>
      <c r="QNK112" s="83"/>
      <c r="QNL112" s="83"/>
      <c r="QNM112" s="83"/>
      <c r="QNN112" s="83"/>
      <c r="QNO112" s="83"/>
      <c r="QNP112" s="83"/>
      <c r="QNQ112" s="83"/>
      <c r="QNR112" s="83"/>
      <c r="QNS112" s="83"/>
      <c r="QNT112" s="83"/>
      <c r="QNU112" s="83"/>
      <c r="QNV112" s="83"/>
      <c r="QNW112" s="83"/>
      <c r="QNX112" s="82"/>
      <c r="QNY112" s="83"/>
      <c r="QNZ112" s="83"/>
      <c r="QOA112" s="83"/>
      <c r="QOB112" s="83"/>
      <c r="QOC112" s="83"/>
      <c r="QOD112" s="83"/>
      <c r="QOE112" s="83"/>
      <c r="QOF112" s="83"/>
      <c r="QOG112" s="83"/>
      <c r="QOH112" s="83"/>
      <c r="QOI112" s="83"/>
      <c r="QOJ112" s="83"/>
      <c r="QOK112" s="83"/>
      <c r="QOL112" s="83"/>
      <c r="QOM112" s="83"/>
      <c r="QON112" s="83"/>
      <c r="QOO112" s="83"/>
      <c r="QOP112" s="83"/>
      <c r="QOQ112" s="83"/>
      <c r="QOR112" s="83"/>
      <c r="QOS112" s="83"/>
      <c r="QOT112" s="82"/>
      <c r="QOU112" s="83"/>
      <c r="QOV112" s="83"/>
      <c r="QOW112" s="83"/>
      <c r="QOX112" s="83"/>
      <c r="QOY112" s="83"/>
      <c r="QOZ112" s="83"/>
      <c r="QPA112" s="83"/>
      <c r="QPB112" s="83"/>
      <c r="QPC112" s="83"/>
      <c r="QPD112" s="83"/>
      <c r="QPE112" s="83"/>
      <c r="QPF112" s="83"/>
      <c r="QPG112" s="83"/>
      <c r="QPH112" s="83"/>
      <c r="QPI112" s="83"/>
      <c r="QPJ112" s="83"/>
      <c r="QPK112" s="83"/>
      <c r="QPL112" s="83"/>
      <c r="QPM112" s="83"/>
      <c r="QPN112" s="83"/>
      <c r="QPO112" s="83"/>
      <c r="QPP112" s="82"/>
      <c r="QPQ112" s="83"/>
      <c r="QPR112" s="83"/>
      <c r="QPS112" s="83"/>
      <c r="QPT112" s="83"/>
      <c r="QPU112" s="83"/>
      <c r="QPV112" s="83"/>
      <c r="QPW112" s="83"/>
      <c r="QPX112" s="83"/>
      <c r="QPY112" s="83"/>
      <c r="QPZ112" s="83"/>
      <c r="QQA112" s="83"/>
      <c r="QQB112" s="83"/>
      <c r="QQC112" s="83"/>
      <c r="QQD112" s="83"/>
      <c r="QQE112" s="83"/>
      <c r="QQF112" s="83"/>
      <c r="QQG112" s="83"/>
      <c r="QQH112" s="83"/>
      <c r="QQI112" s="83"/>
      <c r="QQJ112" s="83"/>
      <c r="QQK112" s="83"/>
      <c r="QQL112" s="82"/>
      <c r="QQM112" s="83"/>
      <c r="QQN112" s="83"/>
      <c r="QQO112" s="83"/>
      <c r="QQP112" s="83"/>
      <c r="QQQ112" s="83"/>
      <c r="QQR112" s="83"/>
      <c r="QQS112" s="83"/>
      <c r="QQT112" s="83"/>
      <c r="QQU112" s="83"/>
      <c r="QQV112" s="83"/>
      <c r="QQW112" s="83"/>
      <c r="QQX112" s="83"/>
      <c r="QQY112" s="83"/>
      <c r="QQZ112" s="83"/>
      <c r="QRA112" s="83"/>
      <c r="QRB112" s="83"/>
      <c r="QRC112" s="83"/>
      <c r="QRD112" s="83"/>
      <c r="QRE112" s="83"/>
      <c r="QRF112" s="83"/>
      <c r="QRG112" s="83"/>
      <c r="QRH112" s="82"/>
      <c r="QRI112" s="83"/>
      <c r="QRJ112" s="83"/>
      <c r="QRK112" s="83"/>
      <c r="QRL112" s="83"/>
      <c r="QRM112" s="83"/>
      <c r="QRN112" s="83"/>
      <c r="QRO112" s="83"/>
      <c r="QRP112" s="83"/>
      <c r="QRQ112" s="83"/>
      <c r="QRR112" s="83"/>
      <c r="QRS112" s="83"/>
      <c r="QRT112" s="83"/>
      <c r="QRU112" s="83"/>
      <c r="QRV112" s="83"/>
      <c r="QRW112" s="83"/>
      <c r="QRX112" s="83"/>
      <c r="QRY112" s="83"/>
      <c r="QRZ112" s="83"/>
      <c r="QSA112" s="83"/>
      <c r="QSB112" s="83"/>
      <c r="QSC112" s="83"/>
      <c r="QSD112" s="82"/>
      <c r="QSE112" s="83"/>
      <c r="QSF112" s="83"/>
      <c r="QSG112" s="83"/>
      <c r="QSH112" s="83"/>
      <c r="QSI112" s="83"/>
      <c r="QSJ112" s="83"/>
      <c r="QSK112" s="83"/>
      <c r="QSL112" s="83"/>
      <c r="QSM112" s="83"/>
      <c r="QSN112" s="83"/>
      <c r="QSO112" s="83"/>
      <c r="QSP112" s="83"/>
      <c r="QSQ112" s="83"/>
      <c r="QSR112" s="83"/>
      <c r="QSS112" s="83"/>
      <c r="QST112" s="83"/>
      <c r="QSU112" s="83"/>
      <c r="QSV112" s="83"/>
      <c r="QSW112" s="83"/>
      <c r="QSX112" s="83"/>
      <c r="QSY112" s="83"/>
      <c r="QSZ112" s="82"/>
      <c r="QTA112" s="83"/>
      <c r="QTB112" s="83"/>
      <c r="QTC112" s="83"/>
      <c r="QTD112" s="83"/>
      <c r="QTE112" s="83"/>
      <c r="QTF112" s="83"/>
      <c r="QTG112" s="83"/>
      <c r="QTH112" s="83"/>
      <c r="QTI112" s="83"/>
      <c r="QTJ112" s="83"/>
      <c r="QTK112" s="83"/>
      <c r="QTL112" s="83"/>
      <c r="QTM112" s="83"/>
      <c r="QTN112" s="83"/>
      <c r="QTO112" s="83"/>
      <c r="QTP112" s="83"/>
      <c r="QTQ112" s="83"/>
      <c r="QTR112" s="83"/>
      <c r="QTS112" s="83"/>
      <c r="QTT112" s="83"/>
      <c r="QTU112" s="83"/>
      <c r="QTV112" s="82"/>
      <c r="QTW112" s="83"/>
      <c r="QTX112" s="83"/>
      <c r="QTY112" s="83"/>
      <c r="QTZ112" s="83"/>
      <c r="QUA112" s="83"/>
      <c r="QUB112" s="83"/>
      <c r="QUC112" s="83"/>
      <c r="QUD112" s="83"/>
      <c r="QUE112" s="83"/>
      <c r="QUF112" s="83"/>
      <c r="QUG112" s="83"/>
      <c r="QUH112" s="83"/>
      <c r="QUI112" s="83"/>
      <c r="QUJ112" s="83"/>
      <c r="QUK112" s="83"/>
      <c r="QUL112" s="83"/>
      <c r="QUM112" s="83"/>
      <c r="QUN112" s="83"/>
      <c r="QUO112" s="83"/>
      <c r="QUP112" s="83"/>
      <c r="QUQ112" s="83"/>
      <c r="QUR112" s="82"/>
      <c r="QUS112" s="83"/>
      <c r="QUT112" s="83"/>
      <c r="QUU112" s="83"/>
      <c r="QUV112" s="83"/>
      <c r="QUW112" s="83"/>
      <c r="QUX112" s="83"/>
      <c r="QUY112" s="83"/>
      <c r="QUZ112" s="83"/>
      <c r="QVA112" s="83"/>
      <c r="QVB112" s="83"/>
      <c r="QVC112" s="83"/>
      <c r="QVD112" s="83"/>
      <c r="QVE112" s="83"/>
      <c r="QVF112" s="83"/>
      <c r="QVG112" s="83"/>
      <c r="QVH112" s="83"/>
      <c r="QVI112" s="83"/>
      <c r="QVJ112" s="83"/>
      <c r="QVK112" s="83"/>
      <c r="QVL112" s="83"/>
      <c r="QVM112" s="83"/>
      <c r="QVN112" s="82"/>
      <c r="QVO112" s="83"/>
      <c r="QVP112" s="83"/>
      <c r="QVQ112" s="83"/>
      <c r="QVR112" s="83"/>
      <c r="QVS112" s="83"/>
      <c r="QVT112" s="83"/>
      <c r="QVU112" s="83"/>
      <c r="QVV112" s="83"/>
      <c r="QVW112" s="83"/>
      <c r="QVX112" s="83"/>
      <c r="QVY112" s="83"/>
      <c r="QVZ112" s="83"/>
      <c r="QWA112" s="83"/>
      <c r="QWB112" s="83"/>
      <c r="QWC112" s="83"/>
      <c r="QWD112" s="83"/>
      <c r="QWE112" s="83"/>
      <c r="QWF112" s="83"/>
      <c r="QWG112" s="83"/>
      <c r="QWH112" s="83"/>
      <c r="QWI112" s="83"/>
      <c r="QWJ112" s="82"/>
      <c r="QWK112" s="83"/>
      <c r="QWL112" s="83"/>
      <c r="QWM112" s="83"/>
      <c r="QWN112" s="83"/>
      <c r="QWO112" s="83"/>
      <c r="QWP112" s="83"/>
      <c r="QWQ112" s="83"/>
      <c r="QWR112" s="83"/>
      <c r="QWS112" s="83"/>
      <c r="QWT112" s="83"/>
      <c r="QWU112" s="83"/>
      <c r="QWV112" s="83"/>
      <c r="QWW112" s="83"/>
      <c r="QWX112" s="83"/>
      <c r="QWY112" s="83"/>
      <c r="QWZ112" s="83"/>
      <c r="QXA112" s="83"/>
      <c r="QXB112" s="83"/>
      <c r="QXC112" s="83"/>
      <c r="QXD112" s="83"/>
      <c r="QXE112" s="83"/>
      <c r="QXF112" s="82"/>
      <c r="QXG112" s="83"/>
      <c r="QXH112" s="83"/>
      <c r="QXI112" s="83"/>
      <c r="QXJ112" s="83"/>
      <c r="QXK112" s="83"/>
      <c r="QXL112" s="83"/>
      <c r="QXM112" s="83"/>
      <c r="QXN112" s="83"/>
      <c r="QXO112" s="83"/>
      <c r="QXP112" s="83"/>
      <c r="QXQ112" s="83"/>
      <c r="QXR112" s="83"/>
      <c r="QXS112" s="83"/>
      <c r="QXT112" s="83"/>
      <c r="QXU112" s="83"/>
      <c r="QXV112" s="83"/>
      <c r="QXW112" s="83"/>
      <c r="QXX112" s="83"/>
      <c r="QXY112" s="83"/>
      <c r="QXZ112" s="83"/>
      <c r="QYA112" s="83"/>
      <c r="QYB112" s="82"/>
      <c r="QYC112" s="83"/>
      <c r="QYD112" s="83"/>
      <c r="QYE112" s="83"/>
      <c r="QYF112" s="83"/>
      <c r="QYG112" s="83"/>
      <c r="QYH112" s="83"/>
      <c r="QYI112" s="83"/>
      <c r="QYJ112" s="83"/>
      <c r="QYK112" s="83"/>
      <c r="QYL112" s="83"/>
      <c r="QYM112" s="83"/>
      <c r="QYN112" s="83"/>
      <c r="QYO112" s="83"/>
      <c r="QYP112" s="83"/>
      <c r="QYQ112" s="83"/>
      <c r="QYR112" s="83"/>
      <c r="QYS112" s="83"/>
      <c r="QYT112" s="83"/>
      <c r="QYU112" s="83"/>
      <c r="QYV112" s="83"/>
      <c r="QYW112" s="83"/>
      <c r="QYX112" s="82"/>
      <c r="QYY112" s="83"/>
      <c r="QYZ112" s="83"/>
      <c r="QZA112" s="83"/>
      <c r="QZB112" s="83"/>
      <c r="QZC112" s="83"/>
      <c r="QZD112" s="83"/>
      <c r="QZE112" s="83"/>
      <c r="QZF112" s="83"/>
      <c r="QZG112" s="83"/>
      <c r="QZH112" s="83"/>
      <c r="QZI112" s="83"/>
      <c r="QZJ112" s="83"/>
      <c r="QZK112" s="83"/>
      <c r="QZL112" s="83"/>
      <c r="QZM112" s="83"/>
      <c r="QZN112" s="83"/>
      <c r="QZO112" s="83"/>
      <c r="QZP112" s="83"/>
      <c r="QZQ112" s="83"/>
      <c r="QZR112" s="83"/>
      <c r="QZS112" s="83"/>
      <c r="QZT112" s="82"/>
      <c r="QZU112" s="83"/>
      <c r="QZV112" s="83"/>
      <c r="QZW112" s="83"/>
      <c r="QZX112" s="83"/>
      <c r="QZY112" s="83"/>
      <c r="QZZ112" s="83"/>
      <c r="RAA112" s="83"/>
      <c r="RAB112" s="83"/>
      <c r="RAC112" s="83"/>
      <c r="RAD112" s="83"/>
      <c r="RAE112" s="83"/>
      <c r="RAF112" s="83"/>
      <c r="RAG112" s="83"/>
      <c r="RAH112" s="83"/>
      <c r="RAI112" s="83"/>
      <c r="RAJ112" s="83"/>
      <c r="RAK112" s="83"/>
      <c r="RAL112" s="83"/>
      <c r="RAM112" s="83"/>
      <c r="RAN112" s="83"/>
      <c r="RAO112" s="83"/>
      <c r="RAP112" s="82"/>
      <c r="RAQ112" s="83"/>
      <c r="RAR112" s="83"/>
      <c r="RAS112" s="83"/>
      <c r="RAT112" s="83"/>
      <c r="RAU112" s="83"/>
      <c r="RAV112" s="83"/>
      <c r="RAW112" s="83"/>
      <c r="RAX112" s="83"/>
      <c r="RAY112" s="83"/>
      <c r="RAZ112" s="83"/>
      <c r="RBA112" s="83"/>
      <c r="RBB112" s="83"/>
      <c r="RBC112" s="83"/>
      <c r="RBD112" s="83"/>
      <c r="RBE112" s="83"/>
      <c r="RBF112" s="83"/>
      <c r="RBG112" s="83"/>
      <c r="RBH112" s="83"/>
      <c r="RBI112" s="83"/>
      <c r="RBJ112" s="83"/>
      <c r="RBK112" s="83"/>
      <c r="RBL112" s="82"/>
      <c r="RBM112" s="83"/>
      <c r="RBN112" s="83"/>
      <c r="RBO112" s="83"/>
      <c r="RBP112" s="83"/>
      <c r="RBQ112" s="83"/>
      <c r="RBR112" s="83"/>
      <c r="RBS112" s="83"/>
      <c r="RBT112" s="83"/>
      <c r="RBU112" s="83"/>
      <c r="RBV112" s="83"/>
      <c r="RBW112" s="83"/>
      <c r="RBX112" s="83"/>
      <c r="RBY112" s="83"/>
      <c r="RBZ112" s="83"/>
      <c r="RCA112" s="83"/>
      <c r="RCB112" s="83"/>
      <c r="RCC112" s="83"/>
      <c r="RCD112" s="83"/>
      <c r="RCE112" s="83"/>
      <c r="RCF112" s="83"/>
      <c r="RCG112" s="83"/>
      <c r="RCH112" s="82"/>
      <c r="RCI112" s="83"/>
      <c r="RCJ112" s="83"/>
      <c r="RCK112" s="83"/>
      <c r="RCL112" s="83"/>
      <c r="RCM112" s="83"/>
      <c r="RCN112" s="83"/>
      <c r="RCO112" s="83"/>
      <c r="RCP112" s="83"/>
      <c r="RCQ112" s="83"/>
      <c r="RCR112" s="83"/>
      <c r="RCS112" s="83"/>
      <c r="RCT112" s="83"/>
      <c r="RCU112" s="83"/>
      <c r="RCV112" s="83"/>
      <c r="RCW112" s="83"/>
      <c r="RCX112" s="83"/>
      <c r="RCY112" s="83"/>
      <c r="RCZ112" s="83"/>
      <c r="RDA112" s="83"/>
      <c r="RDB112" s="83"/>
      <c r="RDC112" s="83"/>
      <c r="RDD112" s="82"/>
      <c r="RDE112" s="83"/>
      <c r="RDF112" s="83"/>
      <c r="RDG112" s="83"/>
      <c r="RDH112" s="83"/>
      <c r="RDI112" s="83"/>
      <c r="RDJ112" s="83"/>
      <c r="RDK112" s="83"/>
      <c r="RDL112" s="83"/>
      <c r="RDM112" s="83"/>
      <c r="RDN112" s="83"/>
      <c r="RDO112" s="83"/>
      <c r="RDP112" s="83"/>
      <c r="RDQ112" s="83"/>
      <c r="RDR112" s="83"/>
      <c r="RDS112" s="83"/>
      <c r="RDT112" s="83"/>
      <c r="RDU112" s="83"/>
      <c r="RDV112" s="83"/>
      <c r="RDW112" s="83"/>
      <c r="RDX112" s="83"/>
      <c r="RDY112" s="83"/>
      <c r="RDZ112" s="82"/>
      <c r="REA112" s="83"/>
      <c r="REB112" s="83"/>
      <c r="REC112" s="83"/>
      <c r="RED112" s="83"/>
      <c r="REE112" s="83"/>
      <c r="REF112" s="83"/>
      <c r="REG112" s="83"/>
      <c r="REH112" s="83"/>
      <c r="REI112" s="83"/>
      <c r="REJ112" s="83"/>
      <c r="REK112" s="83"/>
      <c r="REL112" s="83"/>
      <c r="REM112" s="83"/>
      <c r="REN112" s="83"/>
      <c r="REO112" s="83"/>
      <c r="REP112" s="83"/>
      <c r="REQ112" s="83"/>
      <c r="RER112" s="83"/>
      <c r="RES112" s="83"/>
      <c r="RET112" s="83"/>
      <c r="REU112" s="83"/>
      <c r="REV112" s="82"/>
      <c r="REW112" s="83"/>
      <c r="REX112" s="83"/>
      <c r="REY112" s="83"/>
      <c r="REZ112" s="83"/>
      <c r="RFA112" s="83"/>
      <c r="RFB112" s="83"/>
      <c r="RFC112" s="83"/>
      <c r="RFD112" s="83"/>
      <c r="RFE112" s="83"/>
      <c r="RFF112" s="83"/>
      <c r="RFG112" s="83"/>
      <c r="RFH112" s="83"/>
      <c r="RFI112" s="83"/>
      <c r="RFJ112" s="83"/>
      <c r="RFK112" s="83"/>
      <c r="RFL112" s="83"/>
      <c r="RFM112" s="83"/>
      <c r="RFN112" s="83"/>
      <c r="RFO112" s="83"/>
      <c r="RFP112" s="83"/>
      <c r="RFQ112" s="83"/>
      <c r="RFR112" s="82"/>
      <c r="RFS112" s="83"/>
      <c r="RFT112" s="83"/>
      <c r="RFU112" s="83"/>
      <c r="RFV112" s="83"/>
      <c r="RFW112" s="83"/>
      <c r="RFX112" s="83"/>
      <c r="RFY112" s="83"/>
      <c r="RFZ112" s="83"/>
      <c r="RGA112" s="83"/>
      <c r="RGB112" s="83"/>
      <c r="RGC112" s="83"/>
      <c r="RGD112" s="83"/>
      <c r="RGE112" s="83"/>
      <c r="RGF112" s="83"/>
      <c r="RGG112" s="83"/>
      <c r="RGH112" s="83"/>
      <c r="RGI112" s="83"/>
      <c r="RGJ112" s="83"/>
      <c r="RGK112" s="83"/>
      <c r="RGL112" s="83"/>
      <c r="RGM112" s="83"/>
      <c r="RGN112" s="82"/>
      <c r="RGO112" s="83"/>
      <c r="RGP112" s="83"/>
      <c r="RGQ112" s="83"/>
      <c r="RGR112" s="83"/>
      <c r="RGS112" s="83"/>
      <c r="RGT112" s="83"/>
      <c r="RGU112" s="83"/>
      <c r="RGV112" s="83"/>
      <c r="RGW112" s="83"/>
      <c r="RGX112" s="83"/>
      <c r="RGY112" s="83"/>
      <c r="RGZ112" s="83"/>
      <c r="RHA112" s="83"/>
      <c r="RHB112" s="83"/>
      <c r="RHC112" s="83"/>
      <c r="RHD112" s="83"/>
      <c r="RHE112" s="83"/>
      <c r="RHF112" s="83"/>
      <c r="RHG112" s="83"/>
      <c r="RHH112" s="83"/>
      <c r="RHI112" s="83"/>
      <c r="RHJ112" s="82"/>
      <c r="RHK112" s="83"/>
      <c r="RHL112" s="83"/>
      <c r="RHM112" s="83"/>
      <c r="RHN112" s="83"/>
      <c r="RHO112" s="83"/>
      <c r="RHP112" s="83"/>
      <c r="RHQ112" s="83"/>
      <c r="RHR112" s="83"/>
      <c r="RHS112" s="83"/>
      <c r="RHT112" s="83"/>
      <c r="RHU112" s="83"/>
      <c r="RHV112" s="83"/>
      <c r="RHW112" s="83"/>
      <c r="RHX112" s="83"/>
      <c r="RHY112" s="83"/>
      <c r="RHZ112" s="83"/>
      <c r="RIA112" s="83"/>
      <c r="RIB112" s="83"/>
      <c r="RIC112" s="83"/>
      <c r="RID112" s="83"/>
      <c r="RIE112" s="83"/>
      <c r="RIF112" s="82"/>
      <c r="RIG112" s="83"/>
      <c r="RIH112" s="83"/>
      <c r="RII112" s="83"/>
      <c r="RIJ112" s="83"/>
      <c r="RIK112" s="83"/>
      <c r="RIL112" s="83"/>
      <c r="RIM112" s="83"/>
      <c r="RIN112" s="83"/>
      <c r="RIO112" s="83"/>
      <c r="RIP112" s="83"/>
      <c r="RIQ112" s="83"/>
      <c r="RIR112" s="83"/>
      <c r="RIS112" s="83"/>
      <c r="RIT112" s="83"/>
      <c r="RIU112" s="83"/>
      <c r="RIV112" s="83"/>
      <c r="RIW112" s="83"/>
      <c r="RIX112" s="83"/>
      <c r="RIY112" s="83"/>
      <c r="RIZ112" s="83"/>
      <c r="RJA112" s="83"/>
      <c r="RJB112" s="82"/>
      <c r="RJC112" s="83"/>
      <c r="RJD112" s="83"/>
      <c r="RJE112" s="83"/>
      <c r="RJF112" s="83"/>
      <c r="RJG112" s="83"/>
      <c r="RJH112" s="83"/>
      <c r="RJI112" s="83"/>
      <c r="RJJ112" s="83"/>
      <c r="RJK112" s="83"/>
      <c r="RJL112" s="83"/>
      <c r="RJM112" s="83"/>
      <c r="RJN112" s="83"/>
      <c r="RJO112" s="83"/>
      <c r="RJP112" s="83"/>
      <c r="RJQ112" s="83"/>
      <c r="RJR112" s="83"/>
      <c r="RJS112" s="83"/>
      <c r="RJT112" s="83"/>
      <c r="RJU112" s="83"/>
      <c r="RJV112" s="83"/>
      <c r="RJW112" s="83"/>
      <c r="RJX112" s="82"/>
      <c r="RJY112" s="83"/>
      <c r="RJZ112" s="83"/>
      <c r="RKA112" s="83"/>
      <c r="RKB112" s="83"/>
      <c r="RKC112" s="83"/>
      <c r="RKD112" s="83"/>
      <c r="RKE112" s="83"/>
      <c r="RKF112" s="83"/>
      <c r="RKG112" s="83"/>
      <c r="RKH112" s="83"/>
      <c r="RKI112" s="83"/>
      <c r="RKJ112" s="83"/>
      <c r="RKK112" s="83"/>
      <c r="RKL112" s="83"/>
      <c r="RKM112" s="83"/>
      <c r="RKN112" s="83"/>
      <c r="RKO112" s="83"/>
      <c r="RKP112" s="83"/>
      <c r="RKQ112" s="83"/>
      <c r="RKR112" s="83"/>
      <c r="RKS112" s="83"/>
      <c r="RKT112" s="82"/>
      <c r="RKU112" s="83"/>
      <c r="RKV112" s="83"/>
      <c r="RKW112" s="83"/>
      <c r="RKX112" s="83"/>
      <c r="RKY112" s="83"/>
      <c r="RKZ112" s="83"/>
      <c r="RLA112" s="83"/>
      <c r="RLB112" s="83"/>
      <c r="RLC112" s="83"/>
      <c r="RLD112" s="83"/>
      <c r="RLE112" s="83"/>
      <c r="RLF112" s="83"/>
      <c r="RLG112" s="83"/>
      <c r="RLH112" s="83"/>
      <c r="RLI112" s="83"/>
      <c r="RLJ112" s="83"/>
      <c r="RLK112" s="83"/>
      <c r="RLL112" s="83"/>
      <c r="RLM112" s="83"/>
      <c r="RLN112" s="83"/>
      <c r="RLO112" s="83"/>
      <c r="RLP112" s="82"/>
      <c r="RLQ112" s="83"/>
      <c r="RLR112" s="83"/>
      <c r="RLS112" s="83"/>
      <c r="RLT112" s="83"/>
      <c r="RLU112" s="83"/>
      <c r="RLV112" s="83"/>
      <c r="RLW112" s="83"/>
      <c r="RLX112" s="83"/>
      <c r="RLY112" s="83"/>
      <c r="RLZ112" s="83"/>
      <c r="RMA112" s="83"/>
      <c r="RMB112" s="83"/>
      <c r="RMC112" s="83"/>
      <c r="RMD112" s="83"/>
      <c r="RME112" s="83"/>
      <c r="RMF112" s="83"/>
      <c r="RMG112" s="83"/>
      <c r="RMH112" s="83"/>
      <c r="RMI112" s="83"/>
      <c r="RMJ112" s="83"/>
      <c r="RMK112" s="83"/>
      <c r="RML112" s="82"/>
      <c r="RMM112" s="83"/>
      <c r="RMN112" s="83"/>
      <c r="RMO112" s="83"/>
      <c r="RMP112" s="83"/>
      <c r="RMQ112" s="83"/>
      <c r="RMR112" s="83"/>
      <c r="RMS112" s="83"/>
      <c r="RMT112" s="83"/>
      <c r="RMU112" s="83"/>
      <c r="RMV112" s="83"/>
      <c r="RMW112" s="83"/>
      <c r="RMX112" s="83"/>
      <c r="RMY112" s="83"/>
      <c r="RMZ112" s="83"/>
      <c r="RNA112" s="83"/>
      <c r="RNB112" s="83"/>
      <c r="RNC112" s="83"/>
      <c r="RND112" s="83"/>
      <c r="RNE112" s="83"/>
      <c r="RNF112" s="83"/>
      <c r="RNG112" s="83"/>
      <c r="RNH112" s="82"/>
      <c r="RNI112" s="83"/>
      <c r="RNJ112" s="83"/>
      <c r="RNK112" s="83"/>
      <c r="RNL112" s="83"/>
      <c r="RNM112" s="83"/>
      <c r="RNN112" s="83"/>
      <c r="RNO112" s="83"/>
      <c r="RNP112" s="83"/>
      <c r="RNQ112" s="83"/>
      <c r="RNR112" s="83"/>
      <c r="RNS112" s="83"/>
      <c r="RNT112" s="83"/>
      <c r="RNU112" s="83"/>
      <c r="RNV112" s="83"/>
      <c r="RNW112" s="83"/>
      <c r="RNX112" s="83"/>
      <c r="RNY112" s="83"/>
      <c r="RNZ112" s="83"/>
      <c r="ROA112" s="83"/>
      <c r="ROB112" s="83"/>
      <c r="ROC112" s="83"/>
      <c r="ROD112" s="82"/>
      <c r="ROE112" s="83"/>
      <c r="ROF112" s="83"/>
      <c r="ROG112" s="83"/>
      <c r="ROH112" s="83"/>
      <c r="ROI112" s="83"/>
      <c r="ROJ112" s="83"/>
      <c r="ROK112" s="83"/>
      <c r="ROL112" s="83"/>
      <c r="ROM112" s="83"/>
      <c r="RON112" s="83"/>
      <c r="ROO112" s="83"/>
      <c r="ROP112" s="83"/>
      <c r="ROQ112" s="83"/>
      <c r="ROR112" s="83"/>
      <c r="ROS112" s="83"/>
      <c r="ROT112" s="83"/>
      <c r="ROU112" s="83"/>
      <c r="ROV112" s="83"/>
      <c r="ROW112" s="83"/>
      <c r="ROX112" s="83"/>
      <c r="ROY112" s="83"/>
      <c r="ROZ112" s="82"/>
      <c r="RPA112" s="83"/>
      <c r="RPB112" s="83"/>
      <c r="RPC112" s="83"/>
      <c r="RPD112" s="83"/>
      <c r="RPE112" s="83"/>
      <c r="RPF112" s="83"/>
      <c r="RPG112" s="83"/>
      <c r="RPH112" s="83"/>
      <c r="RPI112" s="83"/>
      <c r="RPJ112" s="83"/>
      <c r="RPK112" s="83"/>
      <c r="RPL112" s="83"/>
      <c r="RPM112" s="83"/>
      <c r="RPN112" s="83"/>
      <c r="RPO112" s="83"/>
      <c r="RPP112" s="83"/>
      <c r="RPQ112" s="83"/>
      <c r="RPR112" s="83"/>
      <c r="RPS112" s="83"/>
      <c r="RPT112" s="83"/>
      <c r="RPU112" s="83"/>
      <c r="RPV112" s="82"/>
      <c r="RPW112" s="83"/>
      <c r="RPX112" s="83"/>
      <c r="RPY112" s="83"/>
      <c r="RPZ112" s="83"/>
      <c r="RQA112" s="83"/>
      <c r="RQB112" s="83"/>
      <c r="RQC112" s="83"/>
      <c r="RQD112" s="83"/>
      <c r="RQE112" s="83"/>
      <c r="RQF112" s="83"/>
      <c r="RQG112" s="83"/>
      <c r="RQH112" s="83"/>
      <c r="RQI112" s="83"/>
      <c r="RQJ112" s="83"/>
      <c r="RQK112" s="83"/>
      <c r="RQL112" s="83"/>
      <c r="RQM112" s="83"/>
      <c r="RQN112" s="83"/>
      <c r="RQO112" s="83"/>
      <c r="RQP112" s="83"/>
      <c r="RQQ112" s="83"/>
      <c r="RQR112" s="82"/>
      <c r="RQS112" s="83"/>
      <c r="RQT112" s="83"/>
      <c r="RQU112" s="83"/>
      <c r="RQV112" s="83"/>
      <c r="RQW112" s="83"/>
      <c r="RQX112" s="83"/>
      <c r="RQY112" s="83"/>
      <c r="RQZ112" s="83"/>
      <c r="RRA112" s="83"/>
      <c r="RRB112" s="83"/>
      <c r="RRC112" s="83"/>
      <c r="RRD112" s="83"/>
      <c r="RRE112" s="83"/>
      <c r="RRF112" s="83"/>
      <c r="RRG112" s="83"/>
      <c r="RRH112" s="83"/>
      <c r="RRI112" s="83"/>
      <c r="RRJ112" s="83"/>
      <c r="RRK112" s="83"/>
      <c r="RRL112" s="83"/>
      <c r="RRM112" s="83"/>
      <c r="RRN112" s="82"/>
      <c r="RRO112" s="83"/>
      <c r="RRP112" s="83"/>
      <c r="RRQ112" s="83"/>
      <c r="RRR112" s="83"/>
      <c r="RRS112" s="83"/>
      <c r="RRT112" s="83"/>
      <c r="RRU112" s="83"/>
      <c r="RRV112" s="83"/>
      <c r="RRW112" s="83"/>
      <c r="RRX112" s="83"/>
      <c r="RRY112" s="83"/>
      <c r="RRZ112" s="83"/>
      <c r="RSA112" s="83"/>
      <c r="RSB112" s="83"/>
      <c r="RSC112" s="83"/>
      <c r="RSD112" s="83"/>
      <c r="RSE112" s="83"/>
      <c r="RSF112" s="83"/>
      <c r="RSG112" s="83"/>
      <c r="RSH112" s="83"/>
      <c r="RSI112" s="83"/>
      <c r="RSJ112" s="82"/>
      <c r="RSK112" s="83"/>
      <c r="RSL112" s="83"/>
      <c r="RSM112" s="83"/>
      <c r="RSN112" s="83"/>
      <c r="RSO112" s="83"/>
      <c r="RSP112" s="83"/>
      <c r="RSQ112" s="83"/>
      <c r="RSR112" s="83"/>
      <c r="RSS112" s="83"/>
      <c r="RST112" s="83"/>
      <c r="RSU112" s="83"/>
      <c r="RSV112" s="83"/>
      <c r="RSW112" s="83"/>
      <c r="RSX112" s="83"/>
      <c r="RSY112" s="83"/>
      <c r="RSZ112" s="83"/>
      <c r="RTA112" s="83"/>
      <c r="RTB112" s="83"/>
      <c r="RTC112" s="83"/>
      <c r="RTD112" s="83"/>
      <c r="RTE112" s="83"/>
      <c r="RTF112" s="82"/>
      <c r="RTG112" s="83"/>
      <c r="RTH112" s="83"/>
      <c r="RTI112" s="83"/>
      <c r="RTJ112" s="83"/>
      <c r="RTK112" s="83"/>
      <c r="RTL112" s="83"/>
      <c r="RTM112" s="83"/>
      <c r="RTN112" s="83"/>
      <c r="RTO112" s="83"/>
      <c r="RTP112" s="83"/>
      <c r="RTQ112" s="83"/>
      <c r="RTR112" s="83"/>
      <c r="RTS112" s="83"/>
      <c r="RTT112" s="83"/>
      <c r="RTU112" s="83"/>
      <c r="RTV112" s="83"/>
      <c r="RTW112" s="83"/>
      <c r="RTX112" s="83"/>
      <c r="RTY112" s="83"/>
      <c r="RTZ112" s="83"/>
      <c r="RUA112" s="83"/>
      <c r="RUB112" s="82"/>
      <c r="RUC112" s="83"/>
      <c r="RUD112" s="83"/>
      <c r="RUE112" s="83"/>
      <c r="RUF112" s="83"/>
      <c r="RUG112" s="83"/>
      <c r="RUH112" s="83"/>
      <c r="RUI112" s="83"/>
      <c r="RUJ112" s="83"/>
      <c r="RUK112" s="83"/>
      <c r="RUL112" s="83"/>
      <c r="RUM112" s="83"/>
      <c r="RUN112" s="83"/>
      <c r="RUO112" s="83"/>
      <c r="RUP112" s="83"/>
      <c r="RUQ112" s="83"/>
      <c r="RUR112" s="83"/>
      <c r="RUS112" s="83"/>
      <c r="RUT112" s="83"/>
      <c r="RUU112" s="83"/>
      <c r="RUV112" s="83"/>
      <c r="RUW112" s="83"/>
      <c r="RUX112" s="82"/>
      <c r="RUY112" s="83"/>
      <c r="RUZ112" s="83"/>
      <c r="RVA112" s="83"/>
      <c r="RVB112" s="83"/>
      <c r="RVC112" s="83"/>
      <c r="RVD112" s="83"/>
      <c r="RVE112" s="83"/>
      <c r="RVF112" s="83"/>
      <c r="RVG112" s="83"/>
      <c r="RVH112" s="83"/>
      <c r="RVI112" s="83"/>
      <c r="RVJ112" s="83"/>
      <c r="RVK112" s="83"/>
      <c r="RVL112" s="83"/>
      <c r="RVM112" s="83"/>
      <c r="RVN112" s="83"/>
      <c r="RVO112" s="83"/>
      <c r="RVP112" s="83"/>
      <c r="RVQ112" s="83"/>
      <c r="RVR112" s="83"/>
      <c r="RVS112" s="83"/>
      <c r="RVT112" s="82"/>
      <c r="RVU112" s="83"/>
      <c r="RVV112" s="83"/>
      <c r="RVW112" s="83"/>
      <c r="RVX112" s="83"/>
      <c r="RVY112" s="83"/>
      <c r="RVZ112" s="83"/>
      <c r="RWA112" s="83"/>
      <c r="RWB112" s="83"/>
      <c r="RWC112" s="83"/>
      <c r="RWD112" s="83"/>
      <c r="RWE112" s="83"/>
      <c r="RWF112" s="83"/>
      <c r="RWG112" s="83"/>
      <c r="RWH112" s="83"/>
      <c r="RWI112" s="83"/>
      <c r="RWJ112" s="83"/>
      <c r="RWK112" s="83"/>
      <c r="RWL112" s="83"/>
      <c r="RWM112" s="83"/>
      <c r="RWN112" s="83"/>
      <c r="RWO112" s="83"/>
      <c r="RWP112" s="82"/>
      <c r="RWQ112" s="83"/>
      <c r="RWR112" s="83"/>
      <c r="RWS112" s="83"/>
      <c r="RWT112" s="83"/>
      <c r="RWU112" s="83"/>
      <c r="RWV112" s="83"/>
      <c r="RWW112" s="83"/>
      <c r="RWX112" s="83"/>
      <c r="RWY112" s="83"/>
      <c r="RWZ112" s="83"/>
      <c r="RXA112" s="83"/>
      <c r="RXB112" s="83"/>
      <c r="RXC112" s="83"/>
      <c r="RXD112" s="83"/>
      <c r="RXE112" s="83"/>
      <c r="RXF112" s="83"/>
      <c r="RXG112" s="83"/>
      <c r="RXH112" s="83"/>
      <c r="RXI112" s="83"/>
      <c r="RXJ112" s="83"/>
      <c r="RXK112" s="83"/>
      <c r="RXL112" s="82"/>
      <c r="RXM112" s="83"/>
      <c r="RXN112" s="83"/>
      <c r="RXO112" s="83"/>
      <c r="RXP112" s="83"/>
      <c r="RXQ112" s="83"/>
      <c r="RXR112" s="83"/>
      <c r="RXS112" s="83"/>
      <c r="RXT112" s="83"/>
      <c r="RXU112" s="83"/>
      <c r="RXV112" s="83"/>
      <c r="RXW112" s="83"/>
      <c r="RXX112" s="83"/>
      <c r="RXY112" s="83"/>
      <c r="RXZ112" s="83"/>
      <c r="RYA112" s="83"/>
      <c r="RYB112" s="83"/>
      <c r="RYC112" s="83"/>
      <c r="RYD112" s="83"/>
      <c r="RYE112" s="83"/>
      <c r="RYF112" s="83"/>
      <c r="RYG112" s="83"/>
      <c r="RYH112" s="82"/>
      <c r="RYI112" s="83"/>
      <c r="RYJ112" s="83"/>
      <c r="RYK112" s="83"/>
      <c r="RYL112" s="83"/>
      <c r="RYM112" s="83"/>
      <c r="RYN112" s="83"/>
      <c r="RYO112" s="83"/>
      <c r="RYP112" s="83"/>
      <c r="RYQ112" s="83"/>
      <c r="RYR112" s="83"/>
      <c r="RYS112" s="83"/>
      <c r="RYT112" s="83"/>
      <c r="RYU112" s="83"/>
      <c r="RYV112" s="83"/>
      <c r="RYW112" s="83"/>
      <c r="RYX112" s="83"/>
      <c r="RYY112" s="83"/>
      <c r="RYZ112" s="83"/>
      <c r="RZA112" s="83"/>
      <c r="RZB112" s="83"/>
      <c r="RZC112" s="83"/>
      <c r="RZD112" s="82"/>
      <c r="RZE112" s="83"/>
      <c r="RZF112" s="83"/>
      <c r="RZG112" s="83"/>
      <c r="RZH112" s="83"/>
      <c r="RZI112" s="83"/>
      <c r="RZJ112" s="83"/>
      <c r="RZK112" s="83"/>
      <c r="RZL112" s="83"/>
      <c r="RZM112" s="83"/>
      <c r="RZN112" s="83"/>
      <c r="RZO112" s="83"/>
      <c r="RZP112" s="83"/>
      <c r="RZQ112" s="83"/>
      <c r="RZR112" s="83"/>
      <c r="RZS112" s="83"/>
      <c r="RZT112" s="83"/>
      <c r="RZU112" s="83"/>
      <c r="RZV112" s="83"/>
      <c r="RZW112" s="83"/>
      <c r="RZX112" s="83"/>
      <c r="RZY112" s="83"/>
      <c r="RZZ112" s="82"/>
      <c r="SAA112" s="83"/>
      <c r="SAB112" s="83"/>
      <c r="SAC112" s="83"/>
      <c r="SAD112" s="83"/>
      <c r="SAE112" s="83"/>
      <c r="SAF112" s="83"/>
      <c r="SAG112" s="83"/>
      <c r="SAH112" s="83"/>
      <c r="SAI112" s="83"/>
      <c r="SAJ112" s="83"/>
      <c r="SAK112" s="83"/>
      <c r="SAL112" s="83"/>
      <c r="SAM112" s="83"/>
      <c r="SAN112" s="83"/>
      <c r="SAO112" s="83"/>
      <c r="SAP112" s="83"/>
      <c r="SAQ112" s="83"/>
      <c r="SAR112" s="83"/>
      <c r="SAS112" s="83"/>
      <c r="SAT112" s="83"/>
      <c r="SAU112" s="83"/>
      <c r="SAV112" s="82"/>
      <c r="SAW112" s="83"/>
      <c r="SAX112" s="83"/>
      <c r="SAY112" s="83"/>
      <c r="SAZ112" s="83"/>
      <c r="SBA112" s="83"/>
      <c r="SBB112" s="83"/>
      <c r="SBC112" s="83"/>
      <c r="SBD112" s="83"/>
      <c r="SBE112" s="83"/>
      <c r="SBF112" s="83"/>
      <c r="SBG112" s="83"/>
      <c r="SBH112" s="83"/>
      <c r="SBI112" s="83"/>
      <c r="SBJ112" s="83"/>
      <c r="SBK112" s="83"/>
      <c r="SBL112" s="83"/>
      <c r="SBM112" s="83"/>
      <c r="SBN112" s="83"/>
      <c r="SBO112" s="83"/>
      <c r="SBP112" s="83"/>
      <c r="SBQ112" s="83"/>
      <c r="SBR112" s="82"/>
      <c r="SBS112" s="83"/>
      <c r="SBT112" s="83"/>
      <c r="SBU112" s="83"/>
      <c r="SBV112" s="83"/>
      <c r="SBW112" s="83"/>
      <c r="SBX112" s="83"/>
      <c r="SBY112" s="83"/>
      <c r="SBZ112" s="83"/>
      <c r="SCA112" s="83"/>
      <c r="SCB112" s="83"/>
      <c r="SCC112" s="83"/>
      <c r="SCD112" s="83"/>
      <c r="SCE112" s="83"/>
      <c r="SCF112" s="83"/>
      <c r="SCG112" s="83"/>
      <c r="SCH112" s="83"/>
      <c r="SCI112" s="83"/>
      <c r="SCJ112" s="83"/>
      <c r="SCK112" s="83"/>
      <c r="SCL112" s="83"/>
      <c r="SCM112" s="83"/>
      <c r="SCN112" s="82"/>
      <c r="SCO112" s="83"/>
      <c r="SCP112" s="83"/>
      <c r="SCQ112" s="83"/>
      <c r="SCR112" s="83"/>
      <c r="SCS112" s="83"/>
      <c r="SCT112" s="83"/>
      <c r="SCU112" s="83"/>
      <c r="SCV112" s="83"/>
      <c r="SCW112" s="83"/>
      <c r="SCX112" s="83"/>
      <c r="SCY112" s="83"/>
      <c r="SCZ112" s="83"/>
      <c r="SDA112" s="83"/>
      <c r="SDB112" s="83"/>
      <c r="SDC112" s="83"/>
      <c r="SDD112" s="83"/>
      <c r="SDE112" s="83"/>
      <c r="SDF112" s="83"/>
      <c r="SDG112" s="83"/>
      <c r="SDH112" s="83"/>
      <c r="SDI112" s="83"/>
      <c r="SDJ112" s="82"/>
      <c r="SDK112" s="83"/>
      <c r="SDL112" s="83"/>
      <c r="SDM112" s="83"/>
      <c r="SDN112" s="83"/>
      <c r="SDO112" s="83"/>
      <c r="SDP112" s="83"/>
      <c r="SDQ112" s="83"/>
      <c r="SDR112" s="83"/>
      <c r="SDS112" s="83"/>
      <c r="SDT112" s="83"/>
      <c r="SDU112" s="83"/>
      <c r="SDV112" s="83"/>
      <c r="SDW112" s="83"/>
      <c r="SDX112" s="83"/>
      <c r="SDY112" s="83"/>
      <c r="SDZ112" s="83"/>
      <c r="SEA112" s="83"/>
      <c r="SEB112" s="83"/>
      <c r="SEC112" s="83"/>
      <c r="SED112" s="83"/>
      <c r="SEE112" s="83"/>
      <c r="SEF112" s="82"/>
      <c r="SEG112" s="83"/>
      <c r="SEH112" s="83"/>
      <c r="SEI112" s="83"/>
      <c r="SEJ112" s="83"/>
      <c r="SEK112" s="83"/>
      <c r="SEL112" s="83"/>
      <c r="SEM112" s="83"/>
      <c r="SEN112" s="83"/>
      <c r="SEO112" s="83"/>
      <c r="SEP112" s="83"/>
      <c r="SEQ112" s="83"/>
      <c r="SER112" s="83"/>
      <c r="SES112" s="83"/>
      <c r="SET112" s="83"/>
      <c r="SEU112" s="83"/>
      <c r="SEV112" s="83"/>
      <c r="SEW112" s="83"/>
      <c r="SEX112" s="83"/>
      <c r="SEY112" s="83"/>
      <c r="SEZ112" s="83"/>
      <c r="SFA112" s="83"/>
      <c r="SFB112" s="82"/>
      <c r="SFC112" s="83"/>
      <c r="SFD112" s="83"/>
      <c r="SFE112" s="83"/>
      <c r="SFF112" s="83"/>
      <c r="SFG112" s="83"/>
      <c r="SFH112" s="83"/>
      <c r="SFI112" s="83"/>
      <c r="SFJ112" s="83"/>
      <c r="SFK112" s="83"/>
      <c r="SFL112" s="83"/>
      <c r="SFM112" s="83"/>
      <c r="SFN112" s="83"/>
      <c r="SFO112" s="83"/>
      <c r="SFP112" s="83"/>
      <c r="SFQ112" s="83"/>
      <c r="SFR112" s="83"/>
      <c r="SFS112" s="83"/>
      <c r="SFT112" s="83"/>
      <c r="SFU112" s="83"/>
      <c r="SFV112" s="83"/>
      <c r="SFW112" s="83"/>
      <c r="SFX112" s="82"/>
      <c r="SFY112" s="83"/>
      <c r="SFZ112" s="83"/>
      <c r="SGA112" s="83"/>
      <c r="SGB112" s="83"/>
      <c r="SGC112" s="83"/>
      <c r="SGD112" s="83"/>
      <c r="SGE112" s="83"/>
      <c r="SGF112" s="83"/>
      <c r="SGG112" s="83"/>
      <c r="SGH112" s="83"/>
      <c r="SGI112" s="83"/>
      <c r="SGJ112" s="83"/>
      <c r="SGK112" s="83"/>
      <c r="SGL112" s="83"/>
      <c r="SGM112" s="83"/>
      <c r="SGN112" s="83"/>
      <c r="SGO112" s="83"/>
      <c r="SGP112" s="83"/>
      <c r="SGQ112" s="83"/>
      <c r="SGR112" s="83"/>
      <c r="SGS112" s="83"/>
      <c r="SGT112" s="82"/>
      <c r="SGU112" s="83"/>
      <c r="SGV112" s="83"/>
      <c r="SGW112" s="83"/>
      <c r="SGX112" s="83"/>
      <c r="SGY112" s="83"/>
      <c r="SGZ112" s="83"/>
      <c r="SHA112" s="83"/>
      <c r="SHB112" s="83"/>
      <c r="SHC112" s="83"/>
      <c r="SHD112" s="83"/>
      <c r="SHE112" s="83"/>
      <c r="SHF112" s="83"/>
      <c r="SHG112" s="83"/>
      <c r="SHH112" s="83"/>
      <c r="SHI112" s="83"/>
      <c r="SHJ112" s="83"/>
      <c r="SHK112" s="83"/>
      <c r="SHL112" s="83"/>
      <c r="SHM112" s="83"/>
      <c r="SHN112" s="83"/>
      <c r="SHO112" s="83"/>
      <c r="SHP112" s="82"/>
      <c r="SHQ112" s="83"/>
      <c r="SHR112" s="83"/>
      <c r="SHS112" s="83"/>
      <c r="SHT112" s="83"/>
      <c r="SHU112" s="83"/>
      <c r="SHV112" s="83"/>
      <c r="SHW112" s="83"/>
      <c r="SHX112" s="83"/>
      <c r="SHY112" s="83"/>
      <c r="SHZ112" s="83"/>
      <c r="SIA112" s="83"/>
      <c r="SIB112" s="83"/>
      <c r="SIC112" s="83"/>
      <c r="SID112" s="83"/>
      <c r="SIE112" s="83"/>
      <c r="SIF112" s="83"/>
      <c r="SIG112" s="83"/>
      <c r="SIH112" s="83"/>
      <c r="SII112" s="83"/>
      <c r="SIJ112" s="83"/>
      <c r="SIK112" s="83"/>
      <c r="SIL112" s="82"/>
      <c r="SIM112" s="83"/>
      <c r="SIN112" s="83"/>
      <c r="SIO112" s="83"/>
      <c r="SIP112" s="83"/>
      <c r="SIQ112" s="83"/>
      <c r="SIR112" s="83"/>
      <c r="SIS112" s="83"/>
      <c r="SIT112" s="83"/>
      <c r="SIU112" s="83"/>
      <c r="SIV112" s="83"/>
      <c r="SIW112" s="83"/>
      <c r="SIX112" s="83"/>
      <c r="SIY112" s="83"/>
      <c r="SIZ112" s="83"/>
      <c r="SJA112" s="83"/>
      <c r="SJB112" s="83"/>
      <c r="SJC112" s="83"/>
      <c r="SJD112" s="83"/>
      <c r="SJE112" s="83"/>
      <c r="SJF112" s="83"/>
      <c r="SJG112" s="83"/>
      <c r="SJH112" s="82"/>
      <c r="SJI112" s="83"/>
      <c r="SJJ112" s="83"/>
      <c r="SJK112" s="83"/>
      <c r="SJL112" s="83"/>
      <c r="SJM112" s="83"/>
      <c r="SJN112" s="83"/>
      <c r="SJO112" s="83"/>
      <c r="SJP112" s="83"/>
      <c r="SJQ112" s="83"/>
      <c r="SJR112" s="83"/>
      <c r="SJS112" s="83"/>
      <c r="SJT112" s="83"/>
      <c r="SJU112" s="83"/>
      <c r="SJV112" s="83"/>
      <c r="SJW112" s="83"/>
      <c r="SJX112" s="83"/>
      <c r="SJY112" s="83"/>
      <c r="SJZ112" s="83"/>
      <c r="SKA112" s="83"/>
      <c r="SKB112" s="83"/>
      <c r="SKC112" s="83"/>
      <c r="SKD112" s="82"/>
      <c r="SKE112" s="83"/>
      <c r="SKF112" s="83"/>
      <c r="SKG112" s="83"/>
      <c r="SKH112" s="83"/>
      <c r="SKI112" s="83"/>
      <c r="SKJ112" s="83"/>
      <c r="SKK112" s="83"/>
      <c r="SKL112" s="83"/>
      <c r="SKM112" s="83"/>
      <c r="SKN112" s="83"/>
      <c r="SKO112" s="83"/>
      <c r="SKP112" s="83"/>
      <c r="SKQ112" s="83"/>
      <c r="SKR112" s="83"/>
      <c r="SKS112" s="83"/>
      <c r="SKT112" s="83"/>
      <c r="SKU112" s="83"/>
      <c r="SKV112" s="83"/>
      <c r="SKW112" s="83"/>
      <c r="SKX112" s="83"/>
      <c r="SKY112" s="83"/>
      <c r="SKZ112" s="82"/>
      <c r="SLA112" s="83"/>
      <c r="SLB112" s="83"/>
      <c r="SLC112" s="83"/>
      <c r="SLD112" s="83"/>
      <c r="SLE112" s="83"/>
      <c r="SLF112" s="83"/>
      <c r="SLG112" s="83"/>
      <c r="SLH112" s="83"/>
      <c r="SLI112" s="83"/>
      <c r="SLJ112" s="83"/>
      <c r="SLK112" s="83"/>
      <c r="SLL112" s="83"/>
      <c r="SLM112" s="83"/>
      <c r="SLN112" s="83"/>
      <c r="SLO112" s="83"/>
      <c r="SLP112" s="83"/>
      <c r="SLQ112" s="83"/>
      <c r="SLR112" s="83"/>
      <c r="SLS112" s="83"/>
      <c r="SLT112" s="83"/>
      <c r="SLU112" s="83"/>
      <c r="SLV112" s="82"/>
      <c r="SLW112" s="83"/>
      <c r="SLX112" s="83"/>
      <c r="SLY112" s="83"/>
      <c r="SLZ112" s="83"/>
      <c r="SMA112" s="83"/>
      <c r="SMB112" s="83"/>
      <c r="SMC112" s="83"/>
      <c r="SMD112" s="83"/>
      <c r="SME112" s="83"/>
      <c r="SMF112" s="83"/>
      <c r="SMG112" s="83"/>
      <c r="SMH112" s="83"/>
      <c r="SMI112" s="83"/>
      <c r="SMJ112" s="83"/>
      <c r="SMK112" s="83"/>
      <c r="SML112" s="83"/>
      <c r="SMM112" s="83"/>
      <c r="SMN112" s="83"/>
      <c r="SMO112" s="83"/>
      <c r="SMP112" s="83"/>
      <c r="SMQ112" s="83"/>
      <c r="SMR112" s="82"/>
      <c r="SMS112" s="83"/>
      <c r="SMT112" s="83"/>
      <c r="SMU112" s="83"/>
      <c r="SMV112" s="83"/>
      <c r="SMW112" s="83"/>
      <c r="SMX112" s="83"/>
      <c r="SMY112" s="83"/>
      <c r="SMZ112" s="83"/>
      <c r="SNA112" s="83"/>
      <c r="SNB112" s="83"/>
      <c r="SNC112" s="83"/>
      <c r="SND112" s="83"/>
      <c r="SNE112" s="83"/>
      <c r="SNF112" s="83"/>
      <c r="SNG112" s="83"/>
      <c r="SNH112" s="83"/>
      <c r="SNI112" s="83"/>
      <c r="SNJ112" s="83"/>
      <c r="SNK112" s="83"/>
      <c r="SNL112" s="83"/>
      <c r="SNM112" s="83"/>
      <c r="SNN112" s="82"/>
      <c r="SNO112" s="83"/>
      <c r="SNP112" s="83"/>
      <c r="SNQ112" s="83"/>
      <c r="SNR112" s="83"/>
      <c r="SNS112" s="83"/>
      <c r="SNT112" s="83"/>
      <c r="SNU112" s="83"/>
      <c r="SNV112" s="83"/>
      <c r="SNW112" s="83"/>
      <c r="SNX112" s="83"/>
      <c r="SNY112" s="83"/>
      <c r="SNZ112" s="83"/>
      <c r="SOA112" s="83"/>
      <c r="SOB112" s="83"/>
      <c r="SOC112" s="83"/>
      <c r="SOD112" s="83"/>
      <c r="SOE112" s="83"/>
      <c r="SOF112" s="83"/>
      <c r="SOG112" s="83"/>
      <c r="SOH112" s="83"/>
      <c r="SOI112" s="83"/>
      <c r="SOJ112" s="82"/>
      <c r="SOK112" s="83"/>
      <c r="SOL112" s="83"/>
      <c r="SOM112" s="83"/>
      <c r="SON112" s="83"/>
      <c r="SOO112" s="83"/>
      <c r="SOP112" s="83"/>
      <c r="SOQ112" s="83"/>
      <c r="SOR112" s="83"/>
      <c r="SOS112" s="83"/>
      <c r="SOT112" s="83"/>
      <c r="SOU112" s="83"/>
      <c r="SOV112" s="83"/>
      <c r="SOW112" s="83"/>
      <c r="SOX112" s="83"/>
      <c r="SOY112" s="83"/>
      <c r="SOZ112" s="83"/>
      <c r="SPA112" s="83"/>
      <c r="SPB112" s="83"/>
      <c r="SPC112" s="83"/>
      <c r="SPD112" s="83"/>
      <c r="SPE112" s="83"/>
      <c r="SPF112" s="82"/>
      <c r="SPG112" s="83"/>
      <c r="SPH112" s="83"/>
      <c r="SPI112" s="83"/>
      <c r="SPJ112" s="83"/>
      <c r="SPK112" s="83"/>
      <c r="SPL112" s="83"/>
      <c r="SPM112" s="83"/>
      <c r="SPN112" s="83"/>
      <c r="SPO112" s="83"/>
      <c r="SPP112" s="83"/>
      <c r="SPQ112" s="83"/>
      <c r="SPR112" s="83"/>
      <c r="SPS112" s="83"/>
      <c r="SPT112" s="83"/>
      <c r="SPU112" s="83"/>
      <c r="SPV112" s="83"/>
      <c r="SPW112" s="83"/>
      <c r="SPX112" s="83"/>
      <c r="SPY112" s="83"/>
      <c r="SPZ112" s="83"/>
      <c r="SQA112" s="83"/>
      <c r="SQB112" s="82"/>
      <c r="SQC112" s="83"/>
      <c r="SQD112" s="83"/>
      <c r="SQE112" s="83"/>
      <c r="SQF112" s="83"/>
      <c r="SQG112" s="83"/>
      <c r="SQH112" s="83"/>
      <c r="SQI112" s="83"/>
      <c r="SQJ112" s="83"/>
      <c r="SQK112" s="83"/>
      <c r="SQL112" s="83"/>
      <c r="SQM112" s="83"/>
      <c r="SQN112" s="83"/>
      <c r="SQO112" s="83"/>
      <c r="SQP112" s="83"/>
      <c r="SQQ112" s="83"/>
      <c r="SQR112" s="83"/>
      <c r="SQS112" s="83"/>
      <c r="SQT112" s="83"/>
      <c r="SQU112" s="83"/>
      <c r="SQV112" s="83"/>
      <c r="SQW112" s="83"/>
      <c r="SQX112" s="82"/>
      <c r="SQY112" s="83"/>
      <c r="SQZ112" s="83"/>
      <c r="SRA112" s="83"/>
      <c r="SRB112" s="83"/>
      <c r="SRC112" s="83"/>
      <c r="SRD112" s="83"/>
      <c r="SRE112" s="83"/>
      <c r="SRF112" s="83"/>
      <c r="SRG112" s="83"/>
      <c r="SRH112" s="83"/>
      <c r="SRI112" s="83"/>
      <c r="SRJ112" s="83"/>
      <c r="SRK112" s="83"/>
      <c r="SRL112" s="83"/>
      <c r="SRM112" s="83"/>
      <c r="SRN112" s="83"/>
      <c r="SRO112" s="83"/>
      <c r="SRP112" s="83"/>
      <c r="SRQ112" s="83"/>
      <c r="SRR112" s="83"/>
      <c r="SRS112" s="83"/>
      <c r="SRT112" s="82"/>
      <c r="SRU112" s="83"/>
      <c r="SRV112" s="83"/>
      <c r="SRW112" s="83"/>
      <c r="SRX112" s="83"/>
      <c r="SRY112" s="83"/>
      <c r="SRZ112" s="83"/>
      <c r="SSA112" s="83"/>
      <c r="SSB112" s="83"/>
      <c r="SSC112" s="83"/>
      <c r="SSD112" s="83"/>
      <c r="SSE112" s="83"/>
      <c r="SSF112" s="83"/>
      <c r="SSG112" s="83"/>
      <c r="SSH112" s="83"/>
      <c r="SSI112" s="83"/>
      <c r="SSJ112" s="83"/>
      <c r="SSK112" s="83"/>
      <c r="SSL112" s="83"/>
      <c r="SSM112" s="83"/>
      <c r="SSN112" s="83"/>
      <c r="SSO112" s="83"/>
      <c r="SSP112" s="82"/>
      <c r="SSQ112" s="83"/>
      <c r="SSR112" s="83"/>
      <c r="SSS112" s="83"/>
      <c r="SST112" s="83"/>
      <c r="SSU112" s="83"/>
      <c r="SSV112" s="83"/>
      <c r="SSW112" s="83"/>
      <c r="SSX112" s="83"/>
      <c r="SSY112" s="83"/>
      <c r="SSZ112" s="83"/>
      <c r="STA112" s="83"/>
      <c r="STB112" s="83"/>
      <c r="STC112" s="83"/>
      <c r="STD112" s="83"/>
      <c r="STE112" s="83"/>
      <c r="STF112" s="83"/>
      <c r="STG112" s="83"/>
      <c r="STH112" s="83"/>
      <c r="STI112" s="83"/>
      <c r="STJ112" s="83"/>
      <c r="STK112" s="83"/>
      <c r="STL112" s="82"/>
      <c r="STM112" s="83"/>
      <c r="STN112" s="83"/>
      <c r="STO112" s="83"/>
      <c r="STP112" s="83"/>
      <c r="STQ112" s="83"/>
      <c r="STR112" s="83"/>
      <c r="STS112" s="83"/>
      <c r="STT112" s="83"/>
      <c r="STU112" s="83"/>
      <c r="STV112" s="83"/>
      <c r="STW112" s="83"/>
      <c r="STX112" s="83"/>
      <c r="STY112" s="83"/>
      <c r="STZ112" s="83"/>
      <c r="SUA112" s="83"/>
      <c r="SUB112" s="83"/>
      <c r="SUC112" s="83"/>
      <c r="SUD112" s="83"/>
      <c r="SUE112" s="83"/>
      <c r="SUF112" s="83"/>
      <c r="SUG112" s="83"/>
      <c r="SUH112" s="82"/>
      <c r="SUI112" s="83"/>
      <c r="SUJ112" s="83"/>
      <c r="SUK112" s="83"/>
      <c r="SUL112" s="83"/>
      <c r="SUM112" s="83"/>
      <c r="SUN112" s="83"/>
      <c r="SUO112" s="83"/>
      <c r="SUP112" s="83"/>
      <c r="SUQ112" s="83"/>
      <c r="SUR112" s="83"/>
      <c r="SUS112" s="83"/>
      <c r="SUT112" s="83"/>
      <c r="SUU112" s="83"/>
      <c r="SUV112" s="83"/>
      <c r="SUW112" s="83"/>
      <c r="SUX112" s="83"/>
      <c r="SUY112" s="83"/>
      <c r="SUZ112" s="83"/>
      <c r="SVA112" s="83"/>
      <c r="SVB112" s="83"/>
      <c r="SVC112" s="83"/>
      <c r="SVD112" s="82"/>
      <c r="SVE112" s="83"/>
      <c r="SVF112" s="83"/>
      <c r="SVG112" s="83"/>
      <c r="SVH112" s="83"/>
      <c r="SVI112" s="83"/>
      <c r="SVJ112" s="83"/>
      <c r="SVK112" s="83"/>
      <c r="SVL112" s="83"/>
      <c r="SVM112" s="83"/>
      <c r="SVN112" s="83"/>
      <c r="SVO112" s="83"/>
      <c r="SVP112" s="83"/>
      <c r="SVQ112" s="83"/>
      <c r="SVR112" s="83"/>
      <c r="SVS112" s="83"/>
      <c r="SVT112" s="83"/>
      <c r="SVU112" s="83"/>
      <c r="SVV112" s="83"/>
      <c r="SVW112" s="83"/>
      <c r="SVX112" s="83"/>
      <c r="SVY112" s="83"/>
      <c r="SVZ112" s="82"/>
      <c r="SWA112" s="83"/>
      <c r="SWB112" s="83"/>
      <c r="SWC112" s="83"/>
      <c r="SWD112" s="83"/>
      <c r="SWE112" s="83"/>
      <c r="SWF112" s="83"/>
      <c r="SWG112" s="83"/>
      <c r="SWH112" s="83"/>
      <c r="SWI112" s="83"/>
      <c r="SWJ112" s="83"/>
      <c r="SWK112" s="83"/>
      <c r="SWL112" s="83"/>
      <c r="SWM112" s="83"/>
      <c r="SWN112" s="83"/>
      <c r="SWO112" s="83"/>
      <c r="SWP112" s="83"/>
      <c r="SWQ112" s="83"/>
      <c r="SWR112" s="83"/>
      <c r="SWS112" s="83"/>
      <c r="SWT112" s="83"/>
      <c r="SWU112" s="83"/>
      <c r="SWV112" s="82"/>
      <c r="SWW112" s="83"/>
      <c r="SWX112" s="83"/>
      <c r="SWY112" s="83"/>
      <c r="SWZ112" s="83"/>
      <c r="SXA112" s="83"/>
      <c r="SXB112" s="83"/>
      <c r="SXC112" s="83"/>
      <c r="SXD112" s="83"/>
      <c r="SXE112" s="83"/>
      <c r="SXF112" s="83"/>
      <c r="SXG112" s="83"/>
      <c r="SXH112" s="83"/>
      <c r="SXI112" s="83"/>
      <c r="SXJ112" s="83"/>
      <c r="SXK112" s="83"/>
      <c r="SXL112" s="83"/>
      <c r="SXM112" s="83"/>
      <c r="SXN112" s="83"/>
      <c r="SXO112" s="83"/>
      <c r="SXP112" s="83"/>
      <c r="SXQ112" s="83"/>
      <c r="SXR112" s="82"/>
      <c r="SXS112" s="83"/>
      <c r="SXT112" s="83"/>
      <c r="SXU112" s="83"/>
      <c r="SXV112" s="83"/>
      <c r="SXW112" s="83"/>
      <c r="SXX112" s="83"/>
      <c r="SXY112" s="83"/>
      <c r="SXZ112" s="83"/>
      <c r="SYA112" s="83"/>
      <c r="SYB112" s="83"/>
      <c r="SYC112" s="83"/>
      <c r="SYD112" s="83"/>
      <c r="SYE112" s="83"/>
      <c r="SYF112" s="83"/>
      <c r="SYG112" s="83"/>
      <c r="SYH112" s="83"/>
      <c r="SYI112" s="83"/>
      <c r="SYJ112" s="83"/>
      <c r="SYK112" s="83"/>
      <c r="SYL112" s="83"/>
      <c r="SYM112" s="83"/>
      <c r="SYN112" s="82"/>
      <c r="SYO112" s="83"/>
      <c r="SYP112" s="83"/>
      <c r="SYQ112" s="83"/>
      <c r="SYR112" s="83"/>
      <c r="SYS112" s="83"/>
      <c r="SYT112" s="83"/>
      <c r="SYU112" s="83"/>
      <c r="SYV112" s="83"/>
      <c r="SYW112" s="83"/>
      <c r="SYX112" s="83"/>
      <c r="SYY112" s="83"/>
      <c r="SYZ112" s="83"/>
      <c r="SZA112" s="83"/>
      <c r="SZB112" s="83"/>
      <c r="SZC112" s="83"/>
      <c r="SZD112" s="83"/>
      <c r="SZE112" s="83"/>
      <c r="SZF112" s="83"/>
      <c r="SZG112" s="83"/>
      <c r="SZH112" s="83"/>
      <c r="SZI112" s="83"/>
      <c r="SZJ112" s="82"/>
      <c r="SZK112" s="83"/>
      <c r="SZL112" s="83"/>
      <c r="SZM112" s="83"/>
      <c r="SZN112" s="83"/>
      <c r="SZO112" s="83"/>
      <c r="SZP112" s="83"/>
      <c r="SZQ112" s="83"/>
      <c r="SZR112" s="83"/>
      <c r="SZS112" s="83"/>
      <c r="SZT112" s="83"/>
      <c r="SZU112" s="83"/>
      <c r="SZV112" s="83"/>
      <c r="SZW112" s="83"/>
      <c r="SZX112" s="83"/>
      <c r="SZY112" s="83"/>
      <c r="SZZ112" s="83"/>
      <c r="TAA112" s="83"/>
      <c r="TAB112" s="83"/>
      <c r="TAC112" s="83"/>
      <c r="TAD112" s="83"/>
      <c r="TAE112" s="83"/>
      <c r="TAF112" s="82"/>
      <c r="TAG112" s="83"/>
      <c r="TAH112" s="83"/>
      <c r="TAI112" s="83"/>
      <c r="TAJ112" s="83"/>
      <c r="TAK112" s="83"/>
      <c r="TAL112" s="83"/>
      <c r="TAM112" s="83"/>
      <c r="TAN112" s="83"/>
      <c r="TAO112" s="83"/>
      <c r="TAP112" s="83"/>
      <c r="TAQ112" s="83"/>
      <c r="TAR112" s="83"/>
      <c r="TAS112" s="83"/>
      <c r="TAT112" s="83"/>
      <c r="TAU112" s="83"/>
      <c r="TAV112" s="83"/>
      <c r="TAW112" s="83"/>
      <c r="TAX112" s="83"/>
      <c r="TAY112" s="83"/>
      <c r="TAZ112" s="83"/>
      <c r="TBA112" s="83"/>
      <c r="TBB112" s="82"/>
      <c r="TBC112" s="83"/>
      <c r="TBD112" s="83"/>
      <c r="TBE112" s="83"/>
      <c r="TBF112" s="83"/>
      <c r="TBG112" s="83"/>
      <c r="TBH112" s="83"/>
      <c r="TBI112" s="83"/>
      <c r="TBJ112" s="83"/>
      <c r="TBK112" s="83"/>
      <c r="TBL112" s="83"/>
      <c r="TBM112" s="83"/>
      <c r="TBN112" s="83"/>
      <c r="TBO112" s="83"/>
      <c r="TBP112" s="83"/>
      <c r="TBQ112" s="83"/>
      <c r="TBR112" s="83"/>
      <c r="TBS112" s="83"/>
      <c r="TBT112" s="83"/>
      <c r="TBU112" s="83"/>
      <c r="TBV112" s="83"/>
      <c r="TBW112" s="83"/>
      <c r="TBX112" s="82"/>
      <c r="TBY112" s="83"/>
      <c r="TBZ112" s="83"/>
      <c r="TCA112" s="83"/>
      <c r="TCB112" s="83"/>
      <c r="TCC112" s="83"/>
      <c r="TCD112" s="83"/>
      <c r="TCE112" s="83"/>
      <c r="TCF112" s="83"/>
      <c r="TCG112" s="83"/>
      <c r="TCH112" s="83"/>
      <c r="TCI112" s="83"/>
      <c r="TCJ112" s="83"/>
      <c r="TCK112" s="83"/>
      <c r="TCL112" s="83"/>
      <c r="TCM112" s="83"/>
      <c r="TCN112" s="83"/>
      <c r="TCO112" s="83"/>
      <c r="TCP112" s="83"/>
      <c r="TCQ112" s="83"/>
      <c r="TCR112" s="83"/>
      <c r="TCS112" s="83"/>
      <c r="TCT112" s="82"/>
      <c r="TCU112" s="83"/>
      <c r="TCV112" s="83"/>
      <c r="TCW112" s="83"/>
      <c r="TCX112" s="83"/>
      <c r="TCY112" s="83"/>
      <c r="TCZ112" s="83"/>
      <c r="TDA112" s="83"/>
      <c r="TDB112" s="83"/>
      <c r="TDC112" s="83"/>
      <c r="TDD112" s="83"/>
      <c r="TDE112" s="83"/>
      <c r="TDF112" s="83"/>
      <c r="TDG112" s="83"/>
      <c r="TDH112" s="83"/>
      <c r="TDI112" s="83"/>
      <c r="TDJ112" s="83"/>
      <c r="TDK112" s="83"/>
      <c r="TDL112" s="83"/>
      <c r="TDM112" s="83"/>
      <c r="TDN112" s="83"/>
      <c r="TDO112" s="83"/>
      <c r="TDP112" s="82"/>
      <c r="TDQ112" s="83"/>
      <c r="TDR112" s="83"/>
      <c r="TDS112" s="83"/>
      <c r="TDT112" s="83"/>
      <c r="TDU112" s="83"/>
      <c r="TDV112" s="83"/>
      <c r="TDW112" s="83"/>
      <c r="TDX112" s="83"/>
      <c r="TDY112" s="83"/>
      <c r="TDZ112" s="83"/>
      <c r="TEA112" s="83"/>
      <c r="TEB112" s="83"/>
      <c r="TEC112" s="83"/>
      <c r="TED112" s="83"/>
      <c r="TEE112" s="83"/>
      <c r="TEF112" s="83"/>
      <c r="TEG112" s="83"/>
      <c r="TEH112" s="83"/>
      <c r="TEI112" s="83"/>
      <c r="TEJ112" s="83"/>
      <c r="TEK112" s="83"/>
      <c r="TEL112" s="82"/>
      <c r="TEM112" s="83"/>
      <c r="TEN112" s="83"/>
      <c r="TEO112" s="83"/>
      <c r="TEP112" s="83"/>
      <c r="TEQ112" s="83"/>
      <c r="TER112" s="83"/>
      <c r="TES112" s="83"/>
      <c r="TET112" s="83"/>
      <c r="TEU112" s="83"/>
      <c r="TEV112" s="83"/>
      <c r="TEW112" s="83"/>
      <c r="TEX112" s="83"/>
      <c r="TEY112" s="83"/>
      <c r="TEZ112" s="83"/>
      <c r="TFA112" s="83"/>
      <c r="TFB112" s="83"/>
      <c r="TFC112" s="83"/>
      <c r="TFD112" s="83"/>
      <c r="TFE112" s="83"/>
      <c r="TFF112" s="83"/>
      <c r="TFG112" s="83"/>
      <c r="TFH112" s="82"/>
      <c r="TFI112" s="83"/>
      <c r="TFJ112" s="83"/>
      <c r="TFK112" s="83"/>
      <c r="TFL112" s="83"/>
      <c r="TFM112" s="83"/>
      <c r="TFN112" s="83"/>
      <c r="TFO112" s="83"/>
      <c r="TFP112" s="83"/>
      <c r="TFQ112" s="83"/>
      <c r="TFR112" s="83"/>
      <c r="TFS112" s="83"/>
      <c r="TFT112" s="83"/>
      <c r="TFU112" s="83"/>
      <c r="TFV112" s="83"/>
      <c r="TFW112" s="83"/>
      <c r="TFX112" s="83"/>
      <c r="TFY112" s="83"/>
      <c r="TFZ112" s="83"/>
      <c r="TGA112" s="83"/>
      <c r="TGB112" s="83"/>
      <c r="TGC112" s="83"/>
      <c r="TGD112" s="82"/>
      <c r="TGE112" s="83"/>
      <c r="TGF112" s="83"/>
      <c r="TGG112" s="83"/>
      <c r="TGH112" s="83"/>
      <c r="TGI112" s="83"/>
      <c r="TGJ112" s="83"/>
      <c r="TGK112" s="83"/>
      <c r="TGL112" s="83"/>
      <c r="TGM112" s="83"/>
      <c r="TGN112" s="83"/>
      <c r="TGO112" s="83"/>
      <c r="TGP112" s="83"/>
      <c r="TGQ112" s="83"/>
      <c r="TGR112" s="83"/>
      <c r="TGS112" s="83"/>
      <c r="TGT112" s="83"/>
      <c r="TGU112" s="83"/>
      <c r="TGV112" s="83"/>
      <c r="TGW112" s="83"/>
      <c r="TGX112" s="83"/>
      <c r="TGY112" s="83"/>
      <c r="TGZ112" s="82"/>
      <c r="THA112" s="83"/>
      <c r="THB112" s="83"/>
      <c r="THC112" s="83"/>
      <c r="THD112" s="83"/>
      <c r="THE112" s="83"/>
      <c r="THF112" s="83"/>
      <c r="THG112" s="83"/>
      <c r="THH112" s="83"/>
      <c r="THI112" s="83"/>
      <c r="THJ112" s="83"/>
      <c r="THK112" s="83"/>
      <c r="THL112" s="83"/>
      <c r="THM112" s="83"/>
      <c r="THN112" s="83"/>
      <c r="THO112" s="83"/>
      <c r="THP112" s="83"/>
      <c r="THQ112" s="83"/>
      <c r="THR112" s="83"/>
      <c r="THS112" s="83"/>
      <c r="THT112" s="83"/>
      <c r="THU112" s="83"/>
      <c r="THV112" s="82"/>
      <c r="THW112" s="83"/>
      <c r="THX112" s="83"/>
      <c r="THY112" s="83"/>
      <c r="THZ112" s="83"/>
      <c r="TIA112" s="83"/>
      <c r="TIB112" s="83"/>
      <c r="TIC112" s="83"/>
      <c r="TID112" s="83"/>
      <c r="TIE112" s="83"/>
      <c r="TIF112" s="83"/>
      <c r="TIG112" s="83"/>
      <c r="TIH112" s="83"/>
      <c r="TII112" s="83"/>
      <c r="TIJ112" s="83"/>
      <c r="TIK112" s="83"/>
      <c r="TIL112" s="83"/>
      <c r="TIM112" s="83"/>
      <c r="TIN112" s="83"/>
      <c r="TIO112" s="83"/>
      <c r="TIP112" s="83"/>
      <c r="TIQ112" s="83"/>
      <c r="TIR112" s="82"/>
      <c r="TIS112" s="83"/>
      <c r="TIT112" s="83"/>
      <c r="TIU112" s="83"/>
      <c r="TIV112" s="83"/>
      <c r="TIW112" s="83"/>
      <c r="TIX112" s="83"/>
      <c r="TIY112" s="83"/>
      <c r="TIZ112" s="83"/>
      <c r="TJA112" s="83"/>
      <c r="TJB112" s="83"/>
      <c r="TJC112" s="83"/>
      <c r="TJD112" s="83"/>
      <c r="TJE112" s="83"/>
      <c r="TJF112" s="83"/>
      <c r="TJG112" s="83"/>
      <c r="TJH112" s="83"/>
      <c r="TJI112" s="83"/>
      <c r="TJJ112" s="83"/>
      <c r="TJK112" s="83"/>
      <c r="TJL112" s="83"/>
      <c r="TJM112" s="83"/>
      <c r="TJN112" s="82"/>
      <c r="TJO112" s="83"/>
      <c r="TJP112" s="83"/>
      <c r="TJQ112" s="83"/>
      <c r="TJR112" s="83"/>
      <c r="TJS112" s="83"/>
      <c r="TJT112" s="83"/>
      <c r="TJU112" s="83"/>
      <c r="TJV112" s="83"/>
      <c r="TJW112" s="83"/>
      <c r="TJX112" s="83"/>
      <c r="TJY112" s="83"/>
      <c r="TJZ112" s="83"/>
      <c r="TKA112" s="83"/>
      <c r="TKB112" s="83"/>
      <c r="TKC112" s="83"/>
      <c r="TKD112" s="83"/>
      <c r="TKE112" s="83"/>
      <c r="TKF112" s="83"/>
      <c r="TKG112" s="83"/>
      <c r="TKH112" s="83"/>
      <c r="TKI112" s="83"/>
      <c r="TKJ112" s="82"/>
      <c r="TKK112" s="83"/>
      <c r="TKL112" s="83"/>
      <c r="TKM112" s="83"/>
      <c r="TKN112" s="83"/>
      <c r="TKO112" s="83"/>
      <c r="TKP112" s="83"/>
      <c r="TKQ112" s="83"/>
      <c r="TKR112" s="83"/>
      <c r="TKS112" s="83"/>
      <c r="TKT112" s="83"/>
      <c r="TKU112" s="83"/>
      <c r="TKV112" s="83"/>
      <c r="TKW112" s="83"/>
      <c r="TKX112" s="83"/>
      <c r="TKY112" s="83"/>
      <c r="TKZ112" s="83"/>
      <c r="TLA112" s="83"/>
      <c r="TLB112" s="83"/>
      <c r="TLC112" s="83"/>
      <c r="TLD112" s="83"/>
      <c r="TLE112" s="83"/>
      <c r="TLF112" s="82"/>
      <c r="TLG112" s="83"/>
      <c r="TLH112" s="83"/>
      <c r="TLI112" s="83"/>
      <c r="TLJ112" s="83"/>
      <c r="TLK112" s="83"/>
      <c r="TLL112" s="83"/>
      <c r="TLM112" s="83"/>
      <c r="TLN112" s="83"/>
      <c r="TLO112" s="83"/>
      <c r="TLP112" s="83"/>
      <c r="TLQ112" s="83"/>
      <c r="TLR112" s="83"/>
      <c r="TLS112" s="83"/>
      <c r="TLT112" s="83"/>
      <c r="TLU112" s="83"/>
      <c r="TLV112" s="83"/>
      <c r="TLW112" s="83"/>
      <c r="TLX112" s="83"/>
      <c r="TLY112" s="83"/>
      <c r="TLZ112" s="83"/>
      <c r="TMA112" s="83"/>
      <c r="TMB112" s="82"/>
      <c r="TMC112" s="83"/>
      <c r="TMD112" s="83"/>
      <c r="TME112" s="83"/>
      <c r="TMF112" s="83"/>
      <c r="TMG112" s="83"/>
      <c r="TMH112" s="83"/>
      <c r="TMI112" s="83"/>
      <c r="TMJ112" s="83"/>
      <c r="TMK112" s="83"/>
      <c r="TML112" s="83"/>
      <c r="TMM112" s="83"/>
      <c r="TMN112" s="83"/>
      <c r="TMO112" s="83"/>
      <c r="TMP112" s="83"/>
      <c r="TMQ112" s="83"/>
      <c r="TMR112" s="83"/>
      <c r="TMS112" s="83"/>
      <c r="TMT112" s="83"/>
      <c r="TMU112" s="83"/>
      <c r="TMV112" s="83"/>
      <c r="TMW112" s="83"/>
      <c r="TMX112" s="82"/>
      <c r="TMY112" s="83"/>
      <c r="TMZ112" s="83"/>
      <c r="TNA112" s="83"/>
      <c r="TNB112" s="83"/>
      <c r="TNC112" s="83"/>
      <c r="TND112" s="83"/>
      <c r="TNE112" s="83"/>
      <c r="TNF112" s="83"/>
      <c r="TNG112" s="83"/>
      <c r="TNH112" s="83"/>
      <c r="TNI112" s="83"/>
      <c r="TNJ112" s="83"/>
      <c r="TNK112" s="83"/>
      <c r="TNL112" s="83"/>
      <c r="TNM112" s="83"/>
      <c r="TNN112" s="83"/>
      <c r="TNO112" s="83"/>
      <c r="TNP112" s="83"/>
      <c r="TNQ112" s="83"/>
      <c r="TNR112" s="83"/>
      <c r="TNS112" s="83"/>
      <c r="TNT112" s="82"/>
      <c r="TNU112" s="83"/>
      <c r="TNV112" s="83"/>
      <c r="TNW112" s="83"/>
      <c r="TNX112" s="83"/>
      <c r="TNY112" s="83"/>
      <c r="TNZ112" s="83"/>
      <c r="TOA112" s="83"/>
      <c r="TOB112" s="83"/>
      <c r="TOC112" s="83"/>
      <c r="TOD112" s="83"/>
      <c r="TOE112" s="83"/>
      <c r="TOF112" s="83"/>
      <c r="TOG112" s="83"/>
      <c r="TOH112" s="83"/>
      <c r="TOI112" s="83"/>
      <c r="TOJ112" s="83"/>
      <c r="TOK112" s="83"/>
      <c r="TOL112" s="83"/>
      <c r="TOM112" s="83"/>
      <c r="TON112" s="83"/>
      <c r="TOO112" s="83"/>
      <c r="TOP112" s="82"/>
      <c r="TOQ112" s="83"/>
      <c r="TOR112" s="83"/>
      <c r="TOS112" s="83"/>
      <c r="TOT112" s="83"/>
      <c r="TOU112" s="83"/>
      <c r="TOV112" s="83"/>
      <c r="TOW112" s="83"/>
      <c r="TOX112" s="83"/>
      <c r="TOY112" s="83"/>
      <c r="TOZ112" s="83"/>
      <c r="TPA112" s="83"/>
      <c r="TPB112" s="83"/>
      <c r="TPC112" s="83"/>
      <c r="TPD112" s="83"/>
      <c r="TPE112" s="83"/>
      <c r="TPF112" s="83"/>
      <c r="TPG112" s="83"/>
      <c r="TPH112" s="83"/>
      <c r="TPI112" s="83"/>
      <c r="TPJ112" s="83"/>
      <c r="TPK112" s="83"/>
      <c r="TPL112" s="82"/>
      <c r="TPM112" s="83"/>
      <c r="TPN112" s="83"/>
      <c r="TPO112" s="83"/>
      <c r="TPP112" s="83"/>
      <c r="TPQ112" s="83"/>
      <c r="TPR112" s="83"/>
      <c r="TPS112" s="83"/>
      <c r="TPT112" s="83"/>
      <c r="TPU112" s="83"/>
      <c r="TPV112" s="83"/>
      <c r="TPW112" s="83"/>
      <c r="TPX112" s="83"/>
      <c r="TPY112" s="83"/>
      <c r="TPZ112" s="83"/>
      <c r="TQA112" s="83"/>
      <c r="TQB112" s="83"/>
      <c r="TQC112" s="83"/>
      <c r="TQD112" s="83"/>
      <c r="TQE112" s="83"/>
      <c r="TQF112" s="83"/>
      <c r="TQG112" s="83"/>
      <c r="TQH112" s="82"/>
      <c r="TQI112" s="83"/>
      <c r="TQJ112" s="83"/>
      <c r="TQK112" s="83"/>
      <c r="TQL112" s="83"/>
      <c r="TQM112" s="83"/>
      <c r="TQN112" s="83"/>
      <c r="TQO112" s="83"/>
      <c r="TQP112" s="83"/>
      <c r="TQQ112" s="83"/>
      <c r="TQR112" s="83"/>
      <c r="TQS112" s="83"/>
      <c r="TQT112" s="83"/>
      <c r="TQU112" s="83"/>
      <c r="TQV112" s="83"/>
      <c r="TQW112" s="83"/>
      <c r="TQX112" s="83"/>
      <c r="TQY112" s="83"/>
      <c r="TQZ112" s="83"/>
      <c r="TRA112" s="83"/>
      <c r="TRB112" s="83"/>
      <c r="TRC112" s="83"/>
      <c r="TRD112" s="82"/>
      <c r="TRE112" s="83"/>
      <c r="TRF112" s="83"/>
      <c r="TRG112" s="83"/>
      <c r="TRH112" s="83"/>
      <c r="TRI112" s="83"/>
      <c r="TRJ112" s="83"/>
      <c r="TRK112" s="83"/>
      <c r="TRL112" s="83"/>
      <c r="TRM112" s="83"/>
      <c r="TRN112" s="83"/>
      <c r="TRO112" s="83"/>
      <c r="TRP112" s="83"/>
      <c r="TRQ112" s="83"/>
      <c r="TRR112" s="83"/>
      <c r="TRS112" s="83"/>
      <c r="TRT112" s="83"/>
      <c r="TRU112" s="83"/>
      <c r="TRV112" s="83"/>
      <c r="TRW112" s="83"/>
      <c r="TRX112" s="83"/>
      <c r="TRY112" s="83"/>
      <c r="TRZ112" s="82"/>
      <c r="TSA112" s="83"/>
      <c r="TSB112" s="83"/>
      <c r="TSC112" s="83"/>
      <c r="TSD112" s="83"/>
      <c r="TSE112" s="83"/>
      <c r="TSF112" s="83"/>
      <c r="TSG112" s="83"/>
      <c r="TSH112" s="83"/>
      <c r="TSI112" s="83"/>
      <c r="TSJ112" s="83"/>
      <c r="TSK112" s="83"/>
      <c r="TSL112" s="83"/>
      <c r="TSM112" s="83"/>
      <c r="TSN112" s="83"/>
      <c r="TSO112" s="83"/>
      <c r="TSP112" s="83"/>
      <c r="TSQ112" s="83"/>
      <c r="TSR112" s="83"/>
      <c r="TSS112" s="83"/>
      <c r="TST112" s="83"/>
      <c r="TSU112" s="83"/>
      <c r="TSV112" s="82"/>
      <c r="TSW112" s="83"/>
      <c r="TSX112" s="83"/>
      <c r="TSY112" s="83"/>
      <c r="TSZ112" s="83"/>
      <c r="TTA112" s="83"/>
      <c r="TTB112" s="83"/>
      <c r="TTC112" s="83"/>
      <c r="TTD112" s="83"/>
      <c r="TTE112" s="83"/>
      <c r="TTF112" s="83"/>
      <c r="TTG112" s="83"/>
      <c r="TTH112" s="83"/>
      <c r="TTI112" s="83"/>
      <c r="TTJ112" s="83"/>
      <c r="TTK112" s="83"/>
      <c r="TTL112" s="83"/>
      <c r="TTM112" s="83"/>
      <c r="TTN112" s="83"/>
      <c r="TTO112" s="83"/>
      <c r="TTP112" s="83"/>
      <c r="TTQ112" s="83"/>
      <c r="TTR112" s="82"/>
      <c r="TTS112" s="83"/>
      <c r="TTT112" s="83"/>
      <c r="TTU112" s="83"/>
      <c r="TTV112" s="83"/>
      <c r="TTW112" s="83"/>
      <c r="TTX112" s="83"/>
      <c r="TTY112" s="83"/>
      <c r="TTZ112" s="83"/>
      <c r="TUA112" s="83"/>
      <c r="TUB112" s="83"/>
      <c r="TUC112" s="83"/>
      <c r="TUD112" s="83"/>
      <c r="TUE112" s="83"/>
      <c r="TUF112" s="83"/>
      <c r="TUG112" s="83"/>
      <c r="TUH112" s="83"/>
      <c r="TUI112" s="83"/>
      <c r="TUJ112" s="83"/>
      <c r="TUK112" s="83"/>
      <c r="TUL112" s="83"/>
      <c r="TUM112" s="83"/>
      <c r="TUN112" s="82"/>
      <c r="TUO112" s="83"/>
      <c r="TUP112" s="83"/>
      <c r="TUQ112" s="83"/>
      <c r="TUR112" s="83"/>
      <c r="TUS112" s="83"/>
      <c r="TUT112" s="83"/>
      <c r="TUU112" s="83"/>
      <c r="TUV112" s="83"/>
      <c r="TUW112" s="83"/>
      <c r="TUX112" s="83"/>
      <c r="TUY112" s="83"/>
      <c r="TUZ112" s="83"/>
      <c r="TVA112" s="83"/>
      <c r="TVB112" s="83"/>
      <c r="TVC112" s="83"/>
      <c r="TVD112" s="83"/>
      <c r="TVE112" s="83"/>
      <c r="TVF112" s="83"/>
      <c r="TVG112" s="83"/>
      <c r="TVH112" s="83"/>
      <c r="TVI112" s="83"/>
      <c r="TVJ112" s="82"/>
      <c r="TVK112" s="83"/>
      <c r="TVL112" s="83"/>
      <c r="TVM112" s="83"/>
      <c r="TVN112" s="83"/>
      <c r="TVO112" s="83"/>
      <c r="TVP112" s="83"/>
      <c r="TVQ112" s="83"/>
      <c r="TVR112" s="83"/>
      <c r="TVS112" s="83"/>
      <c r="TVT112" s="83"/>
      <c r="TVU112" s="83"/>
      <c r="TVV112" s="83"/>
      <c r="TVW112" s="83"/>
      <c r="TVX112" s="83"/>
      <c r="TVY112" s="83"/>
      <c r="TVZ112" s="83"/>
      <c r="TWA112" s="83"/>
      <c r="TWB112" s="83"/>
      <c r="TWC112" s="83"/>
      <c r="TWD112" s="83"/>
      <c r="TWE112" s="83"/>
      <c r="TWF112" s="82"/>
      <c r="TWG112" s="83"/>
      <c r="TWH112" s="83"/>
      <c r="TWI112" s="83"/>
      <c r="TWJ112" s="83"/>
      <c r="TWK112" s="83"/>
      <c r="TWL112" s="83"/>
      <c r="TWM112" s="83"/>
      <c r="TWN112" s="83"/>
      <c r="TWO112" s="83"/>
      <c r="TWP112" s="83"/>
      <c r="TWQ112" s="83"/>
      <c r="TWR112" s="83"/>
      <c r="TWS112" s="83"/>
      <c r="TWT112" s="83"/>
      <c r="TWU112" s="83"/>
      <c r="TWV112" s="83"/>
      <c r="TWW112" s="83"/>
      <c r="TWX112" s="83"/>
      <c r="TWY112" s="83"/>
      <c r="TWZ112" s="83"/>
      <c r="TXA112" s="83"/>
      <c r="TXB112" s="82"/>
      <c r="TXC112" s="83"/>
      <c r="TXD112" s="83"/>
      <c r="TXE112" s="83"/>
      <c r="TXF112" s="83"/>
      <c r="TXG112" s="83"/>
      <c r="TXH112" s="83"/>
      <c r="TXI112" s="83"/>
      <c r="TXJ112" s="83"/>
      <c r="TXK112" s="83"/>
      <c r="TXL112" s="83"/>
      <c r="TXM112" s="83"/>
      <c r="TXN112" s="83"/>
      <c r="TXO112" s="83"/>
      <c r="TXP112" s="83"/>
      <c r="TXQ112" s="83"/>
      <c r="TXR112" s="83"/>
      <c r="TXS112" s="83"/>
      <c r="TXT112" s="83"/>
      <c r="TXU112" s="83"/>
      <c r="TXV112" s="83"/>
      <c r="TXW112" s="83"/>
      <c r="TXX112" s="82"/>
      <c r="TXY112" s="83"/>
      <c r="TXZ112" s="83"/>
      <c r="TYA112" s="83"/>
      <c r="TYB112" s="83"/>
      <c r="TYC112" s="83"/>
      <c r="TYD112" s="83"/>
      <c r="TYE112" s="83"/>
      <c r="TYF112" s="83"/>
      <c r="TYG112" s="83"/>
      <c r="TYH112" s="83"/>
      <c r="TYI112" s="83"/>
      <c r="TYJ112" s="83"/>
      <c r="TYK112" s="83"/>
      <c r="TYL112" s="83"/>
      <c r="TYM112" s="83"/>
      <c r="TYN112" s="83"/>
      <c r="TYO112" s="83"/>
      <c r="TYP112" s="83"/>
      <c r="TYQ112" s="83"/>
      <c r="TYR112" s="83"/>
      <c r="TYS112" s="83"/>
      <c r="TYT112" s="82"/>
      <c r="TYU112" s="83"/>
      <c r="TYV112" s="83"/>
      <c r="TYW112" s="83"/>
      <c r="TYX112" s="83"/>
      <c r="TYY112" s="83"/>
      <c r="TYZ112" s="83"/>
      <c r="TZA112" s="83"/>
      <c r="TZB112" s="83"/>
      <c r="TZC112" s="83"/>
      <c r="TZD112" s="83"/>
      <c r="TZE112" s="83"/>
      <c r="TZF112" s="83"/>
      <c r="TZG112" s="83"/>
      <c r="TZH112" s="83"/>
      <c r="TZI112" s="83"/>
      <c r="TZJ112" s="83"/>
      <c r="TZK112" s="83"/>
      <c r="TZL112" s="83"/>
      <c r="TZM112" s="83"/>
      <c r="TZN112" s="83"/>
      <c r="TZO112" s="83"/>
      <c r="TZP112" s="82"/>
      <c r="TZQ112" s="83"/>
      <c r="TZR112" s="83"/>
      <c r="TZS112" s="83"/>
      <c r="TZT112" s="83"/>
      <c r="TZU112" s="83"/>
      <c r="TZV112" s="83"/>
      <c r="TZW112" s="83"/>
      <c r="TZX112" s="83"/>
      <c r="TZY112" s="83"/>
      <c r="TZZ112" s="83"/>
      <c r="UAA112" s="83"/>
      <c r="UAB112" s="83"/>
      <c r="UAC112" s="83"/>
      <c r="UAD112" s="83"/>
      <c r="UAE112" s="83"/>
      <c r="UAF112" s="83"/>
      <c r="UAG112" s="83"/>
      <c r="UAH112" s="83"/>
      <c r="UAI112" s="83"/>
      <c r="UAJ112" s="83"/>
      <c r="UAK112" s="83"/>
      <c r="UAL112" s="82"/>
      <c r="UAM112" s="83"/>
      <c r="UAN112" s="83"/>
      <c r="UAO112" s="83"/>
      <c r="UAP112" s="83"/>
      <c r="UAQ112" s="83"/>
      <c r="UAR112" s="83"/>
      <c r="UAS112" s="83"/>
      <c r="UAT112" s="83"/>
      <c r="UAU112" s="83"/>
      <c r="UAV112" s="83"/>
      <c r="UAW112" s="83"/>
      <c r="UAX112" s="83"/>
      <c r="UAY112" s="83"/>
      <c r="UAZ112" s="83"/>
      <c r="UBA112" s="83"/>
      <c r="UBB112" s="83"/>
      <c r="UBC112" s="83"/>
      <c r="UBD112" s="83"/>
      <c r="UBE112" s="83"/>
      <c r="UBF112" s="83"/>
      <c r="UBG112" s="83"/>
      <c r="UBH112" s="82"/>
      <c r="UBI112" s="83"/>
      <c r="UBJ112" s="83"/>
      <c r="UBK112" s="83"/>
      <c r="UBL112" s="83"/>
      <c r="UBM112" s="83"/>
      <c r="UBN112" s="83"/>
      <c r="UBO112" s="83"/>
      <c r="UBP112" s="83"/>
      <c r="UBQ112" s="83"/>
      <c r="UBR112" s="83"/>
      <c r="UBS112" s="83"/>
      <c r="UBT112" s="83"/>
      <c r="UBU112" s="83"/>
      <c r="UBV112" s="83"/>
      <c r="UBW112" s="83"/>
      <c r="UBX112" s="83"/>
      <c r="UBY112" s="83"/>
      <c r="UBZ112" s="83"/>
      <c r="UCA112" s="83"/>
      <c r="UCB112" s="83"/>
      <c r="UCC112" s="83"/>
      <c r="UCD112" s="82"/>
      <c r="UCE112" s="83"/>
      <c r="UCF112" s="83"/>
      <c r="UCG112" s="83"/>
      <c r="UCH112" s="83"/>
      <c r="UCI112" s="83"/>
      <c r="UCJ112" s="83"/>
      <c r="UCK112" s="83"/>
      <c r="UCL112" s="83"/>
      <c r="UCM112" s="83"/>
      <c r="UCN112" s="83"/>
      <c r="UCO112" s="83"/>
      <c r="UCP112" s="83"/>
      <c r="UCQ112" s="83"/>
      <c r="UCR112" s="83"/>
      <c r="UCS112" s="83"/>
      <c r="UCT112" s="83"/>
      <c r="UCU112" s="83"/>
      <c r="UCV112" s="83"/>
      <c r="UCW112" s="83"/>
      <c r="UCX112" s="83"/>
      <c r="UCY112" s="83"/>
      <c r="UCZ112" s="82"/>
      <c r="UDA112" s="83"/>
      <c r="UDB112" s="83"/>
      <c r="UDC112" s="83"/>
      <c r="UDD112" s="83"/>
      <c r="UDE112" s="83"/>
      <c r="UDF112" s="83"/>
      <c r="UDG112" s="83"/>
      <c r="UDH112" s="83"/>
      <c r="UDI112" s="83"/>
      <c r="UDJ112" s="83"/>
      <c r="UDK112" s="83"/>
      <c r="UDL112" s="83"/>
      <c r="UDM112" s="83"/>
      <c r="UDN112" s="83"/>
      <c r="UDO112" s="83"/>
      <c r="UDP112" s="83"/>
      <c r="UDQ112" s="83"/>
      <c r="UDR112" s="83"/>
      <c r="UDS112" s="83"/>
      <c r="UDT112" s="83"/>
      <c r="UDU112" s="83"/>
      <c r="UDV112" s="82"/>
      <c r="UDW112" s="83"/>
      <c r="UDX112" s="83"/>
      <c r="UDY112" s="83"/>
      <c r="UDZ112" s="83"/>
      <c r="UEA112" s="83"/>
      <c r="UEB112" s="83"/>
      <c r="UEC112" s="83"/>
      <c r="UED112" s="83"/>
      <c r="UEE112" s="83"/>
      <c r="UEF112" s="83"/>
      <c r="UEG112" s="83"/>
      <c r="UEH112" s="83"/>
      <c r="UEI112" s="83"/>
      <c r="UEJ112" s="83"/>
      <c r="UEK112" s="83"/>
      <c r="UEL112" s="83"/>
      <c r="UEM112" s="83"/>
      <c r="UEN112" s="83"/>
      <c r="UEO112" s="83"/>
      <c r="UEP112" s="83"/>
      <c r="UEQ112" s="83"/>
      <c r="UER112" s="82"/>
      <c r="UES112" s="83"/>
      <c r="UET112" s="83"/>
      <c r="UEU112" s="83"/>
      <c r="UEV112" s="83"/>
      <c r="UEW112" s="83"/>
      <c r="UEX112" s="83"/>
      <c r="UEY112" s="83"/>
      <c r="UEZ112" s="83"/>
      <c r="UFA112" s="83"/>
      <c r="UFB112" s="83"/>
      <c r="UFC112" s="83"/>
      <c r="UFD112" s="83"/>
      <c r="UFE112" s="83"/>
      <c r="UFF112" s="83"/>
      <c r="UFG112" s="83"/>
      <c r="UFH112" s="83"/>
      <c r="UFI112" s="83"/>
      <c r="UFJ112" s="83"/>
      <c r="UFK112" s="83"/>
      <c r="UFL112" s="83"/>
      <c r="UFM112" s="83"/>
      <c r="UFN112" s="82"/>
      <c r="UFO112" s="83"/>
      <c r="UFP112" s="83"/>
      <c r="UFQ112" s="83"/>
      <c r="UFR112" s="83"/>
      <c r="UFS112" s="83"/>
      <c r="UFT112" s="83"/>
      <c r="UFU112" s="83"/>
      <c r="UFV112" s="83"/>
      <c r="UFW112" s="83"/>
      <c r="UFX112" s="83"/>
      <c r="UFY112" s="83"/>
      <c r="UFZ112" s="83"/>
      <c r="UGA112" s="83"/>
      <c r="UGB112" s="83"/>
      <c r="UGC112" s="83"/>
      <c r="UGD112" s="83"/>
      <c r="UGE112" s="83"/>
      <c r="UGF112" s="83"/>
      <c r="UGG112" s="83"/>
      <c r="UGH112" s="83"/>
      <c r="UGI112" s="83"/>
      <c r="UGJ112" s="82"/>
      <c r="UGK112" s="83"/>
      <c r="UGL112" s="83"/>
      <c r="UGM112" s="83"/>
      <c r="UGN112" s="83"/>
      <c r="UGO112" s="83"/>
      <c r="UGP112" s="83"/>
      <c r="UGQ112" s="83"/>
      <c r="UGR112" s="83"/>
      <c r="UGS112" s="83"/>
      <c r="UGT112" s="83"/>
      <c r="UGU112" s="83"/>
      <c r="UGV112" s="83"/>
      <c r="UGW112" s="83"/>
      <c r="UGX112" s="83"/>
      <c r="UGY112" s="83"/>
      <c r="UGZ112" s="83"/>
      <c r="UHA112" s="83"/>
      <c r="UHB112" s="83"/>
      <c r="UHC112" s="83"/>
      <c r="UHD112" s="83"/>
      <c r="UHE112" s="83"/>
      <c r="UHF112" s="82"/>
      <c r="UHG112" s="83"/>
      <c r="UHH112" s="83"/>
      <c r="UHI112" s="83"/>
      <c r="UHJ112" s="83"/>
      <c r="UHK112" s="83"/>
      <c r="UHL112" s="83"/>
      <c r="UHM112" s="83"/>
      <c r="UHN112" s="83"/>
      <c r="UHO112" s="83"/>
      <c r="UHP112" s="83"/>
      <c r="UHQ112" s="83"/>
      <c r="UHR112" s="83"/>
      <c r="UHS112" s="83"/>
      <c r="UHT112" s="83"/>
      <c r="UHU112" s="83"/>
      <c r="UHV112" s="83"/>
      <c r="UHW112" s="83"/>
      <c r="UHX112" s="83"/>
      <c r="UHY112" s="83"/>
      <c r="UHZ112" s="83"/>
      <c r="UIA112" s="83"/>
      <c r="UIB112" s="82"/>
      <c r="UIC112" s="83"/>
      <c r="UID112" s="83"/>
      <c r="UIE112" s="83"/>
      <c r="UIF112" s="83"/>
      <c r="UIG112" s="83"/>
      <c r="UIH112" s="83"/>
      <c r="UII112" s="83"/>
      <c r="UIJ112" s="83"/>
      <c r="UIK112" s="83"/>
      <c r="UIL112" s="83"/>
      <c r="UIM112" s="83"/>
      <c r="UIN112" s="83"/>
      <c r="UIO112" s="83"/>
      <c r="UIP112" s="83"/>
      <c r="UIQ112" s="83"/>
      <c r="UIR112" s="83"/>
      <c r="UIS112" s="83"/>
      <c r="UIT112" s="83"/>
      <c r="UIU112" s="83"/>
      <c r="UIV112" s="83"/>
      <c r="UIW112" s="83"/>
      <c r="UIX112" s="82"/>
      <c r="UIY112" s="83"/>
      <c r="UIZ112" s="83"/>
      <c r="UJA112" s="83"/>
      <c r="UJB112" s="83"/>
      <c r="UJC112" s="83"/>
      <c r="UJD112" s="83"/>
      <c r="UJE112" s="83"/>
      <c r="UJF112" s="83"/>
      <c r="UJG112" s="83"/>
      <c r="UJH112" s="83"/>
      <c r="UJI112" s="83"/>
      <c r="UJJ112" s="83"/>
      <c r="UJK112" s="83"/>
      <c r="UJL112" s="83"/>
      <c r="UJM112" s="83"/>
      <c r="UJN112" s="83"/>
      <c r="UJO112" s="83"/>
      <c r="UJP112" s="83"/>
      <c r="UJQ112" s="83"/>
      <c r="UJR112" s="83"/>
      <c r="UJS112" s="83"/>
      <c r="UJT112" s="82"/>
      <c r="UJU112" s="83"/>
      <c r="UJV112" s="83"/>
      <c r="UJW112" s="83"/>
      <c r="UJX112" s="83"/>
      <c r="UJY112" s="83"/>
      <c r="UJZ112" s="83"/>
      <c r="UKA112" s="83"/>
      <c r="UKB112" s="83"/>
      <c r="UKC112" s="83"/>
      <c r="UKD112" s="83"/>
      <c r="UKE112" s="83"/>
      <c r="UKF112" s="83"/>
      <c r="UKG112" s="83"/>
      <c r="UKH112" s="83"/>
      <c r="UKI112" s="83"/>
      <c r="UKJ112" s="83"/>
      <c r="UKK112" s="83"/>
      <c r="UKL112" s="83"/>
      <c r="UKM112" s="83"/>
      <c r="UKN112" s="83"/>
      <c r="UKO112" s="83"/>
      <c r="UKP112" s="82"/>
      <c r="UKQ112" s="83"/>
      <c r="UKR112" s="83"/>
      <c r="UKS112" s="83"/>
      <c r="UKT112" s="83"/>
      <c r="UKU112" s="83"/>
      <c r="UKV112" s="83"/>
      <c r="UKW112" s="83"/>
      <c r="UKX112" s="83"/>
      <c r="UKY112" s="83"/>
      <c r="UKZ112" s="83"/>
      <c r="ULA112" s="83"/>
      <c r="ULB112" s="83"/>
      <c r="ULC112" s="83"/>
      <c r="ULD112" s="83"/>
      <c r="ULE112" s="83"/>
      <c r="ULF112" s="83"/>
      <c r="ULG112" s="83"/>
      <c r="ULH112" s="83"/>
      <c r="ULI112" s="83"/>
      <c r="ULJ112" s="83"/>
      <c r="ULK112" s="83"/>
      <c r="ULL112" s="82"/>
      <c r="ULM112" s="83"/>
      <c r="ULN112" s="83"/>
      <c r="ULO112" s="83"/>
      <c r="ULP112" s="83"/>
      <c r="ULQ112" s="83"/>
      <c r="ULR112" s="83"/>
      <c r="ULS112" s="83"/>
      <c r="ULT112" s="83"/>
      <c r="ULU112" s="83"/>
      <c r="ULV112" s="83"/>
      <c r="ULW112" s="83"/>
      <c r="ULX112" s="83"/>
      <c r="ULY112" s="83"/>
      <c r="ULZ112" s="83"/>
      <c r="UMA112" s="83"/>
      <c r="UMB112" s="83"/>
      <c r="UMC112" s="83"/>
      <c r="UMD112" s="83"/>
      <c r="UME112" s="83"/>
      <c r="UMF112" s="83"/>
      <c r="UMG112" s="83"/>
      <c r="UMH112" s="82"/>
      <c r="UMI112" s="83"/>
      <c r="UMJ112" s="83"/>
      <c r="UMK112" s="83"/>
      <c r="UML112" s="83"/>
      <c r="UMM112" s="83"/>
      <c r="UMN112" s="83"/>
      <c r="UMO112" s="83"/>
      <c r="UMP112" s="83"/>
      <c r="UMQ112" s="83"/>
      <c r="UMR112" s="83"/>
      <c r="UMS112" s="83"/>
      <c r="UMT112" s="83"/>
      <c r="UMU112" s="83"/>
      <c r="UMV112" s="83"/>
      <c r="UMW112" s="83"/>
      <c r="UMX112" s="83"/>
      <c r="UMY112" s="83"/>
      <c r="UMZ112" s="83"/>
      <c r="UNA112" s="83"/>
      <c r="UNB112" s="83"/>
      <c r="UNC112" s="83"/>
      <c r="UND112" s="82"/>
      <c r="UNE112" s="83"/>
      <c r="UNF112" s="83"/>
      <c r="UNG112" s="83"/>
      <c r="UNH112" s="83"/>
      <c r="UNI112" s="83"/>
      <c r="UNJ112" s="83"/>
      <c r="UNK112" s="83"/>
      <c r="UNL112" s="83"/>
      <c r="UNM112" s="83"/>
      <c r="UNN112" s="83"/>
      <c r="UNO112" s="83"/>
      <c r="UNP112" s="83"/>
      <c r="UNQ112" s="83"/>
      <c r="UNR112" s="83"/>
      <c r="UNS112" s="83"/>
      <c r="UNT112" s="83"/>
      <c r="UNU112" s="83"/>
      <c r="UNV112" s="83"/>
      <c r="UNW112" s="83"/>
      <c r="UNX112" s="83"/>
      <c r="UNY112" s="83"/>
      <c r="UNZ112" s="82"/>
      <c r="UOA112" s="83"/>
      <c r="UOB112" s="83"/>
      <c r="UOC112" s="83"/>
      <c r="UOD112" s="83"/>
      <c r="UOE112" s="83"/>
      <c r="UOF112" s="83"/>
      <c r="UOG112" s="83"/>
      <c r="UOH112" s="83"/>
      <c r="UOI112" s="83"/>
      <c r="UOJ112" s="83"/>
      <c r="UOK112" s="83"/>
      <c r="UOL112" s="83"/>
      <c r="UOM112" s="83"/>
      <c r="UON112" s="83"/>
      <c r="UOO112" s="83"/>
      <c r="UOP112" s="83"/>
      <c r="UOQ112" s="83"/>
      <c r="UOR112" s="83"/>
      <c r="UOS112" s="83"/>
      <c r="UOT112" s="83"/>
      <c r="UOU112" s="83"/>
      <c r="UOV112" s="82"/>
      <c r="UOW112" s="83"/>
      <c r="UOX112" s="83"/>
      <c r="UOY112" s="83"/>
      <c r="UOZ112" s="83"/>
      <c r="UPA112" s="83"/>
      <c r="UPB112" s="83"/>
      <c r="UPC112" s="83"/>
      <c r="UPD112" s="83"/>
      <c r="UPE112" s="83"/>
      <c r="UPF112" s="83"/>
      <c r="UPG112" s="83"/>
      <c r="UPH112" s="83"/>
      <c r="UPI112" s="83"/>
      <c r="UPJ112" s="83"/>
      <c r="UPK112" s="83"/>
      <c r="UPL112" s="83"/>
      <c r="UPM112" s="83"/>
      <c r="UPN112" s="83"/>
      <c r="UPO112" s="83"/>
      <c r="UPP112" s="83"/>
      <c r="UPQ112" s="83"/>
      <c r="UPR112" s="82"/>
      <c r="UPS112" s="83"/>
      <c r="UPT112" s="83"/>
      <c r="UPU112" s="83"/>
      <c r="UPV112" s="83"/>
      <c r="UPW112" s="83"/>
      <c r="UPX112" s="83"/>
      <c r="UPY112" s="83"/>
      <c r="UPZ112" s="83"/>
      <c r="UQA112" s="83"/>
      <c r="UQB112" s="83"/>
      <c r="UQC112" s="83"/>
      <c r="UQD112" s="83"/>
      <c r="UQE112" s="83"/>
      <c r="UQF112" s="83"/>
      <c r="UQG112" s="83"/>
      <c r="UQH112" s="83"/>
      <c r="UQI112" s="83"/>
      <c r="UQJ112" s="83"/>
      <c r="UQK112" s="83"/>
      <c r="UQL112" s="83"/>
      <c r="UQM112" s="83"/>
      <c r="UQN112" s="82"/>
      <c r="UQO112" s="83"/>
      <c r="UQP112" s="83"/>
      <c r="UQQ112" s="83"/>
      <c r="UQR112" s="83"/>
      <c r="UQS112" s="83"/>
      <c r="UQT112" s="83"/>
      <c r="UQU112" s="83"/>
      <c r="UQV112" s="83"/>
      <c r="UQW112" s="83"/>
      <c r="UQX112" s="83"/>
      <c r="UQY112" s="83"/>
      <c r="UQZ112" s="83"/>
      <c r="URA112" s="83"/>
      <c r="URB112" s="83"/>
      <c r="URC112" s="83"/>
      <c r="URD112" s="83"/>
      <c r="URE112" s="83"/>
      <c r="URF112" s="83"/>
      <c r="URG112" s="83"/>
      <c r="URH112" s="83"/>
      <c r="URI112" s="83"/>
      <c r="URJ112" s="82"/>
      <c r="URK112" s="83"/>
      <c r="URL112" s="83"/>
      <c r="URM112" s="83"/>
      <c r="URN112" s="83"/>
      <c r="URO112" s="83"/>
      <c r="URP112" s="83"/>
      <c r="URQ112" s="83"/>
      <c r="URR112" s="83"/>
      <c r="URS112" s="83"/>
      <c r="URT112" s="83"/>
      <c r="URU112" s="83"/>
      <c r="URV112" s="83"/>
      <c r="URW112" s="83"/>
      <c r="URX112" s="83"/>
      <c r="URY112" s="83"/>
      <c r="URZ112" s="83"/>
      <c r="USA112" s="83"/>
      <c r="USB112" s="83"/>
      <c r="USC112" s="83"/>
      <c r="USD112" s="83"/>
      <c r="USE112" s="83"/>
      <c r="USF112" s="82"/>
      <c r="USG112" s="83"/>
      <c r="USH112" s="83"/>
      <c r="USI112" s="83"/>
      <c r="USJ112" s="83"/>
      <c r="USK112" s="83"/>
      <c r="USL112" s="83"/>
      <c r="USM112" s="83"/>
      <c r="USN112" s="83"/>
      <c r="USO112" s="83"/>
      <c r="USP112" s="83"/>
      <c r="USQ112" s="83"/>
      <c r="USR112" s="83"/>
      <c r="USS112" s="83"/>
      <c r="UST112" s="83"/>
      <c r="USU112" s="83"/>
      <c r="USV112" s="83"/>
      <c r="USW112" s="83"/>
      <c r="USX112" s="83"/>
      <c r="USY112" s="83"/>
      <c r="USZ112" s="83"/>
      <c r="UTA112" s="83"/>
      <c r="UTB112" s="82"/>
      <c r="UTC112" s="83"/>
      <c r="UTD112" s="83"/>
      <c r="UTE112" s="83"/>
      <c r="UTF112" s="83"/>
      <c r="UTG112" s="83"/>
      <c r="UTH112" s="83"/>
      <c r="UTI112" s="83"/>
      <c r="UTJ112" s="83"/>
      <c r="UTK112" s="83"/>
      <c r="UTL112" s="83"/>
      <c r="UTM112" s="83"/>
      <c r="UTN112" s="83"/>
      <c r="UTO112" s="83"/>
      <c r="UTP112" s="83"/>
      <c r="UTQ112" s="83"/>
      <c r="UTR112" s="83"/>
      <c r="UTS112" s="83"/>
      <c r="UTT112" s="83"/>
      <c r="UTU112" s="83"/>
      <c r="UTV112" s="83"/>
      <c r="UTW112" s="83"/>
      <c r="UTX112" s="82"/>
      <c r="UTY112" s="83"/>
      <c r="UTZ112" s="83"/>
      <c r="UUA112" s="83"/>
      <c r="UUB112" s="83"/>
      <c r="UUC112" s="83"/>
      <c r="UUD112" s="83"/>
      <c r="UUE112" s="83"/>
      <c r="UUF112" s="83"/>
      <c r="UUG112" s="83"/>
      <c r="UUH112" s="83"/>
      <c r="UUI112" s="83"/>
      <c r="UUJ112" s="83"/>
      <c r="UUK112" s="83"/>
      <c r="UUL112" s="83"/>
      <c r="UUM112" s="83"/>
      <c r="UUN112" s="83"/>
      <c r="UUO112" s="83"/>
      <c r="UUP112" s="83"/>
      <c r="UUQ112" s="83"/>
      <c r="UUR112" s="83"/>
      <c r="UUS112" s="83"/>
      <c r="UUT112" s="82"/>
      <c r="UUU112" s="83"/>
      <c r="UUV112" s="83"/>
      <c r="UUW112" s="83"/>
      <c r="UUX112" s="83"/>
      <c r="UUY112" s="83"/>
      <c r="UUZ112" s="83"/>
      <c r="UVA112" s="83"/>
      <c r="UVB112" s="83"/>
      <c r="UVC112" s="83"/>
      <c r="UVD112" s="83"/>
      <c r="UVE112" s="83"/>
      <c r="UVF112" s="83"/>
      <c r="UVG112" s="83"/>
      <c r="UVH112" s="83"/>
      <c r="UVI112" s="83"/>
      <c r="UVJ112" s="83"/>
      <c r="UVK112" s="83"/>
      <c r="UVL112" s="83"/>
      <c r="UVM112" s="83"/>
      <c r="UVN112" s="83"/>
      <c r="UVO112" s="83"/>
      <c r="UVP112" s="82"/>
      <c r="UVQ112" s="83"/>
      <c r="UVR112" s="83"/>
      <c r="UVS112" s="83"/>
      <c r="UVT112" s="83"/>
      <c r="UVU112" s="83"/>
      <c r="UVV112" s="83"/>
      <c r="UVW112" s="83"/>
      <c r="UVX112" s="83"/>
      <c r="UVY112" s="83"/>
      <c r="UVZ112" s="83"/>
      <c r="UWA112" s="83"/>
      <c r="UWB112" s="83"/>
      <c r="UWC112" s="83"/>
      <c r="UWD112" s="83"/>
      <c r="UWE112" s="83"/>
      <c r="UWF112" s="83"/>
      <c r="UWG112" s="83"/>
      <c r="UWH112" s="83"/>
      <c r="UWI112" s="83"/>
      <c r="UWJ112" s="83"/>
      <c r="UWK112" s="83"/>
      <c r="UWL112" s="82"/>
      <c r="UWM112" s="83"/>
      <c r="UWN112" s="83"/>
      <c r="UWO112" s="83"/>
      <c r="UWP112" s="83"/>
      <c r="UWQ112" s="83"/>
      <c r="UWR112" s="83"/>
      <c r="UWS112" s="83"/>
      <c r="UWT112" s="83"/>
      <c r="UWU112" s="83"/>
      <c r="UWV112" s="83"/>
      <c r="UWW112" s="83"/>
      <c r="UWX112" s="83"/>
      <c r="UWY112" s="83"/>
      <c r="UWZ112" s="83"/>
      <c r="UXA112" s="83"/>
      <c r="UXB112" s="83"/>
      <c r="UXC112" s="83"/>
      <c r="UXD112" s="83"/>
      <c r="UXE112" s="83"/>
      <c r="UXF112" s="83"/>
      <c r="UXG112" s="83"/>
      <c r="UXH112" s="82"/>
      <c r="UXI112" s="83"/>
      <c r="UXJ112" s="83"/>
      <c r="UXK112" s="83"/>
      <c r="UXL112" s="83"/>
      <c r="UXM112" s="83"/>
      <c r="UXN112" s="83"/>
      <c r="UXO112" s="83"/>
      <c r="UXP112" s="83"/>
      <c r="UXQ112" s="83"/>
      <c r="UXR112" s="83"/>
      <c r="UXS112" s="83"/>
      <c r="UXT112" s="83"/>
      <c r="UXU112" s="83"/>
      <c r="UXV112" s="83"/>
      <c r="UXW112" s="83"/>
      <c r="UXX112" s="83"/>
      <c r="UXY112" s="83"/>
      <c r="UXZ112" s="83"/>
      <c r="UYA112" s="83"/>
      <c r="UYB112" s="83"/>
      <c r="UYC112" s="83"/>
      <c r="UYD112" s="82"/>
      <c r="UYE112" s="83"/>
      <c r="UYF112" s="83"/>
      <c r="UYG112" s="83"/>
      <c r="UYH112" s="83"/>
      <c r="UYI112" s="83"/>
      <c r="UYJ112" s="83"/>
      <c r="UYK112" s="83"/>
      <c r="UYL112" s="83"/>
      <c r="UYM112" s="83"/>
      <c r="UYN112" s="83"/>
      <c r="UYO112" s="83"/>
      <c r="UYP112" s="83"/>
      <c r="UYQ112" s="83"/>
      <c r="UYR112" s="83"/>
      <c r="UYS112" s="83"/>
      <c r="UYT112" s="83"/>
      <c r="UYU112" s="83"/>
      <c r="UYV112" s="83"/>
      <c r="UYW112" s="83"/>
      <c r="UYX112" s="83"/>
      <c r="UYY112" s="83"/>
      <c r="UYZ112" s="82"/>
      <c r="UZA112" s="83"/>
      <c r="UZB112" s="83"/>
      <c r="UZC112" s="83"/>
      <c r="UZD112" s="83"/>
      <c r="UZE112" s="83"/>
      <c r="UZF112" s="83"/>
      <c r="UZG112" s="83"/>
      <c r="UZH112" s="83"/>
      <c r="UZI112" s="83"/>
      <c r="UZJ112" s="83"/>
      <c r="UZK112" s="83"/>
      <c r="UZL112" s="83"/>
      <c r="UZM112" s="83"/>
      <c r="UZN112" s="83"/>
      <c r="UZO112" s="83"/>
      <c r="UZP112" s="83"/>
      <c r="UZQ112" s="83"/>
      <c r="UZR112" s="83"/>
      <c r="UZS112" s="83"/>
      <c r="UZT112" s="83"/>
      <c r="UZU112" s="83"/>
      <c r="UZV112" s="82"/>
      <c r="UZW112" s="83"/>
      <c r="UZX112" s="83"/>
      <c r="UZY112" s="83"/>
      <c r="UZZ112" s="83"/>
      <c r="VAA112" s="83"/>
      <c r="VAB112" s="83"/>
      <c r="VAC112" s="83"/>
      <c r="VAD112" s="83"/>
      <c r="VAE112" s="83"/>
      <c r="VAF112" s="83"/>
      <c r="VAG112" s="83"/>
      <c r="VAH112" s="83"/>
      <c r="VAI112" s="83"/>
      <c r="VAJ112" s="83"/>
      <c r="VAK112" s="83"/>
      <c r="VAL112" s="83"/>
      <c r="VAM112" s="83"/>
      <c r="VAN112" s="83"/>
      <c r="VAO112" s="83"/>
      <c r="VAP112" s="83"/>
      <c r="VAQ112" s="83"/>
      <c r="VAR112" s="82"/>
      <c r="VAS112" s="83"/>
      <c r="VAT112" s="83"/>
      <c r="VAU112" s="83"/>
      <c r="VAV112" s="83"/>
      <c r="VAW112" s="83"/>
      <c r="VAX112" s="83"/>
      <c r="VAY112" s="83"/>
      <c r="VAZ112" s="83"/>
      <c r="VBA112" s="83"/>
      <c r="VBB112" s="83"/>
      <c r="VBC112" s="83"/>
      <c r="VBD112" s="83"/>
      <c r="VBE112" s="83"/>
      <c r="VBF112" s="83"/>
      <c r="VBG112" s="83"/>
      <c r="VBH112" s="83"/>
      <c r="VBI112" s="83"/>
      <c r="VBJ112" s="83"/>
      <c r="VBK112" s="83"/>
      <c r="VBL112" s="83"/>
      <c r="VBM112" s="83"/>
      <c r="VBN112" s="82"/>
      <c r="VBO112" s="83"/>
      <c r="VBP112" s="83"/>
      <c r="VBQ112" s="83"/>
      <c r="VBR112" s="83"/>
      <c r="VBS112" s="83"/>
      <c r="VBT112" s="83"/>
      <c r="VBU112" s="83"/>
      <c r="VBV112" s="83"/>
      <c r="VBW112" s="83"/>
      <c r="VBX112" s="83"/>
      <c r="VBY112" s="83"/>
      <c r="VBZ112" s="83"/>
      <c r="VCA112" s="83"/>
      <c r="VCB112" s="83"/>
      <c r="VCC112" s="83"/>
      <c r="VCD112" s="83"/>
      <c r="VCE112" s="83"/>
      <c r="VCF112" s="83"/>
      <c r="VCG112" s="83"/>
      <c r="VCH112" s="83"/>
      <c r="VCI112" s="83"/>
      <c r="VCJ112" s="82"/>
      <c r="VCK112" s="83"/>
      <c r="VCL112" s="83"/>
      <c r="VCM112" s="83"/>
      <c r="VCN112" s="83"/>
      <c r="VCO112" s="83"/>
      <c r="VCP112" s="83"/>
      <c r="VCQ112" s="83"/>
      <c r="VCR112" s="83"/>
      <c r="VCS112" s="83"/>
      <c r="VCT112" s="83"/>
      <c r="VCU112" s="83"/>
      <c r="VCV112" s="83"/>
      <c r="VCW112" s="83"/>
      <c r="VCX112" s="83"/>
      <c r="VCY112" s="83"/>
      <c r="VCZ112" s="83"/>
      <c r="VDA112" s="83"/>
      <c r="VDB112" s="83"/>
      <c r="VDC112" s="83"/>
      <c r="VDD112" s="83"/>
      <c r="VDE112" s="83"/>
      <c r="VDF112" s="82"/>
      <c r="VDG112" s="83"/>
      <c r="VDH112" s="83"/>
      <c r="VDI112" s="83"/>
      <c r="VDJ112" s="83"/>
      <c r="VDK112" s="83"/>
      <c r="VDL112" s="83"/>
      <c r="VDM112" s="83"/>
      <c r="VDN112" s="83"/>
      <c r="VDO112" s="83"/>
      <c r="VDP112" s="83"/>
      <c r="VDQ112" s="83"/>
      <c r="VDR112" s="83"/>
      <c r="VDS112" s="83"/>
      <c r="VDT112" s="83"/>
      <c r="VDU112" s="83"/>
      <c r="VDV112" s="83"/>
      <c r="VDW112" s="83"/>
      <c r="VDX112" s="83"/>
      <c r="VDY112" s="83"/>
      <c r="VDZ112" s="83"/>
      <c r="VEA112" s="83"/>
      <c r="VEB112" s="82"/>
      <c r="VEC112" s="83"/>
      <c r="VED112" s="83"/>
      <c r="VEE112" s="83"/>
      <c r="VEF112" s="83"/>
      <c r="VEG112" s="83"/>
      <c r="VEH112" s="83"/>
      <c r="VEI112" s="83"/>
      <c r="VEJ112" s="83"/>
      <c r="VEK112" s="83"/>
      <c r="VEL112" s="83"/>
      <c r="VEM112" s="83"/>
      <c r="VEN112" s="83"/>
      <c r="VEO112" s="83"/>
      <c r="VEP112" s="83"/>
      <c r="VEQ112" s="83"/>
      <c r="VER112" s="83"/>
      <c r="VES112" s="83"/>
      <c r="VET112" s="83"/>
      <c r="VEU112" s="83"/>
      <c r="VEV112" s="83"/>
      <c r="VEW112" s="83"/>
      <c r="VEX112" s="82"/>
      <c r="VEY112" s="83"/>
      <c r="VEZ112" s="83"/>
      <c r="VFA112" s="83"/>
      <c r="VFB112" s="83"/>
      <c r="VFC112" s="83"/>
      <c r="VFD112" s="83"/>
      <c r="VFE112" s="83"/>
      <c r="VFF112" s="83"/>
      <c r="VFG112" s="83"/>
      <c r="VFH112" s="83"/>
      <c r="VFI112" s="83"/>
      <c r="VFJ112" s="83"/>
      <c r="VFK112" s="83"/>
      <c r="VFL112" s="83"/>
      <c r="VFM112" s="83"/>
      <c r="VFN112" s="83"/>
      <c r="VFO112" s="83"/>
      <c r="VFP112" s="83"/>
      <c r="VFQ112" s="83"/>
      <c r="VFR112" s="83"/>
      <c r="VFS112" s="83"/>
      <c r="VFT112" s="82"/>
      <c r="VFU112" s="83"/>
      <c r="VFV112" s="83"/>
      <c r="VFW112" s="83"/>
      <c r="VFX112" s="83"/>
      <c r="VFY112" s="83"/>
      <c r="VFZ112" s="83"/>
      <c r="VGA112" s="83"/>
      <c r="VGB112" s="83"/>
      <c r="VGC112" s="83"/>
      <c r="VGD112" s="83"/>
      <c r="VGE112" s="83"/>
      <c r="VGF112" s="83"/>
      <c r="VGG112" s="83"/>
      <c r="VGH112" s="83"/>
      <c r="VGI112" s="83"/>
      <c r="VGJ112" s="83"/>
      <c r="VGK112" s="83"/>
      <c r="VGL112" s="83"/>
      <c r="VGM112" s="83"/>
      <c r="VGN112" s="83"/>
      <c r="VGO112" s="83"/>
      <c r="VGP112" s="82"/>
      <c r="VGQ112" s="83"/>
      <c r="VGR112" s="83"/>
      <c r="VGS112" s="83"/>
      <c r="VGT112" s="83"/>
      <c r="VGU112" s="83"/>
      <c r="VGV112" s="83"/>
      <c r="VGW112" s="83"/>
      <c r="VGX112" s="83"/>
      <c r="VGY112" s="83"/>
      <c r="VGZ112" s="83"/>
      <c r="VHA112" s="83"/>
      <c r="VHB112" s="83"/>
      <c r="VHC112" s="83"/>
      <c r="VHD112" s="83"/>
      <c r="VHE112" s="83"/>
      <c r="VHF112" s="83"/>
      <c r="VHG112" s="83"/>
      <c r="VHH112" s="83"/>
      <c r="VHI112" s="83"/>
      <c r="VHJ112" s="83"/>
      <c r="VHK112" s="83"/>
      <c r="VHL112" s="82"/>
      <c r="VHM112" s="83"/>
      <c r="VHN112" s="83"/>
      <c r="VHO112" s="83"/>
      <c r="VHP112" s="83"/>
      <c r="VHQ112" s="83"/>
      <c r="VHR112" s="83"/>
      <c r="VHS112" s="83"/>
      <c r="VHT112" s="83"/>
      <c r="VHU112" s="83"/>
      <c r="VHV112" s="83"/>
      <c r="VHW112" s="83"/>
      <c r="VHX112" s="83"/>
      <c r="VHY112" s="83"/>
      <c r="VHZ112" s="83"/>
      <c r="VIA112" s="83"/>
      <c r="VIB112" s="83"/>
      <c r="VIC112" s="83"/>
      <c r="VID112" s="83"/>
      <c r="VIE112" s="83"/>
      <c r="VIF112" s="83"/>
      <c r="VIG112" s="83"/>
      <c r="VIH112" s="82"/>
      <c r="VII112" s="83"/>
      <c r="VIJ112" s="83"/>
      <c r="VIK112" s="83"/>
      <c r="VIL112" s="83"/>
      <c r="VIM112" s="83"/>
      <c r="VIN112" s="83"/>
      <c r="VIO112" s="83"/>
      <c r="VIP112" s="83"/>
      <c r="VIQ112" s="83"/>
      <c r="VIR112" s="83"/>
      <c r="VIS112" s="83"/>
      <c r="VIT112" s="83"/>
      <c r="VIU112" s="83"/>
      <c r="VIV112" s="83"/>
      <c r="VIW112" s="83"/>
      <c r="VIX112" s="83"/>
      <c r="VIY112" s="83"/>
      <c r="VIZ112" s="83"/>
      <c r="VJA112" s="83"/>
      <c r="VJB112" s="83"/>
      <c r="VJC112" s="83"/>
      <c r="VJD112" s="82"/>
      <c r="VJE112" s="83"/>
      <c r="VJF112" s="83"/>
      <c r="VJG112" s="83"/>
      <c r="VJH112" s="83"/>
      <c r="VJI112" s="83"/>
      <c r="VJJ112" s="83"/>
      <c r="VJK112" s="83"/>
      <c r="VJL112" s="83"/>
      <c r="VJM112" s="83"/>
      <c r="VJN112" s="83"/>
      <c r="VJO112" s="83"/>
      <c r="VJP112" s="83"/>
      <c r="VJQ112" s="83"/>
      <c r="VJR112" s="83"/>
      <c r="VJS112" s="83"/>
      <c r="VJT112" s="83"/>
      <c r="VJU112" s="83"/>
      <c r="VJV112" s="83"/>
      <c r="VJW112" s="83"/>
      <c r="VJX112" s="83"/>
      <c r="VJY112" s="83"/>
      <c r="VJZ112" s="82"/>
      <c r="VKA112" s="83"/>
      <c r="VKB112" s="83"/>
      <c r="VKC112" s="83"/>
      <c r="VKD112" s="83"/>
      <c r="VKE112" s="83"/>
      <c r="VKF112" s="83"/>
      <c r="VKG112" s="83"/>
      <c r="VKH112" s="83"/>
      <c r="VKI112" s="83"/>
      <c r="VKJ112" s="83"/>
      <c r="VKK112" s="83"/>
      <c r="VKL112" s="83"/>
      <c r="VKM112" s="83"/>
      <c r="VKN112" s="83"/>
      <c r="VKO112" s="83"/>
      <c r="VKP112" s="83"/>
      <c r="VKQ112" s="83"/>
      <c r="VKR112" s="83"/>
      <c r="VKS112" s="83"/>
      <c r="VKT112" s="83"/>
      <c r="VKU112" s="83"/>
      <c r="VKV112" s="82"/>
      <c r="VKW112" s="83"/>
      <c r="VKX112" s="83"/>
      <c r="VKY112" s="83"/>
      <c r="VKZ112" s="83"/>
      <c r="VLA112" s="83"/>
      <c r="VLB112" s="83"/>
      <c r="VLC112" s="83"/>
      <c r="VLD112" s="83"/>
      <c r="VLE112" s="83"/>
      <c r="VLF112" s="83"/>
      <c r="VLG112" s="83"/>
      <c r="VLH112" s="83"/>
      <c r="VLI112" s="83"/>
      <c r="VLJ112" s="83"/>
      <c r="VLK112" s="83"/>
      <c r="VLL112" s="83"/>
      <c r="VLM112" s="83"/>
      <c r="VLN112" s="83"/>
      <c r="VLO112" s="83"/>
      <c r="VLP112" s="83"/>
      <c r="VLQ112" s="83"/>
      <c r="VLR112" s="82"/>
      <c r="VLS112" s="83"/>
      <c r="VLT112" s="83"/>
      <c r="VLU112" s="83"/>
      <c r="VLV112" s="83"/>
      <c r="VLW112" s="83"/>
      <c r="VLX112" s="83"/>
      <c r="VLY112" s="83"/>
      <c r="VLZ112" s="83"/>
      <c r="VMA112" s="83"/>
      <c r="VMB112" s="83"/>
      <c r="VMC112" s="83"/>
      <c r="VMD112" s="83"/>
      <c r="VME112" s="83"/>
      <c r="VMF112" s="83"/>
      <c r="VMG112" s="83"/>
      <c r="VMH112" s="83"/>
      <c r="VMI112" s="83"/>
      <c r="VMJ112" s="83"/>
      <c r="VMK112" s="83"/>
      <c r="VML112" s="83"/>
      <c r="VMM112" s="83"/>
      <c r="VMN112" s="82"/>
      <c r="VMO112" s="83"/>
      <c r="VMP112" s="83"/>
      <c r="VMQ112" s="83"/>
      <c r="VMR112" s="83"/>
      <c r="VMS112" s="83"/>
      <c r="VMT112" s="83"/>
      <c r="VMU112" s="83"/>
      <c r="VMV112" s="83"/>
      <c r="VMW112" s="83"/>
      <c r="VMX112" s="83"/>
      <c r="VMY112" s="83"/>
      <c r="VMZ112" s="83"/>
      <c r="VNA112" s="83"/>
      <c r="VNB112" s="83"/>
      <c r="VNC112" s="83"/>
      <c r="VND112" s="83"/>
      <c r="VNE112" s="83"/>
      <c r="VNF112" s="83"/>
      <c r="VNG112" s="83"/>
      <c r="VNH112" s="83"/>
      <c r="VNI112" s="83"/>
      <c r="VNJ112" s="82"/>
      <c r="VNK112" s="83"/>
      <c r="VNL112" s="83"/>
      <c r="VNM112" s="83"/>
      <c r="VNN112" s="83"/>
      <c r="VNO112" s="83"/>
      <c r="VNP112" s="83"/>
      <c r="VNQ112" s="83"/>
      <c r="VNR112" s="83"/>
      <c r="VNS112" s="83"/>
      <c r="VNT112" s="83"/>
      <c r="VNU112" s="83"/>
      <c r="VNV112" s="83"/>
      <c r="VNW112" s="83"/>
      <c r="VNX112" s="83"/>
      <c r="VNY112" s="83"/>
      <c r="VNZ112" s="83"/>
      <c r="VOA112" s="83"/>
      <c r="VOB112" s="83"/>
      <c r="VOC112" s="83"/>
      <c r="VOD112" s="83"/>
      <c r="VOE112" s="83"/>
      <c r="VOF112" s="82"/>
      <c r="VOG112" s="83"/>
      <c r="VOH112" s="83"/>
      <c r="VOI112" s="83"/>
      <c r="VOJ112" s="83"/>
      <c r="VOK112" s="83"/>
      <c r="VOL112" s="83"/>
      <c r="VOM112" s="83"/>
      <c r="VON112" s="83"/>
      <c r="VOO112" s="83"/>
      <c r="VOP112" s="83"/>
      <c r="VOQ112" s="83"/>
      <c r="VOR112" s="83"/>
      <c r="VOS112" s="83"/>
      <c r="VOT112" s="83"/>
      <c r="VOU112" s="83"/>
      <c r="VOV112" s="83"/>
      <c r="VOW112" s="83"/>
      <c r="VOX112" s="83"/>
      <c r="VOY112" s="83"/>
      <c r="VOZ112" s="83"/>
      <c r="VPA112" s="83"/>
      <c r="VPB112" s="82"/>
      <c r="VPC112" s="83"/>
      <c r="VPD112" s="83"/>
      <c r="VPE112" s="83"/>
      <c r="VPF112" s="83"/>
      <c r="VPG112" s="83"/>
      <c r="VPH112" s="83"/>
      <c r="VPI112" s="83"/>
      <c r="VPJ112" s="83"/>
      <c r="VPK112" s="83"/>
      <c r="VPL112" s="83"/>
      <c r="VPM112" s="83"/>
      <c r="VPN112" s="83"/>
      <c r="VPO112" s="83"/>
      <c r="VPP112" s="83"/>
      <c r="VPQ112" s="83"/>
      <c r="VPR112" s="83"/>
      <c r="VPS112" s="83"/>
      <c r="VPT112" s="83"/>
      <c r="VPU112" s="83"/>
      <c r="VPV112" s="83"/>
      <c r="VPW112" s="83"/>
      <c r="VPX112" s="82"/>
      <c r="VPY112" s="83"/>
      <c r="VPZ112" s="83"/>
      <c r="VQA112" s="83"/>
      <c r="VQB112" s="83"/>
      <c r="VQC112" s="83"/>
      <c r="VQD112" s="83"/>
      <c r="VQE112" s="83"/>
      <c r="VQF112" s="83"/>
      <c r="VQG112" s="83"/>
      <c r="VQH112" s="83"/>
      <c r="VQI112" s="83"/>
      <c r="VQJ112" s="83"/>
      <c r="VQK112" s="83"/>
      <c r="VQL112" s="83"/>
      <c r="VQM112" s="83"/>
      <c r="VQN112" s="83"/>
      <c r="VQO112" s="83"/>
      <c r="VQP112" s="83"/>
      <c r="VQQ112" s="83"/>
      <c r="VQR112" s="83"/>
      <c r="VQS112" s="83"/>
      <c r="VQT112" s="82"/>
      <c r="VQU112" s="83"/>
      <c r="VQV112" s="83"/>
      <c r="VQW112" s="83"/>
      <c r="VQX112" s="83"/>
      <c r="VQY112" s="83"/>
      <c r="VQZ112" s="83"/>
      <c r="VRA112" s="83"/>
      <c r="VRB112" s="83"/>
      <c r="VRC112" s="83"/>
      <c r="VRD112" s="83"/>
      <c r="VRE112" s="83"/>
      <c r="VRF112" s="83"/>
      <c r="VRG112" s="83"/>
      <c r="VRH112" s="83"/>
      <c r="VRI112" s="83"/>
      <c r="VRJ112" s="83"/>
      <c r="VRK112" s="83"/>
      <c r="VRL112" s="83"/>
      <c r="VRM112" s="83"/>
      <c r="VRN112" s="83"/>
      <c r="VRO112" s="83"/>
      <c r="VRP112" s="82"/>
      <c r="VRQ112" s="83"/>
      <c r="VRR112" s="83"/>
      <c r="VRS112" s="83"/>
      <c r="VRT112" s="83"/>
      <c r="VRU112" s="83"/>
      <c r="VRV112" s="83"/>
      <c r="VRW112" s="83"/>
      <c r="VRX112" s="83"/>
      <c r="VRY112" s="83"/>
      <c r="VRZ112" s="83"/>
      <c r="VSA112" s="83"/>
      <c r="VSB112" s="83"/>
      <c r="VSC112" s="83"/>
      <c r="VSD112" s="83"/>
      <c r="VSE112" s="83"/>
      <c r="VSF112" s="83"/>
      <c r="VSG112" s="83"/>
      <c r="VSH112" s="83"/>
      <c r="VSI112" s="83"/>
      <c r="VSJ112" s="83"/>
      <c r="VSK112" s="83"/>
      <c r="VSL112" s="82"/>
      <c r="VSM112" s="83"/>
      <c r="VSN112" s="83"/>
      <c r="VSO112" s="83"/>
      <c r="VSP112" s="83"/>
      <c r="VSQ112" s="83"/>
      <c r="VSR112" s="83"/>
      <c r="VSS112" s="83"/>
      <c r="VST112" s="83"/>
      <c r="VSU112" s="83"/>
      <c r="VSV112" s="83"/>
      <c r="VSW112" s="83"/>
      <c r="VSX112" s="83"/>
      <c r="VSY112" s="83"/>
      <c r="VSZ112" s="83"/>
      <c r="VTA112" s="83"/>
      <c r="VTB112" s="83"/>
      <c r="VTC112" s="83"/>
      <c r="VTD112" s="83"/>
      <c r="VTE112" s="83"/>
      <c r="VTF112" s="83"/>
      <c r="VTG112" s="83"/>
      <c r="VTH112" s="82"/>
      <c r="VTI112" s="83"/>
      <c r="VTJ112" s="83"/>
      <c r="VTK112" s="83"/>
      <c r="VTL112" s="83"/>
      <c r="VTM112" s="83"/>
      <c r="VTN112" s="83"/>
      <c r="VTO112" s="83"/>
      <c r="VTP112" s="83"/>
      <c r="VTQ112" s="83"/>
      <c r="VTR112" s="83"/>
      <c r="VTS112" s="83"/>
      <c r="VTT112" s="83"/>
      <c r="VTU112" s="83"/>
      <c r="VTV112" s="83"/>
      <c r="VTW112" s="83"/>
      <c r="VTX112" s="83"/>
      <c r="VTY112" s="83"/>
      <c r="VTZ112" s="83"/>
      <c r="VUA112" s="83"/>
      <c r="VUB112" s="83"/>
      <c r="VUC112" s="83"/>
      <c r="VUD112" s="82"/>
      <c r="VUE112" s="83"/>
      <c r="VUF112" s="83"/>
      <c r="VUG112" s="83"/>
      <c r="VUH112" s="83"/>
      <c r="VUI112" s="83"/>
      <c r="VUJ112" s="83"/>
      <c r="VUK112" s="83"/>
      <c r="VUL112" s="83"/>
      <c r="VUM112" s="83"/>
      <c r="VUN112" s="83"/>
      <c r="VUO112" s="83"/>
      <c r="VUP112" s="83"/>
      <c r="VUQ112" s="83"/>
      <c r="VUR112" s="83"/>
      <c r="VUS112" s="83"/>
      <c r="VUT112" s="83"/>
      <c r="VUU112" s="83"/>
      <c r="VUV112" s="83"/>
      <c r="VUW112" s="83"/>
      <c r="VUX112" s="83"/>
      <c r="VUY112" s="83"/>
      <c r="VUZ112" s="82"/>
      <c r="VVA112" s="83"/>
      <c r="VVB112" s="83"/>
      <c r="VVC112" s="83"/>
      <c r="VVD112" s="83"/>
      <c r="VVE112" s="83"/>
      <c r="VVF112" s="83"/>
      <c r="VVG112" s="83"/>
      <c r="VVH112" s="83"/>
      <c r="VVI112" s="83"/>
      <c r="VVJ112" s="83"/>
      <c r="VVK112" s="83"/>
      <c r="VVL112" s="83"/>
      <c r="VVM112" s="83"/>
      <c r="VVN112" s="83"/>
      <c r="VVO112" s="83"/>
      <c r="VVP112" s="83"/>
      <c r="VVQ112" s="83"/>
      <c r="VVR112" s="83"/>
      <c r="VVS112" s="83"/>
      <c r="VVT112" s="83"/>
      <c r="VVU112" s="83"/>
      <c r="VVV112" s="82"/>
      <c r="VVW112" s="83"/>
      <c r="VVX112" s="83"/>
      <c r="VVY112" s="83"/>
      <c r="VVZ112" s="83"/>
      <c r="VWA112" s="83"/>
      <c r="VWB112" s="83"/>
      <c r="VWC112" s="83"/>
      <c r="VWD112" s="83"/>
      <c r="VWE112" s="83"/>
      <c r="VWF112" s="83"/>
      <c r="VWG112" s="83"/>
      <c r="VWH112" s="83"/>
      <c r="VWI112" s="83"/>
      <c r="VWJ112" s="83"/>
      <c r="VWK112" s="83"/>
      <c r="VWL112" s="83"/>
      <c r="VWM112" s="83"/>
      <c r="VWN112" s="83"/>
      <c r="VWO112" s="83"/>
      <c r="VWP112" s="83"/>
      <c r="VWQ112" s="83"/>
      <c r="VWR112" s="82"/>
      <c r="VWS112" s="83"/>
      <c r="VWT112" s="83"/>
      <c r="VWU112" s="83"/>
      <c r="VWV112" s="83"/>
      <c r="VWW112" s="83"/>
      <c r="VWX112" s="83"/>
      <c r="VWY112" s="83"/>
      <c r="VWZ112" s="83"/>
      <c r="VXA112" s="83"/>
      <c r="VXB112" s="83"/>
      <c r="VXC112" s="83"/>
      <c r="VXD112" s="83"/>
      <c r="VXE112" s="83"/>
      <c r="VXF112" s="83"/>
      <c r="VXG112" s="83"/>
      <c r="VXH112" s="83"/>
      <c r="VXI112" s="83"/>
      <c r="VXJ112" s="83"/>
      <c r="VXK112" s="83"/>
      <c r="VXL112" s="83"/>
      <c r="VXM112" s="83"/>
      <c r="VXN112" s="82"/>
      <c r="VXO112" s="83"/>
      <c r="VXP112" s="83"/>
      <c r="VXQ112" s="83"/>
      <c r="VXR112" s="83"/>
      <c r="VXS112" s="83"/>
      <c r="VXT112" s="83"/>
      <c r="VXU112" s="83"/>
      <c r="VXV112" s="83"/>
      <c r="VXW112" s="83"/>
      <c r="VXX112" s="83"/>
      <c r="VXY112" s="83"/>
      <c r="VXZ112" s="83"/>
      <c r="VYA112" s="83"/>
      <c r="VYB112" s="83"/>
      <c r="VYC112" s="83"/>
      <c r="VYD112" s="83"/>
      <c r="VYE112" s="83"/>
      <c r="VYF112" s="83"/>
      <c r="VYG112" s="83"/>
      <c r="VYH112" s="83"/>
      <c r="VYI112" s="83"/>
      <c r="VYJ112" s="82"/>
      <c r="VYK112" s="83"/>
      <c r="VYL112" s="83"/>
      <c r="VYM112" s="83"/>
      <c r="VYN112" s="83"/>
      <c r="VYO112" s="83"/>
      <c r="VYP112" s="83"/>
      <c r="VYQ112" s="83"/>
      <c r="VYR112" s="83"/>
      <c r="VYS112" s="83"/>
      <c r="VYT112" s="83"/>
      <c r="VYU112" s="83"/>
      <c r="VYV112" s="83"/>
      <c r="VYW112" s="83"/>
      <c r="VYX112" s="83"/>
      <c r="VYY112" s="83"/>
      <c r="VYZ112" s="83"/>
      <c r="VZA112" s="83"/>
      <c r="VZB112" s="83"/>
      <c r="VZC112" s="83"/>
      <c r="VZD112" s="83"/>
      <c r="VZE112" s="83"/>
      <c r="VZF112" s="82"/>
      <c r="VZG112" s="83"/>
      <c r="VZH112" s="83"/>
      <c r="VZI112" s="83"/>
      <c r="VZJ112" s="83"/>
      <c r="VZK112" s="83"/>
      <c r="VZL112" s="83"/>
      <c r="VZM112" s="83"/>
      <c r="VZN112" s="83"/>
      <c r="VZO112" s="83"/>
      <c r="VZP112" s="83"/>
      <c r="VZQ112" s="83"/>
      <c r="VZR112" s="83"/>
      <c r="VZS112" s="83"/>
      <c r="VZT112" s="83"/>
      <c r="VZU112" s="83"/>
      <c r="VZV112" s="83"/>
      <c r="VZW112" s="83"/>
      <c r="VZX112" s="83"/>
      <c r="VZY112" s="83"/>
      <c r="VZZ112" s="83"/>
      <c r="WAA112" s="83"/>
      <c r="WAB112" s="82"/>
      <c r="WAC112" s="83"/>
      <c r="WAD112" s="83"/>
      <c r="WAE112" s="83"/>
      <c r="WAF112" s="83"/>
      <c r="WAG112" s="83"/>
      <c r="WAH112" s="83"/>
      <c r="WAI112" s="83"/>
      <c r="WAJ112" s="83"/>
      <c r="WAK112" s="83"/>
      <c r="WAL112" s="83"/>
      <c r="WAM112" s="83"/>
      <c r="WAN112" s="83"/>
      <c r="WAO112" s="83"/>
      <c r="WAP112" s="83"/>
      <c r="WAQ112" s="83"/>
      <c r="WAR112" s="83"/>
      <c r="WAS112" s="83"/>
      <c r="WAT112" s="83"/>
      <c r="WAU112" s="83"/>
      <c r="WAV112" s="83"/>
      <c r="WAW112" s="83"/>
      <c r="WAX112" s="82"/>
      <c r="WAY112" s="83"/>
      <c r="WAZ112" s="83"/>
      <c r="WBA112" s="83"/>
      <c r="WBB112" s="83"/>
      <c r="WBC112" s="83"/>
      <c r="WBD112" s="83"/>
      <c r="WBE112" s="83"/>
      <c r="WBF112" s="83"/>
      <c r="WBG112" s="83"/>
      <c r="WBH112" s="83"/>
      <c r="WBI112" s="83"/>
      <c r="WBJ112" s="83"/>
      <c r="WBK112" s="83"/>
      <c r="WBL112" s="83"/>
      <c r="WBM112" s="83"/>
      <c r="WBN112" s="83"/>
      <c r="WBO112" s="83"/>
      <c r="WBP112" s="83"/>
      <c r="WBQ112" s="83"/>
      <c r="WBR112" s="83"/>
      <c r="WBS112" s="83"/>
      <c r="WBT112" s="82"/>
      <c r="WBU112" s="83"/>
      <c r="WBV112" s="83"/>
      <c r="WBW112" s="83"/>
      <c r="WBX112" s="83"/>
      <c r="WBY112" s="83"/>
      <c r="WBZ112" s="83"/>
      <c r="WCA112" s="83"/>
      <c r="WCB112" s="83"/>
      <c r="WCC112" s="83"/>
      <c r="WCD112" s="83"/>
      <c r="WCE112" s="83"/>
      <c r="WCF112" s="83"/>
      <c r="WCG112" s="83"/>
      <c r="WCH112" s="83"/>
      <c r="WCI112" s="83"/>
      <c r="WCJ112" s="83"/>
      <c r="WCK112" s="83"/>
      <c r="WCL112" s="83"/>
      <c r="WCM112" s="83"/>
      <c r="WCN112" s="83"/>
      <c r="WCO112" s="83"/>
      <c r="WCP112" s="82"/>
      <c r="WCQ112" s="83"/>
      <c r="WCR112" s="83"/>
      <c r="WCS112" s="83"/>
      <c r="WCT112" s="83"/>
      <c r="WCU112" s="83"/>
      <c r="WCV112" s="83"/>
      <c r="WCW112" s="83"/>
      <c r="WCX112" s="83"/>
      <c r="WCY112" s="83"/>
      <c r="WCZ112" s="83"/>
      <c r="WDA112" s="83"/>
      <c r="WDB112" s="83"/>
      <c r="WDC112" s="83"/>
      <c r="WDD112" s="83"/>
      <c r="WDE112" s="83"/>
      <c r="WDF112" s="83"/>
      <c r="WDG112" s="83"/>
      <c r="WDH112" s="83"/>
      <c r="WDI112" s="83"/>
      <c r="WDJ112" s="83"/>
      <c r="WDK112" s="83"/>
      <c r="WDL112" s="82"/>
      <c r="WDM112" s="83"/>
      <c r="WDN112" s="83"/>
      <c r="WDO112" s="83"/>
      <c r="WDP112" s="83"/>
      <c r="WDQ112" s="83"/>
      <c r="WDR112" s="83"/>
      <c r="WDS112" s="83"/>
      <c r="WDT112" s="83"/>
      <c r="WDU112" s="83"/>
      <c r="WDV112" s="83"/>
      <c r="WDW112" s="83"/>
      <c r="WDX112" s="83"/>
      <c r="WDY112" s="83"/>
      <c r="WDZ112" s="83"/>
      <c r="WEA112" s="83"/>
      <c r="WEB112" s="83"/>
      <c r="WEC112" s="83"/>
      <c r="WED112" s="83"/>
      <c r="WEE112" s="83"/>
      <c r="WEF112" s="83"/>
      <c r="WEG112" s="83"/>
      <c r="WEH112" s="82"/>
      <c r="WEI112" s="83"/>
      <c r="WEJ112" s="83"/>
      <c r="WEK112" s="83"/>
      <c r="WEL112" s="83"/>
      <c r="WEM112" s="83"/>
      <c r="WEN112" s="83"/>
      <c r="WEO112" s="83"/>
      <c r="WEP112" s="83"/>
      <c r="WEQ112" s="83"/>
      <c r="WER112" s="83"/>
      <c r="WES112" s="83"/>
      <c r="WET112" s="83"/>
      <c r="WEU112" s="83"/>
      <c r="WEV112" s="83"/>
      <c r="WEW112" s="83"/>
      <c r="WEX112" s="83"/>
      <c r="WEY112" s="83"/>
      <c r="WEZ112" s="83"/>
      <c r="WFA112" s="83"/>
      <c r="WFB112" s="83"/>
      <c r="WFC112" s="83"/>
      <c r="WFD112" s="82"/>
      <c r="WFE112" s="83"/>
      <c r="WFF112" s="83"/>
      <c r="WFG112" s="83"/>
      <c r="WFH112" s="83"/>
      <c r="WFI112" s="83"/>
      <c r="WFJ112" s="83"/>
      <c r="WFK112" s="83"/>
      <c r="WFL112" s="83"/>
      <c r="WFM112" s="83"/>
      <c r="WFN112" s="83"/>
      <c r="WFO112" s="83"/>
      <c r="WFP112" s="83"/>
      <c r="WFQ112" s="83"/>
      <c r="WFR112" s="83"/>
      <c r="WFS112" s="83"/>
      <c r="WFT112" s="83"/>
      <c r="WFU112" s="83"/>
      <c r="WFV112" s="83"/>
      <c r="WFW112" s="83"/>
      <c r="WFX112" s="83"/>
      <c r="WFY112" s="83"/>
      <c r="WFZ112" s="82"/>
      <c r="WGA112" s="83"/>
      <c r="WGB112" s="83"/>
      <c r="WGC112" s="83"/>
      <c r="WGD112" s="83"/>
      <c r="WGE112" s="83"/>
      <c r="WGF112" s="83"/>
      <c r="WGG112" s="83"/>
      <c r="WGH112" s="83"/>
      <c r="WGI112" s="83"/>
      <c r="WGJ112" s="83"/>
      <c r="WGK112" s="83"/>
      <c r="WGL112" s="83"/>
      <c r="WGM112" s="83"/>
      <c r="WGN112" s="83"/>
      <c r="WGO112" s="83"/>
      <c r="WGP112" s="83"/>
      <c r="WGQ112" s="83"/>
      <c r="WGR112" s="83"/>
      <c r="WGS112" s="83"/>
      <c r="WGT112" s="83"/>
      <c r="WGU112" s="83"/>
      <c r="WGV112" s="82"/>
      <c r="WGW112" s="83"/>
      <c r="WGX112" s="83"/>
      <c r="WGY112" s="83"/>
      <c r="WGZ112" s="83"/>
      <c r="WHA112" s="83"/>
      <c r="WHB112" s="83"/>
      <c r="WHC112" s="83"/>
      <c r="WHD112" s="83"/>
      <c r="WHE112" s="83"/>
      <c r="WHF112" s="83"/>
      <c r="WHG112" s="83"/>
      <c r="WHH112" s="83"/>
      <c r="WHI112" s="83"/>
      <c r="WHJ112" s="83"/>
      <c r="WHK112" s="83"/>
      <c r="WHL112" s="83"/>
      <c r="WHM112" s="83"/>
      <c r="WHN112" s="83"/>
      <c r="WHO112" s="83"/>
      <c r="WHP112" s="83"/>
      <c r="WHQ112" s="83"/>
      <c r="WHR112" s="82"/>
      <c r="WHS112" s="83"/>
      <c r="WHT112" s="83"/>
      <c r="WHU112" s="83"/>
      <c r="WHV112" s="83"/>
      <c r="WHW112" s="83"/>
      <c r="WHX112" s="83"/>
      <c r="WHY112" s="83"/>
      <c r="WHZ112" s="83"/>
      <c r="WIA112" s="83"/>
      <c r="WIB112" s="83"/>
      <c r="WIC112" s="83"/>
      <c r="WID112" s="83"/>
      <c r="WIE112" s="83"/>
      <c r="WIF112" s="83"/>
      <c r="WIG112" s="83"/>
      <c r="WIH112" s="83"/>
      <c r="WII112" s="83"/>
      <c r="WIJ112" s="83"/>
      <c r="WIK112" s="83"/>
      <c r="WIL112" s="83"/>
      <c r="WIM112" s="83"/>
      <c r="WIN112" s="82"/>
      <c r="WIO112" s="83"/>
      <c r="WIP112" s="83"/>
      <c r="WIQ112" s="83"/>
      <c r="WIR112" s="83"/>
      <c r="WIS112" s="83"/>
      <c r="WIT112" s="83"/>
      <c r="WIU112" s="83"/>
      <c r="WIV112" s="83"/>
      <c r="WIW112" s="83"/>
      <c r="WIX112" s="83"/>
      <c r="WIY112" s="83"/>
      <c r="WIZ112" s="83"/>
      <c r="WJA112" s="83"/>
      <c r="WJB112" s="83"/>
      <c r="WJC112" s="83"/>
      <c r="WJD112" s="83"/>
      <c r="WJE112" s="83"/>
      <c r="WJF112" s="83"/>
      <c r="WJG112" s="83"/>
      <c r="WJH112" s="83"/>
      <c r="WJI112" s="83"/>
      <c r="WJJ112" s="82"/>
      <c r="WJK112" s="83"/>
      <c r="WJL112" s="83"/>
      <c r="WJM112" s="83"/>
      <c r="WJN112" s="83"/>
      <c r="WJO112" s="83"/>
      <c r="WJP112" s="83"/>
      <c r="WJQ112" s="83"/>
      <c r="WJR112" s="83"/>
      <c r="WJS112" s="83"/>
      <c r="WJT112" s="83"/>
      <c r="WJU112" s="83"/>
      <c r="WJV112" s="83"/>
      <c r="WJW112" s="83"/>
      <c r="WJX112" s="83"/>
      <c r="WJY112" s="83"/>
      <c r="WJZ112" s="83"/>
      <c r="WKA112" s="83"/>
      <c r="WKB112" s="83"/>
      <c r="WKC112" s="83"/>
      <c r="WKD112" s="83"/>
      <c r="WKE112" s="83"/>
      <c r="WKF112" s="82"/>
      <c r="WKG112" s="83"/>
      <c r="WKH112" s="83"/>
      <c r="WKI112" s="83"/>
      <c r="WKJ112" s="83"/>
      <c r="WKK112" s="83"/>
      <c r="WKL112" s="83"/>
      <c r="WKM112" s="83"/>
      <c r="WKN112" s="83"/>
      <c r="WKO112" s="83"/>
      <c r="WKP112" s="83"/>
      <c r="WKQ112" s="83"/>
      <c r="WKR112" s="83"/>
      <c r="WKS112" s="83"/>
      <c r="WKT112" s="83"/>
      <c r="WKU112" s="83"/>
      <c r="WKV112" s="83"/>
      <c r="WKW112" s="83"/>
      <c r="WKX112" s="83"/>
      <c r="WKY112" s="83"/>
      <c r="WKZ112" s="83"/>
      <c r="WLA112" s="83"/>
      <c r="WLB112" s="82"/>
      <c r="WLC112" s="83"/>
      <c r="WLD112" s="83"/>
      <c r="WLE112" s="83"/>
      <c r="WLF112" s="83"/>
      <c r="WLG112" s="83"/>
      <c r="WLH112" s="83"/>
      <c r="WLI112" s="83"/>
      <c r="WLJ112" s="83"/>
      <c r="WLK112" s="83"/>
      <c r="WLL112" s="83"/>
      <c r="WLM112" s="83"/>
      <c r="WLN112" s="83"/>
      <c r="WLO112" s="83"/>
      <c r="WLP112" s="83"/>
      <c r="WLQ112" s="83"/>
      <c r="WLR112" s="83"/>
      <c r="WLS112" s="83"/>
      <c r="WLT112" s="83"/>
      <c r="WLU112" s="83"/>
      <c r="WLV112" s="83"/>
      <c r="WLW112" s="83"/>
      <c r="WLX112" s="82"/>
      <c r="WLY112" s="83"/>
      <c r="WLZ112" s="83"/>
      <c r="WMA112" s="83"/>
      <c r="WMB112" s="83"/>
      <c r="WMC112" s="83"/>
      <c r="WMD112" s="83"/>
      <c r="WME112" s="83"/>
      <c r="WMF112" s="83"/>
      <c r="WMG112" s="83"/>
      <c r="WMH112" s="83"/>
      <c r="WMI112" s="83"/>
      <c r="WMJ112" s="83"/>
      <c r="WMK112" s="83"/>
      <c r="WML112" s="83"/>
      <c r="WMM112" s="83"/>
      <c r="WMN112" s="83"/>
      <c r="WMO112" s="83"/>
      <c r="WMP112" s="83"/>
      <c r="WMQ112" s="83"/>
      <c r="WMR112" s="83"/>
      <c r="WMS112" s="83"/>
      <c r="WMT112" s="82"/>
      <c r="WMU112" s="83"/>
      <c r="WMV112" s="83"/>
      <c r="WMW112" s="83"/>
      <c r="WMX112" s="83"/>
      <c r="WMY112" s="83"/>
      <c r="WMZ112" s="83"/>
      <c r="WNA112" s="83"/>
      <c r="WNB112" s="83"/>
      <c r="WNC112" s="83"/>
      <c r="WND112" s="83"/>
      <c r="WNE112" s="83"/>
      <c r="WNF112" s="83"/>
      <c r="WNG112" s="83"/>
      <c r="WNH112" s="83"/>
      <c r="WNI112" s="83"/>
      <c r="WNJ112" s="83"/>
      <c r="WNK112" s="83"/>
      <c r="WNL112" s="83"/>
      <c r="WNM112" s="83"/>
      <c r="WNN112" s="83"/>
      <c r="WNO112" s="83"/>
      <c r="WNP112" s="82"/>
      <c r="WNQ112" s="83"/>
      <c r="WNR112" s="83"/>
      <c r="WNS112" s="83"/>
      <c r="WNT112" s="83"/>
      <c r="WNU112" s="83"/>
      <c r="WNV112" s="83"/>
      <c r="WNW112" s="83"/>
      <c r="WNX112" s="83"/>
      <c r="WNY112" s="83"/>
      <c r="WNZ112" s="83"/>
      <c r="WOA112" s="83"/>
      <c r="WOB112" s="83"/>
      <c r="WOC112" s="83"/>
      <c r="WOD112" s="83"/>
      <c r="WOE112" s="83"/>
      <c r="WOF112" s="83"/>
      <c r="WOG112" s="83"/>
      <c r="WOH112" s="83"/>
      <c r="WOI112" s="83"/>
      <c r="WOJ112" s="83"/>
      <c r="WOK112" s="83"/>
      <c r="WOL112" s="82"/>
      <c r="WOM112" s="83"/>
      <c r="WON112" s="83"/>
      <c r="WOO112" s="83"/>
      <c r="WOP112" s="83"/>
      <c r="WOQ112" s="83"/>
      <c r="WOR112" s="83"/>
      <c r="WOS112" s="83"/>
      <c r="WOT112" s="83"/>
      <c r="WOU112" s="83"/>
      <c r="WOV112" s="83"/>
      <c r="WOW112" s="83"/>
      <c r="WOX112" s="83"/>
      <c r="WOY112" s="83"/>
      <c r="WOZ112" s="83"/>
      <c r="WPA112" s="83"/>
      <c r="WPB112" s="83"/>
      <c r="WPC112" s="83"/>
      <c r="WPD112" s="83"/>
      <c r="WPE112" s="83"/>
      <c r="WPF112" s="83"/>
      <c r="WPG112" s="83"/>
      <c r="WPH112" s="82"/>
      <c r="WPI112" s="83"/>
      <c r="WPJ112" s="83"/>
      <c r="WPK112" s="83"/>
      <c r="WPL112" s="83"/>
      <c r="WPM112" s="83"/>
      <c r="WPN112" s="83"/>
      <c r="WPO112" s="83"/>
      <c r="WPP112" s="83"/>
      <c r="WPQ112" s="83"/>
      <c r="WPR112" s="83"/>
      <c r="WPS112" s="83"/>
      <c r="WPT112" s="83"/>
      <c r="WPU112" s="83"/>
      <c r="WPV112" s="83"/>
      <c r="WPW112" s="83"/>
      <c r="WPX112" s="83"/>
      <c r="WPY112" s="83"/>
      <c r="WPZ112" s="83"/>
      <c r="WQA112" s="83"/>
      <c r="WQB112" s="83"/>
      <c r="WQC112" s="83"/>
      <c r="WQD112" s="82"/>
      <c r="WQE112" s="83"/>
      <c r="WQF112" s="83"/>
      <c r="WQG112" s="83"/>
      <c r="WQH112" s="83"/>
      <c r="WQI112" s="83"/>
      <c r="WQJ112" s="83"/>
      <c r="WQK112" s="83"/>
      <c r="WQL112" s="83"/>
      <c r="WQM112" s="83"/>
      <c r="WQN112" s="83"/>
      <c r="WQO112" s="83"/>
      <c r="WQP112" s="83"/>
      <c r="WQQ112" s="83"/>
      <c r="WQR112" s="83"/>
      <c r="WQS112" s="83"/>
      <c r="WQT112" s="83"/>
      <c r="WQU112" s="83"/>
      <c r="WQV112" s="83"/>
      <c r="WQW112" s="83"/>
      <c r="WQX112" s="83"/>
      <c r="WQY112" s="83"/>
      <c r="WQZ112" s="82"/>
      <c r="WRA112" s="83"/>
      <c r="WRB112" s="83"/>
      <c r="WRC112" s="83"/>
      <c r="WRD112" s="83"/>
      <c r="WRE112" s="83"/>
      <c r="WRF112" s="83"/>
      <c r="WRG112" s="83"/>
      <c r="WRH112" s="83"/>
      <c r="WRI112" s="83"/>
      <c r="WRJ112" s="83"/>
      <c r="WRK112" s="83"/>
      <c r="WRL112" s="83"/>
      <c r="WRM112" s="83"/>
      <c r="WRN112" s="83"/>
      <c r="WRO112" s="83"/>
      <c r="WRP112" s="83"/>
      <c r="WRQ112" s="83"/>
      <c r="WRR112" s="83"/>
      <c r="WRS112" s="83"/>
      <c r="WRT112" s="83"/>
      <c r="WRU112" s="83"/>
      <c r="WRV112" s="82"/>
      <c r="WRW112" s="83"/>
      <c r="WRX112" s="83"/>
      <c r="WRY112" s="83"/>
      <c r="WRZ112" s="83"/>
      <c r="WSA112" s="83"/>
      <c r="WSB112" s="83"/>
      <c r="WSC112" s="83"/>
      <c r="WSD112" s="83"/>
      <c r="WSE112" s="83"/>
      <c r="WSF112" s="83"/>
      <c r="WSG112" s="83"/>
      <c r="WSH112" s="83"/>
      <c r="WSI112" s="83"/>
      <c r="WSJ112" s="83"/>
      <c r="WSK112" s="83"/>
      <c r="WSL112" s="83"/>
      <c r="WSM112" s="83"/>
      <c r="WSN112" s="83"/>
      <c r="WSO112" s="83"/>
      <c r="WSP112" s="83"/>
      <c r="WSQ112" s="83"/>
      <c r="WSR112" s="82"/>
      <c r="WSS112" s="83"/>
      <c r="WST112" s="83"/>
      <c r="WSU112" s="83"/>
      <c r="WSV112" s="83"/>
      <c r="WSW112" s="83"/>
      <c r="WSX112" s="83"/>
      <c r="WSY112" s="83"/>
      <c r="WSZ112" s="83"/>
      <c r="WTA112" s="83"/>
      <c r="WTB112" s="83"/>
      <c r="WTC112" s="83"/>
      <c r="WTD112" s="83"/>
      <c r="WTE112" s="83"/>
      <c r="WTF112" s="83"/>
      <c r="WTG112" s="83"/>
      <c r="WTH112" s="83"/>
      <c r="WTI112" s="83"/>
      <c r="WTJ112" s="83"/>
      <c r="WTK112" s="83"/>
      <c r="WTL112" s="83"/>
      <c r="WTM112" s="83"/>
      <c r="WTN112" s="82"/>
      <c r="WTO112" s="83"/>
      <c r="WTP112" s="83"/>
      <c r="WTQ112" s="83"/>
      <c r="WTR112" s="83"/>
      <c r="WTS112" s="83"/>
      <c r="WTT112" s="83"/>
      <c r="WTU112" s="83"/>
      <c r="WTV112" s="83"/>
      <c r="WTW112" s="83"/>
      <c r="WTX112" s="83"/>
      <c r="WTY112" s="83"/>
      <c r="WTZ112" s="83"/>
      <c r="WUA112" s="83"/>
      <c r="WUB112" s="83"/>
      <c r="WUC112" s="83"/>
      <c r="WUD112" s="83"/>
      <c r="WUE112" s="83"/>
      <c r="WUF112" s="83"/>
      <c r="WUG112" s="83"/>
      <c r="WUH112" s="83"/>
      <c r="WUI112" s="83"/>
      <c r="WUJ112" s="82"/>
      <c r="WUK112" s="83"/>
      <c r="WUL112" s="83"/>
      <c r="WUM112" s="83"/>
      <c r="WUN112" s="83"/>
      <c r="WUO112" s="83"/>
      <c r="WUP112" s="83"/>
      <c r="WUQ112" s="83"/>
      <c r="WUR112" s="83"/>
      <c r="WUS112" s="83"/>
      <c r="WUT112" s="83"/>
      <c r="WUU112" s="83"/>
      <c r="WUV112" s="83"/>
      <c r="WUW112" s="83"/>
      <c r="WUX112" s="83"/>
      <c r="WUY112" s="83"/>
      <c r="WUZ112" s="83"/>
      <c r="WVA112" s="83"/>
      <c r="WVB112" s="83"/>
      <c r="WVC112" s="83"/>
      <c r="WVD112" s="83"/>
      <c r="WVE112" s="83"/>
      <c r="WVF112" s="82"/>
      <c r="WVG112" s="83"/>
      <c r="WVH112" s="83"/>
      <c r="WVI112" s="83"/>
      <c r="WVJ112" s="83"/>
      <c r="WVK112" s="83"/>
      <c r="WVL112" s="83"/>
      <c r="WVM112" s="83"/>
      <c r="WVN112" s="83"/>
      <c r="WVO112" s="83"/>
      <c r="WVP112" s="83"/>
      <c r="WVQ112" s="83"/>
      <c r="WVR112" s="83"/>
      <c r="WVS112" s="83"/>
      <c r="WVT112" s="83"/>
      <c r="WVU112" s="83"/>
      <c r="WVV112" s="83"/>
      <c r="WVW112" s="83"/>
      <c r="WVX112" s="83"/>
      <c r="WVY112" s="83"/>
      <c r="WVZ112" s="83"/>
      <c r="WWA112" s="83"/>
      <c r="WWB112" s="82"/>
      <c r="WWC112" s="83"/>
      <c r="WWD112" s="83"/>
      <c r="WWE112" s="83"/>
      <c r="WWF112" s="83"/>
      <c r="WWG112" s="83"/>
      <c r="WWH112" s="83"/>
      <c r="WWI112" s="83"/>
      <c r="WWJ112" s="83"/>
      <c r="WWK112" s="83"/>
      <c r="WWL112" s="83"/>
      <c r="WWM112" s="83"/>
      <c r="WWN112" s="83"/>
      <c r="WWO112" s="83"/>
      <c r="WWP112" s="83"/>
      <c r="WWQ112" s="83"/>
      <c r="WWR112" s="83"/>
      <c r="WWS112" s="83"/>
      <c r="WWT112" s="83"/>
      <c r="WWU112" s="83"/>
      <c r="WWV112" s="83"/>
      <c r="WWW112" s="83"/>
      <c r="WWX112" s="82"/>
      <c r="WWY112" s="83"/>
      <c r="WWZ112" s="83"/>
      <c r="WXA112" s="83"/>
      <c r="WXB112" s="83"/>
      <c r="WXC112" s="83"/>
      <c r="WXD112" s="83"/>
      <c r="WXE112" s="83"/>
      <c r="WXF112" s="83"/>
      <c r="WXG112" s="83"/>
      <c r="WXH112" s="83"/>
      <c r="WXI112" s="83"/>
      <c r="WXJ112" s="83"/>
      <c r="WXK112" s="83"/>
      <c r="WXL112" s="83"/>
      <c r="WXM112" s="83"/>
      <c r="WXN112" s="83"/>
      <c r="WXO112" s="83"/>
      <c r="WXP112" s="83"/>
      <c r="WXQ112" s="83"/>
      <c r="WXR112" s="83"/>
      <c r="WXS112" s="83"/>
      <c r="WXT112" s="82"/>
      <c r="WXU112" s="83"/>
      <c r="WXV112" s="83"/>
      <c r="WXW112" s="83"/>
      <c r="WXX112" s="83"/>
      <c r="WXY112" s="83"/>
      <c r="WXZ112" s="83"/>
      <c r="WYA112" s="83"/>
      <c r="WYB112" s="83"/>
      <c r="WYC112" s="83"/>
      <c r="WYD112" s="83"/>
      <c r="WYE112" s="83"/>
      <c r="WYF112" s="83"/>
      <c r="WYG112" s="83"/>
      <c r="WYH112" s="83"/>
      <c r="WYI112" s="83"/>
      <c r="WYJ112" s="83"/>
      <c r="WYK112" s="83"/>
      <c r="WYL112" s="83"/>
      <c r="WYM112" s="83"/>
      <c r="WYN112" s="83"/>
      <c r="WYO112" s="83"/>
      <c r="WYP112" s="82"/>
      <c r="WYQ112" s="83"/>
      <c r="WYR112" s="83"/>
      <c r="WYS112" s="83"/>
      <c r="WYT112" s="83"/>
      <c r="WYU112" s="83"/>
      <c r="WYV112" s="83"/>
      <c r="WYW112" s="83"/>
      <c r="WYX112" s="83"/>
      <c r="WYY112" s="83"/>
      <c r="WYZ112" s="83"/>
      <c r="WZA112" s="83"/>
      <c r="WZB112" s="83"/>
      <c r="WZC112" s="83"/>
      <c r="WZD112" s="83"/>
      <c r="WZE112" s="83"/>
      <c r="WZF112" s="83"/>
      <c r="WZG112" s="83"/>
      <c r="WZH112" s="83"/>
      <c r="WZI112" s="83"/>
      <c r="WZJ112" s="83"/>
      <c r="WZK112" s="83"/>
      <c r="WZL112" s="82"/>
      <c r="WZM112" s="83"/>
      <c r="WZN112" s="83"/>
      <c r="WZO112" s="83"/>
      <c r="WZP112" s="83"/>
      <c r="WZQ112" s="83"/>
      <c r="WZR112" s="83"/>
      <c r="WZS112" s="83"/>
      <c r="WZT112" s="83"/>
      <c r="WZU112" s="83"/>
      <c r="WZV112" s="83"/>
      <c r="WZW112" s="83"/>
      <c r="WZX112" s="83"/>
      <c r="WZY112" s="83"/>
      <c r="WZZ112" s="83"/>
      <c r="XAA112" s="83"/>
      <c r="XAB112" s="83"/>
      <c r="XAC112" s="83"/>
      <c r="XAD112" s="83"/>
      <c r="XAE112" s="83"/>
      <c r="XAF112" s="83"/>
      <c r="XAG112" s="83"/>
      <c r="XAH112" s="82"/>
      <c r="XAI112" s="83"/>
      <c r="XAJ112" s="83"/>
      <c r="XAK112" s="83"/>
      <c r="XAL112" s="83"/>
      <c r="XAM112" s="83"/>
      <c r="XAN112" s="83"/>
      <c r="XAO112" s="83"/>
      <c r="XAP112" s="83"/>
      <c r="XAQ112" s="83"/>
      <c r="XAR112" s="83"/>
      <c r="XAS112" s="83"/>
      <c r="XAT112" s="83"/>
      <c r="XAU112" s="83"/>
      <c r="XAV112" s="83"/>
      <c r="XAW112" s="83"/>
      <c r="XAX112" s="83"/>
      <c r="XAY112" s="83"/>
      <c r="XAZ112" s="83"/>
      <c r="XBA112" s="83"/>
      <c r="XBB112" s="83"/>
      <c r="XBC112" s="83"/>
      <c r="XBD112" s="82"/>
      <c r="XBE112" s="83"/>
      <c r="XBF112" s="83"/>
      <c r="XBG112" s="83"/>
      <c r="XBH112" s="83"/>
      <c r="XBI112" s="83"/>
      <c r="XBJ112" s="83"/>
      <c r="XBK112" s="83"/>
      <c r="XBL112" s="83"/>
      <c r="XBM112" s="83"/>
      <c r="XBN112" s="83"/>
      <c r="XBO112" s="83"/>
      <c r="XBP112" s="83"/>
      <c r="XBQ112" s="83"/>
      <c r="XBR112" s="83"/>
      <c r="XBS112" s="83"/>
      <c r="XBT112" s="83"/>
      <c r="XBU112" s="83"/>
      <c r="XBV112" s="83"/>
      <c r="XBW112" s="83"/>
      <c r="XBX112" s="83"/>
      <c r="XBY112" s="83"/>
      <c r="XBZ112" s="82"/>
      <c r="XCA112" s="83"/>
      <c r="XCB112" s="83"/>
      <c r="XCC112" s="83"/>
      <c r="XCD112" s="83"/>
      <c r="XCE112" s="83"/>
      <c r="XCF112" s="83"/>
      <c r="XCG112" s="83"/>
      <c r="XCH112" s="83"/>
      <c r="XCI112" s="83"/>
      <c r="XCJ112" s="83"/>
      <c r="XCK112" s="83"/>
      <c r="XCL112" s="83"/>
      <c r="XCM112" s="83"/>
      <c r="XCN112" s="83"/>
      <c r="XCO112" s="83"/>
      <c r="XCP112" s="83"/>
      <c r="XCQ112" s="83"/>
      <c r="XCR112" s="83"/>
      <c r="XCS112" s="83"/>
      <c r="XCT112" s="83"/>
      <c r="XCU112" s="83"/>
      <c r="XCV112" s="82"/>
      <c r="XCW112" s="83"/>
      <c r="XCX112" s="83"/>
      <c r="XCY112" s="83"/>
      <c r="XCZ112" s="83"/>
      <c r="XDA112" s="83"/>
      <c r="XDB112" s="83"/>
      <c r="XDC112" s="83"/>
      <c r="XDD112" s="83"/>
      <c r="XDE112" s="83"/>
      <c r="XDF112" s="83"/>
      <c r="XDG112" s="83"/>
      <c r="XDH112" s="83"/>
      <c r="XDI112" s="83"/>
      <c r="XDJ112" s="83"/>
      <c r="XDK112" s="83"/>
      <c r="XDL112" s="83"/>
      <c r="XDM112" s="83"/>
      <c r="XDN112" s="83"/>
      <c r="XDO112" s="83"/>
      <c r="XDP112" s="83"/>
      <c r="XDQ112" s="83"/>
      <c r="XDR112" s="82"/>
      <c r="XDS112" s="83"/>
      <c r="XDT112" s="83"/>
      <c r="XDU112" s="83"/>
      <c r="XDV112" s="83"/>
      <c r="XDW112" s="83"/>
      <c r="XDX112" s="83"/>
      <c r="XDY112" s="83"/>
      <c r="XDZ112" s="83"/>
      <c r="XEA112" s="83"/>
      <c r="XEB112" s="83"/>
      <c r="XEC112" s="83"/>
      <c r="XED112" s="83"/>
      <c r="XEE112" s="83"/>
      <c r="XEF112" s="83"/>
      <c r="XEG112" s="83"/>
      <c r="XEH112" s="83"/>
      <c r="XEI112" s="83"/>
      <c r="XEJ112" s="83"/>
      <c r="XEK112" s="83"/>
      <c r="XEL112" s="83"/>
      <c r="XEM112" s="83"/>
      <c r="XEN112" s="82"/>
      <c r="XEO112" s="82"/>
      <c r="XEP112" s="82"/>
      <c r="XEQ112" s="82"/>
      <c r="XER112" s="82"/>
      <c r="XES112" s="82"/>
      <c r="XET112" s="82"/>
      <c r="XEU112" s="82"/>
      <c r="XEV112" s="82"/>
      <c r="XEW112" s="82"/>
      <c r="XEX112" s="82"/>
      <c r="XEY112" s="82"/>
      <c r="XEZ112" s="82"/>
      <c r="XFA112" s="82"/>
      <c r="XFB112" s="82"/>
      <c r="XFC112" s="82"/>
    </row>
    <row r="113" spans="1:16383" s="38" customFormat="1" ht="15.95">
      <c r="A113" s="41" t="s">
        <v>106</v>
      </c>
      <c r="C113" s="31"/>
      <c r="D113" s="31"/>
      <c r="E113" s="31"/>
      <c r="F113" s="31"/>
      <c r="G113" s="31"/>
    </row>
    <row r="114" spans="1:16383" s="13" customFormat="1" ht="17.100000000000001" thickBo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4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4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4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4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4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4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4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4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4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4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  <c r="IV114" s="15"/>
      <c r="IW114" s="15"/>
      <c r="IX114" s="15"/>
      <c r="IY114" s="15"/>
      <c r="IZ114" s="15"/>
      <c r="JA114" s="15"/>
      <c r="JB114" s="15"/>
      <c r="JC114" s="15"/>
      <c r="JD114" s="14"/>
      <c r="JE114" s="15"/>
      <c r="JF114" s="15"/>
      <c r="JG114" s="15"/>
      <c r="JH114" s="15"/>
      <c r="JI114" s="15"/>
      <c r="JJ114" s="15"/>
      <c r="JK114" s="15"/>
      <c r="JL114" s="15"/>
      <c r="JM114" s="15"/>
      <c r="JN114" s="15"/>
      <c r="JO114" s="15"/>
      <c r="JP114" s="15"/>
      <c r="JQ114" s="15"/>
      <c r="JR114" s="15"/>
      <c r="JS114" s="15"/>
      <c r="JT114" s="15"/>
      <c r="JU114" s="15"/>
      <c r="JV114" s="15"/>
      <c r="JW114" s="15"/>
      <c r="JX114" s="15"/>
      <c r="JY114" s="15"/>
      <c r="JZ114" s="14"/>
      <c r="KA114" s="15"/>
      <c r="KB114" s="15"/>
      <c r="KC114" s="15"/>
      <c r="KD114" s="15"/>
      <c r="KE114" s="15"/>
      <c r="KF114" s="15"/>
      <c r="KG114" s="15"/>
      <c r="KH114" s="15"/>
      <c r="KI114" s="15"/>
      <c r="KJ114" s="15"/>
      <c r="KK114" s="15"/>
      <c r="KL114" s="15"/>
      <c r="KM114" s="15"/>
      <c r="KN114" s="15"/>
      <c r="KO114" s="15"/>
      <c r="KP114" s="15"/>
      <c r="KQ114" s="15"/>
      <c r="KR114" s="15"/>
      <c r="KS114" s="15"/>
      <c r="KT114" s="15"/>
      <c r="KU114" s="15"/>
      <c r="KV114" s="14"/>
      <c r="KW114" s="15"/>
      <c r="KX114" s="15"/>
      <c r="KY114" s="15"/>
      <c r="KZ114" s="15"/>
      <c r="LA114" s="15"/>
      <c r="LB114" s="15"/>
      <c r="LC114" s="15"/>
      <c r="LD114" s="15"/>
      <c r="LE114" s="15"/>
      <c r="LF114" s="15"/>
      <c r="LG114" s="15"/>
      <c r="LH114" s="15"/>
      <c r="LI114" s="15"/>
      <c r="LJ114" s="15"/>
      <c r="LK114" s="15"/>
      <c r="LL114" s="15"/>
      <c r="LM114" s="15"/>
      <c r="LN114" s="15"/>
      <c r="LO114" s="15"/>
      <c r="LP114" s="15"/>
      <c r="LQ114" s="15"/>
      <c r="LR114" s="14"/>
      <c r="LS114" s="15"/>
      <c r="LT114" s="15"/>
      <c r="LU114" s="15"/>
      <c r="LV114" s="15"/>
      <c r="LW114" s="15"/>
      <c r="LX114" s="15"/>
      <c r="LY114" s="15"/>
      <c r="LZ114" s="15"/>
      <c r="MA114" s="15"/>
      <c r="MB114" s="15"/>
      <c r="MC114" s="15"/>
      <c r="MD114" s="15"/>
      <c r="ME114" s="15"/>
      <c r="MF114" s="15"/>
      <c r="MG114" s="15"/>
      <c r="MH114" s="15"/>
      <c r="MI114" s="15"/>
      <c r="MJ114" s="15"/>
      <c r="MK114" s="15"/>
      <c r="ML114" s="15"/>
      <c r="MM114" s="15"/>
      <c r="MN114" s="14"/>
      <c r="MO114" s="15"/>
      <c r="MP114" s="15"/>
      <c r="MQ114" s="15"/>
      <c r="MR114" s="15"/>
      <c r="MS114" s="15"/>
      <c r="MT114" s="15"/>
      <c r="MU114" s="15"/>
      <c r="MV114" s="15"/>
      <c r="MW114" s="15"/>
      <c r="MX114" s="15"/>
      <c r="MY114" s="15"/>
      <c r="MZ114" s="15"/>
      <c r="NA114" s="15"/>
      <c r="NB114" s="15"/>
      <c r="NC114" s="15"/>
      <c r="ND114" s="15"/>
      <c r="NE114" s="15"/>
      <c r="NF114" s="15"/>
      <c r="NG114" s="15"/>
      <c r="NH114" s="15"/>
      <c r="NI114" s="15"/>
      <c r="NJ114" s="14"/>
      <c r="NK114" s="15"/>
      <c r="NL114" s="15"/>
      <c r="NM114" s="15"/>
      <c r="NN114" s="15"/>
      <c r="NO114" s="15"/>
      <c r="NP114" s="15"/>
      <c r="NQ114" s="15"/>
      <c r="NR114" s="15"/>
      <c r="NS114" s="15"/>
      <c r="NT114" s="15"/>
      <c r="NU114" s="15"/>
      <c r="NV114" s="15"/>
      <c r="NW114" s="15"/>
      <c r="NX114" s="15"/>
      <c r="NY114" s="15"/>
      <c r="NZ114" s="15"/>
      <c r="OA114" s="15"/>
      <c r="OB114" s="15"/>
      <c r="OC114" s="15"/>
      <c r="OD114" s="15"/>
      <c r="OE114" s="15"/>
      <c r="OF114" s="14"/>
      <c r="OG114" s="15"/>
      <c r="OH114" s="15"/>
      <c r="OI114" s="15"/>
      <c r="OJ114" s="15"/>
      <c r="OK114" s="15"/>
      <c r="OL114" s="15"/>
      <c r="OM114" s="15"/>
      <c r="ON114" s="15"/>
      <c r="OO114" s="15"/>
      <c r="OP114" s="15"/>
      <c r="OQ114" s="15"/>
      <c r="OR114" s="15"/>
      <c r="OS114" s="15"/>
      <c r="OT114" s="15"/>
      <c r="OU114" s="15"/>
      <c r="OV114" s="15"/>
      <c r="OW114" s="15"/>
      <c r="OX114" s="15"/>
      <c r="OY114" s="15"/>
      <c r="OZ114" s="15"/>
      <c r="PA114" s="15"/>
      <c r="PB114" s="14"/>
      <c r="PC114" s="15"/>
      <c r="PD114" s="15"/>
      <c r="PE114" s="15"/>
      <c r="PF114" s="15"/>
      <c r="PG114" s="15"/>
      <c r="PH114" s="15"/>
      <c r="PI114" s="15"/>
      <c r="PJ114" s="15"/>
      <c r="PK114" s="15"/>
      <c r="PL114" s="15"/>
      <c r="PM114" s="15"/>
      <c r="PN114" s="15"/>
      <c r="PO114" s="15"/>
      <c r="PP114" s="15"/>
      <c r="PQ114" s="15"/>
      <c r="PR114" s="15"/>
      <c r="PS114" s="15"/>
      <c r="PT114" s="15"/>
      <c r="PU114" s="15"/>
      <c r="PV114" s="15"/>
      <c r="PW114" s="15"/>
      <c r="PX114" s="14"/>
      <c r="PY114" s="15"/>
      <c r="PZ114" s="15"/>
      <c r="QA114" s="15"/>
      <c r="QB114" s="15"/>
      <c r="QC114" s="15"/>
      <c r="QD114" s="15"/>
      <c r="QE114" s="15"/>
      <c r="QF114" s="15"/>
      <c r="QG114" s="15"/>
      <c r="QH114" s="15"/>
      <c r="QI114" s="15"/>
      <c r="QJ114" s="15"/>
      <c r="QK114" s="15"/>
      <c r="QL114" s="15"/>
      <c r="QM114" s="15"/>
      <c r="QN114" s="15"/>
      <c r="QO114" s="15"/>
      <c r="QP114" s="15"/>
      <c r="QQ114" s="15"/>
      <c r="QR114" s="15"/>
      <c r="QS114" s="15"/>
      <c r="QT114" s="14"/>
      <c r="QU114" s="15"/>
      <c r="QV114" s="15"/>
      <c r="QW114" s="15"/>
      <c r="QX114" s="15"/>
      <c r="QY114" s="15"/>
      <c r="QZ114" s="15"/>
      <c r="RA114" s="15"/>
      <c r="RB114" s="15"/>
      <c r="RC114" s="15"/>
      <c r="RD114" s="15"/>
      <c r="RE114" s="15"/>
      <c r="RF114" s="15"/>
      <c r="RG114" s="15"/>
      <c r="RH114" s="15"/>
      <c r="RI114" s="15"/>
      <c r="RJ114" s="15"/>
      <c r="RK114" s="15"/>
      <c r="RL114" s="15"/>
      <c r="RM114" s="15"/>
      <c r="RN114" s="15"/>
      <c r="RO114" s="15"/>
      <c r="RP114" s="14"/>
      <c r="RQ114" s="15"/>
      <c r="RR114" s="15"/>
      <c r="RS114" s="15"/>
      <c r="RT114" s="15"/>
      <c r="RU114" s="15"/>
      <c r="RV114" s="15"/>
      <c r="RW114" s="15"/>
      <c r="RX114" s="15"/>
      <c r="RY114" s="15"/>
      <c r="RZ114" s="15"/>
      <c r="SA114" s="15"/>
      <c r="SB114" s="15"/>
      <c r="SC114" s="15"/>
      <c r="SD114" s="15"/>
      <c r="SE114" s="15"/>
      <c r="SF114" s="15"/>
      <c r="SG114" s="15"/>
      <c r="SH114" s="15"/>
      <c r="SI114" s="15"/>
      <c r="SJ114" s="15"/>
      <c r="SK114" s="15"/>
      <c r="SL114" s="14"/>
      <c r="SM114" s="15"/>
      <c r="SN114" s="15"/>
      <c r="SO114" s="15"/>
      <c r="SP114" s="15"/>
      <c r="SQ114" s="15"/>
      <c r="SR114" s="15"/>
      <c r="SS114" s="15"/>
      <c r="ST114" s="15"/>
      <c r="SU114" s="15"/>
      <c r="SV114" s="15"/>
      <c r="SW114" s="15"/>
      <c r="SX114" s="15"/>
      <c r="SY114" s="15"/>
      <c r="SZ114" s="15"/>
      <c r="TA114" s="15"/>
      <c r="TB114" s="15"/>
      <c r="TC114" s="15"/>
      <c r="TD114" s="15"/>
      <c r="TE114" s="15"/>
      <c r="TF114" s="15"/>
      <c r="TG114" s="15"/>
      <c r="TH114" s="14"/>
      <c r="TI114" s="15"/>
      <c r="TJ114" s="15"/>
      <c r="TK114" s="15"/>
      <c r="TL114" s="15"/>
      <c r="TM114" s="15"/>
      <c r="TN114" s="15"/>
      <c r="TO114" s="15"/>
      <c r="TP114" s="15"/>
      <c r="TQ114" s="15"/>
      <c r="TR114" s="15"/>
      <c r="TS114" s="15"/>
      <c r="TT114" s="15"/>
      <c r="TU114" s="15"/>
      <c r="TV114" s="15"/>
      <c r="TW114" s="15"/>
      <c r="TX114" s="15"/>
      <c r="TY114" s="15"/>
      <c r="TZ114" s="15"/>
      <c r="UA114" s="15"/>
      <c r="UB114" s="15"/>
      <c r="UC114" s="15"/>
      <c r="UD114" s="14"/>
      <c r="UE114" s="15"/>
      <c r="UF114" s="15"/>
      <c r="UG114" s="15"/>
      <c r="UH114" s="15"/>
      <c r="UI114" s="15"/>
      <c r="UJ114" s="15"/>
      <c r="UK114" s="15"/>
      <c r="UL114" s="15"/>
      <c r="UM114" s="15"/>
      <c r="UN114" s="15"/>
      <c r="UO114" s="15"/>
      <c r="UP114" s="15"/>
      <c r="UQ114" s="15"/>
      <c r="UR114" s="15"/>
      <c r="US114" s="15"/>
      <c r="UT114" s="15"/>
      <c r="UU114" s="15"/>
      <c r="UV114" s="15"/>
      <c r="UW114" s="15"/>
      <c r="UX114" s="15"/>
      <c r="UY114" s="15"/>
      <c r="UZ114" s="14"/>
      <c r="VA114" s="15"/>
      <c r="VB114" s="15"/>
      <c r="VC114" s="15"/>
      <c r="VD114" s="15"/>
      <c r="VE114" s="15"/>
      <c r="VF114" s="15"/>
      <c r="VG114" s="15"/>
      <c r="VH114" s="15"/>
      <c r="VI114" s="15"/>
      <c r="VJ114" s="15"/>
      <c r="VK114" s="15"/>
      <c r="VL114" s="15"/>
      <c r="VM114" s="15"/>
      <c r="VN114" s="15"/>
      <c r="VO114" s="15"/>
      <c r="VP114" s="15"/>
      <c r="VQ114" s="15"/>
      <c r="VR114" s="15"/>
      <c r="VS114" s="15"/>
      <c r="VT114" s="15"/>
      <c r="VU114" s="15"/>
      <c r="VV114" s="14"/>
      <c r="VW114" s="15"/>
      <c r="VX114" s="15"/>
      <c r="VY114" s="15"/>
      <c r="VZ114" s="15"/>
      <c r="WA114" s="15"/>
      <c r="WB114" s="15"/>
      <c r="WC114" s="15"/>
      <c r="WD114" s="15"/>
      <c r="WE114" s="15"/>
      <c r="WF114" s="15"/>
      <c r="WG114" s="15"/>
      <c r="WH114" s="15"/>
      <c r="WI114" s="15"/>
      <c r="WJ114" s="15"/>
      <c r="WK114" s="15"/>
      <c r="WL114" s="15"/>
      <c r="WM114" s="15"/>
      <c r="WN114" s="15"/>
      <c r="WO114" s="15"/>
      <c r="WP114" s="15"/>
      <c r="WQ114" s="15"/>
      <c r="WR114" s="14"/>
      <c r="WS114" s="15"/>
      <c r="WT114" s="15"/>
      <c r="WU114" s="15"/>
      <c r="WV114" s="15"/>
      <c r="WW114" s="15"/>
      <c r="WX114" s="15"/>
      <c r="WY114" s="15"/>
      <c r="WZ114" s="15"/>
      <c r="XA114" s="15"/>
      <c r="XB114" s="15"/>
      <c r="XC114" s="15"/>
      <c r="XD114" s="15"/>
      <c r="XE114" s="15"/>
      <c r="XF114" s="15"/>
      <c r="XG114" s="15"/>
      <c r="XH114" s="15"/>
      <c r="XI114" s="15"/>
      <c r="XJ114" s="15"/>
      <c r="XK114" s="15"/>
      <c r="XL114" s="15"/>
      <c r="XM114" s="15"/>
      <c r="XN114" s="14"/>
      <c r="XO114" s="15"/>
      <c r="XP114" s="15"/>
      <c r="XQ114" s="15"/>
      <c r="XR114" s="15"/>
      <c r="XS114" s="15"/>
      <c r="XT114" s="15"/>
      <c r="XU114" s="15"/>
      <c r="XV114" s="15"/>
      <c r="XW114" s="15"/>
      <c r="XX114" s="15"/>
      <c r="XY114" s="15"/>
      <c r="XZ114" s="15"/>
      <c r="YA114" s="15"/>
      <c r="YB114" s="15"/>
      <c r="YC114" s="15"/>
      <c r="YD114" s="15"/>
      <c r="YE114" s="15"/>
      <c r="YF114" s="15"/>
      <c r="YG114" s="15"/>
      <c r="YH114" s="15"/>
      <c r="YI114" s="15"/>
      <c r="YJ114" s="14"/>
      <c r="YK114" s="15"/>
      <c r="YL114" s="15"/>
      <c r="YM114" s="15"/>
      <c r="YN114" s="15"/>
      <c r="YO114" s="15"/>
      <c r="YP114" s="15"/>
      <c r="YQ114" s="15"/>
      <c r="YR114" s="15"/>
      <c r="YS114" s="15"/>
      <c r="YT114" s="15"/>
      <c r="YU114" s="15"/>
      <c r="YV114" s="15"/>
      <c r="YW114" s="15"/>
      <c r="YX114" s="15"/>
      <c r="YY114" s="15"/>
      <c r="YZ114" s="15"/>
      <c r="ZA114" s="15"/>
      <c r="ZB114" s="15"/>
      <c r="ZC114" s="15"/>
      <c r="ZD114" s="15"/>
      <c r="ZE114" s="15"/>
      <c r="ZF114" s="14"/>
      <c r="ZG114" s="15"/>
      <c r="ZH114" s="15"/>
      <c r="ZI114" s="15"/>
      <c r="ZJ114" s="15"/>
      <c r="ZK114" s="15"/>
      <c r="ZL114" s="15"/>
      <c r="ZM114" s="15"/>
      <c r="ZN114" s="15"/>
      <c r="ZO114" s="15"/>
      <c r="ZP114" s="15"/>
      <c r="ZQ114" s="15"/>
      <c r="ZR114" s="15"/>
      <c r="ZS114" s="15"/>
      <c r="ZT114" s="15"/>
      <c r="ZU114" s="15"/>
      <c r="ZV114" s="15"/>
      <c r="ZW114" s="15"/>
      <c r="ZX114" s="15"/>
      <c r="ZY114" s="15"/>
      <c r="ZZ114" s="15"/>
      <c r="AAA114" s="15"/>
      <c r="AAB114" s="14"/>
      <c r="AAC114" s="15"/>
      <c r="AAD114" s="15"/>
      <c r="AAE114" s="15"/>
      <c r="AAF114" s="15"/>
      <c r="AAG114" s="15"/>
      <c r="AAH114" s="15"/>
      <c r="AAI114" s="15"/>
      <c r="AAJ114" s="15"/>
      <c r="AAK114" s="15"/>
      <c r="AAL114" s="15"/>
      <c r="AAM114" s="15"/>
      <c r="AAN114" s="15"/>
      <c r="AAO114" s="15"/>
      <c r="AAP114" s="15"/>
      <c r="AAQ114" s="15"/>
      <c r="AAR114" s="15"/>
      <c r="AAS114" s="15"/>
      <c r="AAT114" s="15"/>
      <c r="AAU114" s="15"/>
      <c r="AAV114" s="15"/>
      <c r="AAW114" s="15"/>
      <c r="AAX114" s="14"/>
      <c r="AAY114" s="15"/>
      <c r="AAZ114" s="15"/>
      <c r="ABA114" s="15"/>
      <c r="ABB114" s="15"/>
      <c r="ABC114" s="15"/>
      <c r="ABD114" s="15"/>
      <c r="ABE114" s="15"/>
      <c r="ABF114" s="15"/>
      <c r="ABG114" s="15"/>
      <c r="ABH114" s="15"/>
      <c r="ABI114" s="15"/>
      <c r="ABJ114" s="15"/>
      <c r="ABK114" s="15"/>
      <c r="ABL114" s="15"/>
      <c r="ABM114" s="15"/>
      <c r="ABN114" s="15"/>
      <c r="ABO114" s="15"/>
      <c r="ABP114" s="15"/>
      <c r="ABQ114" s="15"/>
      <c r="ABR114" s="15"/>
      <c r="ABS114" s="15"/>
      <c r="ABT114" s="14"/>
      <c r="ABU114" s="15"/>
      <c r="ABV114" s="15"/>
      <c r="ABW114" s="15"/>
      <c r="ABX114" s="15"/>
      <c r="ABY114" s="15"/>
      <c r="ABZ114" s="15"/>
      <c r="ACA114" s="15"/>
      <c r="ACB114" s="15"/>
      <c r="ACC114" s="15"/>
      <c r="ACD114" s="15"/>
      <c r="ACE114" s="15"/>
      <c r="ACF114" s="15"/>
      <c r="ACG114" s="15"/>
      <c r="ACH114" s="15"/>
      <c r="ACI114" s="15"/>
      <c r="ACJ114" s="15"/>
      <c r="ACK114" s="15"/>
      <c r="ACL114" s="15"/>
      <c r="ACM114" s="15"/>
      <c r="ACN114" s="15"/>
      <c r="ACO114" s="15"/>
      <c r="ACP114" s="14"/>
      <c r="ACQ114" s="15"/>
      <c r="ACR114" s="15"/>
      <c r="ACS114" s="15"/>
      <c r="ACT114" s="15"/>
      <c r="ACU114" s="15"/>
      <c r="ACV114" s="15"/>
      <c r="ACW114" s="15"/>
      <c r="ACX114" s="15"/>
      <c r="ACY114" s="15"/>
      <c r="ACZ114" s="15"/>
      <c r="ADA114" s="15"/>
      <c r="ADB114" s="15"/>
      <c r="ADC114" s="15"/>
      <c r="ADD114" s="15"/>
      <c r="ADE114" s="15"/>
      <c r="ADF114" s="15"/>
      <c r="ADG114" s="15"/>
      <c r="ADH114" s="15"/>
      <c r="ADI114" s="15"/>
      <c r="ADJ114" s="15"/>
      <c r="ADK114" s="15"/>
      <c r="ADL114" s="14"/>
      <c r="ADM114" s="15"/>
      <c r="ADN114" s="15"/>
      <c r="ADO114" s="15"/>
      <c r="ADP114" s="15"/>
      <c r="ADQ114" s="15"/>
      <c r="ADR114" s="15"/>
      <c r="ADS114" s="15"/>
      <c r="ADT114" s="15"/>
      <c r="ADU114" s="15"/>
      <c r="ADV114" s="15"/>
      <c r="ADW114" s="15"/>
      <c r="ADX114" s="15"/>
      <c r="ADY114" s="15"/>
      <c r="ADZ114" s="15"/>
      <c r="AEA114" s="15"/>
      <c r="AEB114" s="15"/>
      <c r="AEC114" s="15"/>
      <c r="AED114" s="15"/>
      <c r="AEE114" s="15"/>
      <c r="AEF114" s="15"/>
      <c r="AEG114" s="15"/>
      <c r="AEH114" s="14"/>
      <c r="AEI114" s="15"/>
      <c r="AEJ114" s="15"/>
      <c r="AEK114" s="15"/>
      <c r="AEL114" s="15"/>
      <c r="AEM114" s="15"/>
      <c r="AEN114" s="15"/>
      <c r="AEO114" s="15"/>
      <c r="AEP114" s="15"/>
      <c r="AEQ114" s="15"/>
      <c r="AER114" s="15"/>
      <c r="AES114" s="15"/>
      <c r="AET114" s="15"/>
      <c r="AEU114" s="15"/>
      <c r="AEV114" s="15"/>
      <c r="AEW114" s="15"/>
      <c r="AEX114" s="15"/>
      <c r="AEY114" s="15"/>
      <c r="AEZ114" s="15"/>
      <c r="AFA114" s="15"/>
      <c r="AFB114" s="15"/>
      <c r="AFC114" s="15"/>
      <c r="AFD114" s="14"/>
      <c r="AFE114" s="15"/>
      <c r="AFF114" s="15"/>
      <c r="AFG114" s="15"/>
      <c r="AFH114" s="15"/>
      <c r="AFI114" s="15"/>
      <c r="AFJ114" s="15"/>
      <c r="AFK114" s="15"/>
      <c r="AFL114" s="15"/>
      <c r="AFM114" s="15"/>
      <c r="AFN114" s="15"/>
      <c r="AFO114" s="15"/>
      <c r="AFP114" s="15"/>
      <c r="AFQ114" s="15"/>
      <c r="AFR114" s="15"/>
      <c r="AFS114" s="15"/>
      <c r="AFT114" s="15"/>
      <c r="AFU114" s="15"/>
      <c r="AFV114" s="15"/>
      <c r="AFW114" s="15"/>
      <c r="AFX114" s="15"/>
      <c r="AFY114" s="15"/>
      <c r="AFZ114" s="14"/>
      <c r="AGA114" s="15"/>
      <c r="AGB114" s="15"/>
      <c r="AGC114" s="15"/>
      <c r="AGD114" s="15"/>
      <c r="AGE114" s="15"/>
      <c r="AGF114" s="15"/>
      <c r="AGG114" s="15"/>
      <c r="AGH114" s="15"/>
      <c r="AGI114" s="15"/>
      <c r="AGJ114" s="15"/>
      <c r="AGK114" s="15"/>
      <c r="AGL114" s="15"/>
      <c r="AGM114" s="15"/>
      <c r="AGN114" s="15"/>
      <c r="AGO114" s="15"/>
      <c r="AGP114" s="15"/>
      <c r="AGQ114" s="15"/>
      <c r="AGR114" s="15"/>
      <c r="AGS114" s="15"/>
      <c r="AGT114" s="15"/>
      <c r="AGU114" s="15"/>
      <c r="AGV114" s="14"/>
      <c r="AGW114" s="15"/>
      <c r="AGX114" s="15"/>
      <c r="AGY114" s="15"/>
      <c r="AGZ114" s="15"/>
      <c r="AHA114" s="15"/>
      <c r="AHB114" s="15"/>
      <c r="AHC114" s="15"/>
      <c r="AHD114" s="15"/>
      <c r="AHE114" s="15"/>
      <c r="AHF114" s="15"/>
      <c r="AHG114" s="15"/>
      <c r="AHH114" s="15"/>
      <c r="AHI114" s="15"/>
      <c r="AHJ114" s="15"/>
      <c r="AHK114" s="15"/>
      <c r="AHL114" s="15"/>
      <c r="AHM114" s="15"/>
      <c r="AHN114" s="15"/>
      <c r="AHO114" s="15"/>
      <c r="AHP114" s="15"/>
      <c r="AHQ114" s="15"/>
      <c r="AHR114" s="14"/>
      <c r="AHS114" s="15"/>
      <c r="AHT114" s="15"/>
      <c r="AHU114" s="15"/>
      <c r="AHV114" s="15"/>
      <c r="AHW114" s="15"/>
      <c r="AHX114" s="15"/>
      <c r="AHY114" s="15"/>
      <c r="AHZ114" s="15"/>
      <c r="AIA114" s="15"/>
      <c r="AIB114" s="15"/>
      <c r="AIC114" s="15"/>
      <c r="AID114" s="15"/>
      <c r="AIE114" s="15"/>
      <c r="AIF114" s="15"/>
      <c r="AIG114" s="15"/>
      <c r="AIH114" s="15"/>
      <c r="AII114" s="15"/>
      <c r="AIJ114" s="15"/>
      <c r="AIK114" s="15"/>
      <c r="AIL114" s="15"/>
      <c r="AIM114" s="15"/>
      <c r="AIN114" s="14"/>
      <c r="AIO114" s="15"/>
      <c r="AIP114" s="15"/>
      <c r="AIQ114" s="15"/>
      <c r="AIR114" s="15"/>
      <c r="AIS114" s="15"/>
      <c r="AIT114" s="15"/>
      <c r="AIU114" s="15"/>
      <c r="AIV114" s="15"/>
      <c r="AIW114" s="15"/>
      <c r="AIX114" s="15"/>
      <c r="AIY114" s="15"/>
      <c r="AIZ114" s="15"/>
      <c r="AJA114" s="15"/>
      <c r="AJB114" s="15"/>
      <c r="AJC114" s="15"/>
      <c r="AJD114" s="15"/>
      <c r="AJE114" s="15"/>
      <c r="AJF114" s="15"/>
      <c r="AJG114" s="15"/>
      <c r="AJH114" s="15"/>
      <c r="AJI114" s="15"/>
      <c r="AJJ114" s="14"/>
      <c r="AJK114" s="15"/>
      <c r="AJL114" s="15"/>
      <c r="AJM114" s="15"/>
      <c r="AJN114" s="15"/>
      <c r="AJO114" s="15"/>
      <c r="AJP114" s="15"/>
      <c r="AJQ114" s="15"/>
      <c r="AJR114" s="15"/>
      <c r="AJS114" s="15"/>
      <c r="AJT114" s="15"/>
      <c r="AJU114" s="15"/>
      <c r="AJV114" s="15"/>
      <c r="AJW114" s="15"/>
      <c r="AJX114" s="15"/>
      <c r="AJY114" s="15"/>
      <c r="AJZ114" s="15"/>
      <c r="AKA114" s="15"/>
      <c r="AKB114" s="15"/>
      <c r="AKC114" s="15"/>
      <c r="AKD114" s="15"/>
      <c r="AKE114" s="15"/>
      <c r="AKF114" s="14"/>
      <c r="AKG114" s="15"/>
      <c r="AKH114" s="15"/>
      <c r="AKI114" s="15"/>
      <c r="AKJ114" s="15"/>
      <c r="AKK114" s="15"/>
      <c r="AKL114" s="15"/>
      <c r="AKM114" s="15"/>
      <c r="AKN114" s="15"/>
      <c r="AKO114" s="15"/>
      <c r="AKP114" s="15"/>
      <c r="AKQ114" s="15"/>
      <c r="AKR114" s="15"/>
      <c r="AKS114" s="15"/>
      <c r="AKT114" s="15"/>
      <c r="AKU114" s="15"/>
      <c r="AKV114" s="15"/>
      <c r="AKW114" s="15"/>
      <c r="AKX114" s="15"/>
      <c r="AKY114" s="15"/>
      <c r="AKZ114" s="15"/>
      <c r="ALA114" s="15"/>
      <c r="ALB114" s="14"/>
      <c r="ALC114" s="15"/>
      <c r="ALD114" s="15"/>
      <c r="ALE114" s="15"/>
      <c r="ALF114" s="15"/>
      <c r="ALG114" s="15"/>
      <c r="ALH114" s="15"/>
      <c r="ALI114" s="15"/>
      <c r="ALJ114" s="15"/>
      <c r="ALK114" s="15"/>
      <c r="ALL114" s="15"/>
      <c r="ALM114" s="15"/>
      <c r="ALN114" s="15"/>
      <c r="ALO114" s="15"/>
      <c r="ALP114" s="15"/>
      <c r="ALQ114" s="15"/>
      <c r="ALR114" s="15"/>
      <c r="ALS114" s="15"/>
      <c r="ALT114" s="15"/>
      <c r="ALU114" s="15"/>
      <c r="ALV114" s="15"/>
      <c r="ALW114" s="15"/>
      <c r="ALX114" s="14"/>
      <c r="ALY114" s="15"/>
      <c r="ALZ114" s="15"/>
      <c r="AMA114" s="15"/>
      <c r="AMB114" s="15"/>
      <c r="AMC114" s="15"/>
      <c r="AMD114" s="15"/>
      <c r="AME114" s="15"/>
      <c r="AMF114" s="15"/>
      <c r="AMG114" s="15"/>
      <c r="AMH114" s="15"/>
      <c r="AMI114" s="15"/>
      <c r="AMJ114" s="15"/>
      <c r="AMK114" s="15"/>
      <c r="AML114" s="15"/>
      <c r="AMM114" s="15"/>
      <c r="AMN114" s="15"/>
      <c r="AMO114" s="15"/>
      <c r="AMP114" s="15"/>
      <c r="AMQ114" s="15"/>
      <c r="AMR114" s="15"/>
      <c r="AMS114" s="15"/>
      <c r="AMT114" s="14"/>
      <c r="AMU114" s="15"/>
      <c r="AMV114" s="15"/>
      <c r="AMW114" s="15"/>
      <c r="AMX114" s="15"/>
      <c r="AMY114" s="15"/>
      <c r="AMZ114" s="15"/>
      <c r="ANA114" s="15"/>
      <c r="ANB114" s="15"/>
      <c r="ANC114" s="15"/>
      <c r="AND114" s="15"/>
      <c r="ANE114" s="15"/>
      <c r="ANF114" s="15"/>
      <c r="ANG114" s="15"/>
      <c r="ANH114" s="15"/>
      <c r="ANI114" s="15"/>
      <c r="ANJ114" s="15"/>
      <c r="ANK114" s="15"/>
      <c r="ANL114" s="15"/>
      <c r="ANM114" s="15"/>
      <c r="ANN114" s="15"/>
      <c r="ANO114" s="15"/>
      <c r="ANP114" s="14"/>
      <c r="ANQ114" s="15"/>
      <c r="ANR114" s="15"/>
      <c r="ANS114" s="15"/>
      <c r="ANT114" s="15"/>
      <c r="ANU114" s="15"/>
      <c r="ANV114" s="15"/>
      <c r="ANW114" s="15"/>
      <c r="ANX114" s="15"/>
      <c r="ANY114" s="15"/>
      <c r="ANZ114" s="15"/>
      <c r="AOA114" s="15"/>
      <c r="AOB114" s="15"/>
      <c r="AOC114" s="15"/>
      <c r="AOD114" s="15"/>
      <c r="AOE114" s="15"/>
      <c r="AOF114" s="15"/>
      <c r="AOG114" s="15"/>
      <c r="AOH114" s="15"/>
      <c r="AOI114" s="15"/>
      <c r="AOJ114" s="15"/>
      <c r="AOK114" s="15"/>
      <c r="AOL114" s="14"/>
      <c r="AOM114" s="15"/>
      <c r="AON114" s="15"/>
      <c r="AOO114" s="15"/>
      <c r="AOP114" s="15"/>
      <c r="AOQ114" s="15"/>
      <c r="AOR114" s="15"/>
      <c r="AOS114" s="15"/>
      <c r="AOT114" s="15"/>
      <c r="AOU114" s="15"/>
      <c r="AOV114" s="15"/>
      <c r="AOW114" s="15"/>
      <c r="AOX114" s="15"/>
      <c r="AOY114" s="15"/>
      <c r="AOZ114" s="15"/>
      <c r="APA114" s="15"/>
      <c r="APB114" s="15"/>
      <c r="APC114" s="15"/>
      <c r="APD114" s="15"/>
      <c r="APE114" s="15"/>
      <c r="APF114" s="15"/>
      <c r="APG114" s="15"/>
      <c r="APH114" s="14"/>
      <c r="API114" s="15"/>
      <c r="APJ114" s="15"/>
      <c r="APK114" s="15"/>
      <c r="APL114" s="15"/>
      <c r="APM114" s="15"/>
      <c r="APN114" s="15"/>
      <c r="APO114" s="15"/>
      <c r="APP114" s="15"/>
      <c r="APQ114" s="15"/>
      <c r="APR114" s="15"/>
      <c r="APS114" s="15"/>
      <c r="APT114" s="15"/>
      <c r="APU114" s="15"/>
      <c r="APV114" s="15"/>
      <c r="APW114" s="15"/>
      <c r="APX114" s="15"/>
      <c r="APY114" s="15"/>
      <c r="APZ114" s="15"/>
      <c r="AQA114" s="15"/>
      <c r="AQB114" s="15"/>
      <c r="AQC114" s="15"/>
      <c r="AQD114" s="14"/>
      <c r="AQE114" s="15"/>
      <c r="AQF114" s="15"/>
      <c r="AQG114" s="15"/>
      <c r="AQH114" s="15"/>
      <c r="AQI114" s="15"/>
      <c r="AQJ114" s="15"/>
      <c r="AQK114" s="15"/>
      <c r="AQL114" s="15"/>
      <c r="AQM114" s="15"/>
      <c r="AQN114" s="15"/>
      <c r="AQO114" s="15"/>
      <c r="AQP114" s="15"/>
      <c r="AQQ114" s="15"/>
      <c r="AQR114" s="15"/>
      <c r="AQS114" s="15"/>
      <c r="AQT114" s="15"/>
      <c r="AQU114" s="15"/>
      <c r="AQV114" s="15"/>
      <c r="AQW114" s="15"/>
      <c r="AQX114" s="15"/>
      <c r="AQY114" s="15"/>
      <c r="AQZ114" s="14"/>
      <c r="ARA114" s="15"/>
      <c r="ARB114" s="15"/>
      <c r="ARC114" s="15"/>
      <c r="ARD114" s="15"/>
      <c r="ARE114" s="15"/>
      <c r="ARF114" s="15"/>
      <c r="ARG114" s="15"/>
      <c r="ARH114" s="15"/>
      <c r="ARI114" s="15"/>
      <c r="ARJ114" s="15"/>
      <c r="ARK114" s="15"/>
      <c r="ARL114" s="15"/>
      <c r="ARM114" s="15"/>
      <c r="ARN114" s="15"/>
      <c r="ARO114" s="15"/>
      <c r="ARP114" s="15"/>
      <c r="ARQ114" s="15"/>
      <c r="ARR114" s="15"/>
      <c r="ARS114" s="15"/>
      <c r="ART114" s="15"/>
      <c r="ARU114" s="15"/>
      <c r="ARV114" s="14"/>
      <c r="ARW114" s="15"/>
      <c r="ARX114" s="15"/>
      <c r="ARY114" s="15"/>
      <c r="ARZ114" s="15"/>
      <c r="ASA114" s="15"/>
      <c r="ASB114" s="15"/>
      <c r="ASC114" s="15"/>
      <c r="ASD114" s="15"/>
      <c r="ASE114" s="15"/>
      <c r="ASF114" s="15"/>
      <c r="ASG114" s="15"/>
      <c r="ASH114" s="15"/>
      <c r="ASI114" s="15"/>
      <c r="ASJ114" s="15"/>
      <c r="ASK114" s="15"/>
      <c r="ASL114" s="15"/>
      <c r="ASM114" s="15"/>
      <c r="ASN114" s="15"/>
      <c r="ASO114" s="15"/>
      <c r="ASP114" s="15"/>
      <c r="ASQ114" s="15"/>
      <c r="ASR114" s="14"/>
      <c r="ASS114" s="15"/>
      <c r="AST114" s="15"/>
      <c r="ASU114" s="15"/>
      <c r="ASV114" s="15"/>
      <c r="ASW114" s="15"/>
      <c r="ASX114" s="15"/>
      <c r="ASY114" s="15"/>
      <c r="ASZ114" s="15"/>
      <c r="ATA114" s="15"/>
      <c r="ATB114" s="15"/>
      <c r="ATC114" s="15"/>
      <c r="ATD114" s="15"/>
      <c r="ATE114" s="15"/>
      <c r="ATF114" s="15"/>
      <c r="ATG114" s="15"/>
      <c r="ATH114" s="15"/>
      <c r="ATI114" s="15"/>
      <c r="ATJ114" s="15"/>
      <c r="ATK114" s="15"/>
      <c r="ATL114" s="15"/>
      <c r="ATM114" s="15"/>
      <c r="ATN114" s="14"/>
      <c r="ATO114" s="15"/>
      <c r="ATP114" s="15"/>
      <c r="ATQ114" s="15"/>
      <c r="ATR114" s="15"/>
      <c r="ATS114" s="15"/>
      <c r="ATT114" s="15"/>
      <c r="ATU114" s="15"/>
      <c r="ATV114" s="15"/>
      <c r="ATW114" s="15"/>
      <c r="ATX114" s="15"/>
      <c r="ATY114" s="15"/>
      <c r="ATZ114" s="15"/>
      <c r="AUA114" s="15"/>
      <c r="AUB114" s="15"/>
      <c r="AUC114" s="15"/>
      <c r="AUD114" s="15"/>
      <c r="AUE114" s="15"/>
      <c r="AUF114" s="15"/>
      <c r="AUG114" s="15"/>
      <c r="AUH114" s="15"/>
      <c r="AUI114" s="15"/>
      <c r="AUJ114" s="14"/>
      <c r="AUK114" s="15"/>
      <c r="AUL114" s="15"/>
      <c r="AUM114" s="15"/>
      <c r="AUN114" s="15"/>
      <c r="AUO114" s="15"/>
      <c r="AUP114" s="15"/>
      <c r="AUQ114" s="15"/>
      <c r="AUR114" s="15"/>
      <c r="AUS114" s="15"/>
      <c r="AUT114" s="15"/>
      <c r="AUU114" s="15"/>
      <c r="AUV114" s="15"/>
      <c r="AUW114" s="15"/>
      <c r="AUX114" s="15"/>
      <c r="AUY114" s="15"/>
      <c r="AUZ114" s="15"/>
      <c r="AVA114" s="15"/>
      <c r="AVB114" s="15"/>
      <c r="AVC114" s="15"/>
      <c r="AVD114" s="15"/>
      <c r="AVE114" s="15"/>
      <c r="AVF114" s="14"/>
      <c r="AVG114" s="15"/>
      <c r="AVH114" s="15"/>
      <c r="AVI114" s="15"/>
      <c r="AVJ114" s="15"/>
      <c r="AVK114" s="15"/>
      <c r="AVL114" s="15"/>
      <c r="AVM114" s="15"/>
      <c r="AVN114" s="15"/>
      <c r="AVO114" s="15"/>
      <c r="AVP114" s="15"/>
      <c r="AVQ114" s="15"/>
      <c r="AVR114" s="15"/>
      <c r="AVS114" s="15"/>
      <c r="AVT114" s="15"/>
      <c r="AVU114" s="15"/>
      <c r="AVV114" s="15"/>
      <c r="AVW114" s="15"/>
      <c r="AVX114" s="15"/>
      <c r="AVY114" s="15"/>
      <c r="AVZ114" s="15"/>
      <c r="AWA114" s="15"/>
      <c r="AWB114" s="14"/>
      <c r="AWC114" s="15"/>
      <c r="AWD114" s="15"/>
      <c r="AWE114" s="15"/>
      <c r="AWF114" s="15"/>
      <c r="AWG114" s="15"/>
      <c r="AWH114" s="15"/>
      <c r="AWI114" s="15"/>
      <c r="AWJ114" s="15"/>
      <c r="AWK114" s="15"/>
      <c r="AWL114" s="15"/>
      <c r="AWM114" s="15"/>
      <c r="AWN114" s="15"/>
      <c r="AWO114" s="15"/>
      <c r="AWP114" s="15"/>
      <c r="AWQ114" s="15"/>
      <c r="AWR114" s="15"/>
      <c r="AWS114" s="15"/>
      <c r="AWT114" s="15"/>
      <c r="AWU114" s="15"/>
      <c r="AWV114" s="15"/>
      <c r="AWW114" s="15"/>
      <c r="AWX114" s="14"/>
      <c r="AWY114" s="15"/>
      <c r="AWZ114" s="15"/>
      <c r="AXA114" s="15"/>
      <c r="AXB114" s="15"/>
      <c r="AXC114" s="15"/>
      <c r="AXD114" s="15"/>
      <c r="AXE114" s="15"/>
      <c r="AXF114" s="15"/>
      <c r="AXG114" s="15"/>
      <c r="AXH114" s="15"/>
      <c r="AXI114" s="15"/>
      <c r="AXJ114" s="15"/>
      <c r="AXK114" s="15"/>
      <c r="AXL114" s="15"/>
      <c r="AXM114" s="15"/>
      <c r="AXN114" s="15"/>
      <c r="AXO114" s="15"/>
      <c r="AXP114" s="15"/>
      <c r="AXQ114" s="15"/>
      <c r="AXR114" s="15"/>
      <c r="AXS114" s="15"/>
      <c r="AXT114" s="14"/>
      <c r="AXU114" s="15"/>
      <c r="AXV114" s="15"/>
      <c r="AXW114" s="15"/>
      <c r="AXX114" s="15"/>
      <c r="AXY114" s="15"/>
      <c r="AXZ114" s="15"/>
      <c r="AYA114" s="15"/>
      <c r="AYB114" s="15"/>
      <c r="AYC114" s="15"/>
      <c r="AYD114" s="15"/>
      <c r="AYE114" s="15"/>
      <c r="AYF114" s="15"/>
      <c r="AYG114" s="15"/>
      <c r="AYH114" s="15"/>
      <c r="AYI114" s="15"/>
      <c r="AYJ114" s="15"/>
      <c r="AYK114" s="15"/>
      <c r="AYL114" s="15"/>
      <c r="AYM114" s="15"/>
      <c r="AYN114" s="15"/>
      <c r="AYO114" s="15"/>
      <c r="AYP114" s="14"/>
      <c r="AYQ114" s="15"/>
      <c r="AYR114" s="15"/>
      <c r="AYS114" s="15"/>
      <c r="AYT114" s="15"/>
      <c r="AYU114" s="15"/>
      <c r="AYV114" s="15"/>
      <c r="AYW114" s="15"/>
      <c r="AYX114" s="15"/>
      <c r="AYY114" s="15"/>
      <c r="AYZ114" s="15"/>
      <c r="AZA114" s="15"/>
      <c r="AZB114" s="15"/>
      <c r="AZC114" s="15"/>
      <c r="AZD114" s="15"/>
      <c r="AZE114" s="15"/>
      <c r="AZF114" s="15"/>
      <c r="AZG114" s="15"/>
      <c r="AZH114" s="15"/>
      <c r="AZI114" s="15"/>
      <c r="AZJ114" s="15"/>
      <c r="AZK114" s="15"/>
      <c r="AZL114" s="14"/>
      <c r="AZM114" s="15"/>
      <c r="AZN114" s="15"/>
      <c r="AZO114" s="15"/>
      <c r="AZP114" s="15"/>
      <c r="AZQ114" s="15"/>
      <c r="AZR114" s="15"/>
      <c r="AZS114" s="15"/>
      <c r="AZT114" s="15"/>
      <c r="AZU114" s="15"/>
      <c r="AZV114" s="15"/>
      <c r="AZW114" s="15"/>
      <c r="AZX114" s="15"/>
      <c r="AZY114" s="15"/>
      <c r="AZZ114" s="15"/>
      <c r="BAA114" s="15"/>
      <c r="BAB114" s="15"/>
      <c r="BAC114" s="15"/>
      <c r="BAD114" s="15"/>
      <c r="BAE114" s="15"/>
      <c r="BAF114" s="15"/>
      <c r="BAG114" s="15"/>
      <c r="BAH114" s="14"/>
      <c r="BAI114" s="15"/>
      <c r="BAJ114" s="15"/>
      <c r="BAK114" s="15"/>
      <c r="BAL114" s="15"/>
      <c r="BAM114" s="15"/>
      <c r="BAN114" s="15"/>
      <c r="BAO114" s="15"/>
      <c r="BAP114" s="15"/>
      <c r="BAQ114" s="15"/>
      <c r="BAR114" s="15"/>
      <c r="BAS114" s="15"/>
      <c r="BAT114" s="15"/>
      <c r="BAU114" s="15"/>
      <c r="BAV114" s="15"/>
      <c r="BAW114" s="15"/>
      <c r="BAX114" s="15"/>
      <c r="BAY114" s="15"/>
      <c r="BAZ114" s="15"/>
      <c r="BBA114" s="15"/>
      <c r="BBB114" s="15"/>
      <c r="BBC114" s="15"/>
      <c r="BBD114" s="14"/>
      <c r="BBE114" s="15"/>
      <c r="BBF114" s="15"/>
      <c r="BBG114" s="15"/>
      <c r="BBH114" s="15"/>
      <c r="BBI114" s="15"/>
      <c r="BBJ114" s="15"/>
      <c r="BBK114" s="15"/>
      <c r="BBL114" s="15"/>
      <c r="BBM114" s="15"/>
      <c r="BBN114" s="15"/>
      <c r="BBO114" s="15"/>
      <c r="BBP114" s="15"/>
      <c r="BBQ114" s="15"/>
      <c r="BBR114" s="15"/>
      <c r="BBS114" s="15"/>
      <c r="BBT114" s="15"/>
      <c r="BBU114" s="15"/>
      <c r="BBV114" s="15"/>
      <c r="BBW114" s="15"/>
      <c r="BBX114" s="15"/>
      <c r="BBY114" s="15"/>
      <c r="BBZ114" s="14"/>
      <c r="BCA114" s="15"/>
      <c r="BCB114" s="15"/>
      <c r="BCC114" s="15"/>
      <c r="BCD114" s="15"/>
      <c r="BCE114" s="15"/>
      <c r="BCF114" s="15"/>
      <c r="BCG114" s="15"/>
      <c r="BCH114" s="15"/>
      <c r="BCI114" s="15"/>
      <c r="BCJ114" s="15"/>
      <c r="BCK114" s="15"/>
      <c r="BCL114" s="15"/>
      <c r="BCM114" s="15"/>
      <c r="BCN114" s="15"/>
      <c r="BCO114" s="15"/>
      <c r="BCP114" s="15"/>
      <c r="BCQ114" s="15"/>
      <c r="BCR114" s="15"/>
      <c r="BCS114" s="15"/>
      <c r="BCT114" s="15"/>
      <c r="BCU114" s="15"/>
      <c r="BCV114" s="14"/>
      <c r="BCW114" s="15"/>
      <c r="BCX114" s="15"/>
      <c r="BCY114" s="15"/>
      <c r="BCZ114" s="15"/>
      <c r="BDA114" s="15"/>
      <c r="BDB114" s="15"/>
      <c r="BDC114" s="15"/>
      <c r="BDD114" s="15"/>
      <c r="BDE114" s="15"/>
      <c r="BDF114" s="15"/>
      <c r="BDG114" s="15"/>
      <c r="BDH114" s="15"/>
      <c r="BDI114" s="15"/>
      <c r="BDJ114" s="15"/>
      <c r="BDK114" s="15"/>
      <c r="BDL114" s="15"/>
      <c r="BDM114" s="15"/>
      <c r="BDN114" s="15"/>
      <c r="BDO114" s="15"/>
      <c r="BDP114" s="15"/>
      <c r="BDQ114" s="15"/>
      <c r="BDR114" s="14"/>
      <c r="BDS114" s="15"/>
      <c r="BDT114" s="15"/>
      <c r="BDU114" s="15"/>
      <c r="BDV114" s="15"/>
      <c r="BDW114" s="15"/>
      <c r="BDX114" s="15"/>
      <c r="BDY114" s="15"/>
      <c r="BDZ114" s="15"/>
      <c r="BEA114" s="15"/>
      <c r="BEB114" s="15"/>
      <c r="BEC114" s="15"/>
      <c r="BED114" s="15"/>
      <c r="BEE114" s="15"/>
      <c r="BEF114" s="15"/>
      <c r="BEG114" s="15"/>
      <c r="BEH114" s="15"/>
      <c r="BEI114" s="15"/>
      <c r="BEJ114" s="15"/>
      <c r="BEK114" s="15"/>
      <c r="BEL114" s="15"/>
      <c r="BEM114" s="15"/>
      <c r="BEN114" s="14"/>
      <c r="BEO114" s="15"/>
      <c r="BEP114" s="15"/>
      <c r="BEQ114" s="15"/>
      <c r="BER114" s="15"/>
      <c r="BES114" s="15"/>
      <c r="BET114" s="15"/>
      <c r="BEU114" s="15"/>
      <c r="BEV114" s="15"/>
      <c r="BEW114" s="15"/>
      <c r="BEX114" s="15"/>
      <c r="BEY114" s="15"/>
      <c r="BEZ114" s="15"/>
      <c r="BFA114" s="15"/>
      <c r="BFB114" s="15"/>
      <c r="BFC114" s="15"/>
      <c r="BFD114" s="15"/>
      <c r="BFE114" s="15"/>
      <c r="BFF114" s="15"/>
      <c r="BFG114" s="15"/>
      <c r="BFH114" s="15"/>
      <c r="BFI114" s="15"/>
      <c r="BFJ114" s="14"/>
      <c r="BFK114" s="15"/>
      <c r="BFL114" s="15"/>
      <c r="BFM114" s="15"/>
      <c r="BFN114" s="15"/>
      <c r="BFO114" s="15"/>
      <c r="BFP114" s="15"/>
      <c r="BFQ114" s="15"/>
      <c r="BFR114" s="15"/>
      <c r="BFS114" s="15"/>
      <c r="BFT114" s="15"/>
      <c r="BFU114" s="15"/>
      <c r="BFV114" s="15"/>
      <c r="BFW114" s="15"/>
      <c r="BFX114" s="15"/>
      <c r="BFY114" s="15"/>
      <c r="BFZ114" s="15"/>
      <c r="BGA114" s="15"/>
      <c r="BGB114" s="15"/>
      <c r="BGC114" s="15"/>
      <c r="BGD114" s="15"/>
      <c r="BGE114" s="15"/>
      <c r="BGF114" s="14"/>
      <c r="BGG114" s="15"/>
      <c r="BGH114" s="15"/>
      <c r="BGI114" s="15"/>
      <c r="BGJ114" s="15"/>
      <c r="BGK114" s="15"/>
      <c r="BGL114" s="15"/>
      <c r="BGM114" s="15"/>
      <c r="BGN114" s="15"/>
      <c r="BGO114" s="15"/>
      <c r="BGP114" s="15"/>
      <c r="BGQ114" s="15"/>
      <c r="BGR114" s="15"/>
      <c r="BGS114" s="15"/>
      <c r="BGT114" s="15"/>
      <c r="BGU114" s="15"/>
      <c r="BGV114" s="15"/>
      <c r="BGW114" s="15"/>
      <c r="BGX114" s="15"/>
      <c r="BGY114" s="15"/>
      <c r="BGZ114" s="15"/>
      <c r="BHA114" s="15"/>
      <c r="BHB114" s="14"/>
      <c r="BHC114" s="15"/>
      <c r="BHD114" s="15"/>
      <c r="BHE114" s="15"/>
      <c r="BHF114" s="15"/>
      <c r="BHG114" s="15"/>
      <c r="BHH114" s="15"/>
      <c r="BHI114" s="15"/>
      <c r="BHJ114" s="15"/>
      <c r="BHK114" s="15"/>
      <c r="BHL114" s="15"/>
      <c r="BHM114" s="15"/>
      <c r="BHN114" s="15"/>
      <c r="BHO114" s="15"/>
      <c r="BHP114" s="15"/>
      <c r="BHQ114" s="15"/>
      <c r="BHR114" s="15"/>
      <c r="BHS114" s="15"/>
      <c r="BHT114" s="15"/>
      <c r="BHU114" s="15"/>
      <c r="BHV114" s="15"/>
      <c r="BHW114" s="15"/>
      <c r="BHX114" s="14"/>
      <c r="BHY114" s="15"/>
      <c r="BHZ114" s="15"/>
      <c r="BIA114" s="15"/>
      <c r="BIB114" s="15"/>
      <c r="BIC114" s="15"/>
      <c r="BID114" s="15"/>
      <c r="BIE114" s="15"/>
      <c r="BIF114" s="15"/>
      <c r="BIG114" s="15"/>
      <c r="BIH114" s="15"/>
      <c r="BII114" s="15"/>
      <c r="BIJ114" s="15"/>
      <c r="BIK114" s="15"/>
      <c r="BIL114" s="15"/>
      <c r="BIM114" s="15"/>
      <c r="BIN114" s="15"/>
      <c r="BIO114" s="15"/>
      <c r="BIP114" s="15"/>
      <c r="BIQ114" s="15"/>
      <c r="BIR114" s="15"/>
      <c r="BIS114" s="15"/>
      <c r="BIT114" s="14"/>
      <c r="BIU114" s="15"/>
      <c r="BIV114" s="15"/>
      <c r="BIW114" s="15"/>
      <c r="BIX114" s="15"/>
      <c r="BIY114" s="15"/>
      <c r="BIZ114" s="15"/>
      <c r="BJA114" s="15"/>
      <c r="BJB114" s="15"/>
      <c r="BJC114" s="15"/>
      <c r="BJD114" s="15"/>
      <c r="BJE114" s="15"/>
      <c r="BJF114" s="15"/>
      <c r="BJG114" s="15"/>
      <c r="BJH114" s="15"/>
      <c r="BJI114" s="15"/>
      <c r="BJJ114" s="15"/>
      <c r="BJK114" s="15"/>
      <c r="BJL114" s="15"/>
      <c r="BJM114" s="15"/>
      <c r="BJN114" s="15"/>
      <c r="BJO114" s="15"/>
      <c r="BJP114" s="14"/>
      <c r="BJQ114" s="15"/>
      <c r="BJR114" s="15"/>
      <c r="BJS114" s="15"/>
      <c r="BJT114" s="15"/>
      <c r="BJU114" s="15"/>
      <c r="BJV114" s="15"/>
      <c r="BJW114" s="15"/>
      <c r="BJX114" s="15"/>
      <c r="BJY114" s="15"/>
      <c r="BJZ114" s="15"/>
      <c r="BKA114" s="15"/>
      <c r="BKB114" s="15"/>
      <c r="BKC114" s="15"/>
      <c r="BKD114" s="15"/>
      <c r="BKE114" s="15"/>
      <c r="BKF114" s="15"/>
      <c r="BKG114" s="15"/>
      <c r="BKH114" s="15"/>
      <c r="BKI114" s="15"/>
      <c r="BKJ114" s="15"/>
      <c r="BKK114" s="15"/>
      <c r="BKL114" s="14"/>
      <c r="BKM114" s="15"/>
      <c r="BKN114" s="15"/>
      <c r="BKO114" s="15"/>
      <c r="BKP114" s="15"/>
      <c r="BKQ114" s="15"/>
      <c r="BKR114" s="15"/>
      <c r="BKS114" s="15"/>
      <c r="BKT114" s="15"/>
      <c r="BKU114" s="15"/>
      <c r="BKV114" s="15"/>
      <c r="BKW114" s="15"/>
      <c r="BKX114" s="15"/>
      <c r="BKY114" s="15"/>
      <c r="BKZ114" s="15"/>
      <c r="BLA114" s="15"/>
      <c r="BLB114" s="15"/>
      <c r="BLC114" s="15"/>
      <c r="BLD114" s="15"/>
      <c r="BLE114" s="15"/>
      <c r="BLF114" s="15"/>
      <c r="BLG114" s="15"/>
      <c r="BLH114" s="14"/>
      <c r="BLI114" s="15"/>
      <c r="BLJ114" s="15"/>
      <c r="BLK114" s="15"/>
      <c r="BLL114" s="15"/>
      <c r="BLM114" s="15"/>
      <c r="BLN114" s="15"/>
      <c r="BLO114" s="15"/>
      <c r="BLP114" s="15"/>
      <c r="BLQ114" s="15"/>
      <c r="BLR114" s="15"/>
      <c r="BLS114" s="15"/>
      <c r="BLT114" s="15"/>
      <c r="BLU114" s="15"/>
      <c r="BLV114" s="15"/>
      <c r="BLW114" s="15"/>
      <c r="BLX114" s="15"/>
      <c r="BLY114" s="15"/>
      <c r="BLZ114" s="15"/>
      <c r="BMA114" s="15"/>
      <c r="BMB114" s="15"/>
      <c r="BMC114" s="15"/>
      <c r="BMD114" s="14"/>
      <c r="BME114" s="15"/>
      <c r="BMF114" s="15"/>
      <c r="BMG114" s="15"/>
      <c r="BMH114" s="15"/>
      <c r="BMI114" s="15"/>
      <c r="BMJ114" s="15"/>
      <c r="BMK114" s="15"/>
      <c r="BML114" s="15"/>
      <c r="BMM114" s="15"/>
      <c r="BMN114" s="15"/>
      <c r="BMO114" s="15"/>
      <c r="BMP114" s="15"/>
      <c r="BMQ114" s="15"/>
      <c r="BMR114" s="15"/>
      <c r="BMS114" s="15"/>
      <c r="BMT114" s="15"/>
      <c r="BMU114" s="15"/>
      <c r="BMV114" s="15"/>
      <c r="BMW114" s="15"/>
      <c r="BMX114" s="15"/>
      <c r="BMY114" s="15"/>
      <c r="BMZ114" s="14"/>
      <c r="BNA114" s="15"/>
      <c r="BNB114" s="15"/>
      <c r="BNC114" s="15"/>
      <c r="BND114" s="15"/>
      <c r="BNE114" s="15"/>
      <c r="BNF114" s="15"/>
      <c r="BNG114" s="15"/>
      <c r="BNH114" s="15"/>
      <c r="BNI114" s="15"/>
      <c r="BNJ114" s="15"/>
      <c r="BNK114" s="15"/>
      <c r="BNL114" s="15"/>
      <c r="BNM114" s="15"/>
      <c r="BNN114" s="15"/>
      <c r="BNO114" s="15"/>
      <c r="BNP114" s="15"/>
      <c r="BNQ114" s="15"/>
      <c r="BNR114" s="15"/>
      <c r="BNS114" s="15"/>
      <c r="BNT114" s="15"/>
      <c r="BNU114" s="15"/>
      <c r="BNV114" s="14"/>
      <c r="BNW114" s="15"/>
      <c r="BNX114" s="15"/>
      <c r="BNY114" s="15"/>
      <c r="BNZ114" s="15"/>
      <c r="BOA114" s="15"/>
      <c r="BOB114" s="15"/>
      <c r="BOC114" s="15"/>
      <c r="BOD114" s="15"/>
      <c r="BOE114" s="15"/>
      <c r="BOF114" s="15"/>
      <c r="BOG114" s="15"/>
      <c r="BOH114" s="15"/>
      <c r="BOI114" s="15"/>
      <c r="BOJ114" s="15"/>
      <c r="BOK114" s="15"/>
      <c r="BOL114" s="15"/>
      <c r="BOM114" s="15"/>
      <c r="BON114" s="15"/>
      <c r="BOO114" s="15"/>
      <c r="BOP114" s="15"/>
      <c r="BOQ114" s="15"/>
      <c r="BOR114" s="14"/>
      <c r="BOS114" s="15"/>
      <c r="BOT114" s="15"/>
      <c r="BOU114" s="15"/>
      <c r="BOV114" s="15"/>
      <c r="BOW114" s="15"/>
      <c r="BOX114" s="15"/>
      <c r="BOY114" s="15"/>
      <c r="BOZ114" s="15"/>
      <c r="BPA114" s="15"/>
      <c r="BPB114" s="15"/>
      <c r="BPC114" s="15"/>
      <c r="BPD114" s="15"/>
      <c r="BPE114" s="15"/>
      <c r="BPF114" s="15"/>
      <c r="BPG114" s="15"/>
      <c r="BPH114" s="15"/>
      <c r="BPI114" s="15"/>
      <c r="BPJ114" s="15"/>
      <c r="BPK114" s="15"/>
      <c r="BPL114" s="15"/>
      <c r="BPM114" s="15"/>
      <c r="BPN114" s="14"/>
      <c r="BPO114" s="15"/>
      <c r="BPP114" s="15"/>
      <c r="BPQ114" s="15"/>
      <c r="BPR114" s="15"/>
      <c r="BPS114" s="15"/>
      <c r="BPT114" s="15"/>
      <c r="BPU114" s="15"/>
      <c r="BPV114" s="15"/>
      <c r="BPW114" s="15"/>
      <c r="BPX114" s="15"/>
      <c r="BPY114" s="15"/>
      <c r="BPZ114" s="15"/>
      <c r="BQA114" s="15"/>
      <c r="BQB114" s="15"/>
      <c r="BQC114" s="15"/>
      <c r="BQD114" s="15"/>
      <c r="BQE114" s="15"/>
      <c r="BQF114" s="15"/>
      <c r="BQG114" s="15"/>
      <c r="BQH114" s="15"/>
      <c r="BQI114" s="15"/>
      <c r="BQJ114" s="14"/>
      <c r="BQK114" s="15"/>
      <c r="BQL114" s="15"/>
      <c r="BQM114" s="15"/>
      <c r="BQN114" s="15"/>
      <c r="BQO114" s="15"/>
      <c r="BQP114" s="15"/>
      <c r="BQQ114" s="15"/>
      <c r="BQR114" s="15"/>
      <c r="BQS114" s="15"/>
      <c r="BQT114" s="15"/>
      <c r="BQU114" s="15"/>
      <c r="BQV114" s="15"/>
      <c r="BQW114" s="15"/>
      <c r="BQX114" s="15"/>
      <c r="BQY114" s="15"/>
      <c r="BQZ114" s="15"/>
      <c r="BRA114" s="15"/>
      <c r="BRB114" s="15"/>
      <c r="BRC114" s="15"/>
      <c r="BRD114" s="15"/>
      <c r="BRE114" s="15"/>
      <c r="BRF114" s="14"/>
      <c r="BRG114" s="15"/>
      <c r="BRH114" s="15"/>
      <c r="BRI114" s="15"/>
      <c r="BRJ114" s="15"/>
      <c r="BRK114" s="15"/>
      <c r="BRL114" s="15"/>
      <c r="BRM114" s="15"/>
      <c r="BRN114" s="15"/>
      <c r="BRO114" s="15"/>
      <c r="BRP114" s="15"/>
      <c r="BRQ114" s="15"/>
      <c r="BRR114" s="15"/>
      <c r="BRS114" s="15"/>
      <c r="BRT114" s="15"/>
      <c r="BRU114" s="15"/>
      <c r="BRV114" s="15"/>
      <c r="BRW114" s="15"/>
      <c r="BRX114" s="15"/>
      <c r="BRY114" s="15"/>
      <c r="BRZ114" s="15"/>
      <c r="BSA114" s="15"/>
      <c r="BSB114" s="14"/>
      <c r="BSC114" s="15"/>
      <c r="BSD114" s="15"/>
      <c r="BSE114" s="15"/>
      <c r="BSF114" s="15"/>
      <c r="BSG114" s="15"/>
      <c r="BSH114" s="15"/>
      <c r="BSI114" s="15"/>
      <c r="BSJ114" s="15"/>
      <c r="BSK114" s="15"/>
      <c r="BSL114" s="15"/>
      <c r="BSM114" s="15"/>
      <c r="BSN114" s="15"/>
      <c r="BSO114" s="15"/>
      <c r="BSP114" s="15"/>
      <c r="BSQ114" s="15"/>
      <c r="BSR114" s="15"/>
      <c r="BSS114" s="15"/>
      <c r="BST114" s="15"/>
      <c r="BSU114" s="15"/>
      <c r="BSV114" s="15"/>
      <c r="BSW114" s="15"/>
      <c r="BSX114" s="14"/>
      <c r="BSY114" s="15"/>
      <c r="BSZ114" s="15"/>
      <c r="BTA114" s="15"/>
      <c r="BTB114" s="15"/>
      <c r="BTC114" s="15"/>
      <c r="BTD114" s="15"/>
      <c r="BTE114" s="15"/>
      <c r="BTF114" s="15"/>
      <c r="BTG114" s="15"/>
      <c r="BTH114" s="15"/>
      <c r="BTI114" s="15"/>
      <c r="BTJ114" s="15"/>
      <c r="BTK114" s="15"/>
      <c r="BTL114" s="15"/>
      <c r="BTM114" s="15"/>
      <c r="BTN114" s="15"/>
      <c r="BTO114" s="15"/>
      <c r="BTP114" s="15"/>
      <c r="BTQ114" s="15"/>
      <c r="BTR114" s="15"/>
      <c r="BTS114" s="15"/>
      <c r="BTT114" s="14"/>
      <c r="BTU114" s="15"/>
      <c r="BTV114" s="15"/>
      <c r="BTW114" s="15"/>
      <c r="BTX114" s="15"/>
      <c r="BTY114" s="15"/>
      <c r="BTZ114" s="15"/>
      <c r="BUA114" s="15"/>
      <c r="BUB114" s="15"/>
      <c r="BUC114" s="15"/>
      <c r="BUD114" s="15"/>
      <c r="BUE114" s="15"/>
      <c r="BUF114" s="15"/>
      <c r="BUG114" s="15"/>
      <c r="BUH114" s="15"/>
      <c r="BUI114" s="15"/>
      <c r="BUJ114" s="15"/>
      <c r="BUK114" s="15"/>
      <c r="BUL114" s="15"/>
      <c r="BUM114" s="15"/>
      <c r="BUN114" s="15"/>
      <c r="BUO114" s="15"/>
      <c r="BUP114" s="14"/>
      <c r="BUQ114" s="15"/>
      <c r="BUR114" s="15"/>
      <c r="BUS114" s="15"/>
      <c r="BUT114" s="15"/>
      <c r="BUU114" s="15"/>
      <c r="BUV114" s="15"/>
      <c r="BUW114" s="15"/>
      <c r="BUX114" s="15"/>
      <c r="BUY114" s="15"/>
      <c r="BUZ114" s="15"/>
      <c r="BVA114" s="15"/>
      <c r="BVB114" s="15"/>
      <c r="BVC114" s="15"/>
      <c r="BVD114" s="15"/>
      <c r="BVE114" s="15"/>
      <c r="BVF114" s="15"/>
      <c r="BVG114" s="15"/>
      <c r="BVH114" s="15"/>
      <c r="BVI114" s="15"/>
      <c r="BVJ114" s="15"/>
      <c r="BVK114" s="15"/>
      <c r="BVL114" s="14"/>
      <c r="BVM114" s="15"/>
      <c r="BVN114" s="15"/>
      <c r="BVO114" s="15"/>
      <c r="BVP114" s="15"/>
      <c r="BVQ114" s="15"/>
      <c r="BVR114" s="15"/>
      <c r="BVS114" s="15"/>
      <c r="BVT114" s="15"/>
      <c r="BVU114" s="15"/>
      <c r="BVV114" s="15"/>
      <c r="BVW114" s="15"/>
      <c r="BVX114" s="15"/>
      <c r="BVY114" s="15"/>
      <c r="BVZ114" s="15"/>
      <c r="BWA114" s="15"/>
      <c r="BWB114" s="15"/>
      <c r="BWC114" s="15"/>
      <c r="BWD114" s="15"/>
      <c r="BWE114" s="15"/>
      <c r="BWF114" s="15"/>
      <c r="BWG114" s="15"/>
      <c r="BWH114" s="14"/>
      <c r="BWI114" s="15"/>
      <c r="BWJ114" s="15"/>
      <c r="BWK114" s="15"/>
      <c r="BWL114" s="15"/>
      <c r="BWM114" s="15"/>
      <c r="BWN114" s="15"/>
      <c r="BWO114" s="15"/>
      <c r="BWP114" s="15"/>
      <c r="BWQ114" s="15"/>
      <c r="BWR114" s="15"/>
      <c r="BWS114" s="15"/>
      <c r="BWT114" s="15"/>
      <c r="BWU114" s="15"/>
      <c r="BWV114" s="15"/>
      <c r="BWW114" s="15"/>
      <c r="BWX114" s="15"/>
      <c r="BWY114" s="15"/>
      <c r="BWZ114" s="15"/>
      <c r="BXA114" s="15"/>
      <c r="BXB114" s="15"/>
      <c r="BXC114" s="15"/>
      <c r="BXD114" s="14"/>
      <c r="BXE114" s="15"/>
      <c r="BXF114" s="15"/>
      <c r="BXG114" s="15"/>
      <c r="BXH114" s="15"/>
      <c r="BXI114" s="15"/>
      <c r="BXJ114" s="15"/>
      <c r="BXK114" s="15"/>
      <c r="BXL114" s="15"/>
      <c r="BXM114" s="15"/>
      <c r="BXN114" s="15"/>
      <c r="BXO114" s="15"/>
      <c r="BXP114" s="15"/>
      <c r="BXQ114" s="15"/>
      <c r="BXR114" s="15"/>
      <c r="BXS114" s="15"/>
      <c r="BXT114" s="15"/>
      <c r="BXU114" s="15"/>
      <c r="BXV114" s="15"/>
      <c r="BXW114" s="15"/>
      <c r="BXX114" s="15"/>
      <c r="BXY114" s="15"/>
      <c r="BXZ114" s="14"/>
      <c r="BYA114" s="15"/>
      <c r="BYB114" s="15"/>
      <c r="BYC114" s="15"/>
      <c r="BYD114" s="15"/>
      <c r="BYE114" s="15"/>
      <c r="BYF114" s="15"/>
      <c r="BYG114" s="15"/>
      <c r="BYH114" s="15"/>
      <c r="BYI114" s="15"/>
      <c r="BYJ114" s="15"/>
      <c r="BYK114" s="15"/>
      <c r="BYL114" s="15"/>
      <c r="BYM114" s="15"/>
      <c r="BYN114" s="15"/>
      <c r="BYO114" s="15"/>
      <c r="BYP114" s="15"/>
      <c r="BYQ114" s="15"/>
      <c r="BYR114" s="15"/>
      <c r="BYS114" s="15"/>
      <c r="BYT114" s="15"/>
      <c r="BYU114" s="15"/>
      <c r="BYV114" s="14"/>
      <c r="BYW114" s="15"/>
      <c r="BYX114" s="15"/>
      <c r="BYY114" s="15"/>
      <c r="BYZ114" s="15"/>
      <c r="BZA114" s="15"/>
      <c r="BZB114" s="15"/>
      <c r="BZC114" s="15"/>
      <c r="BZD114" s="15"/>
      <c r="BZE114" s="15"/>
      <c r="BZF114" s="15"/>
      <c r="BZG114" s="15"/>
      <c r="BZH114" s="15"/>
      <c r="BZI114" s="15"/>
      <c r="BZJ114" s="15"/>
      <c r="BZK114" s="15"/>
      <c r="BZL114" s="15"/>
      <c r="BZM114" s="15"/>
      <c r="BZN114" s="15"/>
      <c r="BZO114" s="15"/>
      <c r="BZP114" s="15"/>
      <c r="BZQ114" s="15"/>
      <c r="BZR114" s="14"/>
      <c r="BZS114" s="15"/>
      <c r="BZT114" s="15"/>
      <c r="BZU114" s="15"/>
      <c r="BZV114" s="15"/>
      <c r="BZW114" s="15"/>
      <c r="BZX114" s="15"/>
      <c r="BZY114" s="15"/>
      <c r="BZZ114" s="15"/>
      <c r="CAA114" s="15"/>
      <c r="CAB114" s="15"/>
      <c r="CAC114" s="15"/>
      <c r="CAD114" s="15"/>
      <c r="CAE114" s="15"/>
      <c r="CAF114" s="15"/>
      <c r="CAG114" s="15"/>
      <c r="CAH114" s="15"/>
      <c r="CAI114" s="15"/>
      <c r="CAJ114" s="15"/>
      <c r="CAK114" s="15"/>
      <c r="CAL114" s="15"/>
      <c r="CAM114" s="15"/>
      <c r="CAN114" s="14"/>
      <c r="CAO114" s="15"/>
      <c r="CAP114" s="15"/>
      <c r="CAQ114" s="15"/>
      <c r="CAR114" s="15"/>
      <c r="CAS114" s="15"/>
      <c r="CAT114" s="15"/>
      <c r="CAU114" s="15"/>
      <c r="CAV114" s="15"/>
      <c r="CAW114" s="15"/>
      <c r="CAX114" s="15"/>
      <c r="CAY114" s="15"/>
      <c r="CAZ114" s="15"/>
      <c r="CBA114" s="15"/>
      <c r="CBB114" s="15"/>
      <c r="CBC114" s="15"/>
      <c r="CBD114" s="15"/>
      <c r="CBE114" s="15"/>
      <c r="CBF114" s="15"/>
      <c r="CBG114" s="15"/>
      <c r="CBH114" s="15"/>
      <c r="CBI114" s="15"/>
      <c r="CBJ114" s="14"/>
      <c r="CBK114" s="15"/>
      <c r="CBL114" s="15"/>
      <c r="CBM114" s="15"/>
      <c r="CBN114" s="15"/>
      <c r="CBO114" s="15"/>
      <c r="CBP114" s="15"/>
      <c r="CBQ114" s="15"/>
      <c r="CBR114" s="15"/>
      <c r="CBS114" s="15"/>
      <c r="CBT114" s="15"/>
      <c r="CBU114" s="15"/>
      <c r="CBV114" s="15"/>
      <c r="CBW114" s="15"/>
      <c r="CBX114" s="15"/>
      <c r="CBY114" s="15"/>
      <c r="CBZ114" s="15"/>
      <c r="CCA114" s="15"/>
      <c r="CCB114" s="15"/>
      <c r="CCC114" s="15"/>
      <c r="CCD114" s="15"/>
      <c r="CCE114" s="15"/>
      <c r="CCF114" s="14"/>
      <c r="CCG114" s="15"/>
      <c r="CCH114" s="15"/>
      <c r="CCI114" s="15"/>
      <c r="CCJ114" s="15"/>
      <c r="CCK114" s="15"/>
      <c r="CCL114" s="15"/>
      <c r="CCM114" s="15"/>
      <c r="CCN114" s="15"/>
      <c r="CCO114" s="15"/>
      <c r="CCP114" s="15"/>
      <c r="CCQ114" s="15"/>
      <c r="CCR114" s="15"/>
      <c r="CCS114" s="15"/>
      <c r="CCT114" s="15"/>
      <c r="CCU114" s="15"/>
      <c r="CCV114" s="15"/>
      <c r="CCW114" s="15"/>
      <c r="CCX114" s="15"/>
      <c r="CCY114" s="15"/>
      <c r="CCZ114" s="15"/>
      <c r="CDA114" s="15"/>
      <c r="CDB114" s="14"/>
      <c r="CDC114" s="15"/>
      <c r="CDD114" s="15"/>
      <c r="CDE114" s="15"/>
      <c r="CDF114" s="15"/>
      <c r="CDG114" s="15"/>
      <c r="CDH114" s="15"/>
      <c r="CDI114" s="15"/>
      <c r="CDJ114" s="15"/>
      <c r="CDK114" s="15"/>
      <c r="CDL114" s="15"/>
      <c r="CDM114" s="15"/>
      <c r="CDN114" s="15"/>
      <c r="CDO114" s="15"/>
      <c r="CDP114" s="15"/>
      <c r="CDQ114" s="15"/>
      <c r="CDR114" s="15"/>
      <c r="CDS114" s="15"/>
      <c r="CDT114" s="15"/>
      <c r="CDU114" s="15"/>
      <c r="CDV114" s="15"/>
      <c r="CDW114" s="15"/>
      <c r="CDX114" s="14"/>
      <c r="CDY114" s="15"/>
      <c r="CDZ114" s="15"/>
      <c r="CEA114" s="15"/>
      <c r="CEB114" s="15"/>
      <c r="CEC114" s="15"/>
      <c r="CED114" s="15"/>
      <c r="CEE114" s="15"/>
      <c r="CEF114" s="15"/>
      <c r="CEG114" s="15"/>
      <c r="CEH114" s="15"/>
      <c r="CEI114" s="15"/>
      <c r="CEJ114" s="15"/>
      <c r="CEK114" s="15"/>
      <c r="CEL114" s="15"/>
      <c r="CEM114" s="15"/>
      <c r="CEN114" s="15"/>
      <c r="CEO114" s="15"/>
      <c r="CEP114" s="15"/>
      <c r="CEQ114" s="15"/>
      <c r="CER114" s="15"/>
      <c r="CES114" s="15"/>
      <c r="CET114" s="14"/>
      <c r="CEU114" s="15"/>
      <c r="CEV114" s="15"/>
      <c r="CEW114" s="15"/>
      <c r="CEX114" s="15"/>
      <c r="CEY114" s="15"/>
      <c r="CEZ114" s="15"/>
      <c r="CFA114" s="15"/>
      <c r="CFB114" s="15"/>
      <c r="CFC114" s="15"/>
      <c r="CFD114" s="15"/>
      <c r="CFE114" s="15"/>
      <c r="CFF114" s="15"/>
      <c r="CFG114" s="15"/>
      <c r="CFH114" s="15"/>
      <c r="CFI114" s="15"/>
      <c r="CFJ114" s="15"/>
      <c r="CFK114" s="15"/>
      <c r="CFL114" s="15"/>
      <c r="CFM114" s="15"/>
      <c r="CFN114" s="15"/>
      <c r="CFO114" s="15"/>
      <c r="CFP114" s="14"/>
      <c r="CFQ114" s="15"/>
      <c r="CFR114" s="15"/>
      <c r="CFS114" s="15"/>
      <c r="CFT114" s="15"/>
      <c r="CFU114" s="15"/>
      <c r="CFV114" s="15"/>
      <c r="CFW114" s="15"/>
      <c r="CFX114" s="15"/>
      <c r="CFY114" s="15"/>
      <c r="CFZ114" s="15"/>
      <c r="CGA114" s="15"/>
      <c r="CGB114" s="15"/>
      <c r="CGC114" s="15"/>
      <c r="CGD114" s="15"/>
      <c r="CGE114" s="15"/>
      <c r="CGF114" s="15"/>
      <c r="CGG114" s="15"/>
      <c r="CGH114" s="15"/>
      <c r="CGI114" s="15"/>
      <c r="CGJ114" s="15"/>
      <c r="CGK114" s="15"/>
      <c r="CGL114" s="14"/>
      <c r="CGM114" s="15"/>
      <c r="CGN114" s="15"/>
      <c r="CGO114" s="15"/>
      <c r="CGP114" s="15"/>
      <c r="CGQ114" s="15"/>
      <c r="CGR114" s="15"/>
      <c r="CGS114" s="15"/>
      <c r="CGT114" s="15"/>
      <c r="CGU114" s="15"/>
      <c r="CGV114" s="15"/>
      <c r="CGW114" s="15"/>
      <c r="CGX114" s="15"/>
      <c r="CGY114" s="15"/>
      <c r="CGZ114" s="15"/>
      <c r="CHA114" s="15"/>
      <c r="CHB114" s="15"/>
      <c r="CHC114" s="15"/>
      <c r="CHD114" s="15"/>
      <c r="CHE114" s="15"/>
      <c r="CHF114" s="15"/>
      <c r="CHG114" s="15"/>
      <c r="CHH114" s="14"/>
      <c r="CHI114" s="15"/>
      <c r="CHJ114" s="15"/>
      <c r="CHK114" s="15"/>
      <c r="CHL114" s="15"/>
      <c r="CHM114" s="15"/>
      <c r="CHN114" s="15"/>
      <c r="CHO114" s="15"/>
      <c r="CHP114" s="15"/>
      <c r="CHQ114" s="15"/>
      <c r="CHR114" s="15"/>
      <c r="CHS114" s="15"/>
      <c r="CHT114" s="15"/>
      <c r="CHU114" s="15"/>
      <c r="CHV114" s="15"/>
      <c r="CHW114" s="15"/>
      <c r="CHX114" s="15"/>
      <c r="CHY114" s="15"/>
      <c r="CHZ114" s="15"/>
      <c r="CIA114" s="15"/>
      <c r="CIB114" s="15"/>
      <c r="CIC114" s="15"/>
      <c r="CID114" s="14"/>
      <c r="CIE114" s="15"/>
      <c r="CIF114" s="15"/>
      <c r="CIG114" s="15"/>
      <c r="CIH114" s="15"/>
      <c r="CII114" s="15"/>
      <c r="CIJ114" s="15"/>
      <c r="CIK114" s="15"/>
      <c r="CIL114" s="15"/>
      <c r="CIM114" s="15"/>
      <c r="CIN114" s="15"/>
      <c r="CIO114" s="15"/>
      <c r="CIP114" s="15"/>
      <c r="CIQ114" s="15"/>
      <c r="CIR114" s="15"/>
      <c r="CIS114" s="15"/>
      <c r="CIT114" s="15"/>
      <c r="CIU114" s="15"/>
      <c r="CIV114" s="15"/>
      <c r="CIW114" s="15"/>
      <c r="CIX114" s="15"/>
      <c r="CIY114" s="15"/>
      <c r="CIZ114" s="14"/>
      <c r="CJA114" s="15"/>
      <c r="CJB114" s="15"/>
      <c r="CJC114" s="15"/>
      <c r="CJD114" s="15"/>
      <c r="CJE114" s="15"/>
      <c r="CJF114" s="15"/>
      <c r="CJG114" s="15"/>
      <c r="CJH114" s="15"/>
      <c r="CJI114" s="15"/>
      <c r="CJJ114" s="15"/>
      <c r="CJK114" s="15"/>
      <c r="CJL114" s="15"/>
      <c r="CJM114" s="15"/>
      <c r="CJN114" s="15"/>
      <c r="CJO114" s="15"/>
      <c r="CJP114" s="15"/>
      <c r="CJQ114" s="15"/>
      <c r="CJR114" s="15"/>
      <c r="CJS114" s="15"/>
      <c r="CJT114" s="15"/>
      <c r="CJU114" s="15"/>
      <c r="CJV114" s="14"/>
      <c r="CJW114" s="15"/>
      <c r="CJX114" s="15"/>
      <c r="CJY114" s="15"/>
      <c r="CJZ114" s="15"/>
      <c r="CKA114" s="15"/>
      <c r="CKB114" s="15"/>
      <c r="CKC114" s="15"/>
      <c r="CKD114" s="15"/>
      <c r="CKE114" s="15"/>
      <c r="CKF114" s="15"/>
      <c r="CKG114" s="15"/>
      <c r="CKH114" s="15"/>
      <c r="CKI114" s="15"/>
      <c r="CKJ114" s="15"/>
      <c r="CKK114" s="15"/>
      <c r="CKL114" s="15"/>
      <c r="CKM114" s="15"/>
      <c r="CKN114" s="15"/>
      <c r="CKO114" s="15"/>
      <c r="CKP114" s="15"/>
      <c r="CKQ114" s="15"/>
      <c r="CKR114" s="14"/>
      <c r="CKS114" s="15"/>
      <c r="CKT114" s="15"/>
      <c r="CKU114" s="15"/>
      <c r="CKV114" s="15"/>
      <c r="CKW114" s="15"/>
      <c r="CKX114" s="15"/>
      <c r="CKY114" s="15"/>
      <c r="CKZ114" s="15"/>
      <c r="CLA114" s="15"/>
      <c r="CLB114" s="15"/>
      <c r="CLC114" s="15"/>
      <c r="CLD114" s="15"/>
      <c r="CLE114" s="15"/>
      <c r="CLF114" s="15"/>
      <c r="CLG114" s="15"/>
      <c r="CLH114" s="15"/>
      <c r="CLI114" s="15"/>
      <c r="CLJ114" s="15"/>
      <c r="CLK114" s="15"/>
      <c r="CLL114" s="15"/>
      <c r="CLM114" s="15"/>
      <c r="CLN114" s="14"/>
      <c r="CLO114" s="15"/>
      <c r="CLP114" s="15"/>
      <c r="CLQ114" s="15"/>
      <c r="CLR114" s="15"/>
      <c r="CLS114" s="15"/>
      <c r="CLT114" s="15"/>
      <c r="CLU114" s="15"/>
      <c r="CLV114" s="15"/>
      <c r="CLW114" s="15"/>
      <c r="CLX114" s="15"/>
      <c r="CLY114" s="15"/>
      <c r="CLZ114" s="15"/>
      <c r="CMA114" s="15"/>
      <c r="CMB114" s="15"/>
      <c r="CMC114" s="15"/>
      <c r="CMD114" s="15"/>
      <c r="CME114" s="15"/>
      <c r="CMF114" s="15"/>
      <c r="CMG114" s="15"/>
      <c r="CMH114" s="15"/>
      <c r="CMI114" s="15"/>
      <c r="CMJ114" s="14"/>
      <c r="CMK114" s="15"/>
      <c r="CML114" s="15"/>
      <c r="CMM114" s="15"/>
      <c r="CMN114" s="15"/>
      <c r="CMO114" s="15"/>
      <c r="CMP114" s="15"/>
      <c r="CMQ114" s="15"/>
      <c r="CMR114" s="15"/>
      <c r="CMS114" s="15"/>
      <c r="CMT114" s="15"/>
      <c r="CMU114" s="15"/>
      <c r="CMV114" s="15"/>
      <c r="CMW114" s="15"/>
      <c r="CMX114" s="15"/>
      <c r="CMY114" s="15"/>
      <c r="CMZ114" s="15"/>
      <c r="CNA114" s="15"/>
      <c r="CNB114" s="15"/>
      <c r="CNC114" s="15"/>
      <c r="CND114" s="15"/>
      <c r="CNE114" s="15"/>
      <c r="CNF114" s="14"/>
      <c r="CNG114" s="15"/>
      <c r="CNH114" s="15"/>
      <c r="CNI114" s="15"/>
      <c r="CNJ114" s="15"/>
      <c r="CNK114" s="15"/>
      <c r="CNL114" s="15"/>
      <c r="CNM114" s="15"/>
      <c r="CNN114" s="15"/>
      <c r="CNO114" s="15"/>
      <c r="CNP114" s="15"/>
      <c r="CNQ114" s="15"/>
      <c r="CNR114" s="15"/>
      <c r="CNS114" s="15"/>
      <c r="CNT114" s="15"/>
      <c r="CNU114" s="15"/>
      <c r="CNV114" s="15"/>
      <c r="CNW114" s="15"/>
      <c r="CNX114" s="15"/>
      <c r="CNY114" s="15"/>
      <c r="CNZ114" s="15"/>
      <c r="COA114" s="15"/>
      <c r="COB114" s="14"/>
      <c r="COC114" s="15"/>
      <c r="COD114" s="15"/>
      <c r="COE114" s="15"/>
      <c r="COF114" s="15"/>
      <c r="COG114" s="15"/>
      <c r="COH114" s="15"/>
      <c r="COI114" s="15"/>
      <c r="COJ114" s="15"/>
      <c r="COK114" s="15"/>
      <c r="COL114" s="15"/>
      <c r="COM114" s="15"/>
      <c r="CON114" s="15"/>
      <c r="COO114" s="15"/>
      <c r="COP114" s="15"/>
      <c r="COQ114" s="15"/>
      <c r="COR114" s="15"/>
      <c r="COS114" s="15"/>
      <c r="COT114" s="15"/>
      <c r="COU114" s="15"/>
      <c r="COV114" s="15"/>
      <c r="COW114" s="15"/>
      <c r="COX114" s="14"/>
      <c r="COY114" s="15"/>
      <c r="COZ114" s="15"/>
      <c r="CPA114" s="15"/>
      <c r="CPB114" s="15"/>
      <c r="CPC114" s="15"/>
      <c r="CPD114" s="15"/>
      <c r="CPE114" s="15"/>
      <c r="CPF114" s="15"/>
      <c r="CPG114" s="15"/>
      <c r="CPH114" s="15"/>
      <c r="CPI114" s="15"/>
      <c r="CPJ114" s="15"/>
      <c r="CPK114" s="15"/>
      <c r="CPL114" s="15"/>
      <c r="CPM114" s="15"/>
      <c r="CPN114" s="15"/>
      <c r="CPO114" s="15"/>
      <c r="CPP114" s="15"/>
      <c r="CPQ114" s="15"/>
      <c r="CPR114" s="15"/>
      <c r="CPS114" s="15"/>
      <c r="CPT114" s="14"/>
      <c r="CPU114" s="15"/>
      <c r="CPV114" s="15"/>
      <c r="CPW114" s="15"/>
      <c r="CPX114" s="15"/>
      <c r="CPY114" s="15"/>
      <c r="CPZ114" s="15"/>
      <c r="CQA114" s="15"/>
      <c r="CQB114" s="15"/>
      <c r="CQC114" s="15"/>
      <c r="CQD114" s="15"/>
      <c r="CQE114" s="15"/>
      <c r="CQF114" s="15"/>
      <c r="CQG114" s="15"/>
      <c r="CQH114" s="15"/>
      <c r="CQI114" s="15"/>
      <c r="CQJ114" s="15"/>
      <c r="CQK114" s="15"/>
      <c r="CQL114" s="15"/>
      <c r="CQM114" s="15"/>
      <c r="CQN114" s="15"/>
      <c r="CQO114" s="15"/>
      <c r="CQP114" s="14"/>
      <c r="CQQ114" s="15"/>
      <c r="CQR114" s="15"/>
      <c r="CQS114" s="15"/>
      <c r="CQT114" s="15"/>
      <c r="CQU114" s="15"/>
      <c r="CQV114" s="15"/>
      <c r="CQW114" s="15"/>
      <c r="CQX114" s="15"/>
      <c r="CQY114" s="15"/>
      <c r="CQZ114" s="15"/>
      <c r="CRA114" s="15"/>
      <c r="CRB114" s="15"/>
      <c r="CRC114" s="15"/>
      <c r="CRD114" s="15"/>
      <c r="CRE114" s="15"/>
      <c r="CRF114" s="15"/>
      <c r="CRG114" s="15"/>
      <c r="CRH114" s="15"/>
      <c r="CRI114" s="15"/>
      <c r="CRJ114" s="15"/>
      <c r="CRK114" s="15"/>
      <c r="CRL114" s="14"/>
      <c r="CRM114" s="15"/>
      <c r="CRN114" s="15"/>
      <c r="CRO114" s="15"/>
      <c r="CRP114" s="15"/>
      <c r="CRQ114" s="15"/>
      <c r="CRR114" s="15"/>
      <c r="CRS114" s="15"/>
      <c r="CRT114" s="15"/>
      <c r="CRU114" s="15"/>
      <c r="CRV114" s="15"/>
      <c r="CRW114" s="15"/>
      <c r="CRX114" s="15"/>
      <c r="CRY114" s="15"/>
      <c r="CRZ114" s="15"/>
      <c r="CSA114" s="15"/>
      <c r="CSB114" s="15"/>
      <c r="CSC114" s="15"/>
      <c r="CSD114" s="15"/>
      <c r="CSE114" s="15"/>
      <c r="CSF114" s="15"/>
      <c r="CSG114" s="15"/>
      <c r="CSH114" s="14"/>
      <c r="CSI114" s="15"/>
      <c r="CSJ114" s="15"/>
      <c r="CSK114" s="15"/>
      <c r="CSL114" s="15"/>
      <c r="CSM114" s="15"/>
      <c r="CSN114" s="15"/>
      <c r="CSO114" s="15"/>
      <c r="CSP114" s="15"/>
      <c r="CSQ114" s="15"/>
      <c r="CSR114" s="15"/>
      <c r="CSS114" s="15"/>
      <c r="CST114" s="15"/>
      <c r="CSU114" s="15"/>
      <c r="CSV114" s="15"/>
      <c r="CSW114" s="15"/>
      <c r="CSX114" s="15"/>
      <c r="CSY114" s="15"/>
      <c r="CSZ114" s="15"/>
      <c r="CTA114" s="15"/>
      <c r="CTB114" s="15"/>
      <c r="CTC114" s="15"/>
      <c r="CTD114" s="14"/>
      <c r="CTE114" s="15"/>
      <c r="CTF114" s="15"/>
      <c r="CTG114" s="15"/>
      <c r="CTH114" s="15"/>
      <c r="CTI114" s="15"/>
      <c r="CTJ114" s="15"/>
      <c r="CTK114" s="15"/>
      <c r="CTL114" s="15"/>
      <c r="CTM114" s="15"/>
      <c r="CTN114" s="15"/>
      <c r="CTO114" s="15"/>
      <c r="CTP114" s="15"/>
      <c r="CTQ114" s="15"/>
      <c r="CTR114" s="15"/>
      <c r="CTS114" s="15"/>
      <c r="CTT114" s="15"/>
      <c r="CTU114" s="15"/>
      <c r="CTV114" s="15"/>
      <c r="CTW114" s="15"/>
      <c r="CTX114" s="15"/>
      <c r="CTY114" s="15"/>
      <c r="CTZ114" s="14"/>
      <c r="CUA114" s="15"/>
      <c r="CUB114" s="15"/>
      <c r="CUC114" s="15"/>
      <c r="CUD114" s="15"/>
      <c r="CUE114" s="15"/>
      <c r="CUF114" s="15"/>
      <c r="CUG114" s="15"/>
      <c r="CUH114" s="15"/>
      <c r="CUI114" s="15"/>
      <c r="CUJ114" s="15"/>
      <c r="CUK114" s="15"/>
      <c r="CUL114" s="15"/>
      <c r="CUM114" s="15"/>
      <c r="CUN114" s="15"/>
      <c r="CUO114" s="15"/>
      <c r="CUP114" s="15"/>
      <c r="CUQ114" s="15"/>
      <c r="CUR114" s="15"/>
      <c r="CUS114" s="15"/>
      <c r="CUT114" s="15"/>
      <c r="CUU114" s="15"/>
      <c r="CUV114" s="14"/>
      <c r="CUW114" s="15"/>
      <c r="CUX114" s="15"/>
      <c r="CUY114" s="15"/>
      <c r="CUZ114" s="15"/>
      <c r="CVA114" s="15"/>
      <c r="CVB114" s="15"/>
      <c r="CVC114" s="15"/>
      <c r="CVD114" s="15"/>
      <c r="CVE114" s="15"/>
      <c r="CVF114" s="15"/>
      <c r="CVG114" s="15"/>
      <c r="CVH114" s="15"/>
      <c r="CVI114" s="15"/>
      <c r="CVJ114" s="15"/>
      <c r="CVK114" s="15"/>
      <c r="CVL114" s="15"/>
      <c r="CVM114" s="15"/>
      <c r="CVN114" s="15"/>
      <c r="CVO114" s="15"/>
      <c r="CVP114" s="15"/>
      <c r="CVQ114" s="15"/>
      <c r="CVR114" s="14"/>
      <c r="CVS114" s="15"/>
      <c r="CVT114" s="15"/>
      <c r="CVU114" s="15"/>
      <c r="CVV114" s="15"/>
      <c r="CVW114" s="15"/>
      <c r="CVX114" s="15"/>
      <c r="CVY114" s="15"/>
      <c r="CVZ114" s="15"/>
      <c r="CWA114" s="15"/>
      <c r="CWB114" s="15"/>
      <c r="CWC114" s="15"/>
      <c r="CWD114" s="15"/>
      <c r="CWE114" s="15"/>
      <c r="CWF114" s="15"/>
      <c r="CWG114" s="15"/>
      <c r="CWH114" s="15"/>
      <c r="CWI114" s="15"/>
      <c r="CWJ114" s="15"/>
      <c r="CWK114" s="15"/>
      <c r="CWL114" s="15"/>
      <c r="CWM114" s="15"/>
      <c r="CWN114" s="14"/>
      <c r="CWO114" s="15"/>
      <c r="CWP114" s="15"/>
      <c r="CWQ114" s="15"/>
      <c r="CWR114" s="15"/>
      <c r="CWS114" s="15"/>
      <c r="CWT114" s="15"/>
      <c r="CWU114" s="15"/>
      <c r="CWV114" s="15"/>
      <c r="CWW114" s="15"/>
      <c r="CWX114" s="15"/>
      <c r="CWY114" s="15"/>
      <c r="CWZ114" s="15"/>
      <c r="CXA114" s="15"/>
      <c r="CXB114" s="15"/>
      <c r="CXC114" s="15"/>
      <c r="CXD114" s="15"/>
      <c r="CXE114" s="15"/>
      <c r="CXF114" s="15"/>
      <c r="CXG114" s="15"/>
      <c r="CXH114" s="15"/>
      <c r="CXI114" s="15"/>
      <c r="CXJ114" s="14"/>
      <c r="CXK114" s="15"/>
      <c r="CXL114" s="15"/>
      <c r="CXM114" s="15"/>
      <c r="CXN114" s="15"/>
      <c r="CXO114" s="15"/>
      <c r="CXP114" s="15"/>
      <c r="CXQ114" s="15"/>
      <c r="CXR114" s="15"/>
      <c r="CXS114" s="15"/>
      <c r="CXT114" s="15"/>
      <c r="CXU114" s="15"/>
      <c r="CXV114" s="15"/>
      <c r="CXW114" s="15"/>
      <c r="CXX114" s="15"/>
      <c r="CXY114" s="15"/>
      <c r="CXZ114" s="15"/>
      <c r="CYA114" s="15"/>
      <c r="CYB114" s="15"/>
      <c r="CYC114" s="15"/>
      <c r="CYD114" s="15"/>
      <c r="CYE114" s="15"/>
      <c r="CYF114" s="14"/>
      <c r="CYG114" s="15"/>
      <c r="CYH114" s="15"/>
      <c r="CYI114" s="15"/>
      <c r="CYJ114" s="15"/>
      <c r="CYK114" s="15"/>
      <c r="CYL114" s="15"/>
      <c r="CYM114" s="15"/>
      <c r="CYN114" s="15"/>
      <c r="CYO114" s="15"/>
      <c r="CYP114" s="15"/>
      <c r="CYQ114" s="15"/>
      <c r="CYR114" s="15"/>
      <c r="CYS114" s="15"/>
      <c r="CYT114" s="15"/>
      <c r="CYU114" s="15"/>
      <c r="CYV114" s="15"/>
      <c r="CYW114" s="15"/>
      <c r="CYX114" s="15"/>
      <c r="CYY114" s="15"/>
      <c r="CYZ114" s="15"/>
      <c r="CZA114" s="15"/>
      <c r="CZB114" s="14"/>
      <c r="CZC114" s="15"/>
      <c r="CZD114" s="15"/>
      <c r="CZE114" s="15"/>
      <c r="CZF114" s="15"/>
      <c r="CZG114" s="15"/>
      <c r="CZH114" s="15"/>
      <c r="CZI114" s="15"/>
      <c r="CZJ114" s="15"/>
      <c r="CZK114" s="15"/>
      <c r="CZL114" s="15"/>
      <c r="CZM114" s="15"/>
      <c r="CZN114" s="15"/>
      <c r="CZO114" s="15"/>
      <c r="CZP114" s="15"/>
      <c r="CZQ114" s="15"/>
      <c r="CZR114" s="15"/>
      <c r="CZS114" s="15"/>
      <c r="CZT114" s="15"/>
      <c r="CZU114" s="15"/>
      <c r="CZV114" s="15"/>
      <c r="CZW114" s="15"/>
      <c r="CZX114" s="14"/>
      <c r="CZY114" s="15"/>
      <c r="CZZ114" s="15"/>
      <c r="DAA114" s="15"/>
      <c r="DAB114" s="15"/>
      <c r="DAC114" s="15"/>
      <c r="DAD114" s="15"/>
      <c r="DAE114" s="15"/>
      <c r="DAF114" s="15"/>
      <c r="DAG114" s="15"/>
      <c r="DAH114" s="15"/>
      <c r="DAI114" s="15"/>
      <c r="DAJ114" s="15"/>
      <c r="DAK114" s="15"/>
      <c r="DAL114" s="15"/>
      <c r="DAM114" s="15"/>
      <c r="DAN114" s="15"/>
      <c r="DAO114" s="15"/>
      <c r="DAP114" s="15"/>
      <c r="DAQ114" s="15"/>
      <c r="DAR114" s="15"/>
      <c r="DAS114" s="15"/>
      <c r="DAT114" s="14"/>
      <c r="DAU114" s="15"/>
      <c r="DAV114" s="15"/>
      <c r="DAW114" s="15"/>
      <c r="DAX114" s="15"/>
      <c r="DAY114" s="15"/>
      <c r="DAZ114" s="15"/>
      <c r="DBA114" s="15"/>
      <c r="DBB114" s="15"/>
      <c r="DBC114" s="15"/>
      <c r="DBD114" s="15"/>
      <c r="DBE114" s="15"/>
      <c r="DBF114" s="15"/>
      <c r="DBG114" s="15"/>
      <c r="DBH114" s="15"/>
      <c r="DBI114" s="15"/>
      <c r="DBJ114" s="15"/>
      <c r="DBK114" s="15"/>
      <c r="DBL114" s="15"/>
      <c r="DBM114" s="15"/>
      <c r="DBN114" s="15"/>
      <c r="DBO114" s="15"/>
      <c r="DBP114" s="14"/>
      <c r="DBQ114" s="15"/>
      <c r="DBR114" s="15"/>
      <c r="DBS114" s="15"/>
      <c r="DBT114" s="15"/>
      <c r="DBU114" s="15"/>
      <c r="DBV114" s="15"/>
      <c r="DBW114" s="15"/>
      <c r="DBX114" s="15"/>
      <c r="DBY114" s="15"/>
      <c r="DBZ114" s="15"/>
      <c r="DCA114" s="15"/>
      <c r="DCB114" s="15"/>
      <c r="DCC114" s="15"/>
      <c r="DCD114" s="15"/>
      <c r="DCE114" s="15"/>
      <c r="DCF114" s="15"/>
      <c r="DCG114" s="15"/>
      <c r="DCH114" s="15"/>
      <c r="DCI114" s="15"/>
      <c r="DCJ114" s="15"/>
      <c r="DCK114" s="15"/>
      <c r="DCL114" s="14"/>
      <c r="DCM114" s="15"/>
      <c r="DCN114" s="15"/>
      <c r="DCO114" s="15"/>
      <c r="DCP114" s="15"/>
      <c r="DCQ114" s="15"/>
      <c r="DCR114" s="15"/>
      <c r="DCS114" s="15"/>
      <c r="DCT114" s="15"/>
      <c r="DCU114" s="15"/>
      <c r="DCV114" s="15"/>
      <c r="DCW114" s="15"/>
      <c r="DCX114" s="15"/>
      <c r="DCY114" s="15"/>
      <c r="DCZ114" s="15"/>
      <c r="DDA114" s="15"/>
      <c r="DDB114" s="15"/>
      <c r="DDC114" s="15"/>
      <c r="DDD114" s="15"/>
      <c r="DDE114" s="15"/>
      <c r="DDF114" s="15"/>
      <c r="DDG114" s="15"/>
      <c r="DDH114" s="14"/>
      <c r="DDI114" s="15"/>
      <c r="DDJ114" s="15"/>
      <c r="DDK114" s="15"/>
      <c r="DDL114" s="15"/>
      <c r="DDM114" s="15"/>
      <c r="DDN114" s="15"/>
      <c r="DDO114" s="15"/>
      <c r="DDP114" s="15"/>
      <c r="DDQ114" s="15"/>
      <c r="DDR114" s="15"/>
      <c r="DDS114" s="15"/>
      <c r="DDT114" s="15"/>
      <c r="DDU114" s="15"/>
      <c r="DDV114" s="15"/>
      <c r="DDW114" s="15"/>
      <c r="DDX114" s="15"/>
      <c r="DDY114" s="15"/>
      <c r="DDZ114" s="15"/>
      <c r="DEA114" s="15"/>
      <c r="DEB114" s="15"/>
      <c r="DEC114" s="15"/>
      <c r="DED114" s="14"/>
      <c r="DEE114" s="15"/>
      <c r="DEF114" s="15"/>
      <c r="DEG114" s="15"/>
      <c r="DEH114" s="15"/>
      <c r="DEI114" s="15"/>
      <c r="DEJ114" s="15"/>
      <c r="DEK114" s="15"/>
      <c r="DEL114" s="15"/>
      <c r="DEM114" s="15"/>
      <c r="DEN114" s="15"/>
      <c r="DEO114" s="15"/>
      <c r="DEP114" s="15"/>
      <c r="DEQ114" s="15"/>
      <c r="DER114" s="15"/>
      <c r="DES114" s="15"/>
      <c r="DET114" s="15"/>
      <c r="DEU114" s="15"/>
      <c r="DEV114" s="15"/>
      <c r="DEW114" s="15"/>
      <c r="DEX114" s="15"/>
      <c r="DEY114" s="15"/>
      <c r="DEZ114" s="14"/>
      <c r="DFA114" s="15"/>
      <c r="DFB114" s="15"/>
      <c r="DFC114" s="15"/>
      <c r="DFD114" s="15"/>
      <c r="DFE114" s="15"/>
      <c r="DFF114" s="15"/>
      <c r="DFG114" s="15"/>
      <c r="DFH114" s="15"/>
      <c r="DFI114" s="15"/>
      <c r="DFJ114" s="15"/>
      <c r="DFK114" s="15"/>
      <c r="DFL114" s="15"/>
      <c r="DFM114" s="15"/>
      <c r="DFN114" s="15"/>
      <c r="DFO114" s="15"/>
      <c r="DFP114" s="15"/>
      <c r="DFQ114" s="15"/>
      <c r="DFR114" s="15"/>
      <c r="DFS114" s="15"/>
      <c r="DFT114" s="15"/>
      <c r="DFU114" s="15"/>
      <c r="DFV114" s="14"/>
      <c r="DFW114" s="15"/>
      <c r="DFX114" s="15"/>
      <c r="DFY114" s="15"/>
      <c r="DFZ114" s="15"/>
      <c r="DGA114" s="15"/>
      <c r="DGB114" s="15"/>
      <c r="DGC114" s="15"/>
      <c r="DGD114" s="15"/>
      <c r="DGE114" s="15"/>
      <c r="DGF114" s="15"/>
      <c r="DGG114" s="15"/>
      <c r="DGH114" s="15"/>
      <c r="DGI114" s="15"/>
      <c r="DGJ114" s="15"/>
      <c r="DGK114" s="15"/>
      <c r="DGL114" s="15"/>
      <c r="DGM114" s="15"/>
      <c r="DGN114" s="15"/>
      <c r="DGO114" s="15"/>
      <c r="DGP114" s="15"/>
      <c r="DGQ114" s="15"/>
      <c r="DGR114" s="14"/>
      <c r="DGS114" s="15"/>
      <c r="DGT114" s="15"/>
      <c r="DGU114" s="15"/>
      <c r="DGV114" s="15"/>
      <c r="DGW114" s="15"/>
      <c r="DGX114" s="15"/>
      <c r="DGY114" s="15"/>
      <c r="DGZ114" s="15"/>
      <c r="DHA114" s="15"/>
      <c r="DHB114" s="15"/>
      <c r="DHC114" s="15"/>
      <c r="DHD114" s="15"/>
      <c r="DHE114" s="15"/>
      <c r="DHF114" s="15"/>
      <c r="DHG114" s="15"/>
      <c r="DHH114" s="15"/>
      <c r="DHI114" s="15"/>
      <c r="DHJ114" s="15"/>
      <c r="DHK114" s="15"/>
      <c r="DHL114" s="15"/>
      <c r="DHM114" s="15"/>
      <c r="DHN114" s="14"/>
      <c r="DHO114" s="15"/>
      <c r="DHP114" s="15"/>
      <c r="DHQ114" s="15"/>
      <c r="DHR114" s="15"/>
      <c r="DHS114" s="15"/>
      <c r="DHT114" s="15"/>
      <c r="DHU114" s="15"/>
      <c r="DHV114" s="15"/>
      <c r="DHW114" s="15"/>
      <c r="DHX114" s="15"/>
      <c r="DHY114" s="15"/>
      <c r="DHZ114" s="15"/>
      <c r="DIA114" s="15"/>
      <c r="DIB114" s="15"/>
      <c r="DIC114" s="15"/>
      <c r="DID114" s="15"/>
      <c r="DIE114" s="15"/>
      <c r="DIF114" s="15"/>
      <c r="DIG114" s="15"/>
      <c r="DIH114" s="15"/>
      <c r="DII114" s="15"/>
      <c r="DIJ114" s="14"/>
      <c r="DIK114" s="15"/>
      <c r="DIL114" s="15"/>
      <c r="DIM114" s="15"/>
      <c r="DIN114" s="15"/>
      <c r="DIO114" s="15"/>
      <c r="DIP114" s="15"/>
      <c r="DIQ114" s="15"/>
      <c r="DIR114" s="15"/>
      <c r="DIS114" s="15"/>
      <c r="DIT114" s="15"/>
      <c r="DIU114" s="15"/>
      <c r="DIV114" s="15"/>
      <c r="DIW114" s="15"/>
      <c r="DIX114" s="15"/>
      <c r="DIY114" s="15"/>
      <c r="DIZ114" s="15"/>
      <c r="DJA114" s="15"/>
      <c r="DJB114" s="15"/>
      <c r="DJC114" s="15"/>
      <c r="DJD114" s="15"/>
      <c r="DJE114" s="15"/>
      <c r="DJF114" s="14"/>
      <c r="DJG114" s="15"/>
      <c r="DJH114" s="15"/>
      <c r="DJI114" s="15"/>
      <c r="DJJ114" s="15"/>
      <c r="DJK114" s="15"/>
      <c r="DJL114" s="15"/>
      <c r="DJM114" s="15"/>
      <c r="DJN114" s="15"/>
      <c r="DJO114" s="15"/>
      <c r="DJP114" s="15"/>
      <c r="DJQ114" s="15"/>
      <c r="DJR114" s="15"/>
      <c r="DJS114" s="15"/>
      <c r="DJT114" s="15"/>
      <c r="DJU114" s="15"/>
      <c r="DJV114" s="15"/>
      <c r="DJW114" s="15"/>
      <c r="DJX114" s="15"/>
      <c r="DJY114" s="15"/>
      <c r="DJZ114" s="15"/>
      <c r="DKA114" s="15"/>
      <c r="DKB114" s="14"/>
      <c r="DKC114" s="15"/>
      <c r="DKD114" s="15"/>
      <c r="DKE114" s="15"/>
      <c r="DKF114" s="15"/>
      <c r="DKG114" s="15"/>
      <c r="DKH114" s="15"/>
      <c r="DKI114" s="15"/>
      <c r="DKJ114" s="15"/>
      <c r="DKK114" s="15"/>
      <c r="DKL114" s="15"/>
      <c r="DKM114" s="15"/>
      <c r="DKN114" s="15"/>
      <c r="DKO114" s="15"/>
      <c r="DKP114" s="15"/>
      <c r="DKQ114" s="15"/>
      <c r="DKR114" s="15"/>
      <c r="DKS114" s="15"/>
      <c r="DKT114" s="15"/>
      <c r="DKU114" s="15"/>
      <c r="DKV114" s="15"/>
      <c r="DKW114" s="15"/>
      <c r="DKX114" s="14"/>
      <c r="DKY114" s="15"/>
      <c r="DKZ114" s="15"/>
      <c r="DLA114" s="15"/>
      <c r="DLB114" s="15"/>
      <c r="DLC114" s="15"/>
      <c r="DLD114" s="15"/>
      <c r="DLE114" s="15"/>
      <c r="DLF114" s="15"/>
      <c r="DLG114" s="15"/>
      <c r="DLH114" s="15"/>
      <c r="DLI114" s="15"/>
      <c r="DLJ114" s="15"/>
      <c r="DLK114" s="15"/>
      <c r="DLL114" s="15"/>
      <c r="DLM114" s="15"/>
      <c r="DLN114" s="15"/>
      <c r="DLO114" s="15"/>
      <c r="DLP114" s="15"/>
      <c r="DLQ114" s="15"/>
      <c r="DLR114" s="15"/>
      <c r="DLS114" s="15"/>
      <c r="DLT114" s="14"/>
      <c r="DLU114" s="15"/>
      <c r="DLV114" s="15"/>
      <c r="DLW114" s="15"/>
      <c r="DLX114" s="15"/>
      <c r="DLY114" s="15"/>
      <c r="DLZ114" s="15"/>
      <c r="DMA114" s="15"/>
      <c r="DMB114" s="15"/>
      <c r="DMC114" s="15"/>
      <c r="DMD114" s="15"/>
      <c r="DME114" s="15"/>
      <c r="DMF114" s="15"/>
      <c r="DMG114" s="15"/>
      <c r="DMH114" s="15"/>
      <c r="DMI114" s="15"/>
      <c r="DMJ114" s="15"/>
      <c r="DMK114" s="15"/>
      <c r="DML114" s="15"/>
      <c r="DMM114" s="15"/>
      <c r="DMN114" s="15"/>
      <c r="DMO114" s="15"/>
      <c r="DMP114" s="14"/>
      <c r="DMQ114" s="15"/>
      <c r="DMR114" s="15"/>
      <c r="DMS114" s="15"/>
      <c r="DMT114" s="15"/>
      <c r="DMU114" s="15"/>
      <c r="DMV114" s="15"/>
      <c r="DMW114" s="15"/>
      <c r="DMX114" s="15"/>
      <c r="DMY114" s="15"/>
      <c r="DMZ114" s="15"/>
      <c r="DNA114" s="15"/>
      <c r="DNB114" s="15"/>
      <c r="DNC114" s="15"/>
      <c r="DND114" s="15"/>
      <c r="DNE114" s="15"/>
      <c r="DNF114" s="15"/>
      <c r="DNG114" s="15"/>
      <c r="DNH114" s="15"/>
      <c r="DNI114" s="15"/>
      <c r="DNJ114" s="15"/>
      <c r="DNK114" s="15"/>
      <c r="DNL114" s="14"/>
      <c r="DNM114" s="15"/>
      <c r="DNN114" s="15"/>
      <c r="DNO114" s="15"/>
      <c r="DNP114" s="15"/>
      <c r="DNQ114" s="15"/>
      <c r="DNR114" s="15"/>
      <c r="DNS114" s="15"/>
      <c r="DNT114" s="15"/>
      <c r="DNU114" s="15"/>
      <c r="DNV114" s="15"/>
      <c r="DNW114" s="15"/>
      <c r="DNX114" s="15"/>
      <c r="DNY114" s="15"/>
      <c r="DNZ114" s="15"/>
      <c r="DOA114" s="15"/>
      <c r="DOB114" s="15"/>
      <c r="DOC114" s="15"/>
      <c r="DOD114" s="15"/>
      <c r="DOE114" s="15"/>
      <c r="DOF114" s="15"/>
      <c r="DOG114" s="15"/>
      <c r="DOH114" s="14"/>
      <c r="DOI114" s="15"/>
      <c r="DOJ114" s="15"/>
      <c r="DOK114" s="15"/>
      <c r="DOL114" s="15"/>
      <c r="DOM114" s="15"/>
      <c r="DON114" s="15"/>
      <c r="DOO114" s="15"/>
      <c r="DOP114" s="15"/>
      <c r="DOQ114" s="15"/>
      <c r="DOR114" s="15"/>
      <c r="DOS114" s="15"/>
      <c r="DOT114" s="15"/>
      <c r="DOU114" s="15"/>
      <c r="DOV114" s="15"/>
      <c r="DOW114" s="15"/>
      <c r="DOX114" s="15"/>
      <c r="DOY114" s="15"/>
      <c r="DOZ114" s="15"/>
      <c r="DPA114" s="15"/>
      <c r="DPB114" s="15"/>
      <c r="DPC114" s="15"/>
      <c r="DPD114" s="14"/>
      <c r="DPE114" s="15"/>
      <c r="DPF114" s="15"/>
      <c r="DPG114" s="15"/>
      <c r="DPH114" s="15"/>
      <c r="DPI114" s="15"/>
      <c r="DPJ114" s="15"/>
      <c r="DPK114" s="15"/>
      <c r="DPL114" s="15"/>
      <c r="DPM114" s="15"/>
      <c r="DPN114" s="15"/>
      <c r="DPO114" s="15"/>
      <c r="DPP114" s="15"/>
      <c r="DPQ114" s="15"/>
      <c r="DPR114" s="15"/>
      <c r="DPS114" s="15"/>
      <c r="DPT114" s="15"/>
      <c r="DPU114" s="15"/>
      <c r="DPV114" s="15"/>
      <c r="DPW114" s="15"/>
      <c r="DPX114" s="15"/>
      <c r="DPY114" s="15"/>
      <c r="DPZ114" s="14"/>
      <c r="DQA114" s="15"/>
      <c r="DQB114" s="15"/>
      <c r="DQC114" s="15"/>
      <c r="DQD114" s="15"/>
      <c r="DQE114" s="15"/>
      <c r="DQF114" s="15"/>
      <c r="DQG114" s="15"/>
      <c r="DQH114" s="15"/>
      <c r="DQI114" s="15"/>
      <c r="DQJ114" s="15"/>
      <c r="DQK114" s="15"/>
      <c r="DQL114" s="15"/>
      <c r="DQM114" s="15"/>
      <c r="DQN114" s="15"/>
      <c r="DQO114" s="15"/>
      <c r="DQP114" s="15"/>
      <c r="DQQ114" s="15"/>
      <c r="DQR114" s="15"/>
      <c r="DQS114" s="15"/>
      <c r="DQT114" s="15"/>
      <c r="DQU114" s="15"/>
      <c r="DQV114" s="14"/>
      <c r="DQW114" s="15"/>
      <c r="DQX114" s="15"/>
      <c r="DQY114" s="15"/>
      <c r="DQZ114" s="15"/>
      <c r="DRA114" s="15"/>
      <c r="DRB114" s="15"/>
      <c r="DRC114" s="15"/>
      <c r="DRD114" s="15"/>
      <c r="DRE114" s="15"/>
      <c r="DRF114" s="15"/>
      <c r="DRG114" s="15"/>
      <c r="DRH114" s="15"/>
      <c r="DRI114" s="15"/>
      <c r="DRJ114" s="15"/>
      <c r="DRK114" s="15"/>
      <c r="DRL114" s="15"/>
      <c r="DRM114" s="15"/>
      <c r="DRN114" s="15"/>
      <c r="DRO114" s="15"/>
      <c r="DRP114" s="15"/>
      <c r="DRQ114" s="15"/>
      <c r="DRR114" s="14"/>
      <c r="DRS114" s="15"/>
      <c r="DRT114" s="15"/>
      <c r="DRU114" s="15"/>
      <c r="DRV114" s="15"/>
      <c r="DRW114" s="15"/>
      <c r="DRX114" s="15"/>
      <c r="DRY114" s="15"/>
      <c r="DRZ114" s="15"/>
      <c r="DSA114" s="15"/>
      <c r="DSB114" s="15"/>
      <c r="DSC114" s="15"/>
      <c r="DSD114" s="15"/>
      <c r="DSE114" s="15"/>
      <c r="DSF114" s="15"/>
      <c r="DSG114" s="15"/>
      <c r="DSH114" s="15"/>
      <c r="DSI114" s="15"/>
      <c r="DSJ114" s="15"/>
      <c r="DSK114" s="15"/>
      <c r="DSL114" s="15"/>
      <c r="DSM114" s="15"/>
      <c r="DSN114" s="14"/>
      <c r="DSO114" s="15"/>
      <c r="DSP114" s="15"/>
      <c r="DSQ114" s="15"/>
      <c r="DSR114" s="15"/>
      <c r="DSS114" s="15"/>
      <c r="DST114" s="15"/>
      <c r="DSU114" s="15"/>
      <c r="DSV114" s="15"/>
      <c r="DSW114" s="15"/>
      <c r="DSX114" s="15"/>
      <c r="DSY114" s="15"/>
      <c r="DSZ114" s="15"/>
      <c r="DTA114" s="15"/>
      <c r="DTB114" s="15"/>
      <c r="DTC114" s="15"/>
      <c r="DTD114" s="15"/>
      <c r="DTE114" s="15"/>
      <c r="DTF114" s="15"/>
      <c r="DTG114" s="15"/>
      <c r="DTH114" s="15"/>
      <c r="DTI114" s="15"/>
      <c r="DTJ114" s="14"/>
      <c r="DTK114" s="15"/>
      <c r="DTL114" s="15"/>
      <c r="DTM114" s="15"/>
      <c r="DTN114" s="15"/>
      <c r="DTO114" s="15"/>
      <c r="DTP114" s="15"/>
      <c r="DTQ114" s="15"/>
      <c r="DTR114" s="15"/>
      <c r="DTS114" s="15"/>
      <c r="DTT114" s="15"/>
      <c r="DTU114" s="15"/>
      <c r="DTV114" s="15"/>
      <c r="DTW114" s="15"/>
      <c r="DTX114" s="15"/>
      <c r="DTY114" s="15"/>
      <c r="DTZ114" s="15"/>
      <c r="DUA114" s="15"/>
      <c r="DUB114" s="15"/>
      <c r="DUC114" s="15"/>
      <c r="DUD114" s="15"/>
      <c r="DUE114" s="15"/>
      <c r="DUF114" s="14"/>
      <c r="DUG114" s="15"/>
      <c r="DUH114" s="15"/>
      <c r="DUI114" s="15"/>
      <c r="DUJ114" s="15"/>
      <c r="DUK114" s="15"/>
      <c r="DUL114" s="15"/>
      <c r="DUM114" s="15"/>
      <c r="DUN114" s="15"/>
      <c r="DUO114" s="15"/>
      <c r="DUP114" s="15"/>
      <c r="DUQ114" s="15"/>
      <c r="DUR114" s="15"/>
      <c r="DUS114" s="15"/>
      <c r="DUT114" s="15"/>
      <c r="DUU114" s="15"/>
      <c r="DUV114" s="15"/>
      <c r="DUW114" s="15"/>
      <c r="DUX114" s="15"/>
      <c r="DUY114" s="15"/>
      <c r="DUZ114" s="15"/>
      <c r="DVA114" s="15"/>
      <c r="DVB114" s="14"/>
      <c r="DVC114" s="15"/>
      <c r="DVD114" s="15"/>
      <c r="DVE114" s="15"/>
      <c r="DVF114" s="15"/>
      <c r="DVG114" s="15"/>
      <c r="DVH114" s="15"/>
      <c r="DVI114" s="15"/>
      <c r="DVJ114" s="15"/>
      <c r="DVK114" s="15"/>
      <c r="DVL114" s="15"/>
      <c r="DVM114" s="15"/>
      <c r="DVN114" s="15"/>
      <c r="DVO114" s="15"/>
      <c r="DVP114" s="15"/>
      <c r="DVQ114" s="15"/>
      <c r="DVR114" s="15"/>
      <c r="DVS114" s="15"/>
      <c r="DVT114" s="15"/>
      <c r="DVU114" s="15"/>
      <c r="DVV114" s="15"/>
      <c r="DVW114" s="15"/>
      <c r="DVX114" s="14"/>
      <c r="DVY114" s="15"/>
      <c r="DVZ114" s="15"/>
      <c r="DWA114" s="15"/>
      <c r="DWB114" s="15"/>
      <c r="DWC114" s="15"/>
      <c r="DWD114" s="15"/>
      <c r="DWE114" s="15"/>
      <c r="DWF114" s="15"/>
      <c r="DWG114" s="15"/>
      <c r="DWH114" s="15"/>
      <c r="DWI114" s="15"/>
      <c r="DWJ114" s="15"/>
      <c r="DWK114" s="15"/>
      <c r="DWL114" s="15"/>
      <c r="DWM114" s="15"/>
      <c r="DWN114" s="15"/>
      <c r="DWO114" s="15"/>
      <c r="DWP114" s="15"/>
      <c r="DWQ114" s="15"/>
      <c r="DWR114" s="15"/>
      <c r="DWS114" s="15"/>
      <c r="DWT114" s="14"/>
      <c r="DWU114" s="15"/>
      <c r="DWV114" s="15"/>
      <c r="DWW114" s="15"/>
      <c r="DWX114" s="15"/>
      <c r="DWY114" s="15"/>
      <c r="DWZ114" s="15"/>
      <c r="DXA114" s="15"/>
      <c r="DXB114" s="15"/>
      <c r="DXC114" s="15"/>
      <c r="DXD114" s="15"/>
      <c r="DXE114" s="15"/>
      <c r="DXF114" s="15"/>
      <c r="DXG114" s="15"/>
      <c r="DXH114" s="15"/>
      <c r="DXI114" s="15"/>
      <c r="DXJ114" s="15"/>
      <c r="DXK114" s="15"/>
      <c r="DXL114" s="15"/>
      <c r="DXM114" s="15"/>
      <c r="DXN114" s="15"/>
      <c r="DXO114" s="15"/>
      <c r="DXP114" s="14"/>
      <c r="DXQ114" s="15"/>
      <c r="DXR114" s="15"/>
      <c r="DXS114" s="15"/>
      <c r="DXT114" s="15"/>
      <c r="DXU114" s="15"/>
      <c r="DXV114" s="15"/>
      <c r="DXW114" s="15"/>
      <c r="DXX114" s="15"/>
      <c r="DXY114" s="15"/>
      <c r="DXZ114" s="15"/>
      <c r="DYA114" s="15"/>
      <c r="DYB114" s="15"/>
      <c r="DYC114" s="15"/>
      <c r="DYD114" s="15"/>
      <c r="DYE114" s="15"/>
      <c r="DYF114" s="15"/>
      <c r="DYG114" s="15"/>
      <c r="DYH114" s="15"/>
      <c r="DYI114" s="15"/>
      <c r="DYJ114" s="15"/>
      <c r="DYK114" s="15"/>
      <c r="DYL114" s="14"/>
      <c r="DYM114" s="15"/>
      <c r="DYN114" s="15"/>
      <c r="DYO114" s="15"/>
      <c r="DYP114" s="15"/>
      <c r="DYQ114" s="15"/>
      <c r="DYR114" s="15"/>
      <c r="DYS114" s="15"/>
      <c r="DYT114" s="15"/>
      <c r="DYU114" s="15"/>
      <c r="DYV114" s="15"/>
      <c r="DYW114" s="15"/>
      <c r="DYX114" s="15"/>
      <c r="DYY114" s="15"/>
      <c r="DYZ114" s="15"/>
      <c r="DZA114" s="15"/>
      <c r="DZB114" s="15"/>
      <c r="DZC114" s="15"/>
      <c r="DZD114" s="15"/>
      <c r="DZE114" s="15"/>
      <c r="DZF114" s="15"/>
      <c r="DZG114" s="15"/>
      <c r="DZH114" s="14"/>
      <c r="DZI114" s="15"/>
      <c r="DZJ114" s="15"/>
      <c r="DZK114" s="15"/>
      <c r="DZL114" s="15"/>
      <c r="DZM114" s="15"/>
      <c r="DZN114" s="15"/>
      <c r="DZO114" s="15"/>
      <c r="DZP114" s="15"/>
      <c r="DZQ114" s="15"/>
      <c r="DZR114" s="15"/>
      <c r="DZS114" s="15"/>
      <c r="DZT114" s="15"/>
      <c r="DZU114" s="15"/>
      <c r="DZV114" s="15"/>
      <c r="DZW114" s="15"/>
      <c r="DZX114" s="15"/>
      <c r="DZY114" s="15"/>
      <c r="DZZ114" s="15"/>
      <c r="EAA114" s="15"/>
      <c r="EAB114" s="15"/>
      <c r="EAC114" s="15"/>
      <c r="EAD114" s="14"/>
      <c r="EAE114" s="15"/>
      <c r="EAF114" s="15"/>
      <c r="EAG114" s="15"/>
      <c r="EAH114" s="15"/>
      <c r="EAI114" s="15"/>
      <c r="EAJ114" s="15"/>
      <c r="EAK114" s="15"/>
      <c r="EAL114" s="15"/>
      <c r="EAM114" s="15"/>
      <c r="EAN114" s="15"/>
      <c r="EAO114" s="15"/>
      <c r="EAP114" s="15"/>
      <c r="EAQ114" s="15"/>
      <c r="EAR114" s="15"/>
      <c r="EAS114" s="15"/>
      <c r="EAT114" s="15"/>
      <c r="EAU114" s="15"/>
      <c r="EAV114" s="15"/>
      <c r="EAW114" s="15"/>
      <c r="EAX114" s="15"/>
      <c r="EAY114" s="15"/>
      <c r="EAZ114" s="14"/>
      <c r="EBA114" s="15"/>
      <c r="EBB114" s="15"/>
      <c r="EBC114" s="15"/>
      <c r="EBD114" s="15"/>
      <c r="EBE114" s="15"/>
      <c r="EBF114" s="15"/>
      <c r="EBG114" s="15"/>
      <c r="EBH114" s="15"/>
      <c r="EBI114" s="15"/>
      <c r="EBJ114" s="15"/>
      <c r="EBK114" s="15"/>
      <c r="EBL114" s="15"/>
      <c r="EBM114" s="15"/>
      <c r="EBN114" s="15"/>
      <c r="EBO114" s="15"/>
      <c r="EBP114" s="15"/>
      <c r="EBQ114" s="15"/>
      <c r="EBR114" s="15"/>
      <c r="EBS114" s="15"/>
      <c r="EBT114" s="15"/>
      <c r="EBU114" s="15"/>
      <c r="EBV114" s="14"/>
      <c r="EBW114" s="15"/>
      <c r="EBX114" s="15"/>
      <c r="EBY114" s="15"/>
      <c r="EBZ114" s="15"/>
      <c r="ECA114" s="15"/>
      <c r="ECB114" s="15"/>
      <c r="ECC114" s="15"/>
      <c r="ECD114" s="15"/>
      <c r="ECE114" s="15"/>
      <c r="ECF114" s="15"/>
      <c r="ECG114" s="15"/>
      <c r="ECH114" s="15"/>
      <c r="ECI114" s="15"/>
      <c r="ECJ114" s="15"/>
      <c r="ECK114" s="15"/>
      <c r="ECL114" s="15"/>
      <c r="ECM114" s="15"/>
      <c r="ECN114" s="15"/>
      <c r="ECO114" s="15"/>
      <c r="ECP114" s="15"/>
      <c r="ECQ114" s="15"/>
      <c r="ECR114" s="14"/>
      <c r="ECS114" s="15"/>
      <c r="ECT114" s="15"/>
      <c r="ECU114" s="15"/>
      <c r="ECV114" s="15"/>
      <c r="ECW114" s="15"/>
      <c r="ECX114" s="15"/>
      <c r="ECY114" s="15"/>
      <c r="ECZ114" s="15"/>
      <c r="EDA114" s="15"/>
      <c r="EDB114" s="15"/>
      <c r="EDC114" s="15"/>
      <c r="EDD114" s="15"/>
      <c r="EDE114" s="15"/>
      <c r="EDF114" s="15"/>
      <c r="EDG114" s="15"/>
      <c r="EDH114" s="15"/>
      <c r="EDI114" s="15"/>
      <c r="EDJ114" s="15"/>
      <c r="EDK114" s="15"/>
      <c r="EDL114" s="15"/>
      <c r="EDM114" s="15"/>
      <c r="EDN114" s="14"/>
      <c r="EDO114" s="15"/>
      <c r="EDP114" s="15"/>
      <c r="EDQ114" s="15"/>
      <c r="EDR114" s="15"/>
      <c r="EDS114" s="15"/>
      <c r="EDT114" s="15"/>
      <c r="EDU114" s="15"/>
      <c r="EDV114" s="15"/>
      <c r="EDW114" s="15"/>
      <c r="EDX114" s="15"/>
      <c r="EDY114" s="15"/>
      <c r="EDZ114" s="15"/>
      <c r="EEA114" s="15"/>
      <c r="EEB114" s="15"/>
      <c r="EEC114" s="15"/>
      <c r="EED114" s="15"/>
      <c r="EEE114" s="15"/>
      <c r="EEF114" s="15"/>
      <c r="EEG114" s="15"/>
      <c r="EEH114" s="15"/>
      <c r="EEI114" s="15"/>
      <c r="EEJ114" s="14"/>
      <c r="EEK114" s="15"/>
      <c r="EEL114" s="15"/>
      <c r="EEM114" s="15"/>
      <c r="EEN114" s="15"/>
      <c r="EEO114" s="15"/>
      <c r="EEP114" s="15"/>
      <c r="EEQ114" s="15"/>
      <c r="EER114" s="15"/>
      <c r="EES114" s="15"/>
      <c r="EET114" s="15"/>
      <c r="EEU114" s="15"/>
      <c r="EEV114" s="15"/>
      <c r="EEW114" s="15"/>
      <c r="EEX114" s="15"/>
      <c r="EEY114" s="15"/>
      <c r="EEZ114" s="15"/>
      <c r="EFA114" s="15"/>
      <c r="EFB114" s="15"/>
      <c r="EFC114" s="15"/>
      <c r="EFD114" s="15"/>
      <c r="EFE114" s="15"/>
      <c r="EFF114" s="14"/>
      <c r="EFG114" s="15"/>
      <c r="EFH114" s="15"/>
      <c r="EFI114" s="15"/>
      <c r="EFJ114" s="15"/>
      <c r="EFK114" s="15"/>
      <c r="EFL114" s="15"/>
      <c r="EFM114" s="15"/>
      <c r="EFN114" s="15"/>
      <c r="EFO114" s="15"/>
      <c r="EFP114" s="15"/>
      <c r="EFQ114" s="15"/>
      <c r="EFR114" s="15"/>
      <c r="EFS114" s="15"/>
      <c r="EFT114" s="15"/>
      <c r="EFU114" s="15"/>
      <c r="EFV114" s="15"/>
      <c r="EFW114" s="15"/>
      <c r="EFX114" s="15"/>
      <c r="EFY114" s="15"/>
      <c r="EFZ114" s="15"/>
      <c r="EGA114" s="15"/>
      <c r="EGB114" s="14"/>
      <c r="EGC114" s="15"/>
      <c r="EGD114" s="15"/>
      <c r="EGE114" s="15"/>
      <c r="EGF114" s="15"/>
      <c r="EGG114" s="15"/>
      <c r="EGH114" s="15"/>
      <c r="EGI114" s="15"/>
      <c r="EGJ114" s="15"/>
      <c r="EGK114" s="15"/>
      <c r="EGL114" s="15"/>
      <c r="EGM114" s="15"/>
      <c r="EGN114" s="15"/>
      <c r="EGO114" s="15"/>
      <c r="EGP114" s="15"/>
      <c r="EGQ114" s="15"/>
      <c r="EGR114" s="15"/>
      <c r="EGS114" s="15"/>
      <c r="EGT114" s="15"/>
      <c r="EGU114" s="15"/>
      <c r="EGV114" s="15"/>
      <c r="EGW114" s="15"/>
      <c r="EGX114" s="14"/>
      <c r="EGY114" s="15"/>
      <c r="EGZ114" s="15"/>
      <c r="EHA114" s="15"/>
      <c r="EHB114" s="15"/>
      <c r="EHC114" s="15"/>
      <c r="EHD114" s="15"/>
      <c r="EHE114" s="15"/>
      <c r="EHF114" s="15"/>
      <c r="EHG114" s="15"/>
      <c r="EHH114" s="15"/>
      <c r="EHI114" s="15"/>
      <c r="EHJ114" s="15"/>
      <c r="EHK114" s="15"/>
      <c r="EHL114" s="15"/>
      <c r="EHM114" s="15"/>
      <c r="EHN114" s="15"/>
      <c r="EHO114" s="15"/>
      <c r="EHP114" s="15"/>
      <c r="EHQ114" s="15"/>
      <c r="EHR114" s="15"/>
      <c r="EHS114" s="15"/>
      <c r="EHT114" s="14"/>
      <c r="EHU114" s="15"/>
      <c r="EHV114" s="15"/>
      <c r="EHW114" s="15"/>
      <c r="EHX114" s="15"/>
      <c r="EHY114" s="15"/>
      <c r="EHZ114" s="15"/>
      <c r="EIA114" s="15"/>
      <c r="EIB114" s="15"/>
      <c r="EIC114" s="15"/>
      <c r="EID114" s="15"/>
      <c r="EIE114" s="15"/>
      <c r="EIF114" s="15"/>
      <c r="EIG114" s="15"/>
      <c r="EIH114" s="15"/>
      <c r="EII114" s="15"/>
      <c r="EIJ114" s="15"/>
      <c r="EIK114" s="15"/>
      <c r="EIL114" s="15"/>
      <c r="EIM114" s="15"/>
      <c r="EIN114" s="15"/>
      <c r="EIO114" s="15"/>
      <c r="EIP114" s="14"/>
      <c r="EIQ114" s="15"/>
      <c r="EIR114" s="15"/>
      <c r="EIS114" s="15"/>
      <c r="EIT114" s="15"/>
      <c r="EIU114" s="15"/>
      <c r="EIV114" s="15"/>
      <c r="EIW114" s="15"/>
      <c r="EIX114" s="15"/>
      <c r="EIY114" s="15"/>
      <c r="EIZ114" s="15"/>
      <c r="EJA114" s="15"/>
      <c r="EJB114" s="15"/>
      <c r="EJC114" s="15"/>
      <c r="EJD114" s="15"/>
      <c r="EJE114" s="15"/>
      <c r="EJF114" s="15"/>
      <c r="EJG114" s="15"/>
      <c r="EJH114" s="15"/>
      <c r="EJI114" s="15"/>
      <c r="EJJ114" s="15"/>
      <c r="EJK114" s="15"/>
      <c r="EJL114" s="14"/>
      <c r="EJM114" s="15"/>
      <c r="EJN114" s="15"/>
      <c r="EJO114" s="15"/>
      <c r="EJP114" s="15"/>
      <c r="EJQ114" s="15"/>
      <c r="EJR114" s="15"/>
      <c r="EJS114" s="15"/>
      <c r="EJT114" s="15"/>
      <c r="EJU114" s="15"/>
      <c r="EJV114" s="15"/>
      <c r="EJW114" s="15"/>
      <c r="EJX114" s="15"/>
      <c r="EJY114" s="15"/>
      <c r="EJZ114" s="15"/>
      <c r="EKA114" s="15"/>
      <c r="EKB114" s="15"/>
      <c r="EKC114" s="15"/>
      <c r="EKD114" s="15"/>
      <c r="EKE114" s="15"/>
      <c r="EKF114" s="15"/>
      <c r="EKG114" s="15"/>
      <c r="EKH114" s="14"/>
      <c r="EKI114" s="15"/>
      <c r="EKJ114" s="15"/>
      <c r="EKK114" s="15"/>
      <c r="EKL114" s="15"/>
      <c r="EKM114" s="15"/>
      <c r="EKN114" s="15"/>
      <c r="EKO114" s="15"/>
      <c r="EKP114" s="15"/>
      <c r="EKQ114" s="15"/>
      <c r="EKR114" s="15"/>
      <c r="EKS114" s="15"/>
      <c r="EKT114" s="15"/>
      <c r="EKU114" s="15"/>
      <c r="EKV114" s="15"/>
      <c r="EKW114" s="15"/>
      <c r="EKX114" s="15"/>
      <c r="EKY114" s="15"/>
      <c r="EKZ114" s="15"/>
      <c r="ELA114" s="15"/>
      <c r="ELB114" s="15"/>
      <c r="ELC114" s="15"/>
      <c r="ELD114" s="14"/>
      <c r="ELE114" s="15"/>
      <c r="ELF114" s="15"/>
      <c r="ELG114" s="15"/>
      <c r="ELH114" s="15"/>
      <c r="ELI114" s="15"/>
      <c r="ELJ114" s="15"/>
      <c r="ELK114" s="15"/>
      <c r="ELL114" s="15"/>
      <c r="ELM114" s="15"/>
      <c r="ELN114" s="15"/>
      <c r="ELO114" s="15"/>
      <c r="ELP114" s="15"/>
      <c r="ELQ114" s="15"/>
      <c r="ELR114" s="15"/>
      <c r="ELS114" s="15"/>
      <c r="ELT114" s="15"/>
      <c r="ELU114" s="15"/>
      <c r="ELV114" s="15"/>
      <c r="ELW114" s="15"/>
      <c r="ELX114" s="15"/>
      <c r="ELY114" s="15"/>
      <c r="ELZ114" s="14"/>
      <c r="EMA114" s="15"/>
      <c r="EMB114" s="15"/>
      <c r="EMC114" s="15"/>
      <c r="EMD114" s="15"/>
      <c r="EME114" s="15"/>
      <c r="EMF114" s="15"/>
      <c r="EMG114" s="15"/>
      <c r="EMH114" s="15"/>
      <c r="EMI114" s="15"/>
      <c r="EMJ114" s="15"/>
      <c r="EMK114" s="15"/>
      <c r="EML114" s="15"/>
      <c r="EMM114" s="15"/>
      <c r="EMN114" s="15"/>
      <c r="EMO114" s="15"/>
      <c r="EMP114" s="15"/>
      <c r="EMQ114" s="15"/>
      <c r="EMR114" s="15"/>
      <c r="EMS114" s="15"/>
      <c r="EMT114" s="15"/>
      <c r="EMU114" s="15"/>
      <c r="EMV114" s="14"/>
      <c r="EMW114" s="15"/>
      <c r="EMX114" s="15"/>
      <c r="EMY114" s="15"/>
      <c r="EMZ114" s="15"/>
      <c r="ENA114" s="15"/>
      <c r="ENB114" s="15"/>
      <c r="ENC114" s="15"/>
      <c r="END114" s="15"/>
      <c r="ENE114" s="15"/>
      <c r="ENF114" s="15"/>
      <c r="ENG114" s="15"/>
      <c r="ENH114" s="15"/>
      <c r="ENI114" s="15"/>
      <c r="ENJ114" s="15"/>
      <c r="ENK114" s="15"/>
      <c r="ENL114" s="15"/>
      <c r="ENM114" s="15"/>
      <c r="ENN114" s="15"/>
      <c r="ENO114" s="15"/>
      <c r="ENP114" s="15"/>
      <c r="ENQ114" s="15"/>
      <c r="ENR114" s="14"/>
      <c r="ENS114" s="15"/>
      <c r="ENT114" s="15"/>
      <c r="ENU114" s="15"/>
      <c r="ENV114" s="15"/>
      <c r="ENW114" s="15"/>
      <c r="ENX114" s="15"/>
      <c r="ENY114" s="15"/>
      <c r="ENZ114" s="15"/>
      <c r="EOA114" s="15"/>
      <c r="EOB114" s="15"/>
      <c r="EOC114" s="15"/>
      <c r="EOD114" s="15"/>
      <c r="EOE114" s="15"/>
      <c r="EOF114" s="15"/>
      <c r="EOG114" s="15"/>
      <c r="EOH114" s="15"/>
      <c r="EOI114" s="15"/>
      <c r="EOJ114" s="15"/>
      <c r="EOK114" s="15"/>
      <c r="EOL114" s="15"/>
      <c r="EOM114" s="15"/>
      <c r="EON114" s="14"/>
      <c r="EOO114" s="15"/>
      <c r="EOP114" s="15"/>
      <c r="EOQ114" s="15"/>
      <c r="EOR114" s="15"/>
      <c r="EOS114" s="15"/>
      <c r="EOT114" s="15"/>
      <c r="EOU114" s="15"/>
      <c r="EOV114" s="15"/>
      <c r="EOW114" s="15"/>
      <c r="EOX114" s="15"/>
      <c r="EOY114" s="15"/>
      <c r="EOZ114" s="15"/>
      <c r="EPA114" s="15"/>
      <c r="EPB114" s="15"/>
      <c r="EPC114" s="15"/>
      <c r="EPD114" s="15"/>
      <c r="EPE114" s="15"/>
      <c r="EPF114" s="15"/>
      <c r="EPG114" s="15"/>
      <c r="EPH114" s="15"/>
      <c r="EPI114" s="15"/>
      <c r="EPJ114" s="14"/>
      <c r="EPK114" s="15"/>
      <c r="EPL114" s="15"/>
      <c r="EPM114" s="15"/>
      <c r="EPN114" s="15"/>
      <c r="EPO114" s="15"/>
      <c r="EPP114" s="15"/>
      <c r="EPQ114" s="15"/>
      <c r="EPR114" s="15"/>
      <c r="EPS114" s="15"/>
      <c r="EPT114" s="15"/>
      <c r="EPU114" s="15"/>
      <c r="EPV114" s="15"/>
      <c r="EPW114" s="15"/>
      <c r="EPX114" s="15"/>
      <c r="EPY114" s="15"/>
      <c r="EPZ114" s="15"/>
      <c r="EQA114" s="15"/>
      <c r="EQB114" s="15"/>
      <c r="EQC114" s="15"/>
      <c r="EQD114" s="15"/>
      <c r="EQE114" s="15"/>
      <c r="EQF114" s="14"/>
      <c r="EQG114" s="15"/>
      <c r="EQH114" s="15"/>
      <c r="EQI114" s="15"/>
      <c r="EQJ114" s="15"/>
      <c r="EQK114" s="15"/>
      <c r="EQL114" s="15"/>
      <c r="EQM114" s="15"/>
      <c r="EQN114" s="15"/>
      <c r="EQO114" s="15"/>
      <c r="EQP114" s="15"/>
      <c r="EQQ114" s="15"/>
      <c r="EQR114" s="15"/>
      <c r="EQS114" s="15"/>
      <c r="EQT114" s="15"/>
      <c r="EQU114" s="15"/>
      <c r="EQV114" s="15"/>
      <c r="EQW114" s="15"/>
      <c r="EQX114" s="15"/>
      <c r="EQY114" s="15"/>
      <c r="EQZ114" s="15"/>
      <c r="ERA114" s="15"/>
      <c r="ERB114" s="14"/>
      <c r="ERC114" s="15"/>
      <c r="ERD114" s="15"/>
      <c r="ERE114" s="15"/>
      <c r="ERF114" s="15"/>
      <c r="ERG114" s="15"/>
      <c r="ERH114" s="15"/>
      <c r="ERI114" s="15"/>
      <c r="ERJ114" s="15"/>
      <c r="ERK114" s="15"/>
      <c r="ERL114" s="15"/>
      <c r="ERM114" s="15"/>
      <c r="ERN114" s="15"/>
      <c r="ERO114" s="15"/>
      <c r="ERP114" s="15"/>
      <c r="ERQ114" s="15"/>
      <c r="ERR114" s="15"/>
      <c r="ERS114" s="15"/>
      <c r="ERT114" s="15"/>
      <c r="ERU114" s="15"/>
      <c r="ERV114" s="15"/>
      <c r="ERW114" s="15"/>
      <c r="ERX114" s="14"/>
      <c r="ERY114" s="15"/>
      <c r="ERZ114" s="15"/>
      <c r="ESA114" s="15"/>
      <c r="ESB114" s="15"/>
      <c r="ESC114" s="15"/>
      <c r="ESD114" s="15"/>
      <c r="ESE114" s="15"/>
      <c r="ESF114" s="15"/>
      <c r="ESG114" s="15"/>
      <c r="ESH114" s="15"/>
      <c r="ESI114" s="15"/>
      <c r="ESJ114" s="15"/>
      <c r="ESK114" s="15"/>
      <c r="ESL114" s="15"/>
      <c r="ESM114" s="15"/>
      <c r="ESN114" s="15"/>
      <c r="ESO114" s="15"/>
      <c r="ESP114" s="15"/>
      <c r="ESQ114" s="15"/>
      <c r="ESR114" s="15"/>
      <c r="ESS114" s="15"/>
      <c r="EST114" s="14"/>
      <c r="ESU114" s="15"/>
      <c r="ESV114" s="15"/>
      <c r="ESW114" s="15"/>
      <c r="ESX114" s="15"/>
      <c r="ESY114" s="15"/>
      <c r="ESZ114" s="15"/>
      <c r="ETA114" s="15"/>
      <c r="ETB114" s="15"/>
      <c r="ETC114" s="15"/>
      <c r="ETD114" s="15"/>
      <c r="ETE114" s="15"/>
      <c r="ETF114" s="15"/>
      <c r="ETG114" s="15"/>
      <c r="ETH114" s="15"/>
      <c r="ETI114" s="15"/>
      <c r="ETJ114" s="15"/>
      <c r="ETK114" s="15"/>
      <c r="ETL114" s="15"/>
      <c r="ETM114" s="15"/>
      <c r="ETN114" s="15"/>
      <c r="ETO114" s="15"/>
      <c r="ETP114" s="14"/>
      <c r="ETQ114" s="15"/>
      <c r="ETR114" s="15"/>
      <c r="ETS114" s="15"/>
      <c r="ETT114" s="15"/>
      <c r="ETU114" s="15"/>
      <c r="ETV114" s="15"/>
      <c r="ETW114" s="15"/>
      <c r="ETX114" s="15"/>
      <c r="ETY114" s="15"/>
      <c r="ETZ114" s="15"/>
      <c r="EUA114" s="15"/>
      <c r="EUB114" s="15"/>
      <c r="EUC114" s="15"/>
      <c r="EUD114" s="15"/>
      <c r="EUE114" s="15"/>
      <c r="EUF114" s="15"/>
      <c r="EUG114" s="15"/>
      <c r="EUH114" s="15"/>
      <c r="EUI114" s="15"/>
      <c r="EUJ114" s="15"/>
      <c r="EUK114" s="15"/>
      <c r="EUL114" s="14"/>
      <c r="EUM114" s="15"/>
      <c r="EUN114" s="15"/>
      <c r="EUO114" s="15"/>
      <c r="EUP114" s="15"/>
      <c r="EUQ114" s="15"/>
      <c r="EUR114" s="15"/>
      <c r="EUS114" s="15"/>
      <c r="EUT114" s="15"/>
      <c r="EUU114" s="15"/>
      <c r="EUV114" s="15"/>
      <c r="EUW114" s="15"/>
      <c r="EUX114" s="15"/>
      <c r="EUY114" s="15"/>
      <c r="EUZ114" s="15"/>
      <c r="EVA114" s="15"/>
      <c r="EVB114" s="15"/>
      <c r="EVC114" s="15"/>
      <c r="EVD114" s="15"/>
      <c r="EVE114" s="15"/>
      <c r="EVF114" s="15"/>
      <c r="EVG114" s="15"/>
      <c r="EVH114" s="14"/>
      <c r="EVI114" s="15"/>
      <c r="EVJ114" s="15"/>
      <c r="EVK114" s="15"/>
      <c r="EVL114" s="15"/>
      <c r="EVM114" s="15"/>
      <c r="EVN114" s="15"/>
      <c r="EVO114" s="15"/>
      <c r="EVP114" s="15"/>
      <c r="EVQ114" s="15"/>
      <c r="EVR114" s="15"/>
      <c r="EVS114" s="15"/>
      <c r="EVT114" s="15"/>
      <c r="EVU114" s="15"/>
      <c r="EVV114" s="15"/>
      <c r="EVW114" s="15"/>
      <c r="EVX114" s="15"/>
      <c r="EVY114" s="15"/>
      <c r="EVZ114" s="15"/>
      <c r="EWA114" s="15"/>
      <c r="EWB114" s="15"/>
      <c r="EWC114" s="15"/>
      <c r="EWD114" s="14"/>
      <c r="EWE114" s="15"/>
      <c r="EWF114" s="15"/>
      <c r="EWG114" s="15"/>
      <c r="EWH114" s="15"/>
      <c r="EWI114" s="15"/>
      <c r="EWJ114" s="15"/>
      <c r="EWK114" s="15"/>
      <c r="EWL114" s="15"/>
      <c r="EWM114" s="15"/>
      <c r="EWN114" s="15"/>
      <c r="EWO114" s="15"/>
      <c r="EWP114" s="15"/>
      <c r="EWQ114" s="15"/>
      <c r="EWR114" s="15"/>
      <c r="EWS114" s="15"/>
      <c r="EWT114" s="15"/>
      <c r="EWU114" s="15"/>
      <c r="EWV114" s="15"/>
      <c r="EWW114" s="15"/>
      <c r="EWX114" s="15"/>
      <c r="EWY114" s="15"/>
      <c r="EWZ114" s="14"/>
      <c r="EXA114" s="15"/>
      <c r="EXB114" s="15"/>
      <c r="EXC114" s="15"/>
      <c r="EXD114" s="15"/>
      <c r="EXE114" s="15"/>
      <c r="EXF114" s="15"/>
      <c r="EXG114" s="15"/>
      <c r="EXH114" s="15"/>
      <c r="EXI114" s="15"/>
      <c r="EXJ114" s="15"/>
      <c r="EXK114" s="15"/>
      <c r="EXL114" s="15"/>
      <c r="EXM114" s="15"/>
      <c r="EXN114" s="15"/>
      <c r="EXO114" s="15"/>
      <c r="EXP114" s="15"/>
      <c r="EXQ114" s="15"/>
      <c r="EXR114" s="15"/>
      <c r="EXS114" s="15"/>
      <c r="EXT114" s="15"/>
      <c r="EXU114" s="15"/>
      <c r="EXV114" s="14"/>
      <c r="EXW114" s="15"/>
      <c r="EXX114" s="15"/>
      <c r="EXY114" s="15"/>
      <c r="EXZ114" s="15"/>
      <c r="EYA114" s="15"/>
      <c r="EYB114" s="15"/>
      <c r="EYC114" s="15"/>
      <c r="EYD114" s="15"/>
      <c r="EYE114" s="15"/>
      <c r="EYF114" s="15"/>
      <c r="EYG114" s="15"/>
      <c r="EYH114" s="15"/>
      <c r="EYI114" s="15"/>
      <c r="EYJ114" s="15"/>
      <c r="EYK114" s="15"/>
      <c r="EYL114" s="15"/>
      <c r="EYM114" s="15"/>
      <c r="EYN114" s="15"/>
      <c r="EYO114" s="15"/>
      <c r="EYP114" s="15"/>
      <c r="EYQ114" s="15"/>
      <c r="EYR114" s="14"/>
      <c r="EYS114" s="15"/>
      <c r="EYT114" s="15"/>
      <c r="EYU114" s="15"/>
      <c r="EYV114" s="15"/>
      <c r="EYW114" s="15"/>
      <c r="EYX114" s="15"/>
      <c r="EYY114" s="15"/>
      <c r="EYZ114" s="15"/>
      <c r="EZA114" s="15"/>
      <c r="EZB114" s="15"/>
      <c r="EZC114" s="15"/>
      <c r="EZD114" s="15"/>
      <c r="EZE114" s="15"/>
      <c r="EZF114" s="15"/>
      <c r="EZG114" s="15"/>
      <c r="EZH114" s="15"/>
      <c r="EZI114" s="15"/>
      <c r="EZJ114" s="15"/>
      <c r="EZK114" s="15"/>
      <c r="EZL114" s="15"/>
      <c r="EZM114" s="15"/>
      <c r="EZN114" s="14"/>
      <c r="EZO114" s="15"/>
      <c r="EZP114" s="15"/>
      <c r="EZQ114" s="15"/>
      <c r="EZR114" s="15"/>
      <c r="EZS114" s="15"/>
      <c r="EZT114" s="15"/>
      <c r="EZU114" s="15"/>
      <c r="EZV114" s="15"/>
      <c r="EZW114" s="15"/>
      <c r="EZX114" s="15"/>
      <c r="EZY114" s="15"/>
      <c r="EZZ114" s="15"/>
      <c r="FAA114" s="15"/>
      <c r="FAB114" s="15"/>
      <c r="FAC114" s="15"/>
      <c r="FAD114" s="15"/>
      <c r="FAE114" s="15"/>
      <c r="FAF114" s="15"/>
      <c r="FAG114" s="15"/>
      <c r="FAH114" s="15"/>
      <c r="FAI114" s="15"/>
      <c r="FAJ114" s="14"/>
      <c r="FAK114" s="15"/>
      <c r="FAL114" s="15"/>
      <c r="FAM114" s="15"/>
      <c r="FAN114" s="15"/>
      <c r="FAO114" s="15"/>
      <c r="FAP114" s="15"/>
      <c r="FAQ114" s="15"/>
      <c r="FAR114" s="15"/>
      <c r="FAS114" s="15"/>
      <c r="FAT114" s="15"/>
      <c r="FAU114" s="15"/>
      <c r="FAV114" s="15"/>
      <c r="FAW114" s="15"/>
      <c r="FAX114" s="15"/>
      <c r="FAY114" s="15"/>
      <c r="FAZ114" s="15"/>
      <c r="FBA114" s="15"/>
      <c r="FBB114" s="15"/>
      <c r="FBC114" s="15"/>
      <c r="FBD114" s="15"/>
      <c r="FBE114" s="15"/>
      <c r="FBF114" s="14"/>
      <c r="FBG114" s="15"/>
      <c r="FBH114" s="15"/>
      <c r="FBI114" s="15"/>
      <c r="FBJ114" s="15"/>
      <c r="FBK114" s="15"/>
      <c r="FBL114" s="15"/>
      <c r="FBM114" s="15"/>
      <c r="FBN114" s="15"/>
      <c r="FBO114" s="15"/>
      <c r="FBP114" s="15"/>
      <c r="FBQ114" s="15"/>
      <c r="FBR114" s="15"/>
      <c r="FBS114" s="15"/>
      <c r="FBT114" s="15"/>
      <c r="FBU114" s="15"/>
      <c r="FBV114" s="15"/>
      <c r="FBW114" s="15"/>
      <c r="FBX114" s="15"/>
      <c r="FBY114" s="15"/>
      <c r="FBZ114" s="15"/>
      <c r="FCA114" s="15"/>
      <c r="FCB114" s="14"/>
      <c r="FCC114" s="15"/>
      <c r="FCD114" s="15"/>
      <c r="FCE114" s="15"/>
      <c r="FCF114" s="15"/>
      <c r="FCG114" s="15"/>
      <c r="FCH114" s="15"/>
      <c r="FCI114" s="15"/>
      <c r="FCJ114" s="15"/>
      <c r="FCK114" s="15"/>
      <c r="FCL114" s="15"/>
      <c r="FCM114" s="15"/>
      <c r="FCN114" s="15"/>
      <c r="FCO114" s="15"/>
      <c r="FCP114" s="15"/>
      <c r="FCQ114" s="15"/>
      <c r="FCR114" s="15"/>
      <c r="FCS114" s="15"/>
      <c r="FCT114" s="15"/>
      <c r="FCU114" s="15"/>
      <c r="FCV114" s="15"/>
      <c r="FCW114" s="15"/>
      <c r="FCX114" s="14"/>
      <c r="FCY114" s="15"/>
      <c r="FCZ114" s="15"/>
      <c r="FDA114" s="15"/>
      <c r="FDB114" s="15"/>
      <c r="FDC114" s="15"/>
      <c r="FDD114" s="15"/>
      <c r="FDE114" s="15"/>
      <c r="FDF114" s="15"/>
      <c r="FDG114" s="15"/>
      <c r="FDH114" s="15"/>
      <c r="FDI114" s="15"/>
      <c r="FDJ114" s="15"/>
      <c r="FDK114" s="15"/>
      <c r="FDL114" s="15"/>
      <c r="FDM114" s="15"/>
      <c r="FDN114" s="15"/>
      <c r="FDO114" s="15"/>
      <c r="FDP114" s="15"/>
      <c r="FDQ114" s="15"/>
      <c r="FDR114" s="15"/>
      <c r="FDS114" s="15"/>
      <c r="FDT114" s="14"/>
      <c r="FDU114" s="15"/>
      <c r="FDV114" s="15"/>
      <c r="FDW114" s="15"/>
      <c r="FDX114" s="15"/>
      <c r="FDY114" s="15"/>
      <c r="FDZ114" s="15"/>
      <c r="FEA114" s="15"/>
      <c r="FEB114" s="15"/>
      <c r="FEC114" s="15"/>
      <c r="FED114" s="15"/>
      <c r="FEE114" s="15"/>
      <c r="FEF114" s="15"/>
      <c r="FEG114" s="15"/>
      <c r="FEH114" s="15"/>
      <c r="FEI114" s="15"/>
      <c r="FEJ114" s="15"/>
      <c r="FEK114" s="15"/>
      <c r="FEL114" s="15"/>
      <c r="FEM114" s="15"/>
      <c r="FEN114" s="15"/>
      <c r="FEO114" s="15"/>
      <c r="FEP114" s="14"/>
      <c r="FEQ114" s="15"/>
      <c r="FER114" s="15"/>
      <c r="FES114" s="15"/>
      <c r="FET114" s="15"/>
      <c r="FEU114" s="15"/>
      <c r="FEV114" s="15"/>
      <c r="FEW114" s="15"/>
      <c r="FEX114" s="15"/>
      <c r="FEY114" s="15"/>
      <c r="FEZ114" s="15"/>
      <c r="FFA114" s="15"/>
      <c r="FFB114" s="15"/>
      <c r="FFC114" s="15"/>
      <c r="FFD114" s="15"/>
      <c r="FFE114" s="15"/>
      <c r="FFF114" s="15"/>
      <c r="FFG114" s="15"/>
      <c r="FFH114" s="15"/>
      <c r="FFI114" s="15"/>
      <c r="FFJ114" s="15"/>
      <c r="FFK114" s="15"/>
      <c r="FFL114" s="14"/>
      <c r="FFM114" s="15"/>
      <c r="FFN114" s="15"/>
      <c r="FFO114" s="15"/>
      <c r="FFP114" s="15"/>
      <c r="FFQ114" s="15"/>
      <c r="FFR114" s="15"/>
      <c r="FFS114" s="15"/>
      <c r="FFT114" s="15"/>
      <c r="FFU114" s="15"/>
      <c r="FFV114" s="15"/>
      <c r="FFW114" s="15"/>
      <c r="FFX114" s="15"/>
      <c r="FFY114" s="15"/>
      <c r="FFZ114" s="15"/>
      <c r="FGA114" s="15"/>
      <c r="FGB114" s="15"/>
      <c r="FGC114" s="15"/>
      <c r="FGD114" s="15"/>
      <c r="FGE114" s="15"/>
      <c r="FGF114" s="15"/>
      <c r="FGG114" s="15"/>
      <c r="FGH114" s="14"/>
      <c r="FGI114" s="15"/>
      <c r="FGJ114" s="15"/>
      <c r="FGK114" s="15"/>
      <c r="FGL114" s="15"/>
      <c r="FGM114" s="15"/>
      <c r="FGN114" s="15"/>
      <c r="FGO114" s="15"/>
      <c r="FGP114" s="15"/>
      <c r="FGQ114" s="15"/>
      <c r="FGR114" s="15"/>
      <c r="FGS114" s="15"/>
      <c r="FGT114" s="15"/>
      <c r="FGU114" s="15"/>
      <c r="FGV114" s="15"/>
      <c r="FGW114" s="15"/>
      <c r="FGX114" s="15"/>
      <c r="FGY114" s="15"/>
      <c r="FGZ114" s="15"/>
      <c r="FHA114" s="15"/>
      <c r="FHB114" s="15"/>
      <c r="FHC114" s="15"/>
      <c r="FHD114" s="14"/>
      <c r="FHE114" s="15"/>
      <c r="FHF114" s="15"/>
      <c r="FHG114" s="15"/>
      <c r="FHH114" s="15"/>
      <c r="FHI114" s="15"/>
      <c r="FHJ114" s="15"/>
      <c r="FHK114" s="15"/>
      <c r="FHL114" s="15"/>
      <c r="FHM114" s="15"/>
      <c r="FHN114" s="15"/>
      <c r="FHO114" s="15"/>
      <c r="FHP114" s="15"/>
      <c r="FHQ114" s="15"/>
      <c r="FHR114" s="15"/>
      <c r="FHS114" s="15"/>
      <c r="FHT114" s="15"/>
      <c r="FHU114" s="15"/>
      <c r="FHV114" s="15"/>
      <c r="FHW114" s="15"/>
      <c r="FHX114" s="15"/>
      <c r="FHY114" s="15"/>
      <c r="FHZ114" s="14"/>
      <c r="FIA114" s="15"/>
      <c r="FIB114" s="15"/>
      <c r="FIC114" s="15"/>
      <c r="FID114" s="15"/>
      <c r="FIE114" s="15"/>
      <c r="FIF114" s="15"/>
      <c r="FIG114" s="15"/>
      <c r="FIH114" s="15"/>
      <c r="FII114" s="15"/>
      <c r="FIJ114" s="15"/>
      <c r="FIK114" s="15"/>
      <c r="FIL114" s="15"/>
      <c r="FIM114" s="15"/>
      <c r="FIN114" s="15"/>
      <c r="FIO114" s="15"/>
      <c r="FIP114" s="15"/>
      <c r="FIQ114" s="15"/>
      <c r="FIR114" s="15"/>
      <c r="FIS114" s="15"/>
      <c r="FIT114" s="15"/>
      <c r="FIU114" s="15"/>
      <c r="FIV114" s="14"/>
      <c r="FIW114" s="15"/>
      <c r="FIX114" s="15"/>
      <c r="FIY114" s="15"/>
      <c r="FIZ114" s="15"/>
      <c r="FJA114" s="15"/>
      <c r="FJB114" s="15"/>
      <c r="FJC114" s="15"/>
      <c r="FJD114" s="15"/>
      <c r="FJE114" s="15"/>
      <c r="FJF114" s="15"/>
      <c r="FJG114" s="15"/>
      <c r="FJH114" s="15"/>
      <c r="FJI114" s="15"/>
      <c r="FJJ114" s="15"/>
      <c r="FJK114" s="15"/>
      <c r="FJL114" s="15"/>
      <c r="FJM114" s="15"/>
      <c r="FJN114" s="15"/>
      <c r="FJO114" s="15"/>
      <c r="FJP114" s="15"/>
      <c r="FJQ114" s="15"/>
      <c r="FJR114" s="14"/>
      <c r="FJS114" s="15"/>
      <c r="FJT114" s="15"/>
      <c r="FJU114" s="15"/>
      <c r="FJV114" s="15"/>
      <c r="FJW114" s="15"/>
      <c r="FJX114" s="15"/>
      <c r="FJY114" s="15"/>
      <c r="FJZ114" s="15"/>
      <c r="FKA114" s="15"/>
      <c r="FKB114" s="15"/>
      <c r="FKC114" s="15"/>
      <c r="FKD114" s="15"/>
      <c r="FKE114" s="15"/>
      <c r="FKF114" s="15"/>
      <c r="FKG114" s="15"/>
      <c r="FKH114" s="15"/>
      <c r="FKI114" s="15"/>
      <c r="FKJ114" s="15"/>
      <c r="FKK114" s="15"/>
      <c r="FKL114" s="15"/>
      <c r="FKM114" s="15"/>
      <c r="FKN114" s="14"/>
      <c r="FKO114" s="15"/>
      <c r="FKP114" s="15"/>
      <c r="FKQ114" s="15"/>
      <c r="FKR114" s="15"/>
      <c r="FKS114" s="15"/>
      <c r="FKT114" s="15"/>
      <c r="FKU114" s="15"/>
      <c r="FKV114" s="15"/>
      <c r="FKW114" s="15"/>
      <c r="FKX114" s="15"/>
      <c r="FKY114" s="15"/>
      <c r="FKZ114" s="15"/>
      <c r="FLA114" s="15"/>
      <c r="FLB114" s="15"/>
      <c r="FLC114" s="15"/>
      <c r="FLD114" s="15"/>
      <c r="FLE114" s="15"/>
      <c r="FLF114" s="15"/>
      <c r="FLG114" s="15"/>
      <c r="FLH114" s="15"/>
      <c r="FLI114" s="15"/>
      <c r="FLJ114" s="14"/>
      <c r="FLK114" s="15"/>
      <c r="FLL114" s="15"/>
      <c r="FLM114" s="15"/>
      <c r="FLN114" s="15"/>
      <c r="FLO114" s="15"/>
      <c r="FLP114" s="15"/>
      <c r="FLQ114" s="15"/>
      <c r="FLR114" s="15"/>
      <c r="FLS114" s="15"/>
      <c r="FLT114" s="15"/>
      <c r="FLU114" s="15"/>
      <c r="FLV114" s="15"/>
      <c r="FLW114" s="15"/>
      <c r="FLX114" s="15"/>
      <c r="FLY114" s="15"/>
      <c r="FLZ114" s="15"/>
      <c r="FMA114" s="15"/>
      <c r="FMB114" s="15"/>
      <c r="FMC114" s="15"/>
      <c r="FMD114" s="15"/>
      <c r="FME114" s="15"/>
      <c r="FMF114" s="14"/>
      <c r="FMG114" s="15"/>
      <c r="FMH114" s="15"/>
      <c r="FMI114" s="15"/>
      <c r="FMJ114" s="15"/>
      <c r="FMK114" s="15"/>
      <c r="FML114" s="15"/>
      <c r="FMM114" s="15"/>
      <c r="FMN114" s="15"/>
      <c r="FMO114" s="15"/>
      <c r="FMP114" s="15"/>
      <c r="FMQ114" s="15"/>
      <c r="FMR114" s="15"/>
      <c r="FMS114" s="15"/>
      <c r="FMT114" s="15"/>
      <c r="FMU114" s="15"/>
      <c r="FMV114" s="15"/>
      <c r="FMW114" s="15"/>
      <c r="FMX114" s="15"/>
      <c r="FMY114" s="15"/>
      <c r="FMZ114" s="15"/>
      <c r="FNA114" s="15"/>
      <c r="FNB114" s="14"/>
      <c r="FNC114" s="15"/>
      <c r="FND114" s="15"/>
      <c r="FNE114" s="15"/>
      <c r="FNF114" s="15"/>
      <c r="FNG114" s="15"/>
      <c r="FNH114" s="15"/>
      <c r="FNI114" s="15"/>
      <c r="FNJ114" s="15"/>
      <c r="FNK114" s="15"/>
      <c r="FNL114" s="15"/>
      <c r="FNM114" s="15"/>
      <c r="FNN114" s="15"/>
      <c r="FNO114" s="15"/>
      <c r="FNP114" s="15"/>
      <c r="FNQ114" s="15"/>
      <c r="FNR114" s="15"/>
      <c r="FNS114" s="15"/>
      <c r="FNT114" s="15"/>
      <c r="FNU114" s="15"/>
      <c r="FNV114" s="15"/>
      <c r="FNW114" s="15"/>
      <c r="FNX114" s="14"/>
      <c r="FNY114" s="15"/>
      <c r="FNZ114" s="15"/>
      <c r="FOA114" s="15"/>
      <c r="FOB114" s="15"/>
      <c r="FOC114" s="15"/>
      <c r="FOD114" s="15"/>
      <c r="FOE114" s="15"/>
      <c r="FOF114" s="15"/>
      <c r="FOG114" s="15"/>
      <c r="FOH114" s="15"/>
      <c r="FOI114" s="15"/>
      <c r="FOJ114" s="15"/>
      <c r="FOK114" s="15"/>
      <c r="FOL114" s="15"/>
      <c r="FOM114" s="15"/>
      <c r="FON114" s="15"/>
      <c r="FOO114" s="15"/>
      <c r="FOP114" s="15"/>
      <c r="FOQ114" s="15"/>
      <c r="FOR114" s="15"/>
      <c r="FOS114" s="15"/>
      <c r="FOT114" s="14"/>
      <c r="FOU114" s="15"/>
      <c r="FOV114" s="15"/>
      <c r="FOW114" s="15"/>
      <c r="FOX114" s="15"/>
      <c r="FOY114" s="15"/>
      <c r="FOZ114" s="15"/>
      <c r="FPA114" s="15"/>
      <c r="FPB114" s="15"/>
      <c r="FPC114" s="15"/>
      <c r="FPD114" s="15"/>
      <c r="FPE114" s="15"/>
      <c r="FPF114" s="15"/>
      <c r="FPG114" s="15"/>
      <c r="FPH114" s="15"/>
      <c r="FPI114" s="15"/>
      <c r="FPJ114" s="15"/>
      <c r="FPK114" s="15"/>
      <c r="FPL114" s="15"/>
      <c r="FPM114" s="15"/>
      <c r="FPN114" s="15"/>
      <c r="FPO114" s="15"/>
      <c r="FPP114" s="14"/>
      <c r="FPQ114" s="15"/>
      <c r="FPR114" s="15"/>
      <c r="FPS114" s="15"/>
      <c r="FPT114" s="15"/>
      <c r="FPU114" s="15"/>
      <c r="FPV114" s="15"/>
      <c r="FPW114" s="15"/>
      <c r="FPX114" s="15"/>
      <c r="FPY114" s="15"/>
      <c r="FPZ114" s="15"/>
      <c r="FQA114" s="15"/>
      <c r="FQB114" s="15"/>
      <c r="FQC114" s="15"/>
      <c r="FQD114" s="15"/>
      <c r="FQE114" s="15"/>
      <c r="FQF114" s="15"/>
      <c r="FQG114" s="15"/>
      <c r="FQH114" s="15"/>
      <c r="FQI114" s="15"/>
      <c r="FQJ114" s="15"/>
      <c r="FQK114" s="15"/>
      <c r="FQL114" s="14"/>
      <c r="FQM114" s="15"/>
      <c r="FQN114" s="15"/>
      <c r="FQO114" s="15"/>
      <c r="FQP114" s="15"/>
      <c r="FQQ114" s="15"/>
      <c r="FQR114" s="15"/>
      <c r="FQS114" s="15"/>
      <c r="FQT114" s="15"/>
      <c r="FQU114" s="15"/>
      <c r="FQV114" s="15"/>
      <c r="FQW114" s="15"/>
      <c r="FQX114" s="15"/>
      <c r="FQY114" s="15"/>
      <c r="FQZ114" s="15"/>
      <c r="FRA114" s="15"/>
      <c r="FRB114" s="15"/>
      <c r="FRC114" s="15"/>
      <c r="FRD114" s="15"/>
      <c r="FRE114" s="15"/>
      <c r="FRF114" s="15"/>
      <c r="FRG114" s="15"/>
      <c r="FRH114" s="14"/>
      <c r="FRI114" s="15"/>
      <c r="FRJ114" s="15"/>
      <c r="FRK114" s="15"/>
      <c r="FRL114" s="15"/>
      <c r="FRM114" s="15"/>
      <c r="FRN114" s="15"/>
      <c r="FRO114" s="15"/>
      <c r="FRP114" s="15"/>
      <c r="FRQ114" s="15"/>
      <c r="FRR114" s="15"/>
      <c r="FRS114" s="15"/>
      <c r="FRT114" s="15"/>
      <c r="FRU114" s="15"/>
      <c r="FRV114" s="15"/>
      <c r="FRW114" s="15"/>
      <c r="FRX114" s="15"/>
      <c r="FRY114" s="15"/>
      <c r="FRZ114" s="15"/>
      <c r="FSA114" s="15"/>
      <c r="FSB114" s="15"/>
      <c r="FSC114" s="15"/>
      <c r="FSD114" s="14"/>
      <c r="FSE114" s="15"/>
      <c r="FSF114" s="15"/>
      <c r="FSG114" s="15"/>
      <c r="FSH114" s="15"/>
      <c r="FSI114" s="15"/>
      <c r="FSJ114" s="15"/>
      <c r="FSK114" s="15"/>
      <c r="FSL114" s="15"/>
      <c r="FSM114" s="15"/>
      <c r="FSN114" s="15"/>
      <c r="FSO114" s="15"/>
      <c r="FSP114" s="15"/>
      <c r="FSQ114" s="15"/>
      <c r="FSR114" s="15"/>
      <c r="FSS114" s="15"/>
      <c r="FST114" s="15"/>
      <c r="FSU114" s="15"/>
      <c r="FSV114" s="15"/>
      <c r="FSW114" s="15"/>
      <c r="FSX114" s="15"/>
      <c r="FSY114" s="15"/>
      <c r="FSZ114" s="14"/>
      <c r="FTA114" s="15"/>
      <c r="FTB114" s="15"/>
      <c r="FTC114" s="15"/>
      <c r="FTD114" s="15"/>
      <c r="FTE114" s="15"/>
      <c r="FTF114" s="15"/>
      <c r="FTG114" s="15"/>
      <c r="FTH114" s="15"/>
      <c r="FTI114" s="15"/>
      <c r="FTJ114" s="15"/>
      <c r="FTK114" s="15"/>
      <c r="FTL114" s="15"/>
      <c r="FTM114" s="15"/>
      <c r="FTN114" s="15"/>
      <c r="FTO114" s="15"/>
      <c r="FTP114" s="15"/>
      <c r="FTQ114" s="15"/>
      <c r="FTR114" s="15"/>
      <c r="FTS114" s="15"/>
      <c r="FTT114" s="15"/>
      <c r="FTU114" s="15"/>
      <c r="FTV114" s="14"/>
      <c r="FTW114" s="15"/>
      <c r="FTX114" s="15"/>
      <c r="FTY114" s="15"/>
      <c r="FTZ114" s="15"/>
      <c r="FUA114" s="15"/>
      <c r="FUB114" s="15"/>
      <c r="FUC114" s="15"/>
      <c r="FUD114" s="15"/>
      <c r="FUE114" s="15"/>
      <c r="FUF114" s="15"/>
      <c r="FUG114" s="15"/>
      <c r="FUH114" s="15"/>
      <c r="FUI114" s="15"/>
      <c r="FUJ114" s="15"/>
      <c r="FUK114" s="15"/>
      <c r="FUL114" s="15"/>
      <c r="FUM114" s="15"/>
      <c r="FUN114" s="15"/>
      <c r="FUO114" s="15"/>
      <c r="FUP114" s="15"/>
      <c r="FUQ114" s="15"/>
      <c r="FUR114" s="14"/>
      <c r="FUS114" s="15"/>
      <c r="FUT114" s="15"/>
      <c r="FUU114" s="15"/>
      <c r="FUV114" s="15"/>
      <c r="FUW114" s="15"/>
      <c r="FUX114" s="15"/>
      <c r="FUY114" s="15"/>
      <c r="FUZ114" s="15"/>
      <c r="FVA114" s="15"/>
      <c r="FVB114" s="15"/>
      <c r="FVC114" s="15"/>
      <c r="FVD114" s="15"/>
      <c r="FVE114" s="15"/>
      <c r="FVF114" s="15"/>
      <c r="FVG114" s="15"/>
      <c r="FVH114" s="15"/>
      <c r="FVI114" s="15"/>
      <c r="FVJ114" s="15"/>
      <c r="FVK114" s="15"/>
      <c r="FVL114" s="15"/>
      <c r="FVM114" s="15"/>
      <c r="FVN114" s="14"/>
      <c r="FVO114" s="15"/>
      <c r="FVP114" s="15"/>
      <c r="FVQ114" s="15"/>
      <c r="FVR114" s="15"/>
      <c r="FVS114" s="15"/>
      <c r="FVT114" s="15"/>
      <c r="FVU114" s="15"/>
      <c r="FVV114" s="15"/>
      <c r="FVW114" s="15"/>
      <c r="FVX114" s="15"/>
      <c r="FVY114" s="15"/>
      <c r="FVZ114" s="15"/>
      <c r="FWA114" s="15"/>
      <c r="FWB114" s="15"/>
      <c r="FWC114" s="15"/>
      <c r="FWD114" s="15"/>
      <c r="FWE114" s="15"/>
      <c r="FWF114" s="15"/>
      <c r="FWG114" s="15"/>
      <c r="FWH114" s="15"/>
      <c r="FWI114" s="15"/>
      <c r="FWJ114" s="14"/>
      <c r="FWK114" s="15"/>
      <c r="FWL114" s="15"/>
      <c r="FWM114" s="15"/>
      <c r="FWN114" s="15"/>
      <c r="FWO114" s="15"/>
      <c r="FWP114" s="15"/>
      <c r="FWQ114" s="15"/>
      <c r="FWR114" s="15"/>
      <c r="FWS114" s="15"/>
      <c r="FWT114" s="15"/>
      <c r="FWU114" s="15"/>
      <c r="FWV114" s="15"/>
      <c r="FWW114" s="15"/>
      <c r="FWX114" s="15"/>
      <c r="FWY114" s="15"/>
      <c r="FWZ114" s="15"/>
      <c r="FXA114" s="15"/>
      <c r="FXB114" s="15"/>
      <c r="FXC114" s="15"/>
      <c r="FXD114" s="15"/>
      <c r="FXE114" s="15"/>
      <c r="FXF114" s="14"/>
      <c r="FXG114" s="15"/>
      <c r="FXH114" s="15"/>
      <c r="FXI114" s="15"/>
      <c r="FXJ114" s="15"/>
      <c r="FXK114" s="15"/>
      <c r="FXL114" s="15"/>
      <c r="FXM114" s="15"/>
      <c r="FXN114" s="15"/>
      <c r="FXO114" s="15"/>
      <c r="FXP114" s="15"/>
      <c r="FXQ114" s="15"/>
      <c r="FXR114" s="15"/>
      <c r="FXS114" s="15"/>
      <c r="FXT114" s="15"/>
      <c r="FXU114" s="15"/>
      <c r="FXV114" s="15"/>
      <c r="FXW114" s="15"/>
      <c r="FXX114" s="15"/>
      <c r="FXY114" s="15"/>
      <c r="FXZ114" s="15"/>
      <c r="FYA114" s="15"/>
      <c r="FYB114" s="14"/>
      <c r="FYC114" s="15"/>
      <c r="FYD114" s="15"/>
      <c r="FYE114" s="15"/>
      <c r="FYF114" s="15"/>
      <c r="FYG114" s="15"/>
      <c r="FYH114" s="15"/>
      <c r="FYI114" s="15"/>
      <c r="FYJ114" s="15"/>
      <c r="FYK114" s="15"/>
      <c r="FYL114" s="15"/>
      <c r="FYM114" s="15"/>
      <c r="FYN114" s="15"/>
      <c r="FYO114" s="15"/>
      <c r="FYP114" s="15"/>
      <c r="FYQ114" s="15"/>
      <c r="FYR114" s="15"/>
      <c r="FYS114" s="15"/>
      <c r="FYT114" s="15"/>
      <c r="FYU114" s="15"/>
      <c r="FYV114" s="15"/>
      <c r="FYW114" s="15"/>
      <c r="FYX114" s="14"/>
      <c r="FYY114" s="15"/>
      <c r="FYZ114" s="15"/>
      <c r="FZA114" s="15"/>
      <c r="FZB114" s="15"/>
      <c r="FZC114" s="15"/>
      <c r="FZD114" s="15"/>
      <c r="FZE114" s="15"/>
      <c r="FZF114" s="15"/>
      <c r="FZG114" s="15"/>
      <c r="FZH114" s="15"/>
      <c r="FZI114" s="15"/>
      <c r="FZJ114" s="15"/>
      <c r="FZK114" s="15"/>
      <c r="FZL114" s="15"/>
      <c r="FZM114" s="15"/>
      <c r="FZN114" s="15"/>
      <c r="FZO114" s="15"/>
      <c r="FZP114" s="15"/>
      <c r="FZQ114" s="15"/>
      <c r="FZR114" s="15"/>
      <c r="FZS114" s="15"/>
      <c r="FZT114" s="14"/>
      <c r="FZU114" s="15"/>
      <c r="FZV114" s="15"/>
      <c r="FZW114" s="15"/>
      <c r="FZX114" s="15"/>
      <c r="FZY114" s="15"/>
      <c r="FZZ114" s="15"/>
      <c r="GAA114" s="15"/>
      <c r="GAB114" s="15"/>
      <c r="GAC114" s="15"/>
      <c r="GAD114" s="15"/>
      <c r="GAE114" s="15"/>
      <c r="GAF114" s="15"/>
      <c r="GAG114" s="15"/>
      <c r="GAH114" s="15"/>
      <c r="GAI114" s="15"/>
      <c r="GAJ114" s="15"/>
      <c r="GAK114" s="15"/>
      <c r="GAL114" s="15"/>
      <c r="GAM114" s="15"/>
      <c r="GAN114" s="15"/>
      <c r="GAO114" s="15"/>
      <c r="GAP114" s="14"/>
      <c r="GAQ114" s="15"/>
      <c r="GAR114" s="15"/>
      <c r="GAS114" s="15"/>
      <c r="GAT114" s="15"/>
      <c r="GAU114" s="15"/>
      <c r="GAV114" s="15"/>
      <c r="GAW114" s="15"/>
      <c r="GAX114" s="15"/>
      <c r="GAY114" s="15"/>
      <c r="GAZ114" s="15"/>
      <c r="GBA114" s="15"/>
      <c r="GBB114" s="15"/>
      <c r="GBC114" s="15"/>
      <c r="GBD114" s="15"/>
      <c r="GBE114" s="15"/>
      <c r="GBF114" s="15"/>
      <c r="GBG114" s="15"/>
      <c r="GBH114" s="15"/>
      <c r="GBI114" s="15"/>
      <c r="GBJ114" s="15"/>
      <c r="GBK114" s="15"/>
      <c r="GBL114" s="14"/>
      <c r="GBM114" s="15"/>
      <c r="GBN114" s="15"/>
      <c r="GBO114" s="15"/>
      <c r="GBP114" s="15"/>
      <c r="GBQ114" s="15"/>
      <c r="GBR114" s="15"/>
      <c r="GBS114" s="15"/>
      <c r="GBT114" s="15"/>
      <c r="GBU114" s="15"/>
      <c r="GBV114" s="15"/>
      <c r="GBW114" s="15"/>
      <c r="GBX114" s="15"/>
      <c r="GBY114" s="15"/>
      <c r="GBZ114" s="15"/>
      <c r="GCA114" s="15"/>
      <c r="GCB114" s="15"/>
      <c r="GCC114" s="15"/>
      <c r="GCD114" s="15"/>
      <c r="GCE114" s="15"/>
      <c r="GCF114" s="15"/>
      <c r="GCG114" s="15"/>
      <c r="GCH114" s="14"/>
      <c r="GCI114" s="15"/>
      <c r="GCJ114" s="15"/>
      <c r="GCK114" s="15"/>
      <c r="GCL114" s="15"/>
      <c r="GCM114" s="15"/>
      <c r="GCN114" s="15"/>
      <c r="GCO114" s="15"/>
      <c r="GCP114" s="15"/>
      <c r="GCQ114" s="15"/>
      <c r="GCR114" s="15"/>
      <c r="GCS114" s="15"/>
      <c r="GCT114" s="15"/>
      <c r="GCU114" s="15"/>
      <c r="GCV114" s="15"/>
      <c r="GCW114" s="15"/>
      <c r="GCX114" s="15"/>
      <c r="GCY114" s="15"/>
      <c r="GCZ114" s="15"/>
      <c r="GDA114" s="15"/>
      <c r="GDB114" s="15"/>
      <c r="GDC114" s="15"/>
      <c r="GDD114" s="14"/>
      <c r="GDE114" s="15"/>
      <c r="GDF114" s="15"/>
      <c r="GDG114" s="15"/>
      <c r="GDH114" s="15"/>
      <c r="GDI114" s="15"/>
      <c r="GDJ114" s="15"/>
      <c r="GDK114" s="15"/>
      <c r="GDL114" s="15"/>
      <c r="GDM114" s="15"/>
      <c r="GDN114" s="15"/>
      <c r="GDO114" s="15"/>
      <c r="GDP114" s="15"/>
      <c r="GDQ114" s="15"/>
      <c r="GDR114" s="15"/>
      <c r="GDS114" s="15"/>
      <c r="GDT114" s="15"/>
      <c r="GDU114" s="15"/>
      <c r="GDV114" s="15"/>
      <c r="GDW114" s="15"/>
      <c r="GDX114" s="15"/>
      <c r="GDY114" s="15"/>
      <c r="GDZ114" s="14"/>
      <c r="GEA114" s="15"/>
      <c r="GEB114" s="15"/>
      <c r="GEC114" s="15"/>
      <c r="GED114" s="15"/>
      <c r="GEE114" s="15"/>
      <c r="GEF114" s="15"/>
      <c r="GEG114" s="15"/>
      <c r="GEH114" s="15"/>
      <c r="GEI114" s="15"/>
      <c r="GEJ114" s="15"/>
      <c r="GEK114" s="15"/>
      <c r="GEL114" s="15"/>
      <c r="GEM114" s="15"/>
      <c r="GEN114" s="15"/>
      <c r="GEO114" s="15"/>
      <c r="GEP114" s="15"/>
      <c r="GEQ114" s="15"/>
      <c r="GER114" s="15"/>
      <c r="GES114" s="15"/>
      <c r="GET114" s="15"/>
      <c r="GEU114" s="15"/>
      <c r="GEV114" s="14"/>
      <c r="GEW114" s="15"/>
      <c r="GEX114" s="15"/>
      <c r="GEY114" s="15"/>
      <c r="GEZ114" s="15"/>
      <c r="GFA114" s="15"/>
      <c r="GFB114" s="15"/>
      <c r="GFC114" s="15"/>
      <c r="GFD114" s="15"/>
      <c r="GFE114" s="15"/>
      <c r="GFF114" s="15"/>
      <c r="GFG114" s="15"/>
      <c r="GFH114" s="15"/>
      <c r="GFI114" s="15"/>
      <c r="GFJ114" s="15"/>
      <c r="GFK114" s="15"/>
      <c r="GFL114" s="15"/>
      <c r="GFM114" s="15"/>
      <c r="GFN114" s="15"/>
      <c r="GFO114" s="15"/>
      <c r="GFP114" s="15"/>
      <c r="GFQ114" s="15"/>
      <c r="GFR114" s="14"/>
      <c r="GFS114" s="15"/>
      <c r="GFT114" s="15"/>
      <c r="GFU114" s="15"/>
      <c r="GFV114" s="15"/>
      <c r="GFW114" s="15"/>
      <c r="GFX114" s="15"/>
      <c r="GFY114" s="15"/>
      <c r="GFZ114" s="15"/>
      <c r="GGA114" s="15"/>
      <c r="GGB114" s="15"/>
      <c r="GGC114" s="15"/>
      <c r="GGD114" s="15"/>
      <c r="GGE114" s="15"/>
      <c r="GGF114" s="15"/>
      <c r="GGG114" s="15"/>
      <c r="GGH114" s="15"/>
      <c r="GGI114" s="15"/>
      <c r="GGJ114" s="15"/>
      <c r="GGK114" s="15"/>
      <c r="GGL114" s="15"/>
      <c r="GGM114" s="15"/>
      <c r="GGN114" s="14"/>
      <c r="GGO114" s="15"/>
      <c r="GGP114" s="15"/>
      <c r="GGQ114" s="15"/>
      <c r="GGR114" s="15"/>
      <c r="GGS114" s="15"/>
      <c r="GGT114" s="15"/>
      <c r="GGU114" s="15"/>
      <c r="GGV114" s="15"/>
      <c r="GGW114" s="15"/>
      <c r="GGX114" s="15"/>
      <c r="GGY114" s="15"/>
      <c r="GGZ114" s="15"/>
      <c r="GHA114" s="15"/>
      <c r="GHB114" s="15"/>
      <c r="GHC114" s="15"/>
      <c r="GHD114" s="15"/>
      <c r="GHE114" s="15"/>
      <c r="GHF114" s="15"/>
      <c r="GHG114" s="15"/>
      <c r="GHH114" s="15"/>
      <c r="GHI114" s="15"/>
      <c r="GHJ114" s="14"/>
      <c r="GHK114" s="15"/>
      <c r="GHL114" s="15"/>
      <c r="GHM114" s="15"/>
      <c r="GHN114" s="15"/>
      <c r="GHO114" s="15"/>
      <c r="GHP114" s="15"/>
      <c r="GHQ114" s="15"/>
      <c r="GHR114" s="15"/>
      <c r="GHS114" s="15"/>
      <c r="GHT114" s="15"/>
      <c r="GHU114" s="15"/>
      <c r="GHV114" s="15"/>
      <c r="GHW114" s="15"/>
      <c r="GHX114" s="15"/>
      <c r="GHY114" s="15"/>
      <c r="GHZ114" s="15"/>
      <c r="GIA114" s="15"/>
      <c r="GIB114" s="15"/>
      <c r="GIC114" s="15"/>
      <c r="GID114" s="15"/>
      <c r="GIE114" s="15"/>
      <c r="GIF114" s="14"/>
      <c r="GIG114" s="15"/>
      <c r="GIH114" s="15"/>
      <c r="GII114" s="15"/>
      <c r="GIJ114" s="15"/>
      <c r="GIK114" s="15"/>
      <c r="GIL114" s="15"/>
      <c r="GIM114" s="15"/>
      <c r="GIN114" s="15"/>
      <c r="GIO114" s="15"/>
      <c r="GIP114" s="15"/>
      <c r="GIQ114" s="15"/>
      <c r="GIR114" s="15"/>
      <c r="GIS114" s="15"/>
      <c r="GIT114" s="15"/>
      <c r="GIU114" s="15"/>
      <c r="GIV114" s="15"/>
      <c r="GIW114" s="15"/>
      <c r="GIX114" s="15"/>
      <c r="GIY114" s="15"/>
      <c r="GIZ114" s="15"/>
      <c r="GJA114" s="15"/>
      <c r="GJB114" s="14"/>
      <c r="GJC114" s="15"/>
      <c r="GJD114" s="15"/>
      <c r="GJE114" s="15"/>
      <c r="GJF114" s="15"/>
      <c r="GJG114" s="15"/>
      <c r="GJH114" s="15"/>
      <c r="GJI114" s="15"/>
      <c r="GJJ114" s="15"/>
      <c r="GJK114" s="15"/>
      <c r="GJL114" s="15"/>
      <c r="GJM114" s="15"/>
      <c r="GJN114" s="15"/>
      <c r="GJO114" s="15"/>
      <c r="GJP114" s="15"/>
      <c r="GJQ114" s="15"/>
      <c r="GJR114" s="15"/>
      <c r="GJS114" s="15"/>
      <c r="GJT114" s="15"/>
      <c r="GJU114" s="15"/>
      <c r="GJV114" s="15"/>
      <c r="GJW114" s="15"/>
      <c r="GJX114" s="14"/>
      <c r="GJY114" s="15"/>
      <c r="GJZ114" s="15"/>
      <c r="GKA114" s="15"/>
      <c r="GKB114" s="15"/>
      <c r="GKC114" s="15"/>
      <c r="GKD114" s="15"/>
      <c r="GKE114" s="15"/>
      <c r="GKF114" s="15"/>
      <c r="GKG114" s="15"/>
      <c r="GKH114" s="15"/>
      <c r="GKI114" s="15"/>
      <c r="GKJ114" s="15"/>
      <c r="GKK114" s="15"/>
      <c r="GKL114" s="15"/>
      <c r="GKM114" s="15"/>
      <c r="GKN114" s="15"/>
      <c r="GKO114" s="15"/>
      <c r="GKP114" s="15"/>
      <c r="GKQ114" s="15"/>
      <c r="GKR114" s="15"/>
      <c r="GKS114" s="15"/>
      <c r="GKT114" s="14"/>
      <c r="GKU114" s="15"/>
      <c r="GKV114" s="15"/>
      <c r="GKW114" s="15"/>
      <c r="GKX114" s="15"/>
      <c r="GKY114" s="15"/>
      <c r="GKZ114" s="15"/>
      <c r="GLA114" s="15"/>
      <c r="GLB114" s="15"/>
      <c r="GLC114" s="15"/>
      <c r="GLD114" s="15"/>
      <c r="GLE114" s="15"/>
      <c r="GLF114" s="15"/>
      <c r="GLG114" s="15"/>
      <c r="GLH114" s="15"/>
      <c r="GLI114" s="15"/>
      <c r="GLJ114" s="15"/>
      <c r="GLK114" s="15"/>
      <c r="GLL114" s="15"/>
      <c r="GLM114" s="15"/>
      <c r="GLN114" s="15"/>
      <c r="GLO114" s="15"/>
      <c r="GLP114" s="14"/>
      <c r="GLQ114" s="15"/>
      <c r="GLR114" s="15"/>
      <c r="GLS114" s="15"/>
      <c r="GLT114" s="15"/>
      <c r="GLU114" s="15"/>
      <c r="GLV114" s="15"/>
      <c r="GLW114" s="15"/>
      <c r="GLX114" s="15"/>
      <c r="GLY114" s="15"/>
      <c r="GLZ114" s="15"/>
      <c r="GMA114" s="15"/>
      <c r="GMB114" s="15"/>
      <c r="GMC114" s="15"/>
      <c r="GMD114" s="15"/>
      <c r="GME114" s="15"/>
      <c r="GMF114" s="15"/>
      <c r="GMG114" s="15"/>
      <c r="GMH114" s="15"/>
      <c r="GMI114" s="15"/>
      <c r="GMJ114" s="15"/>
      <c r="GMK114" s="15"/>
      <c r="GML114" s="14"/>
      <c r="GMM114" s="15"/>
      <c r="GMN114" s="15"/>
      <c r="GMO114" s="15"/>
      <c r="GMP114" s="15"/>
      <c r="GMQ114" s="15"/>
      <c r="GMR114" s="15"/>
      <c r="GMS114" s="15"/>
      <c r="GMT114" s="15"/>
      <c r="GMU114" s="15"/>
      <c r="GMV114" s="15"/>
      <c r="GMW114" s="15"/>
      <c r="GMX114" s="15"/>
      <c r="GMY114" s="15"/>
      <c r="GMZ114" s="15"/>
      <c r="GNA114" s="15"/>
      <c r="GNB114" s="15"/>
      <c r="GNC114" s="15"/>
      <c r="GND114" s="15"/>
      <c r="GNE114" s="15"/>
      <c r="GNF114" s="15"/>
      <c r="GNG114" s="15"/>
      <c r="GNH114" s="14"/>
      <c r="GNI114" s="15"/>
      <c r="GNJ114" s="15"/>
      <c r="GNK114" s="15"/>
      <c r="GNL114" s="15"/>
      <c r="GNM114" s="15"/>
      <c r="GNN114" s="15"/>
      <c r="GNO114" s="15"/>
      <c r="GNP114" s="15"/>
      <c r="GNQ114" s="15"/>
      <c r="GNR114" s="15"/>
      <c r="GNS114" s="15"/>
      <c r="GNT114" s="15"/>
      <c r="GNU114" s="15"/>
      <c r="GNV114" s="15"/>
      <c r="GNW114" s="15"/>
      <c r="GNX114" s="15"/>
      <c r="GNY114" s="15"/>
      <c r="GNZ114" s="15"/>
      <c r="GOA114" s="15"/>
      <c r="GOB114" s="15"/>
      <c r="GOC114" s="15"/>
      <c r="GOD114" s="14"/>
      <c r="GOE114" s="15"/>
      <c r="GOF114" s="15"/>
      <c r="GOG114" s="15"/>
      <c r="GOH114" s="15"/>
      <c r="GOI114" s="15"/>
      <c r="GOJ114" s="15"/>
      <c r="GOK114" s="15"/>
      <c r="GOL114" s="15"/>
      <c r="GOM114" s="15"/>
      <c r="GON114" s="15"/>
      <c r="GOO114" s="15"/>
      <c r="GOP114" s="15"/>
      <c r="GOQ114" s="15"/>
      <c r="GOR114" s="15"/>
      <c r="GOS114" s="15"/>
      <c r="GOT114" s="15"/>
      <c r="GOU114" s="15"/>
      <c r="GOV114" s="15"/>
      <c r="GOW114" s="15"/>
      <c r="GOX114" s="15"/>
      <c r="GOY114" s="15"/>
      <c r="GOZ114" s="14"/>
      <c r="GPA114" s="15"/>
      <c r="GPB114" s="15"/>
      <c r="GPC114" s="15"/>
      <c r="GPD114" s="15"/>
      <c r="GPE114" s="15"/>
      <c r="GPF114" s="15"/>
      <c r="GPG114" s="15"/>
      <c r="GPH114" s="15"/>
      <c r="GPI114" s="15"/>
      <c r="GPJ114" s="15"/>
      <c r="GPK114" s="15"/>
      <c r="GPL114" s="15"/>
      <c r="GPM114" s="15"/>
      <c r="GPN114" s="15"/>
      <c r="GPO114" s="15"/>
      <c r="GPP114" s="15"/>
      <c r="GPQ114" s="15"/>
      <c r="GPR114" s="15"/>
      <c r="GPS114" s="15"/>
      <c r="GPT114" s="15"/>
      <c r="GPU114" s="15"/>
      <c r="GPV114" s="14"/>
      <c r="GPW114" s="15"/>
      <c r="GPX114" s="15"/>
      <c r="GPY114" s="15"/>
      <c r="GPZ114" s="15"/>
      <c r="GQA114" s="15"/>
      <c r="GQB114" s="15"/>
      <c r="GQC114" s="15"/>
      <c r="GQD114" s="15"/>
      <c r="GQE114" s="15"/>
      <c r="GQF114" s="15"/>
      <c r="GQG114" s="15"/>
      <c r="GQH114" s="15"/>
      <c r="GQI114" s="15"/>
      <c r="GQJ114" s="15"/>
      <c r="GQK114" s="15"/>
      <c r="GQL114" s="15"/>
      <c r="GQM114" s="15"/>
      <c r="GQN114" s="15"/>
      <c r="GQO114" s="15"/>
      <c r="GQP114" s="15"/>
      <c r="GQQ114" s="15"/>
      <c r="GQR114" s="14"/>
      <c r="GQS114" s="15"/>
      <c r="GQT114" s="15"/>
      <c r="GQU114" s="15"/>
      <c r="GQV114" s="15"/>
      <c r="GQW114" s="15"/>
      <c r="GQX114" s="15"/>
      <c r="GQY114" s="15"/>
      <c r="GQZ114" s="15"/>
      <c r="GRA114" s="15"/>
      <c r="GRB114" s="15"/>
      <c r="GRC114" s="15"/>
      <c r="GRD114" s="15"/>
      <c r="GRE114" s="15"/>
      <c r="GRF114" s="15"/>
      <c r="GRG114" s="15"/>
      <c r="GRH114" s="15"/>
      <c r="GRI114" s="15"/>
      <c r="GRJ114" s="15"/>
      <c r="GRK114" s="15"/>
      <c r="GRL114" s="15"/>
      <c r="GRM114" s="15"/>
      <c r="GRN114" s="14"/>
      <c r="GRO114" s="15"/>
      <c r="GRP114" s="15"/>
      <c r="GRQ114" s="15"/>
      <c r="GRR114" s="15"/>
      <c r="GRS114" s="15"/>
      <c r="GRT114" s="15"/>
      <c r="GRU114" s="15"/>
      <c r="GRV114" s="15"/>
      <c r="GRW114" s="15"/>
      <c r="GRX114" s="15"/>
      <c r="GRY114" s="15"/>
      <c r="GRZ114" s="15"/>
      <c r="GSA114" s="15"/>
      <c r="GSB114" s="15"/>
      <c r="GSC114" s="15"/>
      <c r="GSD114" s="15"/>
      <c r="GSE114" s="15"/>
      <c r="GSF114" s="15"/>
      <c r="GSG114" s="15"/>
      <c r="GSH114" s="15"/>
      <c r="GSI114" s="15"/>
      <c r="GSJ114" s="14"/>
      <c r="GSK114" s="15"/>
      <c r="GSL114" s="15"/>
      <c r="GSM114" s="15"/>
      <c r="GSN114" s="15"/>
      <c r="GSO114" s="15"/>
      <c r="GSP114" s="15"/>
      <c r="GSQ114" s="15"/>
      <c r="GSR114" s="15"/>
      <c r="GSS114" s="15"/>
      <c r="GST114" s="15"/>
      <c r="GSU114" s="15"/>
      <c r="GSV114" s="15"/>
      <c r="GSW114" s="15"/>
      <c r="GSX114" s="15"/>
      <c r="GSY114" s="15"/>
      <c r="GSZ114" s="15"/>
      <c r="GTA114" s="15"/>
      <c r="GTB114" s="15"/>
      <c r="GTC114" s="15"/>
      <c r="GTD114" s="15"/>
      <c r="GTE114" s="15"/>
      <c r="GTF114" s="14"/>
      <c r="GTG114" s="15"/>
      <c r="GTH114" s="15"/>
      <c r="GTI114" s="15"/>
      <c r="GTJ114" s="15"/>
      <c r="GTK114" s="15"/>
      <c r="GTL114" s="15"/>
      <c r="GTM114" s="15"/>
      <c r="GTN114" s="15"/>
      <c r="GTO114" s="15"/>
      <c r="GTP114" s="15"/>
      <c r="GTQ114" s="15"/>
      <c r="GTR114" s="15"/>
      <c r="GTS114" s="15"/>
      <c r="GTT114" s="15"/>
      <c r="GTU114" s="15"/>
      <c r="GTV114" s="15"/>
      <c r="GTW114" s="15"/>
      <c r="GTX114" s="15"/>
      <c r="GTY114" s="15"/>
      <c r="GTZ114" s="15"/>
      <c r="GUA114" s="15"/>
      <c r="GUB114" s="14"/>
      <c r="GUC114" s="15"/>
      <c r="GUD114" s="15"/>
      <c r="GUE114" s="15"/>
      <c r="GUF114" s="15"/>
      <c r="GUG114" s="15"/>
      <c r="GUH114" s="15"/>
      <c r="GUI114" s="15"/>
      <c r="GUJ114" s="15"/>
      <c r="GUK114" s="15"/>
      <c r="GUL114" s="15"/>
      <c r="GUM114" s="15"/>
      <c r="GUN114" s="15"/>
      <c r="GUO114" s="15"/>
      <c r="GUP114" s="15"/>
      <c r="GUQ114" s="15"/>
      <c r="GUR114" s="15"/>
      <c r="GUS114" s="15"/>
      <c r="GUT114" s="15"/>
      <c r="GUU114" s="15"/>
      <c r="GUV114" s="15"/>
      <c r="GUW114" s="15"/>
      <c r="GUX114" s="14"/>
      <c r="GUY114" s="15"/>
      <c r="GUZ114" s="15"/>
      <c r="GVA114" s="15"/>
      <c r="GVB114" s="15"/>
      <c r="GVC114" s="15"/>
      <c r="GVD114" s="15"/>
      <c r="GVE114" s="15"/>
      <c r="GVF114" s="15"/>
      <c r="GVG114" s="15"/>
      <c r="GVH114" s="15"/>
      <c r="GVI114" s="15"/>
      <c r="GVJ114" s="15"/>
      <c r="GVK114" s="15"/>
      <c r="GVL114" s="15"/>
      <c r="GVM114" s="15"/>
      <c r="GVN114" s="15"/>
      <c r="GVO114" s="15"/>
      <c r="GVP114" s="15"/>
      <c r="GVQ114" s="15"/>
      <c r="GVR114" s="15"/>
      <c r="GVS114" s="15"/>
      <c r="GVT114" s="14"/>
      <c r="GVU114" s="15"/>
      <c r="GVV114" s="15"/>
      <c r="GVW114" s="15"/>
      <c r="GVX114" s="15"/>
      <c r="GVY114" s="15"/>
      <c r="GVZ114" s="15"/>
      <c r="GWA114" s="15"/>
      <c r="GWB114" s="15"/>
      <c r="GWC114" s="15"/>
      <c r="GWD114" s="15"/>
      <c r="GWE114" s="15"/>
      <c r="GWF114" s="15"/>
      <c r="GWG114" s="15"/>
      <c r="GWH114" s="15"/>
      <c r="GWI114" s="15"/>
      <c r="GWJ114" s="15"/>
      <c r="GWK114" s="15"/>
      <c r="GWL114" s="15"/>
      <c r="GWM114" s="15"/>
      <c r="GWN114" s="15"/>
      <c r="GWO114" s="15"/>
      <c r="GWP114" s="14"/>
      <c r="GWQ114" s="15"/>
      <c r="GWR114" s="15"/>
      <c r="GWS114" s="15"/>
      <c r="GWT114" s="15"/>
      <c r="GWU114" s="15"/>
      <c r="GWV114" s="15"/>
      <c r="GWW114" s="15"/>
      <c r="GWX114" s="15"/>
      <c r="GWY114" s="15"/>
      <c r="GWZ114" s="15"/>
      <c r="GXA114" s="15"/>
      <c r="GXB114" s="15"/>
      <c r="GXC114" s="15"/>
      <c r="GXD114" s="15"/>
      <c r="GXE114" s="15"/>
      <c r="GXF114" s="15"/>
      <c r="GXG114" s="15"/>
      <c r="GXH114" s="15"/>
      <c r="GXI114" s="15"/>
      <c r="GXJ114" s="15"/>
      <c r="GXK114" s="15"/>
      <c r="GXL114" s="14"/>
      <c r="GXM114" s="15"/>
      <c r="GXN114" s="15"/>
      <c r="GXO114" s="15"/>
      <c r="GXP114" s="15"/>
      <c r="GXQ114" s="15"/>
      <c r="GXR114" s="15"/>
      <c r="GXS114" s="15"/>
      <c r="GXT114" s="15"/>
      <c r="GXU114" s="15"/>
      <c r="GXV114" s="15"/>
      <c r="GXW114" s="15"/>
      <c r="GXX114" s="15"/>
      <c r="GXY114" s="15"/>
      <c r="GXZ114" s="15"/>
      <c r="GYA114" s="15"/>
      <c r="GYB114" s="15"/>
      <c r="GYC114" s="15"/>
      <c r="GYD114" s="15"/>
      <c r="GYE114" s="15"/>
      <c r="GYF114" s="15"/>
      <c r="GYG114" s="15"/>
      <c r="GYH114" s="14"/>
      <c r="GYI114" s="15"/>
      <c r="GYJ114" s="15"/>
      <c r="GYK114" s="15"/>
      <c r="GYL114" s="15"/>
      <c r="GYM114" s="15"/>
      <c r="GYN114" s="15"/>
      <c r="GYO114" s="15"/>
      <c r="GYP114" s="15"/>
      <c r="GYQ114" s="15"/>
      <c r="GYR114" s="15"/>
      <c r="GYS114" s="15"/>
      <c r="GYT114" s="15"/>
      <c r="GYU114" s="15"/>
      <c r="GYV114" s="15"/>
      <c r="GYW114" s="15"/>
      <c r="GYX114" s="15"/>
      <c r="GYY114" s="15"/>
      <c r="GYZ114" s="15"/>
      <c r="GZA114" s="15"/>
      <c r="GZB114" s="15"/>
      <c r="GZC114" s="15"/>
      <c r="GZD114" s="14"/>
      <c r="GZE114" s="15"/>
      <c r="GZF114" s="15"/>
      <c r="GZG114" s="15"/>
      <c r="GZH114" s="15"/>
      <c r="GZI114" s="15"/>
      <c r="GZJ114" s="15"/>
      <c r="GZK114" s="15"/>
      <c r="GZL114" s="15"/>
      <c r="GZM114" s="15"/>
      <c r="GZN114" s="15"/>
      <c r="GZO114" s="15"/>
      <c r="GZP114" s="15"/>
      <c r="GZQ114" s="15"/>
      <c r="GZR114" s="15"/>
      <c r="GZS114" s="15"/>
      <c r="GZT114" s="15"/>
      <c r="GZU114" s="15"/>
      <c r="GZV114" s="15"/>
      <c r="GZW114" s="15"/>
      <c r="GZX114" s="15"/>
      <c r="GZY114" s="15"/>
      <c r="GZZ114" s="14"/>
      <c r="HAA114" s="15"/>
      <c r="HAB114" s="15"/>
      <c r="HAC114" s="15"/>
      <c r="HAD114" s="15"/>
      <c r="HAE114" s="15"/>
      <c r="HAF114" s="15"/>
      <c r="HAG114" s="15"/>
      <c r="HAH114" s="15"/>
      <c r="HAI114" s="15"/>
      <c r="HAJ114" s="15"/>
      <c r="HAK114" s="15"/>
      <c r="HAL114" s="15"/>
      <c r="HAM114" s="15"/>
      <c r="HAN114" s="15"/>
      <c r="HAO114" s="15"/>
      <c r="HAP114" s="15"/>
      <c r="HAQ114" s="15"/>
      <c r="HAR114" s="15"/>
      <c r="HAS114" s="15"/>
      <c r="HAT114" s="15"/>
      <c r="HAU114" s="15"/>
      <c r="HAV114" s="14"/>
      <c r="HAW114" s="15"/>
      <c r="HAX114" s="15"/>
      <c r="HAY114" s="15"/>
      <c r="HAZ114" s="15"/>
      <c r="HBA114" s="15"/>
      <c r="HBB114" s="15"/>
      <c r="HBC114" s="15"/>
      <c r="HBD114" s="15"/>
      <c r="HBE114" s="15"/>
      <c r="HBF114" s="15"/>
      <c r="HBG114" s="15"/>
      <c r="HBH114" s="15"/>
      <c r="HBI114" s="15"/>
      <c r="HBJ114" s="15"/>
      <c r="HBK114" s="15"/>
      <c r="HBL114" s="15"/>
      <c r="HBM114" s="15"/>
      <c r="HBN114" s="15"/>
      <c r="HBO114" s="15"/>
      <c r="HBP114" s="15"/>
      <c r="HBQ114" s="15"/>
      <c r="HBR114" s="14"/>
      <c r="HBS114" s="15"/>
      <c r="HBT114" s="15"/>
      <c r="HBU114" s="15"/>
      <c r="HBV114" s="15"/>
      <c r="HBW114" s="15"/>
      <c r="HBX114" s="15"/>
      <c r="HBY114" s="15"/>
      <c r="HBZ114" s="15"/>
      <c r="HCA114" s="15"/>
      <c r="HCB114" s="15"/>
      <c r="HCC114" s="15"/>
      <c r="HCD114" s="15"/>
      <c r="HCE114" s="15"/>
      <c r="HCF114" s="15"/>
      <c r="HCG114" s="15"/>
      <c r="HCH114" s="15"/>
      <c r="HCI114" s="15"/>
      <c r="HCJ114" s="15"/>
      <c r="HCK114" s="15"/>
      <c r="HCL114" s="15"/>
      <c r="HCM114" s="15"/>
      <c r="HCN114" s="14"/>
      <c r="HCO114" s="15"/>
      <c r="HCP114" s="15"/>
      <c r="HCQ114" s="15"/>
      <c r="HCR114" s="15"/>
      <c r="HCS114" s="15"/>
      <c r="HCT114" s="15"/>
      <c r="HCU114" s="15"/>
      <c r="HCV114" s="15"/>
      <c r="HCW114" s="15"/>
      <c r="HCX114" s="15"/>
      <c r="HCY114" s="15"/>
      <c r="HCZ114" s="15"/>
      <c r="HDA114" s="15"/>
      <c r="HDB114" s="15"/>
      <c r="HDC114" s="15"/>
      <c r="HDD114" s="15"/>
      <c r="HDE114" s="15"/>
      <c r="HDF114" s="15"/>
      <c r="HDG114" s="15"/>
      <c r="HDH114" s="15"/>
      <c r="HDI114" s="15"/>
      <c r="HDJ114" s="14"/>
      <c r="HDK114" s="15"/>
      <c r="HDL114" s="15"/>
      <c r="HDM114" s="15"/>
      <c r="HDN114" s="15"/>
      <c r="HDO114" s="15"/>
      <c r="HDP114" s="15"/>
      <c r="HDQ114" s="15"/>
      <c r="HDR114" s="15"/>
      <c r="HDS114" s="15"/>
      <c r="HDT114" s="15"/>
      <c r="HDU114" s="15"/>
      <c r="HDV114" s="15"/>
      <c r="HDW114" s="15"/>
      <c r="HDX114" s="15"/>
      <c r="HDY114" s="15"/>
      <c r="HDZ114" s="15"/>
      <c r="HEA114" s="15"/>
      <c r="HEB114" s="15"/>
      <c r="HEC114" s="15"/>
      <c r="HED114" s="15"/>
      <c r="HEE114" s="15"/>
      <c r="HEF114" s="14"/>
      <c r="HEG114" s="15"/>
      <c r="HEH114" s="15"/>
      <c r="HEI114" s="15"/>
      <c r="HEJ114" s="15"/>
      <c r="HEK114" s="15"/>
      <c r="HEL114" s="15"/>
      <c r="HEM114" s="15"/>
      <c r="HEN114" s="15"/>
      <c r="HEO114" s="15"/>
      <c r="HEP114" s="15"/>
      <c r="HEQ114" s="15"/>
      <c r="HER114" s="15"/>
      <c r="HES114" s="15"/>
      <c r="HET114" s="15"/>
      <c r="HEU114" s="15"/>
      <c r="HEV114" s="15"/>
      <c r="HEW114" s="15"/>
      <c r="HEX114" s="15"/>
      <c r="HEY114" s="15"/>
      <c r="HEZ114" s="15"/>
      <c r="HFA114" s="15"/>
      <c r="HFB114" s="14"/>
      <c r="HFC114" s="15"/>
      <c r="HFD114" s="15"/>
      <c r="HFE114" s="15"/>
      <c r="HFF114" s="15"/>
      <c r="HFG114" s="15"/>
      <c r="HFH114" s="15"/>
      <c r="HFI114" s="15"/>
      <c r="HFJ114" s="15"/>
      <c r="HFK114" s="15"/>
      <c r="HFL114" s="15"/>
      <c r="HFM114" s="15"/>
      <c r="HFN114" s="15"/>
      <c r="HFO114" s="15"/>
      <c r="HFP114" s="15"/>
      <c r="HFQ114" s="15"/>
      <c r="HFR114" s="15"/>
      <c r="HFS114" s="15"/>
      <c r="HFT114" s="15"/>
      <c r="HFU114" s="15"/>
      <c r="HFV114" s="15"/>
      <c r="HFW114" s="15"/>
      <c r="HFX114" s="14"/>
      <c r="HFY114" s="15"/>
      <c r="HFZ114" s="15"/>
      <c r="HGA114" s="15"/>
      <c r="HGB114" s="15"/>
      <c r="HGC114" s="15"/>
      <c r="HGD114" s="15"/>
      <c r="HGE114" s="15"/>
      <c r="HGF114" s="15"/>
      <c r="HGG114" s="15"/>
      <c r="HGH114" s="15"/>
      <c r="HGI114" s="15"/>
      <c r="HGJ114" s="15"/>
      <c r="HGK114" s="15"/>
      <c r="HGL114" s="15"/>
      <c r="HGM114" s="15"/>
      <c r="HGN114" s="15"/>
      <c r="HGO114" s="15"/>
      <c r="HGP114" s="15"/>
      <c r="HGQ114" s="15"/>
      <c r="HGR114" s="15"/>
      <c r="HGS114" s="15"/>
      <c r="HGT114" s="14"/>
      <c r="HGU114" s="15"/>
      <c r="HGV114" s="15"/>
      <c r="HGW114" s="15"/>
      <c r="HGX114" s="15"/>
      <c r="HGY114" s="15"/>
      <c r="HGZ114" s="15"/>
      <c r="HHA114" s="15"/>
      <c r="HHB114" s="15"/>
      <c r="HHC114" s="15"/>
      <c r="HHD114" s="15"/>
      <c r="HHE114" s="15"/>
      <c r="HHF114" s="15"/>
      <c r="HHG114" s="15"/>
      <c r="HHH114" s="15"/>
      <c r="HHI114" s="15"/>
      <c r="HHJ114" s="15"/>
      <c r="HHK114" s="15"/>
      <c r="HHL114" s="15"/>
      <c r="HHM114" s="15"/>
      <c r="HHN114" s="15"/>
      <c r="HHO114" s="15"/>
      <c r="HHP114" s="14"/>
      <c r="HHQ114" s="15"/>
      <c r="HHR114" s="15"/>
      <c r="HHS114" s="15"/>
      <c r="HHT114" s="15"/>
      <c r="HHU114" s="15"/>
      <c r="HHV114" s="15"/>
      <c r="HHW114" s="15"/>
      <c r="HHX114" s="15"/>
      <c r="HHY114" s="15"/>
      <c r="HHZ114" s="15"/>
      <c r="HIA114" s="15"/>
      <c r="HIB114" s="15"/>
      <c r="HIC114" s="15"/>
      <c r="HID114" s="15"/>
      <c r="HIE114" s="15"/>
      <c r="HIF114" s="15"/>
      <c r="HIG114" s="15"/>
      <c r="HIH114" s="15"/>
      <c r="HII114" s="15"/>
      <c r="HIJ114" s="15"/>
      <c r="HIK114" s="15"/>
      <c r="HIL114" s="14"/>
      <c r="HIM114" s="15"/>
      <c r="HIN114" s="15"/>
      <c r="HIO114" s="15"/>
      <c r="HIP114" s="15"/>
      <c r="HIQ114" s="15"/>
      <c r="HIR114" s="15"/>
      <c r="HIS114" s="15"/>
      <c r="HIT114" s="15"/>
      <c r="HIU114" s="15"/>
      <c r="HIV114" s="15"/>
      <c r="HIW114" s="15"/>
      <c r="HIX114" s="15"/>
      <c r="HIY114" s="15"/>
      <c r="HIZ114" s="15"/>
      <c r="HJA114" s="15"/>
      <c r="HJB114" s="15"/>
      <c r="HJC114" s="15"/>
      <c r="HJD114" s="15"/>
      <c r="HJE114" s="15"/>
      <c r="HJF114" s="15"/>
      <c r="HJG114" s="15"/>
      <c r="HJH114" s="14"/>
      <c r="HJI114" s="15"/>
      <c r="HJJ114" s="15"/>
      <c r="HJK114" s="15"/>
      <c r="HJL114" s="15"/>
      <c r="HJM114" s="15"/>
      <c r="HJN114" s="15"/>
      <c r="HJO114" s="15"/>
      <c r="HJP114" s="15"/>
      <c r="HJQ114" s="15"/>
      <c r="HJR114" s="15"/>
      <c r="HJS114" s="15"/>
      <c r="HJT114" s="15"/>
      <c r="HJU114" s="15"/>
      <c r="HJV114" s="15"/>
      <c r="HJW114" s="15"/>
      <c r="HJX114" s="15"/>
      <c r="HJY114" s="15"/>
      <c r="HJZ114" s="15"/>
      <c r="HKA114" s="15"/>
      <c r="HKB114" s="15"/>
      <c r="HKC114" s="15"/>
      <c r="HKD114" s="14"/>
      <c r="HKE114" s="15"/>
      <c r="HKF114" s="15"/>
      <c r="HKG114" s="15"/>
      <c r="HKH114" s="15"/>
      <c r="HKI114" s="15"/>
      <c r="HKJ114" s="15"/>
      <c r="HKK114" s="15"/>
      <c r="HKL114" s="15"/>
      <c r="HKM114" s="15"/>
      <c r="HKN114" s="15"/>
      <c r="HKO114" s="15"/>
      <c r="HKP114" s="15"/>
      <c r="HKQ114" s="15"/>
      <c r="HKR114" s="15"/>
      <c r="HKS114" s="15"/>
      <c r="HKT114" s="15"/>
      <c r="HKU114" s="15"/>
      <c r="HKV114" s="15"/>
      <c r="HKW114" s="15"/>
      <c r="HKX114" s="15"/>
      <c r="HKY114" s="15"/>
      <c r="HKZ114" s="14"/>
      <c r="HLA114" s="15"/>
      <c r="HLB114" s="15"/>
      <c r="HLC114" s="15"/>
      <c r="HLD114" s="15"/>
      <c r="HLE114" s="15"/>
      <c r="HLF114" s="15"/>
      <c r="HLG114" s="15"/>
      <c r="HLH114" s="15"/>
      <c r="HLI114" s="15"/>
      <c r="HLJ114" s="15"/>
      <c r="HLK114" s="15"/>
      <c r="HLL114" s="15"/>
      <c r="HLM114" s="15"/>
      <c r="HLN114" s="15"/>
      <c r="HLO114" s="15"/>
      <c r="HLP114" s="15"/>
      <c r="HLQ114" s="15"/>
      <c r="HLR114" s="15"/>
      <c r="HLS114" s="15"/>
      <c r="HLT114" s="15"/>
      <c r="HLU114" s="15"/>
      <c r="HLV114" s="14"/>
      <c r="HLW114" s="15"/>
      <c r="HLX114" s="15"/>
      <c r="HLY114" s="15"/>
      <c r="HLZ114" s="15"/>
      <c r="HMA114" s="15"/>
      <c r="HMB114" s="15"/>
      <c r="HMC114" s="15"/>
      <c r="HMD114" s="15"/>
      <c r="HME114" s="15"/>
      <c r="HMF114" s="15"/>
      <c r="HMG114" s="15"/>
      <c r="HMH114" s="15"/>
      <c r="HMI114" s="15"/>
      <c r="HMJ114" s="15"/>
      <c r="HMK114" s="15"/>
      <c r="HML114" s="15"/>
      <c r="HMM114" s="15"/>
      <c r="HMN114" s="15"/>
      <c r="HMO114" s="15"/>
      <c r="HMP114" s="15"/>
      <c r="HMQ114" s="15"/>
      <c r="HMR114" s="14"/>
      <c r="HMS114" s="15"/>
      <c r="HMT114" s="15"/>
      <c r="HMU114" s="15"/>
      <c r="HMV114" s="15"/>
      <c r="HMW114" s="15"/>
      <c r="HMX114" s="15"/>
      <c r="HMY114" s="15"/>
      <c r="HMZ114" s="15"/>
      <c r="HNA114" s="15"/>
      <c r="HNB114" s="15"/>
      <c r="HNC114" s="15"/>
      <c r="HND114" s="15"/>
      <c r="HNE114" s="15"/>
      <c r="HNF114" s="15"/>
      <c r="HNG114" s="15"/>
      <c r="HNH114" s="15"/>
      <c r="HNI114" s="15"/>
      <c r="HNJ114" s="15"/>
      <c r="HNK114" s="15"/>
      <c r="HNL114" s="15"/>
      <c r="HNM114" s="15"/>
      <c r="HNN114" s="14"/>
      <c r="HNO114" s="15"/>
      <c r="HNP114" s="15"/>
      <c r="HNQ114" s="15"/>
      <c r="HNR114" s="15"/>
      <c r="HNS114" s="15"/>
      <c r="HNT114" s="15"/>
      <c r="HNU114" s="15"/>
      <c r="HNV114" s="15"/>
      <c r="HNW114" s="15"/>
      <c r="HNX114" s="15"/>
      <c r="HNY114" s="15"/>
      <c r="HNZ114" s="15"/>
      <c r="HOA114" s="15"/>
      <c r="HOB114" s="15"/>
      <c r="HOC114" s="15"/>
      <c r="HOD114" s="15"/>
      <c r="HOE114" s="15"/>
      <c r="HOF114" s="15"/>
      <c r="HOG114" s="15"/>
      <c r="HOH114" s="15"/>
      <c r="HOI114" s="15"/>
      <c r="HOJ114" s="14"/>
      <c r="HOK114" s="15"/>
      <c r="HOL114" s="15"/>
      <c r="HOM114" s="15"/>
      <c r="HON114" s="15"/>
      <c r="HOO114" s="15"/>
      <c r="HOP114" s="15"/>
      <c r="HOQ114" s="15"/>
      <c r="HOR114" s="15"/>
      <c r="HOS114" s="15"/>
      <c r="HOT114" s="15"/>
      <c r="HOU114" s="15"/>
      <c r="HOV114" s="15"/>
      <c r="HOW114" s="15"/>
      <c r="HOX114" s="15"/>
      <c r="HOY114" s="15"/>
      <c r="HOZ114" s="15"/>
      <c r="HPA114" s="15"/>
      <c r="HPB114" s="15"/>
      <c r="HPC114" s="15"/>
      <c r="HPD114" s="15"/>
      <c r="HPE114" s="15"/>
      <c r="HPF114" s="14"/>
      <c r="HPG114" s="15"/>
      <c r="HPH114" s="15"/>
      <c r="HPI114" s="15"/>
      <c r="HPJ114" s="15"/>
      <c r="HPK114" s="15"/>
      <c r="HPL114" s="15"/>
      <c r="HPM114" s="15"/>
      <c r="HPN114" s="15"/>
      <c r="HPO114" s="15"/>
      <c r="HPP114" s="15"/>
      <c r="HPQ114" s="15"/>
      <c r="HPR114" s="15"/>
      <c r="HPS114" s="15"/>
      <c r="HPT114" s="15"/>
      <c r="HPU114" s="15"/>
      <c r="HPV114" s="15"/>
      <c r="HPW114" s="15"/>
      <c r="HPX114" s="15"/>
      <c r="HPY114" s="15"/>
      <c r="HPZ114" s="15"/>
      <c r="HQA114" s="15"/>
      <c r="HQB114" s="14"/>
      <c r="HQC114" s="15"/>
      <c r="HQD114" s="15"/>
      <c r="HQE114" s="15"/>
      <c r="HQF114" s="15"/>
      <c r="HQG114" s="15"/>
      <c r="HQH114" s="15"/>
      <c r="HQI114" s="15"/>
      <c r="HQJ114" s="15"/>
      <c r="HQK114" s="15"/>
      <c r="HQL114" s="15"/>
      <c r="HQM114" s="15"/>
      <c r="HQN114" s="15"/>
      <c r="HQO114" s="15"/>
      <c r="HQP114" s="15"/>
      <c r="HQQ114" s="15"/>
      <c r="HQR114" s="15"/>
      <c r="HQS114" s="15"/>
      <c r="HQT114" s="15"/>
      <c r="HQU114" s="15"/>
      <c r="HQV114" s="15"/>
      <c r="HQW114" s="15"/>
      <c r="HQX114" s="14"/>
      <c r="HQY114" s="15"/>
      <c r="HQZ114" s="15"/>
      <c r="HRA114" s="15"/>
      <c r="HRB114" s="15"/>
      <c r="HRC114" s="15"/>
      <c r="HRD114" s="15"/>
      <c r="HRE114" s="15"/>
      <c r="HRF114" s="15"/>
      <c r="HRG114" s="15"/>
      <c r="HRH114" s="15"/>
      <c r="HRI114" s="15"/>
      <c r="HRJ114" s="15"/>
      <c r="HRK114" s="15"/>
      <c r="HRL114" s="15"/>
      <c r="HRM114" s="15"/>
      <c r="HRN114" s="15"/>
      <c r="HRO114" s="15"/>
      <c r="HRP114" s="15"/>
      <c r="HRQ114" s="15"/>
      <c r="HRR114" s="15"/>
      <c r="HRS114" s="15"/>
      <c r="HRT114" s="14"/>
      <c r="HRU114" s="15"/>
      <c r="HRV114" s="15"/>
      <c r="HRW114" s="15"/>
      <c r="HRX114" s="15"/>
      <c r="HRY114" s="15"/>
      <c r="HRZ114" s="15"/>
      <c r="HSA114" s="15"/>
      <c r="HSB114" s="15"/>
      <c r="HSC114" s="15"/>
      <c r="HSD114" s="15"/>
      <c r="HSE114" s="15"/>
      <c r="HSF114" s="15"/>
      <c r="HSG114" s="15"/>
      <c r="HSH114" s="15"/>
      <c r="HSI114" s="15"/>
      <c r="HSJ114" s="15"/>
      <c r="HSK114" s="15"/>
      <c r="HSL114" s="15"/>
      <c r="HSM114" s="15"/>
      <c r="HSN114" s="15"/>
      <c r="HSO114" s="15"/>
      <c r="HSP114" s="14"/>
      <c r="HSQ114" s="15"/>
      <c r="HSR114" s="15"/>
      <c r="HSS114" s="15"/>
      <c r="HST114" s="15"/>
      <c r="HSU114" s="15"/>
      <c r="HSV114" s="15"/>
      <c r="HSW114" s="15"/>
      <c r="HSX114" s="15"/>
      <c r="HSY114" s="15"/>
      <c r="HSZ114" s="15"/>
      <c r="HTA114" s="15"/>
      <c r="HTB114" s="15"/>
      <c r="HTC114" s="15"/>
      <c r="HTD114" s="15"/>
      <c r="HTE114" s="15"/>
      <c r="HTF114" s="15"/>
      <c r="HTG114" s="15"/>
      <c r="HTH114" s="15"/>
      <c r="HTI114" s="15"/>
      <c r="HTJ114" s="15"/>
      <c r="HTK114" s="15"/>
      <c r="HTL114" s="14"/>
      <c r="HTM114" s="15"/>
      <c r="HTN114" s="15"/>
      <c r="HTO114" s="15"/>
      <c r="HTP114" s="15"/>
      <c r="HTQ114" s="15"/>
      <c r="HTR114" s="15"/>
      <c r="HTS114" s="15"/>
      <c r="HTT114" s="15"/>
      <c r="HTU114" s="15"/>
      <c r="HTV114" s="15"/>
      <c r="HTW114" s="15"/>
      <c r="HTX114" s="15"/>
      <c r="HTY114" s="15"/>
      <c r="HTZ114" s="15"/>
      <c r="HUA114" s="15"/>
      <c r="HUB114" s="15"/>
      <c r="HUC114" s="15"/>
      <c r="HUD114" s="15"/>
      <c r="HUE114" s="15"/>
      <c r="HUF114" s="15"/>
      <c r="HUG114" s="15"/>
      <c r="HUH114" s="14"/>
      <c r="HUI114" s="15"/>
      <c r="HUJ114" s="15"/>
      <c r="HUK114" s="15"/>
      <c r="HUL114" s="15"/>
      <c r="HUM114" s="15"/>
      <c r="HUN114" s="15"/>
      <c r="HUO114" s="15"/>
      <c r="HUP114" s="15"/>
      <c r="HUQ114" s="15"/>
      <c r="HUR114" s="15"/>
      <c r="HUS114" s="15"/>
      <c r="HUT114" s="15"/>
      <c r="HUU114" s="15"/>
      <c r="HUV114" s="15"/>
      <c r="HUW114" s="15"/>
      <c r="HUX114" s="15"/>
      <c r="HUY114" s="15"/>
      <c r="HUZ114" s="15"/>
      <c r="HVA114" s="15"/>
      <c r="HVB114" s="15"/>
      <c r="HVC114" s="15"/>
      <c r="HVD114" s="14"/>
      <c r="HVE114" s="15"/>
      <c r="HVF114" s="15"/>
      <c r="HVG114" s="15"/>
      <c r="HVH114" s="15"/>
      <c r="HVI114" s="15"/>
      <c r="HVJ114" s="15"/>
      <c r="HVK114" s="15"/>
      <c r="HVL114" s="15"/>
      <c r="HVM114" s="15"/>
      <c r="HVN114" s="15"/>
      <c r="HVO114" s="15"/>
      <c r="HVP114" s="15"/>
      <c r="HVQ114" s="15"/>
      <c r="HVR114" s="15"/>
      <c r="HVS114" s="15"/>
      <c r="HVT114" s="15"/>
      <c r="HVU114" s="15"/>
      <c r="HVV114" s="15"/>
      <c r="HVW114" s="15"/>
      <c r="HVX114" s="15"/>
      <c r="HVY114" s="15"/>
      <c r="HVZ114" s="14"/>
      <c r="HWA114" s="15"/>
      <c r="HWB114" s="15"/>
      <c r="HWC114" s="15"/>
      <c r="HWD114" s="15"/>
      <c r="HWE114" s="15"/>
      <c r="HWF114" s="15"/>
      <c r="HWG114" s="15"/>
      <c r="HWH114" s="15"/>
      <c r="HWI114" s="15"/>
      <c r="HWJ114" s="15"/>
      <c r="HWK114" s="15"/>
      <c r="HWL114" s="15"/>
      <c r="HWM114" s="15"/>
      <c r="HWN114" s="15"/>
      <c r="HWO114" s="15"/>
      <c r="HWP114" s="15"/>
      <c r="HWQ114" s="15"/>
      <c r="HWR114" s="15"/>
      <c r="HWS114" s="15"/>
      <c r="HWT114" s="15"/>
      <c r="HWU114" s="15"/>
      <c r="HWV114" s="14"/>
      <c r="HWW114" s="15"/>
      <c r="HWX114" s="15"/>
      <c r="HWY114" s="15"/>
      <c r="HWZ114" s="15"/>
      <c r="HXA114" s="15"/>
      <c r="HXB114" s="15"/>
      <c r="HXC114" s="15"/>
      <c r="HXD114" s="15"/>
      <c r="HXE114" s="15"/>
      <c r="HXF114" s="15"/>
      <c r="HXG114" s="15"/>
      <c r="HXH114" s="15"/>
      <c r="HXI114" s="15"/>
      <c r="HXJ114" s="15"/>
      <c r="HXK114" s="15"/>
      <c r="HXL114" s="15"/>
      <c r="HXM114" s="15"/>
      <c r="HXN114" s="15"/>
      <c r="HXO114" s="15"/>
      <c r="HXP114" s="15"/>
      <c r="HXQ114" s="15"/>
      <c r="HXR114" s="14"/>
      <c r="HXS114" s="15"/>
      <c r="HXT114" s="15"/>
      <c r="HXU114" s="15"/>
      <c r="HXV114" s="15"/>
      <c r="HXW114" s="15"/>
      <c r="HXX114" s="15"/>
      <c r="HXY114" s="15"/>
      <c r="HXZ114" s="15"/>
      <c r="HYA114" s="15"/>
      <c r="HYB114" s="15"/>
      <c r="HYC114" s="15"/>
      <c r="HYD114" s="15"/>
      <c r="HYE114" s="15"/>
      <c r="HYF114" s="15"/>
      <c r="HYG114" s="15"/>
      <c r="HYH114" s="15"/>
      <c r="HYI114" s="15"/>
      <c r="HYJ114" s="15"/>
      <c r="HYK114" s="15"/>
      <c r="HYL114" s="15"/>
      <c r="HYM114" s="15"/>
      <c r="HYN114" s="14"/>
      <c r="HYO114" s="15"/>
      <c r="HYP114" s="15"/>
      <c r="HYQ114" s="15"/>
      <c r="HYR114" s="15"/>
      <c r="HYS114" s="15"/>
      <c r="HYT114" s="15"/>
      <c r="HYU114" s="15"/>
      <c r="HYV114" s="15"/>
      <c r="HYW114" s="15"/>
      <c r="HYX114" s="15"/>
      <c r="HYY114" s="15"/>
      <c r="HYZ114" s="15"/>
      <c r="HZA114" s="15"/>
      <c r="HZB114" s="15"/>
      <c r="HZC114" s="15"/>
      <c r="HZD114" s="15"/>
      <c r="HZE114" s="15"/>
      <c r="HZF114" s="15"/>
      <c r="HZG114" s="15"/>
      <c r="HZH114" s="15"/>
      <c r="HZI114" s="15"/>
      <c r="HZJ114" s="14"/>
      <c r="HZK114" s="15"/>
      <c r="HZL114" s="15"/>
      <c r="HZM114" s="15"/>
      <c r="HZN114" s="15"/>
      <c r="HZO114" s="15"/>
      <c r="HZP114" s="15"/>
      <c r="HZQ114" s="15"/>
      <c r="HZR114" s="15"/>
      <c r="HZS114" s="15"/>
      <c r="HZT114" s="15"/>
      <c r="HZU114" s="15"/>
      <c r="HZV114" s="15"/>
      <c r="HZW114" s="15"/>
      <c r="HZX114" s="15"/>
      <c r="HZY114" s="15"/>
      <c r="HZZ114" s="15"/>
      <c r="IAA114" s="15"/>
      <c r="IAB114" s="15"/>
      <c r="IAC114" s="15"/>
      <c r="IAD114" s="15"/>
      <c r="IAE114" s="15"/>
      <c r="IAF114" s="14"/>
      <c r="IAG114" s="15"/>
      <c r="IAH114" s="15"/>
      <c r="IAI114" s="15"/>
      <c r="IAJ114" s="15"/>
      <c r="IAK114" s="15"/>
      <c r="IAL114" s="15"/>
      <c r="IAM114" s="15"/>
      <c r="IAN114" s="15"/>
      <c r="IAO114" s="15"/>
      <c r="IAP114" s="15"/>
      <c r="IAQ114" s="15"/>
      <c r="IAR114" s="15"/>
      <c r="IAS114" s="15"/>
      <c r="IAT114" s="15"/>
      <c r="IAU114" s="15"/>
      <c r="IAV114" s="15"/>
      <c r="IAW114" s="15"/>
      <c r="IAX114" s="15"/>
      <c r="IAY114" s="15"/>
      <c r="IAZ114" s="15"/>
      <c r="IBA114" s="15"/>
      <c r="IBB114" s="14"/>
      <c r="IBC114" s="15"/>
      <c r="IBD114" s="15"/>
      <c r="IBE114" s="15"/>
      <c r="IBF114" s="15"/>
      <c r="IBG114" s="15"/>
      <c r="IBH114" s="15"/>
      <c r="IBI114" s="15"/>
      <c r="IBJ114" s="15"/>
      <c r="IBK114" s="15"/>
      <c r="IBL114" s="15"/>
      <c r="IBM114" s="15"/>
      <c r="IBN114" s="15"/>
      <c r="IBO114" s="15"/>
      <c r="IBP114" s="15"/>
      <c r="IBQ114" s="15"/>
      <c r="IBR114" s="15"/>
      <c r="IBS114" s="15"/>
      <c r="IBT114" s="15"/>
      <c r="IBU114" s="15"/>
      <c r="IBV114" s="15"/>
      <c r="IBW114" s="15"/>
      <c r="IBX114" s="14"/>
      <c r="IBY114" s="15"/>
      <c r="IBZ114" s="15"/>
      <c r="ICA114" s="15"/>
      <c r="ICB114" s="15"/>
      <c r="ICC114" s="15"/>
      <c r="ICD114" s="15"/>
      <c r="ICE114" s="15"/>
      <c r="ICF114" s="15"/>
      <c r="ICG114" s="15"/>
      <c r="ICH114" s="15"/>
      <c r="ICI114" s="15"/>
      <c r="ICJ114" s="15"/>
      <c r="ICK114" s="15"/>
      <c r="ICL114" s="15"/>
      <c r="ICM114" s="15"/>
      <c r="ICN114" s="15"/>
      <c r="ICO114" s="15"/>
      <c r="ICP114" s="15"/>
      <c r="ICQ114" s="15"/>
      <c r="ICR114" s="15"/>
      <c r="ICS114" s="15"/>
      <c r="ICT114" s="14"/>
      <c r="ICU114" s="15"/>
      <c r="ICV114" s="15"/>
      <c r="ICW114" s="15"/>
      <c r="ICX114" s="15"/>
      <c r="ICY114" s="15"/>
      <c r="ICZ114" s="15"/>
      <c r="IDA114" s="15"/>
      <c r="IDB114" s="15"/>
      <c r="IDC114" s="15"/>
      <c r="IDD114" s="15"/>
      <c r="IDE114" s="15"/>
      <c r="IDF114" s="15"/>
      <c r="IDG114" s="15"/>
      <c r="IDH114" s="15"/>
      <c r="IDI114" s="15"/>
      <c r="IDJ114" s="15"/>
      <c r="IDK114" s="15"/>
      <c r="IDL114" s="15"/>
      <c r="IDM114" s="15"/>
      <c r="IDN114" s="15"/>
      <c r="IDO114" s="15"/>
      <c r="IDP114" s="14"/>
      <c r="IDQ114" s="15"/>
      <c r="IDR114" s="15"/>
      <c r="IDS114" s="15"/>
      <c r="IDT114" s="15"/>
      <c r="IDU114" s="15"/>
      <c r="IDV114" s="15"/>
      <c r="IDW114" s="15"/>
      <c r="IDX114" s="15"/>
      <c r="IDY114" s="15"/>
      <c r="IDZ114" s="15"/>
      <c r="IEA114" s="15"/>
      <c r="IEB114" s="15"/>
      <c r="IEC114" s="15"/>
      <c r="IED114" s="15"/>
      <c r="IEE114" s="15"/>
      <c r="IEF114" s="15"/>
      <c r="IEG114" s="15"/>
      <c r="IEH114" s="15"/>
      <c r="IEI114" s="15"/>
      <c r="IEJ114" s="15"/>
      <c r="IEK114" s="15"/>
      <c r="IEL114" s="14"/>
      <c r="IEM114" s="15"/>
      <c r="IEN114" s="15"/>
      <c r="IEO114" s="15"/>
      <c r="IEP114" s="15"/>
      <c r="IEQ114" s="15"/>
      <c r="IER114" s="15"/>
      <c r="IES114" s="15"/>
      <c r="IET114" s="15"/>
      <c r="IEU114" s="15"/>
      <c r="IEV114" s="15"/>
      <c r="IEW114" s="15"/>
      <c r="IEX114" s="15"/>
      <c r="IEY114" s="15"/>
      <c r="IEZ114" s="15"/>
      <c r="IFA114" s="15"/>
      <c r="IFB114" s="15"/>
      <c r="IFC114" s="15"/>
      <c r="IFD114" s="15"/>
      <c r="IFE114" s="15"/>
      <c r="IFF114" s="15"/>
      <c r="IFG114" s="15"/>
      <c r="IFH114" s="14"/>
      <c r="IFI114" s="15"/>
      <c r="IFJ114" s="15"/>
      <c r="IFK114" s="15"/>
      <c r="IFL114" s="15"/>
      <c r="IFM114" s="15"/>
      <c r="IFN114" s="15"/>
      <c r="IFO114" s="15"/>
      <c r="IFP114" s="15"/>
      <c r="IFQ114" s="15"/>
      <c r="IFR114" s="15"/>
      <c r="IFS114" s="15"/>
      <c r="IFT114" s="15"/>
      <c r="IFU114" s="15"/>
      <c r="IFV114" s="15"/>
      <c r="IFW114" s="15"/>
      <c r="IFX114" s="15"/>
      <c r="IFY114" s="15"/>
      <c r="IFZ114" s="15"/>
      <c r="IGA114" s="15"/>
      <c r="IGB114" s="15"/>
      <c r="IGC114" s="15"/>
      <c r="IGD114" s="14"/>
      <c r="IGE114" s="15"/>
      <c r="IGF114" s="15"/>
      <c r="IGG114" s="15"/>
      <c r="IGH114" s="15"/>
      <c r="IGI114" s="15"/>
      <c r="IGJ114" s="15"/>
      <c r="IGK114" s="15"/>
      <c r="IGL114" s="15"/>
      <c r="IGM114" s="15"/>
      <c r="IGN114" s="15"/>
      <c r="IGO114" s="15"/>
      <c r="IGP114" s="15"/>
      <c r="IGQ114" s="15"/>
      <c r="IGR114" s="15"/>
      <c r="IGS114" s="15"/>
      <c r="IGT114" s="15"/>
      <c r="IGU114" s="15"/>
      <c r="IGV114" s="15"/>
      <c r="IGW114" s="15"/>
      <c r="IGX114" s="15"/>
      <c r="IGY114" s="15"/>
      <c r="IGZ114" s="14"/>
      <c r="IHA114" s="15"/>
      <c r="IHB114" s="15"/>
      <c r="IHC114" s="15"/>
      <c r="IHD114" s="15"/>
      <c r="IHE114" s="15"/>
      <c r="IHF114" s="15"/>
      <c r="IHG114" s="15"/>
      <c r="IHH114" s="15"/>
      <c r="IHI114" s="15"/>
      <c r="IHJ114" s="15"/>
      <c r="IHK114" s="15"/>
      <c r="IHL114" s="15"/>
      <c r="IHM114" s="15"/>
      <c r="IHN114" s="15"/>
      <c r="IHO114" s="15"/>
      <c r="IHP114" s="15"/>
      <c r="IHQ114" s="15"/>
      <c r="IHR114" s="15"/>
      <c r="IHS114" s="15"/>
      <c r="IHT114" s="15"/>
      <c r="IHU114" s="15"/>
      <c r="IHV114" s="14"/>
      <c r="IHW114" s="15"/>
      <c r="IHX114" s="15"/>
      <c r="IHY114" s="15"/>
      <c r="IHZ114" s="15"/>
      <c r="IIA114" s="15"/>
      <c r="IIB114" s="15"/>
      <c r="IIC114" s="15"/>
      <c r="IID114" s="15"/>
      <c r="IIE114" s="15"/>
      <c r="IIF114" s="15"/>
      <c r="IIG114" s="15"/>
      <c r="IIH114" s="15"/>
      <c r="III114" s="15"/>
      <c r="IIJ114" s="15"/>
      <c r="IIK114" s="15"/>
      <c r="IIL114" s="15"/>
      <c r="IIM114" s="15"/>
      <c r="IIN114" s="15"/>
      <c r="IIO114" s="15"/>
      <c r="IIP114" s="15"/>
      <c r="IIQ114" s="15"/>
      <c r="IIR114" s="14"/>
      <c r="IIS114" s="15"/>
      <c r="IIT114" s="15"/>
      <c r="IIU114" s="15"/>
      <c r="IIV114" s="15"/>
      <c r="IIW114" s="15"/>
      <c r="IIX114" s="15"/>
      <c r="IIY114" s="15"/>
      <c r="IIZ114" s="15"/>
      <c r="IJA114" s="15"/>
      <c r="IJB114" s="15"/>
      <c r="IJC114" s="15"/>
      <c r="IJD114" s="15"/>
      <c r="IJE114" s="15"/>
      <c r="IJF114" s="15"/>
      <c r="IJG114" s="15"/>
      <c r="IJH114" s="15"/>
      <c r="IJI114" s="15"/>
      <c r="IJJ114" s="15"/>
      <c r="IJK114" s="15"/>
      <c r="IJL114" s="15"/>
      <c r="IJM114" s="15"/>
      <c r="IJN114" s="14"/>
      <c r="IJO114" s="15"/>
      <c r="IJP114" s="15"/>
      <c r="IJQ114" s="15"/>
      <c r="IJR114" s="15"/>
      <c r="IJS114" s="15"/>
      <c r="IJT114" s="15"/>
      <c r="IJU114" s="15"/>
      <c r="IJV114" s="15"/>
      <c r="IJW114" s="15"/>
      <c r="IJX114" s="15"/>
      <c r="IJY114" s="15"/>
      <c r="IJZ114" s="15"/>
      <c r="IKA114" s="15"/>
      <c r="IKB114" s="15"/>
      <c r="IKC114" s="15"/>
      <c r="IKD114" s="15"/>
      <c r="IKE114" s="15"/>
      <c r="IKF114" s="15"/>
      <c r="IKG114" s="15"/>
      <c r="IKH114" s="15"/>
      <c r="IKI114" s="15"/>
      <c r="IKJ114" s="14"/>
      <c r="IKK114" s="15"/>
      <c r="IKL114" s="15"/>
      <c r="IKM114" s="15"/>
      <c r="IKN114" s="15"/>
      <c r="IKO114" s="15"/>
      <c r="IKP114" s="15"/>
      <c r="IKQ114" s="15"/>
      <c r="IKR114" s="15"/>
      <c r="IKS114" s="15"/>
      <c r="IKT114" s="15"/>
      <c r="IKU114" s="15"/>
      <c r="IKV114" s="15"/>
      <c r="IKW114" s="15"/>
      <c r="IKX114" s="15"/>
      <c r="IKY114" s="15"/>
      <c r="IKZ114" s="15"/>
      <c r="ILA114" s="15"/>
      <c r="ILB114" s="15"/>
      <c r="ILC114" s="15"/>
      <c r="ILD114" s="15"/>
      <c r="ILE114" s="15"/>
      <c r="ILF114" s="14"/>
      <c r="ILG114" s="15"/>
      <c r="ILH114" s="15"/>
      <c r="ILI114" s="15"/>
      <c r="ILJ114" s="15"/>
      <c r="ILK114" s="15"/>
      <c r="ILL114" s="15"/>
      <c r="ILM114" s="15"/>
      <c r="ILN114" s="15"/>
      <c r="ILO114" s="15"/>
      <c r="ILP114" s="15"/>
      <c r="ILQ114" s="15"/>
      <c r="ILR114" s="15"/>
      <c r="ILS114" s="15"/>
      <c r="ILT114" s="15"/>
      <c r="ILU114" s="15"/>
      <c r="ILV114" s="15"/>
      <c r="ILW114" s="15"/>
      <c r="ILX114" s="15"/>
      <c r="ILY114" s="15"/>
      <c r="ILZ114" s="15"/>
      <c r="IMA114" s="15"/>
      <c r="IMB114" s="14"/>
      <c r="IMC114" s="15"/>
      <c r="IMD114" s="15"/>
      <c r="IME114" s="15"/>
      <c r="IMF114" s="15"/>
      <c r="IMG114" s="15"/>
      <c r="IMH114" s="15"/>
      <c r="IMI114" s="15"/>
      <c r="IMJ114" s="15"/>
      <c r="IMK114" s="15"/>
      <c r="IML114" s="15"/>
      <c r="IMM114" s="15"/>
      <c r="IMN114" s="15"/>
      <c r="IMO114" s="15"/>
      <c r="IMP114" s="15"/>
      <c r="IMQ114" s="15"/>
      <c r="IMR114" s="15"/>
      <c r="IMS114" s="15"/>
      <c r="IMT114" s="15"/>
      <c r="IMU114" s="15"/>
      <c r="IMV114" s="15"/>
      <c r="IMW114" s="15"/>
      <c r="IMX114" s="14"/>
      <c r="IMY114" s="15"/>
      <c r="IMZ114" s="15"/>
      <c r="INA114" s="15"/>
      <c r="INB114" s="15"/>
      <c r="INC114" s="15"/>
      <c r="IND114" s="15"/>
      <c r="INE114" s="15"/>
      <c r="INF114" s="15"/>
      <c r="ING114" s="15"/>
      <c r="INH114" s="15"/>
      <c r="INI114" s="15"/>
      <c r="INJ114" s="15"/>
      <c r="INK114" s="15"/>
      <c r="INL114" s="15"/>
      <c r="INM114" s="15"/>
      <c r="INN114" s="15"/>
      <c r="INO114" s="15"/>
      <c r="INP114" s="15"/>
      <c r="INQ114" s="15"/>
      <c r="INR114" s="15"/>
      <c r="INS114" s="15"/>
      <c r="INT114" s="14"/>
      <c r="INU114" s="15"/>
      <c r="INV114" s="15"/>
      <c r="INW114" s="15"/>
      <c r="INX114" s="15"/>
      <c r="INY114" s="15"/>
      <c r="INZ114" s="15"/>
      <c r="IOA114" s="15"/>
      <c r="IOB114" s="15"/>
      <c r="IOC114" s="15"/>
      <c r="IOD114" s="15"/>
      <c r="IOE114" s="15"/>
      <c r="IOF114" s="15"/>
      <c r="IOG114" s="15"/>
      <c r="IOH114" s="15"/>
      <c r="IOI114" s="15"/>
      <c r="IOJ114" s="15"/>
      <c r="IOK114" s="15"/>
      <c r="IOL114" s="15"/>
      <c r="IOM114" s="15"/>
      <c r="ION114" s="15"/>
      <c r="IOO114" s="15"/>
      <c r="IOP114" s="14"/>
      <c r="IOQ114" s="15"/>
      <c r="IOR114" s="15"/>
      <c r="IOS114" s="15"/>
      <c r="IOT114" s="15"/>
      <c r="IOU114" s="15"/>
      <c r="IOV114" s="15"/>
      <c r="IOW114" s="15"/>
      <c r="IOX114" s="15"/>
      <c r="IOY114" s="15"/>
      <c r="IOZ114" s="15"/>
      <c r="IPA114" s="15"/>
      <c r="IPB114" s="15"/>
      <c r="IPC114" s="15"/>
      <c r="IPD114" s="15"/>
      <c r="IPE114" s="15"/>
      <c r="IPF114" s="15"/>
      <c r="IPG114" s="15"/>
      <c r="IPH114" s="15"/>
      <c r="IPI114" s="15"/>
      <c r="IPJ114" s="15"/>
      <c r="IPK114" s="15"/>
      <c r="IPL114" s="14"/>
      <c r="IPM114" s="15"/>
      <c r="IPN114" s="15"/>
      <c r="IPO114" s="15"/>
      <c r="IPP114" s="15"/>
      <c r="IPQ114" s="15"/>
      <c r="IPR114" s="15"/>
      <c r="IPS114" s="15"/>
      <c r="IPT114" s="15"/>
      <c r="IPU114" s="15"/>
      <c r="IPV114" s="15"/>
      <c r="IPW114" s="15"/>
      <c r="IPX114" s="15"/>
      <c r="IPY114" s="15"/>
      <c r="IPZ114" s="15"/>
      <c r="IQA114" s="15"/>
      <c r="IQB114" s="15"/>
      <c r="IQC114" s="15"/>
      <c r="IQD114" s="15"/>
      <c r="IQE114" s="15"/>
      <c r="IQF114" s="15"/>
      <c r="IQG114" s="15"/>
      <c r="IQH114" s="14"/>
      <c r="IQI114" s="15"/>
      <c r="IQJ114" s="15"/>
      <c r="IQK114" s="15"/>
      <c r="IQL114" s="15"/>
      <c r="IQM114" s="15"/>
      <c r="IQN114" s="15"/>
      <c r="IQO114" s="15"/>
      <c r="IQP114" s="15"/>
      <c r="IQQ114" s="15"/>
      <c r="IQR114" s="15"/>
      <c r="IQS114" s="15"/>
      <c r="IQT114" s="15"/>
      <c r="IQU114" s="15"/>
      <c r="IQV114" s="15"/>
      <c r="IQW114" s="15"/>
      <c r="IQX114" s="15"/>
      <c r="IQY114" s="15"/>
      <c r="IQZ114" s="15"/>
      <c r="IRA114" s="15"/>
      <c r="IRB114" s="15"/>
      <c r="IRC114" s="15"/>
      <c r="IRD114" s="14"/>
      <c r="IRE114" s="15"/>
      <c r="IRF114" s="15"/>
      <c r="IRG114" s="15"/>
      <c r="IRH114" s="15"/>
      <c r="IRI114" s="15"/>
      <c r="IRJ114" s="15"/>
      <c r="IRK114" s="15"/>
      <c r="IRL114" s="15"/>
      <c r="IRM114" s="15"/>
      <c r="IRN114" s="15"/>
      <c r="IRO114" s="15"/>
      <c r="IRP114" s="15"/>
      <c r="IRQ114" s="15"/>
      <c r="IRR114" s="15"/>
      <c r="IRS114" s="15"/>
      <c r="IRT114" s="15"/>
      <c r="IRU114" s="15"/>
      <c r="IRV114" s="15"/>
      <c r="IRW114" s="15"/>
      <c r="IRX114" s="15"/>
      <c r="IRY114" s="15"/>
      <c r="IRZ114" s="14"/>
      <c r="ISA114" s="15"/>
      <c r="ISB114" s="15"/>
      <c r="ISC114" s="15"/>
      <c r="ISD114" s="15"/>
      <c r="ISE114" s="15"/>
      <c r="ISF114" s="15"/>
      <c r="ISG114" s="15"/>
      <c r="ISH114" s="15"/>
      <c r="ISI114" s="15"/>
      <c r="ISJ114" s="15"/>
      <c r="ISK114" s="15"/>
      <c r="ISL114" s="15"/>
      <c r="ISM114" s="15"/>
      <c r="ISN114" s="15"/>
      <c r="ISO114" s="15"/>
      <c r="ISP114" s="15"/>
      <c r="ISQ114" s="15"/>
      <c r="ISR114" s="15"/>
      <c r="ISS114" s="15"/>
      <c r="IST114" s="15"/>
      <c r="ISU114" s="15"/>
      <c r="ISV114" s="14"/>
      <c r="ISW114" s="15"/>
      <c r="ISX114" s="15"/>
      <c r="ISY114" s="15"/>
      <c r="ISZ114" s="15"/>
      <c r="ITA114" s="15"/>
      <c r="ITB114" s="15"/>
      <c r="ITC114" s="15"/>
      <c r="ITD114" s="15"/>
      <c r="ITE114" s="15"/>
      <c r="ITF114" s="15"/>
      <c r="ITG114" s="15"/>
      <c r="ITH114" s="15"/>
      <c r="ITI114" s="15"/>
      <c r="ITJ114" s="15"/>
      <c r="ITK114" s="15"/>
      <c r="ITL114" s="15"/>
      <c r="ITM114" s="15"/>
      <c r="ITN114" s="15"/>
      <c r="ITO114" s="15"/>
      <c r="ITP114" s="15"/>
      <c r="ITQ114" s="15"/>
      <c r="ITR114" s="14"/>
      <c r="ITS114" s="15"/>
      <c r="ITT114" s="15"/>
      <c r="ITU114" s="15"/>
      <c r="ITV114" s="15"/>
      <c r="ITW114" s="15"/>
      <c r="ITX114" s="15"/>
      <c r="ITY114" s="15"/>
      <c r="ITZ114" s="15"/>
      <c r="IUA114" s="15"/>
      <c r="IUB114" s="15"/>
      <c r="IUC114" s="15"/>
      <c r="IUD114" s="15"/>
      <c r="IUE114" s="15"/>
      <c r="IUF114" s="15"/>
      <c r="IUG114" s="15"/>
      <c r="IUH114" s="15"/>
      <c r="IUI114" s="15"/>
      <c r="IUJ114" s="15"/>
      <c r="IUK114" s="15"/>
      <c r="IUL114" s="15"/>
      <c r="IUM114" s="15"/>
      <c r="IUN114" s="14"/>
      <c r="IUO114" s="15"/>
      <c r="IUP114" s="15"/>
      <c r="IUQ114" s="15"/>
      <c r="IUR114" s="15"/>
      <c r="IUS114" s="15"/>
      <c r="IUT114" s="15"/>
      <c r="IUU114" s="15"/>
      <c r="IUV114" s="15"/>
      <c r="IUW114" s="15"/>
      <c r="IUX114" s="15"/>
      <c r="IUY114" s="15"/>
      <c r="IUZ114" s="15"/>
      <c r="IVA114" s="15"/>
      <c r="IVB114" s="15"/>
      <c r="IVC114" s="15"/>
      <c r="IVD114" s="15"/>
      <c r="IVE114" s="15"/>
      <c r="IVF114" s="15"/>
      <c r="IVG114" s="15"/>
      <c r="IVH114" s="15"/>
      <c r="IVI114" s="15"/>
      <c r="IVJ114" s="14"/>
      <c r="IVK114" s="15"/>
      <c r="IVL114" s="15"/>
      <c r="IVM114" s="15"/>
      <c r="IVN114" s="15"/>
      <c r="IVO114" s="15"/>
      <c r="IVP114" s="15"/>
      <c r="IVQ114" s="15"/>
      <c r="IVR114" s="15"/>
      <c r="IVS114" s="15"/>
      <c r="IVT114" s="15"/>
      <c r="IVU114" s="15"/>
      <c r="IVV114" s="15"/>
      <c r="IVW114" s="15"/>
      <c r="IVX114" s="15"/>
      <c r="IVY114" s="15"/>
      <c r="IVZ114" s="15"/>
      <c r="IWA114" s="15"/>
      <c r="IWB114" s="15"/>
      <c r="IWC114" s="15"/>
      <c r="IWD114" s="15"/>
      <c r="IWE114" s="15"/>
      <c r="IWF114" s="14"/>
      <c r="IWG114" s="15"/>
      <c r="IWH114" s="15"/>
      <c r="IWI114" s="15"/>
      <c r="IWJ114" s="15"/>
      <c r="IWK114" s="15"/>
      <c r="IWL114" s="15"/>
      <c r="IWM114" s="15"/>
      <c r="IWN114" s="15"/>
      <c r="IWO114" s="15"/>
      <c r="IWP114" s="15"/>
      <c r="IWQ114" s="15"/>
      <c r="IWR114" s="15"/>
      <c r="IWS114" s="15"/>
      <c r="IWT114" s="15"/>
      <c r="IWU114" s="15"/>
      <c r="IWV114" s="15"/>
      <c r="IWW114" s="15"/>
      <c r="IWX114" s="15"/>
      <c r="IWY114" s="15"/>
      <c r="IWZ114" s="15"/>
      <c r="IXA114" s="15"/>
      <c r="IXB114" s="14"/>
      <c r="IXC114" s="15"/>
      <c r="IXD114" s="15"/>
      <c r="IXE114" s="15"/>
      <c r="IXF114" s="15"/>
      <c r="IXG114" s="15"/>
      <c r="IXH114" s="15"/>
      <c r="IXI114" s="15"/>
      <c r="IXJ114" s="15"/>
      <c r="IXK114" s="15"/>
      <c r="IXL114" s="15"/>
      <c r="IXM114" s="15"/>
      <c r="IXN114" s="15"/>
      <c r="IXO114" s="15"/>
      <c r="IXP114" s="15"/>
      <c r="IXQ114" s="15"/>
      <c r="IXR114" s="15"/>
      <c r="IXS114" s="15"/>
      <c r="IXT114" s="15"/>
      <c r="IXU114" s="15"/>
      <c r="IXV114" s="15"/>
      <c r="IXW114" s="15"/>
      <c r="IXX114" s="14"/>
      <c r="IXY114" s="15"/>
      <c r="IXZ114" s="15"/>
      <c r="IYA114" s="15"/>
      <c r="IYB114" s="15"/>
      <c r="IYC114" s="15"/>
      <c r="IYD114" s="15"/>
      <c r="IYE114" s="15"/>
      <c r="IYF114" s="15"/>
      <c r="IYG114" s="15"/>
      <c r="IYH114" s="15"/>
      <c r="IYI114" s="15"/>
      <c r="IYJ114" s="15"/>
      <c r="IYK114" s="15"/>
      <c r="IYL114" s="15"/>
      <c r="IYM114" s="15"/>
      <c r="IYN114" s="15"/>
      <c r="IYO114" s="15"/>
      <c r="IYP114" s="15"/>
      <c r="IYQ114" s="15"/>
      <c r="IYR114" s="15"/>
      <c r="IYS114" s="15"/>
      <c r="IYT114" s="14"/>
      <c r="IYU114" s="15"/>
      <c r="IYV114" s="15"/>
      <c r="IYW114" s="15"/>
      <c r="IYX114" s="15"/>
      <c r="IYY114" s="15"/>
      <c r="IYZ114" s="15"/>
      <c r="IZA114" s="15"/>
      <c r="IZB114" s="15"/>
      <c r="IZC114" s="15"/>
      <c r="IZD114" s="15"/>
      <c r="IZE114" s="15"/>
      <c r="IZF114" s="15"/>
      <c r="IZG114" s="15"/>
      <c r="IZH114" s="15"/>
      <c r="IZI114" s="15"/>
      <c r="IZJ114" s="15"/>
      <c r="IZK114" s="15"/>
      <c r="IZL114" s="15"/>
      <c r="IZM114" s="15"/>
      <c r="IZN114" s="15"/>
      <c r="IZO114" s="15"/>
      <c r="IZP114" s="14"/>
      <c r="IZQ114" s="15"/>
      <c r="IZR114" s="15"/>
      <c r="IZS114" s="15"/>
      <c r="IZT114" s="15"/>
      <c r="IZU114" s="15"/>
      <c r="IZV114" s="15"/>
      <c r="IZW114" s="15"/>
      <c r="IZX114" s="15"/>
      <c r="IZY114" s="15"/>
      <c r="IZZ114" s="15"/>
      <c r="JAA114" s="15"/>
      <c r="JAB114" s="15"/>
      <c r="JAC114" s="15"/>
      <c r="JAD114" s="15"/>
      <c r="JAE114" s="15"/>
      <c r="JAF114" s="15"/>
      <c r="JAG114" s="15"/>
      <c r="JAH114" s="15"/>
      <c r="JAI114" s="15"/>
      <c r="JAJ114" s="15"/>
      <c r="JAK114" s="15"/>
      <c r="JAL114" s="14"/>
      <c r="JAM114" s="15"/>
      <c r="JAN114" s="15"/>
      <c r="JAO114" s="15"/>
      <c r="JAP114" s="15"/>
      <c r="JAQ114" s="15"/>
      <c r="JAR114" s="15"/>
      <c r="JAS114" s="15"/>
      <c r="JAT114" s="15"/>
      <c r="JAU114" s="15"/>
      <c r="JAV114" s="15"/>
      <c r="JAW114" s="15"/>
      <c r="JAX114" s="15"/>
      <c r="JAY114" s="15"/>
      <c r="JAZ114" s="15"/>
      <c r="JBA114" s="15"/>
      <c r="JBB114" s="15"/>
      <c r="JBC114" s="15"/>
      <c r="JBD114" s="15"/>
      <c r="JBE114" s="15"/>
      <c r="JBF114" s="15"/>
      <c r="JBG114" s="15"/>
      <c r="JBH114" s="14"/>
      <c r="JBI114" s="15"/>
      <c r="JBJ114" s="15"/>
      <c r="JBK114" s="15"/>
      <c r="JBL114" s="15"/>
      <c r="JBM114" s="15"/>
      <c r="JBN114" s="15"/>
      <c r="JBO114" s="15"/>
      <c r="JBP114" s="15"/>
      <c r="JBQ114" s="15"/>
      <c r="JBR114" s="15"/>
      <c r="JBS114" s="15"/>
      <c r="JBT114" s="15"/>
      <c r="JBU114" s="15"/>
      <c r="JBV114" s="15"/>
      <c r="JBW114" s="15"/>
      <c r="JBX114" s="15"/>
      <c r="JBY114" s="15"/>
      <c r="JBZ114" s="15"/>
      <c r="JCA114" s="15"/>
      <c r="JCB114" s="15"/>
      <c r="JCC114" s="15"/>
      <c r="JCD114" s="14"/>
      <c r="JCE114" s="15"/>
      <c r="JCF114" s="15"/>
      <c r="JCG114" s="15"/>
      <c r="JCH114" s="15"/>
      <c r="JCI114" s="15"/>
      <c r="JCJ114" s="15"/>
      <c r="JCK114" s="15"/>
      <c r="JCL114" s="15"/>
      <c r="JCM114" s="15"/>
      <c r="JCN114" s="15"/>
      <c r="JCO114" s="15"/>
      <c r="JCP114" s="15"/>
      <c r="JCQ114" s="15"/>
      <c r="JCR114" s="15"/>
      <c r="JCS114" s="15"/>
      <c r="JCT114" s="15"/>
      <c r="JCU114" s="15"/>
      <c r="JCV114" s="15"/>
      <c r="JCW114" s="15"/>
      <c r="JCX114" s="15"/>
      <c r="JCY114" s="15"/>
      <c r="JCZ114" s="14"/>
      <c r="JDA114" s="15"/>
      <c r="JDB114" s="15"/>
      <c r="JDC114" s="15"/>
      <c r="JDD114" s="15"/>
      <c r="JDE114" s="15"/>
      <c r="JDF114" s="15"/>
      <c r="JDG114" s="15"/>
      <c r="JDH114" s="15"/>
      <c r="JDI114" s="15"/>
      <c r="JDJ114" s="15"/>
      <c r="JDK114" s="15"/>
      <c r="JDL114" s="15"/>
      <c r="JDM114" s="15"/>
      <c r="JDN114" s="15"/>
      <c r="JDO114" s="15"/>
      <c r="JDP114" s="15"/>
      <c r="JDQ114" s="15"/>
      <c r="JDR114" s="15"/>
      <c r="JDS114" s="15"/>
      <c r="JDT114" s="15"/>
      <c r="JDU114" s="15"/>
      <c r="JDV114" s="14"/>
      <c r="JDW114" s="15"/>
      <c r="JDX114" s="15"/>
      <c r="JDY114" s="15"/>
      <c r="JDZ114" s="15"/>
      <c r="JEA114" s="15"/>
      <c r="JEB114" s="15"/>
      <c r="JEC114" s="15"/>
      <c r="JED114" s="15"/>
      <c r="JEE114" s="15"/>
      <c r="JEF114" s="15"/>
      <c r="JEG114" s="15"/>
      <c r="JEH114" s="15"/>
      <c r="JEI114" s="15"/>
      <c r="JEJ114" s="15"/>
      <c r="JEK114" s="15"/>
      <c r="JEL114" s="15"/>
      <c r="JEM114" s="15"/>
      <c r="JEN114" s="15"/>
      <c r="JEO114" s="15"/>
      <c r="JEP114" s="15"/>
      <c r="JEQ114" s="15"/>
      <c r="JER114" s="14"/>
      <c r="JES114" s="15"/>
      <c r="JET114" s="15"/>
      <c r="JEU114" s="15"/>
      <c r="JEV114" s="15"/>
      <c r="JEW114" s="15"/>
      <c r="JEX114" s="15"/>
      <c r="JEY114" s="15"/>
      <c r="JEZ114" s="15"/>
      <c r="JFA114" s="15"/>
      <c r="JFB114" s="15"/>
      <c r="JFC114" s="15"/>
      <c r="JFD114" s="15"/>
      <c r="JFE114" s="15"/>
      <c r="JFF114" s="15"/>
      <c r="JFG114" s="15"/>
      <c r="JFH114" s="15"/>
      <c r="JFI114" s="15"/>
      <c r="JFJ114" s="15"/>
      <c r="JFK114" s="15"/>
      <c r="JFL114" s="15"/>
      <c r="JFM114" s="15"/>
      <c r="JFN114" s="14"/>
      <c r="JFO114" s="15"/>
      <c r="JFP114" s="15"/>
      <c r="JFQ114" s="15"/>
      <c r="JFR114" s="15"/>
      <c r="JFS114" s="15"/>
      <c r="JFT114" s="15"/>
      <c r="JFU114" s="15"/>
      <c r="JFV114" s="15"/>
      <c r="JFW114" s="15"/>
      <c r="JFX114" s="15"/>
      <c r="JFY114" s="15"/>
      <c r="JFZ114" s="15"/>
      <c r="JGA114" s="15"/>
      <c r="JGB114" s="15"/>
      <c r="JGC114" s="15"/>
      <c r="JGD114" s="15"/>
      <c r="JGE114" s="15"/>
      <c r="JGF114" s="15"/>
      <c r="JGG114" s="15"/>
      <c r="JGH114" s="15"/>
      <c r="JGI114" s="15"/>
      <c r="JGJ114" s="14"/>
      <c r="JGK114" s="15"/>
      <c r="JGL114" s="15"/>
      <c r="JGM114" s="15"/>
      <c r="JGN114" s="15"/>
      <c r="JGO114" s="15"/>
      <c r="JGP114" s="15"/>
      <c r="JGQ114" s="15"/>
      <c r="JGR114" s="15"/>
      <c r="JGS114" s="15"/>
      <c r="JGT114" s="15"/>
      <c r="JGU114" s="15"/>
      <c r="JGV114" s="15"/>
      <c r="JGW114" s="15"/>
      <c r="JGX114" s="15"/>
      <c r="JGY114" s="15"/>
      <c r="JGZ114" s="15"/>
      <c r="JHA114" s="15"/>
      <c r="JHB114" s="15"/>
      <c r="JHC114" s="15"/>
      <c r="JHD114" s="15"/>
      <c r="JHE114" s="15"/>
      <c r="JHF114" s="14"/>
      <c r="JHG114" s="15"/>
      <c r="JHH114" s="15"/>
      <c r="JHI114" s="15"/>
      <c r="JHJ114" s="15"/>
      <c r="JHK114" s="15"/>
      <c r="JHL114" s="15"/>
      <c r="JHM114" s="15"/>
      <c r="JHN114" s="15"/>
      <c r="JHO114" s="15"/>
      <c r="JHP114" s="15"/>
      <c r="JHQ114" s="15"/>
      <c r="JHR114" s="15"/>
      <c r="JHS114" s="15"/>
      <c r="JHT114" s="15"/>
      <c r="JHU114" s="15"/>
      <c r="JHV114" s="15"/>
      <c r="JHW114" s="15"/>
      <c r="JHX114" s="15"/>
      <c r="JHY114" s="15"/>
      <c r="JHZ114" s="15"/>
      <c r="JIA114" s="15"/>
      <c r="JIB114" s="14"/>
      <c r="JIC114" s="15"/>
      <c r="JID114" s="15"/>
      <c r="JIE114" s="15"/>
      <c r="JIF114" s="15"/>
      <c r="JIG114" s="15"/>
      <c r="JIH114" s="15"/>
      <c r="JII114" s="15"/>
      <c r="JIJ114" s="15"/>
      <c r="JIK114" s="15"/>
      <c r="JIL114" s="15"/>
      <c r="JIM114" s="15"/>
      <c r="JIN114" s="15"/>
      <c r="JIO114" s="15"/>
      <c r="JIP114" s="15"/>
      <c r="JIQ114" s="15"/>
      <c r="JIR114" s="15"/>
      <c r="JIS114" s="15"/>
      <c r="JIT114" s="15"/>
      <c r="JIU114" s="15"/>
      <c r="JIV114" s="15"/>
      <c r="JIW114" s="15"/>
      <c r="JIX114" s="14"/>
      <c r="JIY114" s="15"/>
      <c r="JIZ114" s="15"/>
      <c r="JJA114" s="15"/>
      <c r="JJB114" s="15"/>
      <c r="JJC114" s="15"/>
      <c r="JJD114" s="15"/>
      <c r="JJE114" s="15"/>
      <c r="JJF114" s="15"/>
      <c r="JJG114" s="15"/>
      <c r="JJH114" s="15"/>
      <c r="JJI114" s="15"/>
      <c r="JJJ114" s="15"/>
      <c r="JJK114" s="15"/>
      <c r="JJL114" s="15"/>
      <c r="JJM114" s="15"/>
      <c r="JJN114" s="15"/>
      <c r="JJO114" s="15"/>
      <c r="JJP114" s="15"/>
      <c r="JJQ114" s="15"/>
      <c r="JJR114" s="15"/>
      <c r="JJS114" s="15"/>
      <c r="JJT114" s="14"/>
      <c r="JJU114" s="15"/>
      <c r="JJV114" s="15"/>
      <c r="JJW114" s="15"/>
      <c r="JJX114" s="15"/>
      <c r="JJY114" s="15"/>
      <c r="JJZ114" s="15"/>
      <c r="JKA114" s="15"/>
      <c r="JKB114" s="15"/>
      <c r="JKC114" s="15"/>
      <c r="JKD114" s="15"/>
      <c r="JKE114" s="15"/>
      <c r="JKF114" s="15"/>
      <c r="JKG114" s="15"/>
      <c r="JKH114" s="15"/>
      <c r="JKI114" s="15"/>
      <c r="JKJ114" s="15"/>
      <c r="JKK114" s="15"/>
      <c r="JKL114" s="15"/>
      <c r="JKM114" s="15"/>
      <c r="JKN114" s="15"/>
      <c r="JKO114" s="15"/>
      <c r="JKP114" s="14"/>
      <c r="JKQ114" s="15"/>
      <c r="JKR114" s="15"/>
      <c r="JKS114" s="15"/>
      <c r="JKT114" s="15"/>
      <c r="JKU114" s="15"/>
      <c r="JKV114" s="15"/>
      <c r="JKW114" s="15"/>
      <c r="JKX114" s="15"/>
      <c r="JKY114" s="15"/>
      <c r="JKZ114" s="15"/>
      <c r="JLA114" s="15"/>
      <c r="JLB114" s="15"/>
      <c r="JLC114" s="15"/>
      <c r="JLD114" s="15"/>
      <c r="JLE114" s="15"/>
      <c r="JLF114" s="15"/>
      <c r="JLG114" s="15"/>
      <c r="JLH114" s="15"/>
      <c r="JLI114" s="15"/>
      <c r="JLJ114" s="15"/>
      <c r="JLK114" s="15"/>
      <c r="JLL114" s="14"/>
      <c r="JLM114" s="15"/>
      <c r="JLN114" s="15"/>
      <c r="JLO114" s="15"/>
      <c r="JLP114" s="15"/>
      <c r="JLQ114" s="15"/>
      <c r="JLR114" s="15"/>
      <c r="JLS114" s="15"/>
      <c r="JLT114" s="15"/>
      <c r="JLU114" s="15"/>
      <c r="JLV114" s="15"/>
      <c r="JLW114" s="15"/>
      <c r="JLX114" s="15"/>
      <c r="JLY114" s="15"/>
      <c r="JLZ114" s="15"/>
      <c r="JMA114" s="15"/>
      <c r="JMB114" s="15"/>
      <c r="JMC114" s="15"/>
      <c r="JMD114" s="15"/>
      <c r="JME114" s="15"/>
      <c r="JMF114" s="15"/>
      <c r="JMG114" s="15"/>
      <c r="JMH114" s="14"/>
      <c r="JMI114" s="15"/>
      <c r="JMJ114" s="15"/>
      <c r="JMK114" s="15"/>
      <c r="JML114" s="15"/>
      <c r="JMM114" s="15"/>
      <c r="JMN114" s="15"/>
      <c r="JMO114" s="15"/>
      <c r="JMP114" s="15"/>
      <c r="JMQ114" s="15"/>
      <c r="JMR114" s="15"/>
      <c r="JMS114" s="15"/>
      <c r="JMT114" s="15"/>
      <c r="JMU114" s="15"/>
      <c r="JMV114" s="15"/>
      <c r="JMW114" s="15"/>
      <c r="JMX114" s="15"/>
      <c r="JMY114" s="15"/>
      <c r="JMZ114" s="15"/>
      <c r="JNA114" s="15"/>
      <c r="JNB114" s="15"/>
      <c r="JNC114" s="15"/>
      <c r="JND114" s="14"/>
      <c r="JNE114" s="15"/>
      <c r="JNF114" s="15"/>
      <c r="JNG114" s="15"/>
      <c r="JNH114" s="15"/>
      <c r="JNI114" s="15"/>
      <c r="JNJ114" s="15"/>
      <c r="JNK114" s="15"/>
      <c r="JNL114" s="15"/>
      <c r="JNM114" s="15"/>
      <c r="JNN114" s="15"/>
      <c r="JNO114" s="15"/>
      <c r="JNP114" s="15"/>
      <c r="JNQ114" s="15"/>
      <c r="JNR114" s="15"/>
      <c r="JNS114" s="15"/>
      <c r="JNT114" s="15"/>
      <c r="JNU114" s="15"/>
      <c r="JNV114" s="15"/>
      <c r="JNW114" s="15"/>
      <c r="JNX114" s="15"/>
      <c r="JNY114" s="15"/>
      <c r="JNZ114" s="14"/>
      <c r="JOA114" s="15"/>
      <c r="JOB114" s="15"/>
      <c r="JOC114" s="15"/>
      <c r="JOD114" s="15"/>
      <c r="JOE114" s="15"/>
      <c r="JOF114" s="15"/>
      <c r="JOG114" s="15"/>
      <c r="JOH114" s="15"/>
      <c r="JOI114" s="15"/>
      <c r="JOJ114" s="15"/>
      <c r="JOK114" s="15"/>
      <c r="JOL114" s="15"/>
      <c r="JOM114" s="15"/>
      <c r="JON114" s="15"/>
      <c r="JOO114" s="15"/>
      <c r="JOP114" s="15"/>
      <c r="JOQ114" s="15"/>
      <c r="JOR114" s="15"/>
      <c r="JOS114" s="15"/>
      <c r="JOT114" s="15"/>
      <c r="JOU114" s="15"/>
      <c r="JOV114" s="14"/>
      <c r="JOW114" s="15"/>
      <c r="JOX114" s="15"/>
      <c r="JOY114" s="15"/>
      <c r="JOZ114" s="15"/>
      <c r="JPA114" s="15"/>
      <c r="JPB114" s="15"/>
      <c r="JPC114" s="15"/>
      <c r="JPD114" s="15"/>
      <c r="JPE114" s="15"/>
      <c r="JPF114" s="15"/>
      <c r="JPG114" s="15"/>
      <c r="JPH114" s="15"/>
      <c r="JPI114" s="15"/>
      <c r="JPJ114" s="15"/>
      <c r="JPK114" s="15"/>
      <c r="JPL114" s="15"/>
      <c r="JPM114" s="15"/>
      <c r="JPN114" s="15"/>
      <c r="JPO114" s="15"/>
      <c r="JPP114" s="15"/>
      <c r="JPQ114" s="15"/>
      <c r="JPR114" s="14"/>
      <c r="JPS114" s="15"/>
      <c r="JPT114" s="15"/>
      <c r="JPU114" s="15"/>
      <c r="JPV114" s="15"/>
      <c r="JPW114" s="15"/>
      <c r="JPX114" s="15"/>
      <c r="JPY114" s="15"/>
      <c r="JPZ114" s="15"/>
      <c r="JQA114" s="15"/>
      <c r="JQB114" s="15"/>
      <c r="JQC114" s="15"/>
      <c r="JQD114" s="15"/>
      <c r="JQE114" s="15"/>
      <c r="JQF114" s="15"/>
      <c r="JQG114" s="15"/>
      <c r="JQH114" s="15"/>
      <c r="JQI114" s="15"/>
      <c r="JQJ114" s="15"/>
      <c r="JQK114" s="15"/>
      <c r="JQL114" s="15"/>
      <c r="JQM114" s="15"/>
      <c r="JQN114" s="14"/>
      <c r="JQO114" s="15"/>
      <c r="JQP114" s="15"/>
      <c r="JQQ114" s="15"/>
      <c r="JQR114" s="15"/>
      <c r="JQS114" s="15"/>
      <c r="JQT114" s="15"/>
      <c r="JQU114" s="15"/>
      <c r="JQV114" s="15"/>
      <c r="JQW114" s="15"/>
      <c r="JQX114" s="15"/>
      <c r="JQY114" s="15"/>
      <c r="JQZ114" s="15"/>
      <c r="JRA114" s="15"/>
      <c r="JRB114" s="15"/>
      <c r="JRC114" s="15"/>
      <c r="JRD114" s="15"/>
      <c r="JRE114" s="15"/>
      <c r="JRF114" s="15"/>
      <c r="JRG114" s="15"/>
      <c r="JRH114" s="15"/>
      <c r="JRI114" s="15"/>
      <c r="JRJ114" s="14"/>
      <c r="JRK114" s="15"/>
      <c r="JRL114" s="15"/>
      <c r="JRM114" s="15"/>
      <c r="JRN114" s="15"/>
      <c r="JRO114" s="15"/>
      <c r="JRP114" s="15"/>
      <c r="JRQ114" s="15"/>
      <c r="JRR114" s="15"/>
      <c r="JRS114" s="15"/>
      <c r="JRT114" s="15"/>
      <c r="JRU114" s="15"/>
      <c r="JRV114" s="15"/>
      <c r="JRW114" s="15"/>
      <c r="JRX114" s="15"/>
      <c r="JRY114" s="15"/>
      <c r="JRZ114" s="15"/>
      <c r="JSA114" s="15"/>
      <c r="JSB114" s="15"/>
      <c r="JSC114" s="15"/>
      <c r="JSD114" s="15"/>
      <c r="JSE114" s="15"/>
      <c r="JSF114" s="14"/>
      <c r="JSG114" s="15"/>
      <c r="JSH114" s="15"/>
      <c r="JSI114" s="15"/>
      <c r="JSJ114" s="15"/>
      <c r="JSK114" s="15"/>
      <c r="JSL114" s="15"/>
      <c r="JSM114" s="15"/>
      <c r="JSN114" s="15"/>
      <c r="JSO114" s="15"/>
      <c r="JSP114" s="15"/>
      <c r="JSQ114" s="15"/>
      <c r="JSR114" s="15"/>
      <c r="JSS114" s="15"/>
      <c r="JST114" s="15"/>
      <c r="JSU114" s="15"/>
      <c r="JSV114" s="15"/>
      <c r="JSW114" s="15"/>
      <c r="JSX114" s="15"/>
      <c r="JSY114" s="15"/>
      <c r="JSZ114" s="15"/>
      <c r="JTA114" s="15"/>
      <c r="JTB114" s="14"/>
      <c r="JTC114" s="15"/>
      <c r="JTD114" s="15"/>
      <c r="JTE114" s="15"/>
      <c r="JTF114" s="15"/>
      <c r="JTG114" s="15"/>
      <c r="JTH114" s="15"/>
      <c r="JTI114" s="15"/>
      <c r="JTJ114" s="15"/>
      <c r="JTK114" s="15"/>
      <c r="JTL114" s="15"/>
      <c r="JTM114" s="15"/>
      <c r="JTN114" s="15"/>
      <c r="JTO114" s="15"/>
      <c r="JTP114" s="15"/>
      <c r="JTQ114" s="15"/>
      <c r="JTR114" s="15"/>
      <c r="JTS114" s="15"/>
      <c r="JTT114" s="15"/>
      <c r="JTU114" s="15"/>
      <c r="JTV114" s="15"/>
      <c r="JTW114" s="15"/>
      <c r="JTX114" s="14"/>
      <c r="JTY114" s="15"/>
      <c r="JTZ114" s="15"/>
      <c r="JUA114" s="15"/>
      <c r="JUB114" s="15"/>
      <c r="JUC114" s="15"/>
      <c r="JUD114" s="15"/>
      <c r="JUE114" s="15"/>
      <c r="JUF114" s="15"/>
      <c r="JUG114" s="15"/>
      <c r="JUH114" s="15"/>
      <c r="JUI114" s="15"/>
      <c r="JUJ114" s="15"/>
      <c r="JUK114" s="15"/>
      <c r="JUL114" s="15"/>
      <c r="JUM114" s="15"/>
      <c r="JUN114" s="15"/>
      <c r="JUO114" s="15"/>
      <c r="JUP114" s="15"/>
      <c r="JUQ114" s="15"/>
      <c r="JUR114" s="15"/>
      <c r="JUS114" s="15"/>
      <c r="JUT114" s="14"/>
      <c r="JUU114" s="15"/>
      <c r="JUV114" s="15"/>
      <c r="JUW114" s="15"/>
      <c r="JUX114" s="15"/>
      <c r="JUY114" s="15"/>
      <c r="JUZ114" s="15"/>
      <c r="JVA114" s="15"/>
      <c r="JVB114" s="15"/>
      <c r="JVC114" s="15"/>
      <c r="JVD114" s="15"/>
      <c r="JVE114" s="15"/>
      <c r="JVF114" s="15"/>
      <c r="JVG114" s="15"/>
      <c r="JVH114" s="15"/>
      <c r="JVI114" s="15"/>
      <c r="JVJ114" s="15"/>
      <c r="JVK114" s="15"/>
      <c r="JVL114" s="15"/>
      <c r="JVM114" s="15"/>
      <c r="JVN114" s="15"/>
      <c r="JVO114" s="15"/>
      <c r="JVP114" s="14"/>
      <c r="JVQ114" s="15"/>
      <c r="JVR114" s="15"/>
      <c r="JVS114" s="15"/>
      <c r="JVT114" s="15"/>
      <c r="JVU114" s="15"/>
      <c r="JVV114" s="15"/>
      <c r="JVW114" s="15"/>
      <c r="JVX114" s="15"/>
      <c r="JVY114" s="15"/>
      <c r="JVZ114" s="15"/>
      <c r="JWA114" s="15"/>
      <c r="JWB114" s="15"/>
      <c r="JWC114" s="15"/>
      <c r="JWD114" s="15"/>
      <c r="JWE114" s="15"/>
      <c r="JWF114" s="15"/>
      <c r="JWG114" s="15"/>
      <c r="JWH114" s="15"/>
      <c r="JWI114" s="15"/>
      <c r="JWJ114" s="15"/>
      <c r="JWK114" s="15"/>
      <c r="JWL114" s="14"/>
      <c r="JWM114" s="15"/>
      <c r="JWN114" s="15"/>
      <c r="JWO114" s="15"/>
      <c r="JWP114" s="15"/>
      <c r="JWQ114" s="15"/>
      <c r="JWR114" s="15"/>
      <c r="JWS114" s="15"/>
      <c r="JWT114" s="15"/>
      <c r="JWU114" s="15"/>
      <c r="JWV114" s="15"/>
      <c r="JWW114" s="15"/>
      <c r="JWX114" s="15"/>
      <c r="JWY114" s="15"/>
      <c r="JWZ114" s="15"/>
      <c r="JXA114" s="15"/>
      <c r="JXB114" s="15"/>
      <c r="JXC114" s="15"/>
      <c r="JXD114" s="15"/>
      <c r="JXE114" s="15"/>
      <c r="JXF114" s="15"/>
      <c r="JXG114" s="15"/>
      <c r="JXH114" s="14"/>
      <c r="JXI114" s="15"/>
      <c r="JXJ114" s="15"/>
      <c r="JXK114" s="15"/>
      <c r="JXL114" s="15"/>
      <c r="JXM114" s="15"/>
      <c r="JXN114" s="15"/>
      <c r="JXO114" s="15"/>
      <c r="JXP114" s="15"/>
      <c r="JXQ114" s="15"/>
      <c r="JXR114" s="15"/>
      <c r="JXS114" s="15"/>
      <c r="JXT114" s="15"/>
      <c r="JXU114" s="15"/>
      <c r="JXV114" s="15"/>
      <c r="JXW114" s="15"/>
      <c r="JXX114" s="15"/>
      <c r="JXY114" s="15"/>
      <c r="JXZ114" s="15"/>
      <c r="JYA114" s="15"/>
      <c r="JYB114" s="15"/>
      <c r="JYC114" s="15"/>
      <c r="JYD114" s="14"/>
      <c r="JYE114" s="15"/>
      <c r="JYF114" s="15"/>
      <c r="JYG114" s="15"/>
      <c r="JYH114" s="15"/>
      <c r="JYI114" s="15"/>
      <c r="JYJ114" s="15"/>
      <c r="JYK114" s="15"/>
      <c r="JYL114" s="15"/>
      <c r="JYM114" s="15"/>
      <c r="JYN114" s="15"/>
      <c r="JYO114" s="15"/>
      <c r="JYP114" s="15"/>
      <c r="JYQ114" s="15"/>
      <c r="JYR114" s="15"/>
      <c r="JYS114" s="15"/>
      <c r="JYT114" s="15"/>
      <c r="JYU114" s="15"/>
      <c r="JYV114" s="15"/>
      <c r="JYW114" s="15"/>
      <c r="JYX114" s="15"/>
      <c r="JYY114" s="15"/>
      <c r="JYZ114" s="14"/>
      <c r="JZA114" s="15"/>
      <c r="JZB114" s="15"/>
      <c r="JZC114" s="15"/>
      <c r="JZD114" s="15"/>
      <c r="JZE114" s="15"/>
      <c r="JZF114" s="15"/>
      <c r="JZG114" s="15"/>
      <c r="JZH114" s="15"/>
      <c r="JZI114" s="15"/>
      <c r="JZJ114" s="15"/>
      <c r="JZK114" s="15"/>
      <c r="JZL114" s="15"/>
      <c r="JZM114" s="15"/>
      <c r="JZN114" s="15"/>
      <c r="JZO114" s="15"/>
      <c r="JZP114" s="15"/>
      <c r="JZQ114" s="15"/>
      <c r="JZR114" s="15"/>
      <c r="JZS114" s="15"/>
      <c r="JZT114" s="15"/>
      <c r="JZU114" s="15"/>
      <c r="JZV114" s="14"/>
      <c r="JZW114" s="15"/>
      <c r="JZX114" s="15"/>
      <c r="JZY114" s="15"/>
      <c r="JZZ114" s="15"/>
      <c r="KAA114" s="15"/>
      <c r="KAB114" s="15"/>
      <c r="KAC114" s="15"/>
      <c r="KAD114" s="15"/>
      <c r="KAE114" s="15"/>
      <c r="KAF114" s="15"/>
      <c r="KAG114" s="15"/>
      <c r="KAH114" s="15"/>
      <c r="KAI114" s="15"/>
      <c r="KAJ114" s="15"/>
      <c r="KAK114" s="15"/>
      <c r="KAL114" s="15"/>
      <c r="KAM114" s="15"/>
      <c r="KAN114" s="15"/>
      <c r="KAO114" s="15"/>
      <c r="KAP114" s="15"/>
      <c r="KAQ114" s="15"/>
      <c r="KAR114" s="14"/>
      <c r="KAS114" s="15"/>
      <c r="KAT114" s="15"/>
      <c r="KAU114" s="15"/>
      <c r="KAV114" s="15"/>
      <c r="KAW114" s="15"/>
      <c r="KAX114" s="15"/>
      <c r="KAY114" s="15"/>
      <c r="KAZ114" s="15"/>
      <c r="KBA114" s="15"/>
      <c r="KBB114" s="15"/>
      <c r="KBC114" s="15"/>
      <c r="KBD114" s="15"/>
      <c r="KBE114" s="15"/>
      <c r="KBF114" s="15"/>
      <c r="KBG114" s="15"/>
      <c r="KBH114" s="15"/>
      <c r="KBI114" s="15"/>
      <c r="KBJ114" s="15"/>
      <c r="KBK114" s="15"/>
      <c r="KBL114" s="15"/>
      <c r="KBM114" s="15"/>
      <c r="KBN114" s="14"/>
      <c r="KBO114" s="15"/>
      <c r="KBP114" s="15"/>
      <c r="KBQ114" s="15"/>
      <c r="KBR114" s="15"/>
      <c r="KBS114" s="15"/>
      <c r="KBT114" s="15"/>
      <c r="KBU114" s="15"/>
      <c r="KBV114" s="15"/>
      <c r="KBW114" s="15"/>
      <c r="KBX114" s="15"/>
      <c r="KBY114" s="15"/>
      <c r="KBZ114" s="15"/>
      <c r="KCA114" s="15"/>
      <c r="KCB114" s="15"/>
      <c r="KCC114" s="15"/>
      <c r="KCD114" s="15"/>
      <c r="KCE114" s="15"/>
      <c r="KCF114" s="15"/>
      <c r="KCG114" s="15"/>
      <c r="KCH114" s="15"/>
      <c r="KCI114" s="15"/>
      <c r="KCJ114" s="14"/>
      <c r="KCK114" s="15"/>
      <c r="KCL114" s="15"/>
      <c r="KCM114" s="15"/>
      <c r="KCN114" s="15"/>
      <c r="KCO114" s="15"/>
      <c r="KCP114" s="15"/>
      <c r="KCQ114" s="15"/>
      <c r="KCR114" s="15"/>
      <c r="KCS114" s="15"/>
      <c r="KCT114" s="15"/>
      <c r="KCU114" s="15"/>
      <c r="KCV114" s="15"/>
      <c r="KCW114" s="15"/>
      <c r="KCX114" s="15"/>
      <c r="KCY114" s="15"/>
      <c r="KCZ114" s="15"/>
      <c r="KDA114" s="15"/>
      <c r="KDB114" s="15"/>
      <c r="KDC114" s="15"/>
      <c r="KDD114" s="15"/>
      <c r="KDE114" s="15"/>
      <c r="KDF114" s="14"/>
      <c r="KDG114" s="15"/>
      <c r="KDH114" s="15"/>
      <c r="KDI114" s="15"/>
      <c r="KDJ114" s="15"/>
      <c r="KDK114" s="15"/>
      <c r="KDL114" s="15"/>
      <c r="KDM114" s="15"/>
      <c r="KDN114" s="15"/>
      <c r="KDO114" s="15"/>
      <c r="KDP114" s="15"/>
      <c r="KDQ114" s="15"/>
      <c r="KDR114" s="15"/>
      <c r="KDS114" s="15"/>
      <c r="KDT114" s="15"/>
      <c r="KDU114" s="15"/>
      <c r="KDV114" s="15"/>
      <c r="KDW114" s="15"/>
      <c r="KDX114" s="15"/>
      <c r="KDY114" s="15"/>
      <c r="KDZ114" s="15"/>
      <c r="KEA114" s="15"/>
      <c r="KEB114" s="14"/>
      <c r="KEC114" s="15"/>
      <c r="KED114" s="15"/>
      <c r="KEE114" s="15"/>
      <c r="KEF114" s="15"/>
      <c r="KEG114" s="15"/>
      <c r="KEH114" s="15"/>
      <c r="KEI114" s="15"/>
      <c r="KEJ114" s="15"/>
      <c r="KEK114" s="15"/>
      <c r="KEL114" s="15"/>
      <c r="KEM114" s="15"/>
      <c r="KEN114" s="15"/>
      <c r="KEO114" s="15"/>
      <c r="KEP114" s="15"/>
      <c r="KEQ114" s="15"/>
      <c r="KER114" s="15"/>
      <c r="KES114" s="15"/>
      <c r="KET114" s="15"/>
      <c r="KEU114" s="15"/>
      <c r="KEV114" s="15"/>
      <c r="KEW114" s="15"/>
      <c r="KEX114" s="14"/>
      <c r="KEY114" s="15"/>
      <c r="KEZ114" s="15"/>
      <c r="KFA114" s="15"/>
      <c r="KFB114" s="15"/>
      <c r="KFC114" s="15"/>
      <c r="KFD114" s="15"/>
      <c r="KFE114" s="15"/>
      <c r="KFF114" s="15"/>
      <c r="KFG114" s="15"/>
      <c r="KFH114" s="15"/>
      <c r="KFI114" s="15"/>
      <c r="KFJ114" s="15"/>
      <c r="KFK114" s="15"/>
      <c r="KFL114" s="15"/>
      <c r="KFM114" s="15"/>
      <c r="KFN114" s="15"/>
      <c r="KFO114" s="15"/>
      <c r="KFP114" s="15"/>
      <c r="KFQ114" s="15"/>
      <c r="KFR114" s="15"/>
      <c r="KFS114" s="15"/>
      <c r="KFT114" s="14"/>
      <c r="KFU114" s="15"/>
      <c r="KFV114" s="15"/>
      <c r="KFW114" s="15"/>
      <c r="KFX114" s="15"/>
      <c r="KFY114" s="15"/>
      <c r="KFZ114" s="15"/>
      <c r="KGA114" s="15"/>
      <c r="KGB114" s="15"/>
      <c r="KGC114" s="15"/>
      <c r="KGD114" s="15"/>
      <c r="KGE114" s="15"/>
      <c r="KGF114" s="15"/>
      <c r="KGG114" s="15"/>
      <c r="KGH114" s="15"/>
      <c r="KGI114" s="15"/>
      <c r="KGJ114" s="15"/>
      <c r="KGK114" s="15"/>
      <c r="KGL114" s="15"/>
      <c r="KGM114" s="15"/>
      <c r="KGN114" s="15"/>
      <c r="KGO114" s="15"/>
      <c r="KGP114" s="14"/>
      <c r="KGQ114" s="15"/>
      <c r="KGR114" s="15"/>
      <c r="KGS114" s="15"/>
      <c r="KGT114" s="15"/>
      <c r="KGU114" s="15"/>
      <c r="KGV114" s="15"/>
      <c r="KGW114" s="15"/>
      <c r="KGX114" s="15"/>
      <c r="KGY114" s="15"/>
      <c r="KGZ114" s="15"/>
      <c r="KHA114" s="15"/>
      <c r="KHB114" s="15"/>
      <c r="KHC114" s="15"/>
      <c r="KHD114" s="15"/>
      <c r="KHE114" s="15"/>
      <c r="KHF114" s="15"/>
      <c r="KHG114" s="15"/>
      <c r="KHH114" s="15"/>
      <c r="KHI114" s="15"/>
      <c r="KHJ114" s="15"/>
      <c r="KHK114" s="15"/>
      <c r="KHL114" s="14"/>
      <c r="KHM114" s="15"/>
      <c r="KHN114" s="15"/>
      <c r="KHO114" s="15"/>
      <c r="KHP114" s="15"/>
      <c r="KHQ114" s="15"/>
      <c r="KHR114" s="15"/>
      <c r="KHS114" s="15"/>
      <c r="KHT114" s="15"/>
      <c r="KHU114" s="15"/>
      <c r="KHV114" s="15"/>
      <c r="KHW114" s="15"/>
      <c r="KHX114" s="15"/>
      <c r="KHY114" s="15"/>
      <c r="KHZ114" s="15"/>
      <c r="KIA114" s="15"/>
      <c r="KIB114" s="15"/>
      <c r="KIC114" s="15"/>
      <c r="KID114" s="15"/>
      <c r="KIE114" s="15"/>
      <c r="KIF114" s="15"/>
      <c r="KIG114" s="15"/>
      <c r="KIH114" s="14"/>
      <c r="KII114" s="15"/>
      <c r="KIJ114" s="15"/>
      <c r="KIK114" s="15"/>
      <c r="KIL114" s="15"/>
      <c r="KIM114" s="15"/>
      <c r="KIN114" s="15"/>
      <c r="KIO114" s="15"/>
      <c r="KIP114" s="15"/>
      <c r="KIQ114" s="15"/>
      <c r="KIR114" s="15"/>
      <c r="KIS114" s="15"/>
      <c r="KIT114" s="15"/>
      <c r="KIU114" s="15"/>
      <c r="KIV114" s="15"/>
      <c r="KIW114" s="15"/>
      <c r="KIX114" s="15"/>
      <c r="KIY114" s="15"/>
      <c r="KIZ114" s="15"/>
      <c r="KJA114" s="15"/>
      <c r="KJB114" s="15"/>
      <c r="KJC114" s="15"/>
      <c r="KJD114" s="14"/>
      <c r="KJE114" s="15"/>
      <c r="KJF114" s="15"/>
      <c r="KJG114" s="15"/>
      <c r="KJH114" s="15"/>
      <c r="KJI114" s="15"/>
      <c r="KJJ114" s="15"/>
      <c r="KJK114" s="15"/>
      <c r="KJL114" s="15"/>
      <c r="KJM114" s="15"/>
      <c r="KJN114" s="15"/>
      <c r="KJO114" s="15"/>
      <c r="KJP114" s="15"/>
      <c r="KJQ114" s="15"/>
      <c r="KJR114" s="15"/>
      <c r="KJS114" s="15"/>
      <c r="KJT114" s="15"/>
      <c r="KJU114" s="15"/>
      <c r="KJV114" s="15"/>
      <c r="KJW114" s="15"/>
      <c r="KJX114" s="15"/>
      <c r="KJY114" s="15"/>
      <c r="KJZ114" s="14"/>
      <c r="KKA114" s="15"/>
      <c r="KKB114" s="15"/>
      <c r="KKC114" s="15"/>
      <c r="KKD114" s="15"/>
      <c r="KKE114" s="15"/>
      <c r="KKF114" s="15"/>
      <c r="KKG114" s="15"/>
      <c r="KKH114" s="15"/>
      <c r="KKI114" s="15"/>
      <c r="KKJ114" s="15"/>
      <c r="KKK114" s="15"/>
      <c r="KKL114" s="15"/>
      <c r="KKM114" s="15"/>
      <c r="KKN114" s="15"/>
      <c r="KKO114" s="15"/>
      <c r="KKP114" s="15"/>
      <c r="KKQ114" s="15"/>
      <c r="KKR114" s="15"/>
      <c r="KKS114" s="15"/>
      <c r="KKT114" s="15"/>
      <c r="KKU114" s="15"/>
      <c r="KKV114" s="14"/>
      <c r="KKW114" s="15"/>
      <c r="KKX114" s="15"/>
      <c r="KKY114" s="15"/>
      <c r="KKZ114" s="15"/>
      <c r="KLA114" s="15"/>
      <c r="KLB114" s="15"/>
      <c r="KLC114" s="15"/>
      <c r="KLD114" s="15"/>
      <c r="KLE114" s="15"/>
      <c r="KLF114" s="15"/>
      <c r="KLG114" s="15"/>
      <c r="KLH114" s="15"/>
      <c r="KLI114" s="15"/>
      <c r="KLJ114" s="15"/>
      <c r="KLK114" s="15"/>
      <c r="KLL114" s="15"/>
      <c r="KLM114" s="15"/>
      <c r="KLN114" s="15"/>
      <c r="KLO114" s="15"/>
      <c r="KLP114" s="15"/>
      <c r="KLQ114" s="15"/>
      <c r="KLR114" s="14"/>
      <c r="KLS114" s="15"/>
      <c r="KLT114" s="15"/>
      <c r="KLU114" s="15"/>
      <c r="KLV114" s="15"/>
      <c r="KLW114" s="15"/>
      <c r="KLX114" s="15"/>
      <c r="KLY114" s="15"/>
      <c r="KLZ114" s="15"/>
      <c r="KMA114" s="15"/>
      <c r="KMB114" s="15"/>
      <c r="KMC114" s="15"/>
      <c r="KMD114" s="15"/>
      <c r="KME114" s="15"/>
      <c r="KMF114" s="15"/>
      <c r="KMG114" s="15"/>
      <c r="KMH114" s="15"/>
      <c r="KMI114" s="15"/>
      <c r="KMJ114" s="15"/>
      <c r="KMK114" s="15"/>
      <c r="KML114" s="15"/>
      <c r="KMM114" s="15"/>
      <c r="KMN114" s="14"/>
      <c r="KMO114" s="15"/>
      <c r="KMP114" s="15"/>
      <c r="KMQ114" s="15"/>
      <c r="KMR114" s="15"/>
      <c r="KMS114" s="15"/>
      <c r="KMT114" s="15"/>
      <c r="KMU114" s="15"/>
      <c r="KMV114" s="15"/>
      <c r="KMW114" s="15"/>
      <c r="KMX114" s="15"/>
      <c r="KMY114" s="15"/>
      <c r="KMZ114" s="15"/>
      <c r="KNA114" s="15"/>
      <c r="KNB114" s="15"/>
      <c r="KNC114" s="15"/>
      <c r="KND114" s="15"/>
      <c r="KNE114" s="15"/>
      <c r="KNF114" s="15"/>
      <c r="KNG114" s="15"/>
      <c r="KNH114" s="15"/>
      <c r="KNI114" s="15"/>
      <c r="KNJ114" s="14"/>
      <c r="KNK114" s="15"/>
      <c r="KNL114" s="15"/>
      <c r="KNM114" s="15"/>
      <c r="KNN114" s="15"/>
      <c r="KNO114" s="15"/>
      <c r="KNP114" s="15"/>
      <c r="KNQ114" s="15"/>
      <c r="KNR114" s="15"/>
      <c r="KNS114" s="15"/>
      <c r="KNT114" s="15"/>
      <c r="KNU114" s="15"/>
      <c r="KNV114" s="15"/>
      <c r="KNW114" s="15"/>
      <c r="KNX114" s="15"/>
      <c r="KNY114" s="15"/>
      <c r="KNZ114" s="15"/>
      <c r="KOA114" s="15"/>
      <c r="KOB114" s="15"/>
      <c r="KOC114" s="15"/>
      <c r="KOD114" s="15"/>
      <c r="KOE114" s="15"/>
      <c r="KOF114" s="14"/>
      <c r="KOG114" s="15"/>
      <c r="KOH114" s="15"/>
      <c r="KOI114" s="15"/>
      <c r="KOJ114" s="15"/>
      <c r="KOK114" s="15"/>
      <c r="KOL114" s="15"/>
      <c r="KOM114" s="15"/>
      <c r="KON114" s="15"/>
      <c r="KOO114" s="15"/>
      <c r="KOP114" s="15"/>
      <c r="KOQ114" s="15"/>
      <c r="KOR114" s="15"/>
      <c r="KOS114" s="15"/>
      <c r="KOT114" s="15"/>
      <c r="KOU114" s="15"/>
      <c r="KOV114" s="15"/>
      <c r="KOW114" s="15"/>
      <c r="KOX114" s="15"/>
      <c r="KOY114" s="15"/>
      <c r="KOZ114" s="15"/>
      <c r="KPA114" s="15"/>
      <c r="KPB114" s="14"/>
      <c r="KPC114" s="15"/>
      <c r="KPD114" s="15"/>
      <c r="KPE114" s="15"/>
      <c r="KPF114" s="15"/>
      <c r="KPG114" s="15"/>
      <c r="KPH114" s="15"/>
      <c r="KPI114" s="15"/>
      <c r="KPJ114" s="15"/>
      <c r="KPK114" s="15"/>
      <c r="KPL114" s="15"/>
      <c r="KPM114" s="15"/>
      <c r="KPN114" s="15"/>
      <c r="KPO114" s="15"/>
      <c r="KPP114" s="15"/>
      <c r="KPQ114" s="15"/>
      <c r="KPR114" s="15"/>
      <c r="KPS114" s="15"/>
      <c r="KPT114" s="15"/>
      <c r="KPU114" s="15"/>
      <c r="KPV114" s="15"/>
      <c r="KPW114" s="15"/>
      <c r="KPX114" s="14"/>
      <c r="KPY114" s="15"/>
      <c r="KPZ114" s="15"/>
      <c r="KQA114" s="15"/>
      <c r="KQB114" s="15"/>
      <c r="KQC114" s="15"/>
      <c r="KQD114" s="15"/>
      <c r="KQE114" s="15"/>
      <c r="KQF114" s="15"/>
      <c r="KQG114" s="15"/>
      <c r="KQH114" s="15"/>
      <c r="KQI114" s="15"/>
      <c r="KQJ114" s="15"/>
      <c r="KQK114" s="15"/>
      <c r="KQL114" s="15"/>
      <c r="KQM114" s="15"/>
      <c r="KQN114" s="15"/>
      <c r="KQO114" s="15"/>
      <c r="KQP114" s="15"/>
      <c r="KQQ114" s="15"/>
      <c r="KQR114" s="15"/>
      <c r="KQS114" s="15"/>
      <c r="KQT114" s="14"/>
      <c r="KQU114" s="15"/>
      <c r="KQV114" s="15"/>
      <c r="KQW114" s="15"/>
      <c r="KQX114" s="15"/>
      <c r="KQY114" s="15"/>
      <c r="KQZ114" s="15"/>
      <c r="KRA114" s="15"/>
      <c r="KRB114" s="15"/>
      <c r="KRC114" s="15"/>
      <c r="KRD114" s="15"/>
      <c r="KRE114" s="15"/>
      <c r="KRF114" s="15"/>
      <c r="KRG114" s="15"/>
      <c r="KRH114" s="15"/>
      <c r="KRI114" s="15"/>
      <c r="KRJ114" s="15"/>
      <c r="KRK114" s="15"/>
      <c r="KRL114" s="15"/>
      <c r="KRM114" s="15"/>
      <c r="KRN114" s="15"/>
      <c r="KRO114" s="15"/>
      <c r="KRP114" s="14"/>
      <c r="KRQ114" s="15"/>
      <c r="KRR114" s="15"/>
      <c r="KRS114" s="15"/>
      <c r="KRT114" s="15"/>
      <c r="KRU114" s="15"/>
      <c r="KRV114" s="15"/>
      <c r="KRW114" s="15"/>
      <c r="KRX114" s="15"/>
      <c r="KRY114" s="15"/>
      <c r="KRZ114" s="15"/>
      <c r="KSA114" s="15"/>
      <c r="KSB114" s="15"/>
      <c r="KSC114" s="15"/>
      <c r="KSD114" s="15"/>
      <c r="KSE114" s="15"/>
      <c r="KSF114" s="15"/>
      <c r="KSG114" s="15"/>
      <c r="KSH114" s="15"/>
      <c r="KSI114" s="15"/>
      <c r="KSJ114" s="15"/>
      <c r="KSK114" s="15"/>
      <c r="KSL114" s="14"/>
      <c r="KSM114" s="15"/>
      <c r="KSN114" s="15"/>
      <c r="KSO114" s="15"/>
      <c r="KSP114" s="15"/>
      <c r="KSQ114" s="15"/>
      <c r="KSR114" s="15"/>
      <c r="KSS114" s="15"/>
      <c r="KST114" s="15"/>
      <c r="KSU114" s="15"/>
      <c r="KSV114" s="15"/>
      <c r="KSW114" s="15"/>
      <c r="KSX114" s="15"/>
      <c r="KSY114" s="15"/>
      <c r="KSZ114" s="15"/>
      <c r="KTA114" s="15"/>
      <c r="KTB114" s="15"/>
      <c r="KTC114" s="15"/>
      <c r="KTD114" s="15"/>
      <c r="KTE114" s="15"/>
      <c r="KTF114" s="15"/>
      <c r="KTG114" s="15"/>
      <c r="KTH114" s="14"/>
      <c r="KTI114" s="15"/>
      <c r="KTJ114" s="15"/>
      <c r="KTK114" s="15"/>
      <c r="KTL114" s="15"/>
      <c r="KTM114" s="15"/>
      <c r="KTN114" s="15"/>
      <c r="KTO114" s="15"/>
      <c r="KTP114" s="15"/>
      <c r="KTQ114" s="15"/>
      <c r="KTR114" s="15"/>
      <c r="KTS114" s="15"/>
      <c r="KTT114" s="15"/>
      <c r="KTU114" s="15"/>
      <c r="KTV114" s="15"/>
      <c r="KTW114" s="15"/>
      <c r="KTX114" s="15"/>
      <c r="KTY114" s="15"/>
      <c r="KTZ114" s="15"/>
      <c r="KUA114" s="15"/>
      <c r="KUB114" s="15"/>
      <c r="KUC114" s="15"/>
      <c r="KUD114" s="14"/>
      <c r="KUE114" s="15"/>
      <c r="KUF114" s="15"/>
      <c r="KUG114" s="15"/>
      <c r="KUH114" s="15"/>
      <c r="KUI114" s="15"/>
      <c r="KUJ114" s="15"/>
      <c r="KUK114" s="15"/>
      <c r="KUL114" s="15"/>
      <c r="KUM114" s="15"/>
      <c r="KUN114" s="15"/>
      <c r="KUO114" s="15"/>
      <c r="KUP114" s="15"/>
      <c r="KUQ114" s="15"/>
      <c r="KUR114" s="15"/>
      <c r="KUS114" s="15"/>
      <c r="KUT114" s="15"/>
      <c r="KUU114" s="15"/>
      <c r="KUV114" s="15"/>
      <c r="KUW114" s="15"/>
      <c r="KUX114" s="15"/>
      <c r="KUY114" s="15"/>
      <c r="KUZ114" s="14"/>
      <c r="KVA114" s="15"/>
      <c r="KVB114" s="15"/>
      <c r="KVC114" s="15"/>
      <c r="KVD114" s="15"/>
      <c r="KVE114" s="15"/>
      <c r="KVF114" s="15"/>
      <c r="KVG114" s="15"/>
      <c r="KVH114" s="15"/>
      <c r="KVI114" s="15"/>
      <c r="KVJ114" s="15"/>
      <c r="KVK114" s="15"/>
      <c r="KVL114" s="15"/>
      <c r="KVM114" s="15"/>
      <c r="KVN114" s="15"/>
      <c r="KVO114" s="15"/>
      <c r="KVP114" s="15"/>
      <c r="KVQ114" s="15"/>
      <c r="KVR114" s="15"/>
      <c r="KVS114" s="15"/>
      <c r="KVT114" s="15"/>
      <c r="KVU114" s="15"/>
      <c r="KVV114" s="14"/>
      <c r="KVW114" s="15"/>
      <c r="KVX114" s="15"/>
      <c r="KVY114" s="15"/>
      <c r="KVZ114" s="15"/>
      <c r="KWA114" s="15"/>
      <c r="KWB114" s="15"/>
      <c r="KWC114" s="15"/>
      <c r="KWD114" s="15"/>
      <c r="KWE114" s="15"/>
      <c r="KWF114" s="15"/>
      <c r="KWG114" s="15"/>
      <c r="KWH114" s="15"/>
      <c r="KWI114" s="15"/>
      <c r="KWJ114" s="15"/>
      <c r="KWK114" s="15"/>
      <c r="KWL114" s="15"/>
      <c r="KWM114" s="15"/>
      <c r="KWN114" s="15"/>
      <c r="KWO114" s="15"/>
      <c r="KWP114" s="15"/>
      <c r="KWQ114" s="15"/>
      <c r="KWR114" s="14"/>
      <c r="KWS114" s="15"/>
      <c r="KWT114" s="15"/>
      <c r="KWU114" s="15"/>
      <c r="KWV114" s="15"/>
      <c r="KWW114" s="15"/>
      <c r="KWX114" s="15"/>
      <c r="KWY114" s="15"/>
      <c r="KWZ114" s="15"/>
      <c r="KXA114" s="15"/>
      <c r="KXB114" s="15"/>
      <c r="KXC114" s="15"/>
      <c r="KXD114" s="15"/>
      <c r="KXE114" s="15"/>
      <c r="KXF114" s="15"/>
      <c r="KXG114" s="15"/>
      <c r="KXH114" s="15"/>
      <c r="KXI114" s="15"/>
      <c r="KXJ114" s="15"/>
      <c r="KXK114" s="15"/>
      <c r="KXL114" s="15"/>
      <c r="KXM114" s="15"/>
      <c r="KXN114" s="14"/>
      <c r="KXO114" s="15"/>
      <c r="KXP114" s="15"/>
      <c r="KXQ114" s="15"/>
      <c r="KXR114" s="15"/>
      <c r="KXS114" s="15"/>
      <c r="KXT114" s="15"/>
      <c r="KXU114" s="15"/>
      <c r="KXV114" s="15"/>
      <c r="KXW114" s="15"/>
      <c r="KXX114" s="15"/>
      <c r="KXY114" s="15"/>
      <c r="KXZ114" s="15"/>
      <c r="KYA114" s="15"/>
      <c r="KYB114" s="15"/>
      <c r="KYC114" s="15"/>
      <c r="KYD114" s="15"/>
      <c r="KYE114" s="15"/>
      <c r="KYF114" s="15"/>
      <c r="KYG114" s="15"/>
      <c r="KYH114" s="15"/>
      <c r="KYI114" s="15"/>
      <c r="KYJ114" s="14"/>
      <c r="KYK114" s="15"/>
      <c r="KYL114" s="15"/>
      <c r="KYM114" s="15"/>
      <c r="KYN114" s="15"/>
      <c r="KYO114" s="15"/>
      <c r="KYP114" s="15"/>
      <c r="KYQ114" s="15"/>
      <c r="KYR114" s="15"/>
      <c r="KYS114" s="15"/>
      <c r="KYT114" s="15"/>
      <c r="KYU114" s="15"/>
      <c r="KYV114" s="15"/>
      <c r="KYW114" s="15"/>
      <c r="KYX114" s="15"/>
      <c r="KYY114" s="15"/>
      <c r="KYZ114" s="15"/>
      <c r="KZA114" s="15"/>
      <c r="KZB114" s="15"/>
      <c r="KZC114" s="15"/>
      <c r="KZD114" s="15"/>
      <c r="KZE114" s="15"/>
      <c r="KZF114" s="14"/>
      <c r="KZG114" s="15"/>
      <c r="KZH114" s="15"/>
      <c r="KZI114" s="15"/>
      <c r="KZJ114" s="15"/>
      <c r="KZK114" s="15"/>
      <c r="KZL114" s="15"/>
      <c r="KZM114" s="15"/>
      <c r="KZN114" s="15"/>
      <c r="KZO114" s="15"/>
      <c r="KZP114" s="15"/>
      <c r="KZQ114" s="15"/>
      <c r="KZR114" s="15"/>
      <c r="KZS114" s="15"/>
      <c r="KZT114" s="15"/>
      <c r="KZU114" s="15"/>
      <c r="KZV114" s="15"/>
      <c r="KZW114" s="15"/>
      <c r="KZX114" s="15"/>
      <c r="KZY114" s="15"/>
      <c r="KZZ114" s="15"/>
      <c r="LAA114" s="15"/>
      <c r="LAB114" s="14"/>
      <c r="LAC114" s="15"/>
      <c r="LAD114" s="15"/>
      <c r="LAE114" s="15"/>
      <c r="LAF114" s="15"/>
      <c r="LAG114" s="15"/>
      <c r="LAH114" s="15"/>
      <c r="LAI114" s="15"/>
      <c r="LAJ114" s="15"/>
      <c r="LAK114" s="15"/>
      <c r="LAL114" s="15"/>
      <c r="LAM114" s="15"/>
      <c r="LAN114" s="15"/>
      <c r="LAO114" s="15"/>
      <c r="LAP114" s="15"/>
      <c r="LAQ114" s="15"/>
      <c r="LAR114" s="15"/>
      <c r="LAS114" s="15"/>
      <c r="LAT114" s="15"/>
      <c r="LAU114" s="15"/>
      <c r="LAV114" s="15"/>
      <c r="LAW114" s="15"/>
      <c r="LAX114" s="14"/>
      <c r="LAY114" s="15"/>
      <c r="LAZ114" s="15"/>
      <c r="LBA114" s="15"/>
      <c r="LBB114" s="15"/>
      <c r="LBC114" s="15"/>
      <c r="LBD114" s="15"/>
      <c r="LBE114" s="15"/>
      <c r="LBF114" s="15"/>
      <c r="LBG114" s="15"/>
      <c r="LBH114" s="15"/>
      <c r="LBI114" s="15"/>
      <c r="LBJ114" s="15"/>
      <c r="LBK114" s="15"/>
      <c r="LBL114" s="15"/>
      <c r="LBM114" s="15"/>
      <c r="LBN114" s="15"/>
      <c r="LBO114" s="15"/>
      <c r="LBP114" s="15"/>
      <c r="LBQ114" s="15"/>
      <c r="LBR114" s="15"/>
      <c r="LBS114" s="15"/>
      <c r="LBT114" s="14"/>
      <c r="LBU114" s="15"/>
      <c r="LBV114" s="15"/>
      <c r="LBW114" s="15"/>
      <c r="LBX114" s="15"/>
      <c r="LBY114" s="15"/>
      <c r="LBZ114" s="15"/>
      <c r="LCA114" s="15"/>
      <c r="LCB114" s="15"/>
      <c r="LCC114" s="15"/>
      <c r="LCD114" s="15"/>
      <c r="LCE114" s="15"/>
      <c r="LCF114" s="15"/>
      <c r="LCG114" s="15"/>
      <c r="LCH114" s="15"/>
      <c r="LCI114" s="15"/>
      <c r="LCJ114" s="15"/>
      <c r="LCK114" s="15"/>
      <c r="LCL114" s="15"/>
      <c r="LCM114" s="15"/>
      <c r="LCN114" s="15"/>
      <c r="LCO114" s="15"/>
      <c r="LCP114" s="14"/>
      <c r="LCQ114" s="15"/>
      <c r="LCR114" s="15"/>
      <c r="LCS114" s="15"/>
      <c r="LCT114" s="15"/>
      <c r="LCU114" s="15"/>
      <c r="LCV114" s="15"/>
      <c r="LCW114" s="15"/>
      <c r="LCX114" s="15"/>
      <c r="LCY114" s="15"/>
      <c r="LCZ114" s="15"/>
      <c r="LDA114" s="15"/>
      <c r="LDB114" s="15"/>
      <c r="LDC114" s="15"/>
      <c r="LDD114" s="15"/>
      <c r="LDE114" s="15"/>
      <c r="LDF114" s="15"/>
      <c r="LDG114" s="15"/>
      <c r="LDH114" s="15"/>
      <c r="LDI114" s="15"/>
      <c r="LDJ114" s="15"/>
      <c r="LDK114" s="15"/>
      <c r="LDL114" s="14"/>
      <c r="LDM114" s="15"/>
      <c r="LDN114" s="15"/>
      <c r="LDO114" s="15"/>
      <c r="LDP114" s="15"/>
      <c r="LDQ114" s="15"/>
      <c r="LDR114" s="15"/>
      <c r="LDS114" s="15"/>
      <c r="LDT114" s="15"/>
      <c r="LDU114" s="15"/>
      <c r="LDV114" s="15"/>
      <c r="LDW114" s="15"/>
      <c r="LDX114" s="15"/>
      <c r="LDY114" s="15"/>
      <c r="LDZ114" s="15"/>
      <c r="LEA114" s="15"/>
      <c r="LEB114" s="15"/>
      <c r="LEC114" s="15"/>
      <c r="LED114" s="15"/>
      <c r="LEE114" s="15"/>
      <c r="LEF114" s="15"/>
      <c r="LEG114" s="15"/>
      <c r="LEH114" s="14"/>
      <c r="LEI114" s="15"/>
      <c r="LEJ114" s="15"/>
      <c r="LEK114" s="15"/>
      <c r="LEL114" s="15"/>
      <c r="LEM114" s="15"/>
      <c r="LEN114" s="15"/>
      <c r="LEO114" s="15"/>
      <c r="LEP114" s="15"/>
      <c r="LEQ114" s="15"/>
      <c r="LER114" s="15"/>
      <c r="LES114" s="15"/>
      <c r="LET114" s="15"/>
      <c r="LEU114" s="15"/>
      <c r="LEV114" s="15"/>
      <c r="LEW114" s="15"/>
      <c r="LEX114" s="15"/>
      <c r="LEY114" s="15"/>
      <c r="LEZ114" s="15"/>
      <c r="LFA114" s="15"/>
      <c r="LFB114" s="15"/>
      <c r="LFC114" s="15"/>
      <c r="LFD114" s="14"/>
      <c r="LFE114" s="15"/>
      <c r="LFF114" s="15"/>
      <c r="LFG114" s="15"/>
      <c r="LFH114" s="15"/>
      <c r="LFI114" s="15"/>
      <c r="LFJ114" s="15"/>
      <c r="LFK114" s="15"/>
      <c r="LFL114" s="15"/>
      <c r="LFM114" s="15"/>
      <c r="LFN114" s="15"/>
      <c r="LFO114" s="15"/>
      <c r="LFP114" s="15"/>
      <c r="LFQ114" s="15"/>
      <c r="LFR114" s="15"/>
      <c r="LFS114" s="15"/>
      <c r="LFT114" s="15"/>
      <c r="LFU114" s="15"/>
      <c r="LFV114" s="15"/>
      <c r="LFW114" s="15"/>
      <c r="LFX114" s="15"/>
      <c r="LFY114" s="15"/>
      <c r="LFZ114" s="14"/>
      <c r="LGA114" s="15"/>
      <c r="LGB114" s="15"/>
      <c r="LGC114" s="15"/>
      <c r="LGD114" s="15"/>
      <c r="LGE114" s="15"/>
      <c r="LGF114" s="15"/>
      <c r="LGG114" s="15"/>
      <c r="LGH114" s="15"/>
      <c r="LGI114" s="15"/>
      <c r="LGJ114" s="15"/>
      <c r="LGK114" s="15"/>
      <c r="LGL114" s="15"/>
      <c r="LGM114" s="15"/>
      <c r="LGN114" s="15"/>
      <c r="LGO114" s="15"/>
      <c r="LGP114" s="15"/>
      <c r="LGQ114" s="15"/>
      <c r="LGR114" s="15"/>
      <c r="LGS114" s="15"/>
      <c r="LGT114" s="15"/>
      <c r="LGU114" s="15"/>
      <c r="LGV114" s="14"/>
      <c r="LGW114" s="15"/>
      <c r="LGX114" s="15"/>
      <c r="LGY114" s="15"/>
      <c r="LGZ114" s="15"/>
      <c r="LHA114" s="15"/>
      <c r="LHB114" s="15"/>
      <c r="LHC114" s="15"/>
      <c r="LHD114" s="15"/>
      <c r="LHE114" s="15"/>
      <c r="LHF114" s="15"/>
      <c r="LHG114" s="15"/>
      <c r="LHH114" s="15"/>
      <c r="LHI114" s="15"/>
      <c r="LHJ114" s="15"/>
      <c r="LHK114" s="15"/>
      <c r="LHL114" s="15"/>
      <c r="LHM114" s="15"/>
      <c r="LHN114" s="15"/>
      <c r="LHO114" s="15"/>
      <c r="LHP114" s="15"/>
      <c r="LHQ114" s="15"/>
      <c r="LHR114" s="14"/>
      <c r="LHS114" s="15"/>
      <c r="LHT114" s="15"/>
      <c r="LHU114" s="15"/>
      <c r="LHV114" s="15"/>
      <c r="LHW114" s="15"/>
      <c r="LHX114" s="15"/>
      <c r="LHY114" s="15"/>
      <c r="LHZ114" s="15"/>
      <c r="LIA114" s="15"/>
      <c r="LIB114" s="15"/>
      <c r="LIC114" s="15"/>
      <c r="LID114" s="15"/>
      <c r="LIE114" s="15"/>
      <c r="LIF114" s="15"/>
      <c r="LIG114" s="15"/>
      <c r="LIH114" s="15"/>
      <c r="LII114" s="15"/>
      <c r="LIJ114" s="15"/>
      <c r="LIK114" s="15"/>
      <c r="LIL114" s="15"/>
      <c r="LIM114" s="15"/>
      <c r="LIN114" s="14"/>
      <c r="LIO114" s="15"/>
      <c r="LIP114" s="15"/>
      <c r="LIQ114" s="15"/>
      <c r="LIR114" s="15"/>
      <c r="LIS114" s="15"/>
      <c r="LIT114" s="15"/>
      <c r="LIU114" s="15"/>
      <c r="LIV114" s="15"/>
      <c r="LIW114" s="15"/>
      <c r="LIX114" s="15"/>
      <c r="LIY114" s="15"/>
      <c r="LIZ114" s="15"/>
      <c r="LJA114" s="15"/>
      <c r="LJB114" s="15"/>
      <c r="LJC114" s="15"/>
      <c r="LJD114" s="15"/>
      <c r="LJE114" s="15"/>
      <c r="LJF114" s="15"/>
      <c r="LJG114" s="15"/>
      <c r="LJH114" s="15"/>
      <c r="LJI114" s="15"/>
      <c r="LJJ114" s="14"/>
      <c r="LJK114" s="15"/>
      <c r="LJL114" s="15"/>
      <c r="LJM114" s="15"/>
      <c r="LJN114" s="15"/>
      <c r="LJO114" s="15"/>
      <c r="LJP114" s="15"/>
      <c r="LJQ114" s="15"/>
      <c r="LJR114" s="15"/>
      <c r="LJS114" s="15"/>
      <c r="LJT114" s="15"/>
      <c r="LJU114" s="15"/>
      <c r="LJV114" s="15"/>
      <c r="LJW114" s="15"/>
      <c r="LJX114" s="15"/>
      <c r="LJY114" s="15"/>
      <c r="LJZ114" s="15"/>
      <c r="LKA114" s="15"/>
      <c r="LKB114" s="15"/>
      <c r="LKC114" s="15"/>
      <c r="LKD114" s="15"/>
      <c r="LKE114" s="15"/>
      <c r="LKF114" s="14"/>
      <c r="LKG114" s="15"/>
      <c r="LKH114" s="15"/>
      <c r="LKI114" s="15"/>
      <c r="LKJ114" s="15"/>
      <c r="LKK114" s="15"/>
      <c r="LKL114" s="15"/>
      <c r="LKM114" s="15"/>
      <c r="LKN114" s="15"/>
      <c r="LKO114" s="15"/>
      <c r="LKP114" s="15"/>
      <c r="LKQ114" s="15"/>
      <c r="LKR114" s="15"/>
      <c r="LKS114" s="15"/>
      <c r="LKT114" s="15"/>
      <c r="LKU114" s="15"/>
      <c r="LKV114" s="15"/>
      <c r="LKW114" s="15"/>
      <c r="LKX114" s="15"/>
      <c r="LKY114" s="15"/>
      <c r="LKZ114" s="15"/>
      <c r="LLA114" s="15"/>
      <c r="LLB114" s="14"/>
      <c r="LLC114" s="15"/>
      <c r="LLD114" s="15"/>
      <c r="LLE114" s="15"/>
      <c r="LLF114" s="15"/>
      <c r="LLG114" s="15"/>
      <c r="LLH114" s="15"/>
      <c r="LLI114" s="15"/>
      <c r="LLJ114" s="15"/>
      <c r="LLK114" s="15"/>
      <c r="LLL114" s="15"/>
      <c r="LLM114" s="15"/>
      <c r="LLN114" s="15"/>
      <c r="LLO114" s="15"/>
      <c r="LLP114" s="15"/>
      <c r="LLQ114" s="15"/>
      <c r="LLR114" s="15"/>
      <c r="LLS114" s="15"/>
      <c r="LLT114" s="15"/>
      <c r="LLU114" s="15"/>
      <c r="LLV114" s="15"/>
      <c r="LLW114" s="15"/>
      <c r="LLX114" s="14"/>
      <c r="LLY114" s="15"/>
      <c r="LLZ114" s="15"/>
      <c r="LMA114" s="15"/>
      <c r="LMB114" s="15"/>
      <c r="LMC114" s="15"/>
      <c r="LMD114" s="15"/>
      <c r="LME114" s="15"/>
      <c r="LMF114" s="15"/>
      <c r="LMG114" s="15"/>
      <c r="LMH114" s="15"/>
      <c r="LMI114" s="15"/>
      <c r="LMJ114" s="15"/>
      <c r="LMK114" s="15"/>
      <c r="LML114" s="15"/>
      <c r="LMM114" s="15"/>
      <c r="LMN114" s="15"/>
      <c r="LMO114" s="15"/>
      <c r="LMP114" s="15"/>
      <c r="LMQ114" s="15"/>
      <c r="LMR114" s="15"/>
      <c r="LMS114" s="15"/>
      <c r="LMT114" s="14"/>
      <c r="LMU114" s="15"/>
      <c r="LMV114" s="15"/>
      <c r="LMW114" s="15"/>
      <c r="LMX114" s="15"/>
      <c r="LMY114" s="15"/>
      <c r="LMZ114" s="15"/>
      <c r="LNA114" s="15"/>
      <c r="LNB114" s="15"/>
      <c r="LNC114" s="15"/>
      <c r="LND114" s="15"/>
      <c r="LNE114" s="15"/>
      <c r="LNF114" s="15"/>
      <c r="LNG114" s="15"/>
      <c r="LNH114" s="15"/>
      <c r="LNI114" s="15"/>
      <c r="LNJ114" s="15"/>
      <c r="LNK114" s="15"/>
      <c r="LNL114" s="15"/>
      <c r="LNM114" s="15"/>
      <c r="LNN114" s="15"/>
      <c r="LNO114" s="15"/>
      <c r="LNP114" s="14"/>
      <c r="LNQ114" s="15"/>
      <c r="LNR114" s="15"/>
      <c r="LNS114" s="15"/>
      <c r="LNT114" s="15"/>
      <c r="LNU114" s="15"/>
      <c r="LNV114" s="15"/>
      <c r="LNW114" s="15"/>
      <c r="LNX114" s="15"/>
      <c r="LNY114" s="15"/>
      <c r="LNZ114" s="15"/>
      <c r="LOA114" s="15"/>
      <c r="LOB114" s="15"/>
      <c r="LOC114" s="15"/>
      <c r="LOD114" s="15"/>
      <c r="LOE114" s="15"/>
      <c r="LOF114" s="15"/>
      <c r="LOG114" s="15"/>
      <c r="LOH114" s="15"/>
      <c r="LOI114" s="15"/>
      <c r="LOJ114" s="15"/>
      <c r="LOK114" s="15"/>
      <c r="LOL114" s="14"/>
      <c r="LOM114" s="15"/>
      <c r="LON114" s="15"/>
      <c r="LOO114" s="15"/>
      <c r="LOP114" s="15"/>
      <c r="LOQ114" s="15"/>
      <c r="LOR114" s="15"/>
      <c r="LOS114" s="15"/>
      <c r="LOT114" s="15"/>
      <c r="LOU114" s="15"/>
      <c r="LOV114" s="15"/>
      <c r="LOW114" s="15"/>
      <c r="LOX114" s="15"/>
      <c r="LOY114" s="15"/>
      <c r="LOZ114" s="15"/>
      <c r="LPA114" s="15"/>
      <c r="LPB114" s="15"/>
      <c r="LPC114" s="15"/>
      <c r="LPD114" s="15"/>
      <c r="LPE114" s="15"/>
      <c r="LPF114" s="15"/>
      <c r="LPG114" s="15"/>
      <c r="LPH114" s="14"/>
      <c r="LPI114" s="15"/>
      <c r="LPJ114" s="15"/>
      <c r="LPK114" s="15"/>
      <c r="LPL114" s="15"/>
      <c r="LPM114" s="15"/>
      <c r="LPN114" s="15"/>
      <c r="LPO114" s="15"/>
      <c r="LPP114" s="15"/>
      <c r="LPQ114" s="15"/>
      <c r="LPR114" s="15"/>
      <c r="LPS114" s="15"/>
      <c r="LPT114" s="15"/>
      <c r="LPU114" s="15"/>
      <c r="LPV114" s="15"/>
      <c r="LPW114" s="15"/>
      <c r="LPX114" s="15"/>
      <c r="LPY114" s="15"/>
      <c r="LPZ114" s="15"/>
      <c r="LQA114" s="15"/>
      <c r="LQB114" s="15"/>
      <c r="LQC114" s="15"/>
      <c r="LQD114" s="14"/>
      <c r="LQE114" s="15"/>
      <c r="LQF114" s="15"/>
      <c r="LQG114" s="15"/>
      <c r="LQH114" s="15"/>
      <c r="LQI114" s="15"/>
      <c r="LQJ114" s="15"/>
      <c r="LQK114" s="15"/>
      <c r="LQL114" s="15"/>
      <c r="LQM114" s="15"/>
      <c r="LQN114" s="15"/>
      <c r="LQO114" s="15"/>
      <c r="LQP114" s="15"/>
      <c r="LQQ114" s="15"/>
      <c r="LQR114" s="15"/>
      <c r="LQS114" s="15"/>
      <c r="LQT114" s="15"/>
      <c r="LQU114" s="15"/>
      <c r="LQV114" s="15"/>
      <c r="LQW114" s="15"/>
      <c r="LQX114" s="15"/>
      <c r="LQY114" s="15"/>
      <c r="LQZ114" s="14"/>
      <c r="LRA114" s="15"/>
      <c r="LRB114" s="15"/>
      <c r="LRC114" s="15"/>
      <c r="LRD114" s="15"/>
      <c r="LRE114" s="15"/>
      <c r="LRF114" s="15"/>
      <c r="LRG114" s="15"/>
      <c r="LRH114" s="15"/>
      <c r="LRI114" s="15"/>
      <c r="LRJ114" s="15"/>
      <c r="LRK114" s="15"/>
      <c r="LRL114" s="15"/>
      <c r="LRM114" s="15"/>
      <c r="LRN114" s="15"/>
      <c r="LRO114" s="15"/>
      <c r="LRP114" s="15"/>
      <c r="LRQ114" s="15"/>
      <c r="LRR114" s="15"/>
      <c r="LRS114" s="15"/>
      <c r="LRT114" s="15"/>
      <c r="LRU114" s="15"/>
      <c r="LRV114" s="14"/>
      <c r="LRW114" s="15"/>
      <c r="LRX114" s="15"/>
      <c r="LRY114" s="15"/>
      <c r="LRZ114" s="15"/>
      <c r="LSA114" s="15"/>
      <c r="LSB114" s="15"/>
      <c r="LSC114" s="15"/>
      <c r="LSD114" s="15"/>
      <c r="LSE114" s="15"/>
      <c r="LSF114" s="15"/>
      <c r="LSG114" s="15"/>
      <c r="LSH114" s="15"/>
      <c r="LSI114" s="15"/>
      <c r="LSJ114" s="15"/>
      <c r="LSK114" s="15"/>
      <c r="LSL114" s="15"/>
      <c r="LSM114" s="15"/>
      <c r="LSN114" s="15"/>
      <c r="LSO114" s="15"/>
      <c r="LSP114" s="15"/>
      <c r="LSQ114" s="15"/>
      <c r="LSR114" s="14"/>
      <c r="LSS114" s="15"/>
      <c r="LST114" s="15"/>
      <c r="LSU114" s="15"/>
      <c r="LSV114" s="15"/>
      <c r="LSW114" s="15"/>
      <c r="LSX114" s="15"/>
      <c r="LSY114" s="15"/>
      <c r="LSZ114" s="15"/>
      <c r="LTA114" s="15"/>
      <c r="LTB114" s="15"/>
      <c r="LTC114" s="15"/>
      <c r="LTD114" s="15"/>
      <c r="LTE114" s="15"/>
      <c r="LTF114" s="15"/>
      <c r="LTG114" s="15"/>
      <c r="LTH114" s="15"/>
      <c r="LTI114" s="15"/>
      <c r="LTJ114" s="15"/>
      <c r="LTK114" s="15"/>
      <c r="LTL114" s="15"/>
      <c r="LTM114" s="15"/>
      <c r="LTN114" s="14"/>
      <c r="LTO114" s="15"/>
      <c r="LTP114" s="15"/>
      <c r="LTQ114" s="15"/>
      <c r="LTR114" s="15"/>
      <c r="LTS114" s="15"/>
      <c r="LTT114" s="15"/>
      <c r="LTU114" s="15"/>
      <c r="LTV114" s="15"/>
      <c r="LTW114" s="15"/>
      <c r="LTX114" s="15"/>
      <c r="LTY114" s="15"/>
      <c r="LTZ114" s="15"/>
      <c r="LUA114" s="15"/>
      <c r="LUB114" s="15"/>
      <c r="LUC114" s="15"/>
      <c r="LUD114" s="15"/>
      <c r="LUE114" s="15"/>
      <c r="LUF114" s="15"/>
      <c r="LUG114" s="15"/>
      <c r="LUH114" s="15"/>
      <c r="LUI114" s="15"/>
      <c r="LUJ114" s="14"/>
      <c r="LUK114" s="15"/>
      <c r="LUL114" s="15"/>
      <c r="LUM114" s="15"/>
      <c r="LUN114" s="15"/>
      <c r="LUO114" s="15"/>
      <c r="LUP114" s="15"/>
      <c r="LUQ114" s="15"/>
      <c r="LUR114" s="15"/>
      <c r="LUS114" s="15"/>
      <c r="LUT114" s="15"/>
      <c r="LUU114" s="15"/>
      <c r="LUV114" s="15"/>
      <c r="LUW114" s="15"/>
      <c r="LUX114" s="15"/>
      <c r="LUY114" s="15"/>
      <c r="LUZ114" s="15"/>
      <c r="LVA114" s="15"/>
      <c r="LVB114" s="15"/>
      <c r="LVC114" s="15"/>
      <c r="LVD114" s="15"/>
      <c r="LVE114" s="15"/>
      <c r="LVF114" s="14"/>
      <c r="LVG114" s="15"/>
      <c r="LVH114" s="15"/>
      <c r="LVI114" s="15"/>
      <c r="LVJ114" s="15"/>
      <c r="LVK114" s="15"/>
      <c r="LVL114" s="15"/>
      <c r="LVM114" s="15"/>
      <c r="LVN114" s="15"/>
      <c r="LVO114" s="15"/>
      <c r="LVP114" s="15"/>
      <c r="LVQ114" s="15"/>
      <c r="LVR114" s="15"/>
      <c r="LVS114" s="15"/>
      <c r="LVT114" s="15"/>
      <c r="LVU114" s="15"/>
      <c r="LVV114" s="15"/>
      <c r="LVW114" s="15"/>
      <c r="LVX114" s="15"/>
      <c r="LVY114" s="15"/>
      <c r="LVZ114" s="15"/>
      <c r="LWA114" s="15"/>
      <c r="LWB114" s="14"/>
      <c r="LWC114" s="15"/>
      <c r="LWD114" s="15"/>
      <c r="LWE114" s="15"/>
      <c r="LWF114" s="15"/>
      <c r="LWG114" s="15"/>
      <c r="LWH114" s="15"/>
      <c r="LWI114" s="15"/>
      <c r="LWJ114" s="15"/>
      <c r="LWK114" s="15"/>
      <c r="LWL114" s="15"/>
      <c r="LWM114" s="15"/>
      <c r="LWN114" s="15"/>
      <c r="LWO114" s="15"/>
      <c r="LWP114" s="15"/>
      <c r="LWQ114" s="15"/>
      <c r="LWR114" s="15"/>
      <c r="LWS114" s="15"/>
      <c r="LWT114" s="15"/>
      <c r="LWU114" s="15"/>
      <c r="LWV114" s="15"/>
      <c r="LWW114" s="15"/>
      <c r="LWX114" s="14"/>
      <c r="LWY114" s="15"/>
      <c r="LWZ114" s="15"/>
      <c r="LXA114" s="15"/>
      <c r="LXB114" s="15"/>
      <c r="LXC114" s="15"/>
      <c r="LXD114" s="15"/>
      <c r="LXE114" s="15"/>
      <c r="LXF114" s="15"/>
      <c r="LXG114" s="15"/>
      <c r="LXH114" s="15"/>
      <c r="LXI114" s="15"/>
      <c r="LXJ114" s="15"/>
      <c r="LXK114" s="15"/>
      <c r="LXL114" s="15"/>
      <c r="LXM114" s="15"/>
      <c r="LXN114" s="15"/>
      <c r="LXO114" s="15"/>
      <c r="LXP114" s="15"/>
      <c r="LXQ114" s="15"/>
      <c r="LXR114" s="15"/>
      <c r="LXS114" s="15"/>
      <c r="LXT114" s="14"/>
      <c r="LXU114" s="15"/>
      <c r="LXV114" s="15"/>
      <c r="LXW114" s="15"/>
      <c r="LXX114" s="15"/>
      <c r="LXY114" s="15"/>
      <c r="LXZ114" s="15"/>
      <c r="LYA114" s="15"/>
      <c r="LYB114" s="15"/>
      <c r="LYC114" s="15"/>
      <c r="LYD114" s="15"/>
      <c r="LYE114" s="15"/>
      <c r="LYF114" s="15"/>
      <c r="LYG114" s="15"/>
      <c r="LYH114" s="15"/>
      <c r="LYI114" s="15"/>
      <c r="LYJ114" s="15"/>
      <c r="LYK114" s="15"/>
      <c r="LYL114" s="15"/>
      <c r="LYM114" s="15"/>
      <c r="LYN114" s="15"/>
      <c r="LYO114" s="15"/>
      <c r="LYP114" s="14"/>
      <c r="LYQ114" s="15"/>
      <c r="LYR114" s="15"/>
      <c r="LYS114" s="15"/>
      <c r="LYT114" s="15"/>
      <c r="LYU114" s="15"/>
      <c r="LYV114" s="15"/>
      <c r="LYW114" s="15"/>
      <c r="LYX114" s="15"/>
      <c r="LYY114" s="15"/>
      <c r="LYZ114" s="15"/>
      <c r="LZA114" s="15"/>
      <c r="LZB114" s="15"/>
      <c r="LZC114" s="15"/>
      <c r="LZD114" s="15"/>
      <c r="LZE114" s="15"/>
      <c r="LZF114" s="15"/>
      <c r="LZG114" s="15"/>
      <c r="LZH114" s="15"/>
      <c r="LZI114" s="15"/>
      <c r="LZJ114" s="15"/>
      <c r="LZK114" s="15"/>
      <c r="LZL114" s="14"/>
      <c r="LZM114" s="15"/>
      <c r="LZN114" s="15"/>
      <c r="LZO114" s="15"/>
      <c r="LZP114" s="15"/>
      <c r="LZQ114" s="15"/>
      <c r="LZR114" s="15"/>
      <c r="LZS114" s="15"/>
      <c r="LZT114" s="15"/>
      <c r="LZU114" s="15"/>
      <c r="LZV114" s="15"/>
      <c r="LZW114" s="15"/>
      <c r="LZX114" s="15"/>
      <c r="LZY114" s="15"/>
      <c r="LZZ114" s="15"/>
      <c r="MAA114" s="15"/>
      <c r="MAB114" s="15"/>
      <c r="MAC114" s="15"/>
      <c r="MAD114" s="15"/>
      <c r="MAE114" s="15"/>
      <c r="MAF114" s="15"/>
      <c r="MAG114" s="15"/>
      <c r="MAH114" s="14"/>
      <c r="MAI114" s="15"/>
      <c r="MAJ114" s="15"/>
      <c r="MAK114" s="15"/>
      <c r="MAL114" s="15"/>
      <c r="MAM114" s="15"/>
      <c r="MAN114" s="15"/>
      <c r="MAO114" s="15"/>
      <c r="MAP114" s="15"/>
      <c r="MAQ114" s="15"/>
      <c r="MAR114" s="15"/>
      <c r="MAS114" s="15"/>
      <c r="MAT114" s="15"/>
      <c r="MAU114" s="15"/>
      <c r="MAV114" s="15"/>
      <c r="MAW114" s="15"/>
      <c r="MAX114" s="15"/>
      <c r="MAY114" s="15"/>
      <c r="MAZ114" s="15"/>
      <c r="MBA114" s="15"/>
      <c r="MBB114" s="15"/>
      <c r="MBC114" s="15"/>
      <c r="MBD114" s="14"/>
      <c r="MBE114" s="15"/>
      <c r="MBF114" s="15"/>
      <c r="MBG114" s="15"/>
      <c r="MBH114" s="15"/>
      <c r="MBI114" s="15"/>
      <c r="MBJ114" s="15"/>
      <c r="MBK114" s="15"/>
      <c r="MBL114" s="15"/>
      <c r="MBM114" s="15"/>
      <c r="MBN114" s="15"/>
      <c r="MBO114" s="15"/>
      <c r="MBP114" s="15"/>
      <c r="MBQ114" s="15"/>
      <c r="MBR114" s="15"/>
      <c r="MBS114" s="15"/>
      <c r="MBT114" s="15"/>
      <c r="MBU114" s="15"/>
      <c r="MBV114" s="15"/>
      <c r="MBW114" s="15"/>
      <c r="MBX114" s="15"/>
      <c r="MBY114" s="15"/>
      <c r="MBZ114" s="14"/>
      <c r="MCA114" s="15"/>
      <c r="MCB114" s="15"/>
      <c r="MCC114" s="15"/>
      <c r="MCD114" s="15"/>
      <c r="MCE114" s="15"/>
      <c r="MCF114" s="15"/>
      <c r="MCG114" s="15"/>
      <c r="MCH114" s="15"/>
      <c r="MCI114" s="15"/>
      <c r="MCJ114" s="15"/>
      <c r="MCK114" s="15"/>
      <c r="MCL114" s="15"/>
      <c r="MCM114" s="15"/>
      <c r="MCN114" s="15"/>
      <c r="MCO114" s="15"/>
      <c r="MCP114" s="15"/>
      <c r="MCQ114" s="15"/>
      <c r="MCR114" s="15"/>
      <c r="MCS114" s="15"/>
      <c r="MCT114" s="15"/>
      <c r="MCU114" s="15"/>
      <c r="MCV114" s="14"/>
      <c r="MCW114" s="15"/>
      <c r="MCX114" s="15"/>
      <c r="MCY114" s="15"/>
      <c r="MCZ114" s="15"/>
      <c r="MDA114" s="15"/>
      <c r="MDB114" s="15"/>
      <c r="MDC114" s="15"/>
      <c r="MDD114" s="15"/>
      <c r="MDE114" s="15"/>
      <c r="MDF114" s="15"/>
      <c r="MDG114" s="15"/>
      <c r="MDH114" s="15"/>
      <c r="MDI114" s="15"/>
      <c r="MDJ114" s="15"/>
      <c r="MDK114" s="15"/>
      <c r="MDL114" s="15"/>
      <c r="MDM114" s="15"/>
      <c r="MDN114" s="15"/>
      <c r="MDO114" s="15"/>
      <c r="MDP114" s="15"/>
      <c r="MDQ114" s="15"/>
      <c r="MDR114" s="14"/>
      <c r="MDS114" s="15"/>
      <c r="MDT114" s="15"/>
      <c r="MDU114" s="15"/>
      <c r="MDV114" s="15"/>
      <c r="MDW114" s="15"/>
      <c r="MDX114" s="15"/>
      <c r="MDY114" s="15"/>
      <c r="MDZ114" s="15"/>
      <c r="MEA114" s="15"/>
      <c r="MEB114" s="15"/>
      <c r="MEC114" s="15"/>
      <c r="MED114" s="15"/>
      <c r="MEE114" s="15"/>
      <c r="MEF114" s="15"/>
      <c r="MEG114" s="15"/>
      <c r="MEH114" s="15"/>
      <c r="MEI114" s="15"/>
      <c r="MEJ114" s="15"/>
      <c r="MEK114" s="15"/>
      <c r="MEL114" s="15"/>
      <c r="MEM114" s="15"/>
      <c r="MEN114" s="14"/>
      <c r="MEO114" s="15"/>
      <c r="MEP114" s="15"/>
      <c r="MEQ114" s="15"/>
      <c r="MER114" s="15"/>
      <c r="MES114" s="15"/>
      <c r="MET114" s="15"/>
      <c r="MEU114" s="15"/>
      <c r="MEV114" s="15"/>
      <c r="MEW114" s="15"/>
      <c r="MEX114" s="15"/>
      <c r="MEY114" s="15"/>
      <c r="MEZ114" s="15"/>
      <c r="MFA114" s="15"/>
      <c r="MFB114" s="15"/>
      <c r="MFC114" s="15"/>
      <c r="MFD114" s="15"/>
      <c r="MFE114" s="15"/>
      <c r="MFF114" s="15"/>
      <c r="MFG114" s="15"/>
      <c r="MFH114" s="15"/>
      <c r="MFI114" s="15"/>
      <c r="MFJ114" s="14"/>
      <c r="MFK114" s="15"/>
      <c r="MFL114" s="15"/>
      <c r="MFM114" s="15"/>
      <c r="MFN114" s="15"/>
      <c r="MFO114" s="15"/>
      <c r="MFP114" s="15"/>
      <c r="MFQ114" s="15"/>
      <c r="MFR114" s="15"/>
      <c r="MFS114" s="15"/>
      <c r="MFT114" s="15"/>
      <c r="MFU114" s="15"/>
      <c r="MFV114" s="15"/>
      <c r="MFW114" s="15"/>
      <c r="MFX114" s="15"/>
      <c r="MFY114" s="15"/>
      <c r="MFZ114" s="15"/>
      <c r="MGA114" s="15"/>
      <c r="MGB114" s="15"/>
      <c r="MGC114" s="15"/>
      <c r="MGD114" s="15"/>
      <c r="MGE114" s="15"/>
      <c r="MGF114" s="14"/>
      <c r="MGG114" s="15"/>
      <c r="MGH114" s="15"/>
      <c r="MGI114" s="15"/>
      <c r="MGJ114" s="15"/>
      <c r="MGK114" s="15"/>
      <c r="MGL114" s="15"/>
      <c r="MGM114" s="15"/>
      <c r="MGN114" s="15"/>
      <c r="MGO114" s="15"/>
      <c r="MGP114" s="15"/>
      <c r="MGQ114" s="15"/>
      <c r="MGR114" s="15"/>
      <c r="MGS114" s="15"/>
      <c r="MGT114" s="15"/>
      <c r="MGU114" s="15"/>
      <c r="MGV114" s="15"/>
      <c r="MGW114" s="15"/>
      <c r="MGX114" s="15"/>
      <c r="MGY114" s="15"/>
      <c r="MGZ114" s="15"/>
      <c r="MHA114" s="15"/>
      <c r="MHB114" s="14"/>
      <c r="MHC114" s="15"/>
      <c r="MHD114" s="15"/>
      <c r="MHE114" s="15"/>
      <c r="MHF114" s="15"/>
      <c r="MHG114" s="15"/>
      <c r="MHH114" s="15"/>
      <c r="MHI114" s="15"/>
      <c r="MHJ114" s="15"/>
      <c r="MHK114" s="15"/>
      <c r="MHL114" s="15"/>
      <c r="MHM114" s="15"/>
      <c r="MHN114" s="15"/>
      <c r="MHO114" s="15"/>
      <c r="MHP114" s="15"/>
      <c r="MHQ114" s="15"/>
      <c r="MHR114" s="15"/>
      <c r="MHS114" s="15"/>
      <c r="MHT114" s="15"/>
      <c r="MHU114" s="15"/>
      <c r="MHV114" s="15"/>
      <c r="MHW114" s="15"/>
      <c r="MHX114" s="14"/>
      <c r="MHY114" s="15"/>
      <c r="MHZ114" s="15"/>
      <c r="MIA114" s="15"/>
      <c r="MIB114" s="15"/>
      <c r="MIC114" s="15"/>
      <c r="MID114" s="15"/>
      <c r="MIE114" s="15"/>
      <c r="MIF114" s="15"/>
      <c r="MIG114" s="15"/>
      <c r="MIH114" s="15"/>
      <c r="MII114" s="15"/>
      <c r="MIJ114" s="15"/>
      <c r="MIK114" s="15"/>
      <c r="MIL114" s="15"/>
      <c r="MIM114" s="15"/>
      <c r="MIN114" s="15"/>
      <c r="MIO114" s="15"/>
      <c r="MIP114" s="15"/>
      <c r="MIQ114" s="15"/>
      <c r="MIR114" s="15"/>
      <c r="MIS114" s="15"/>
      <c r="MIT114" s="14"/>
      <c r="MIU114" s="15"/>
      <c r="MIV114" s="15"/>
      <c r="MIW114" s="15"/>
      <c r="MIX114" s="15"/>
      <c r="MIY114" s="15"/>
      <c r="MIZ114" s="15"/>
      <c r="MJA114" s="15"/>
      <c r="MJB114" s="15"/>
      <c r="MJC114" s="15"/>
      <c r="MJD114" s="15"/>
      <c r="MJE114" s="15"/>
      <c r="MJF114" s="15"/>
      <c r="MJG114" s="15"/>
      <c r="MJH114" s="15"/>
      <c r="MJI114" s="15"/>
      <c r="MJJ114" s="15"/>
      <c r="MJK114" s="15"/>
      <c r="MJL114" s="15"/>
      <c r="MJM114" s="15"/>
      <c r="MJN114" s="15"/>
      <c r="MJO114" s="15"/>
      <c r="MJP114" s="14"/>
      <c r="MJQ114" s="15"/>
      <c r="MJR114" s="15"/>
      <c r="MJS114" s="15"/>
      <c r="MJT114" s="15"/>
      <c r="MJU114" s="15"/>
      <c r="MJV114" s="15"/>
      <c r="MJW114" s="15"/>
      <c r="MJX114" s="15"/>
      <c r="MJY114" s="15"/>
      <c r="MJZ114" s="15"/>
      <c r="MKA114" s="15"/>
      <c r="MKB114" s="15"/>
      <c r="MKC114" s="15"/>
      <c r="MKD114" s="15"/>
      <c r="MKE114" s="15"/>
      <c r="MKF114" s="15"/>
      <c r="MKG114" s="15"/>
      <c r="MKH114" s="15"/>
      <c r="MKI114" s="15"/>
      <c r="MKJ114" s="15"/>
      <c r="MKK114" s="15"/>
      <c r="MKL114" s="14"/>
      <c r="MKM114" s="15"/>
      <c r="MKN114" s="15"/>
      <c r="MKO114" s="15"/>
      <c r="MKP114" s="15"/>
      <c r="MKQ114" s="15"/>
      <c r="MKR114" s="15"/>
      <c r="MKS114" s="15"/>
      <c r="MKT114" s="15"/>
      <c r="MKU114" s="15"/>
      <c r="MKV114" s="15"/>
      <c r="MKW114" s="15"/>
      <c r="MKX114" s="15"/>
      <c r="MKY114" s="15"/>
      <c r="MKZ114" s="15"/>
      <c r="MLA114" s="15"/>
      <c r="MLB114" s="15"/>
      <c r="MLC114" s="15"/>
      <c r="MLD114" s="15"/>
      <c r="MLE114" s="15"/>
      <c r="MLF114" s="15"/>
      <c r="MLG114" s="15"/>
      <c r="MLH114" s="14"/>
      <c r="MLI114" s="15"/>
      <c r="MLJ114" s="15"/>
      <c r="MLK114" s="15"/>
      <c r="MLL114" s="15"/>
      <c r="MLM114" s="15"/>
      <c r="MLN114" s="15"/>
      <c r="MLO114" s="15"/>
      <c r="MLP114" s="15"/>
      <c r="MLQ114" s="15"/>
      <c r="MLR114" s="15"/>
      <c r="MLS114" s="15"/>
      <c r="MLT114" s="15"/>
      <c r="MLU114" s="15"/>
      <c r="MLV114" s="15"/>
      <c r="MLW114" s="15"/>
      <c r="MLX114" s="15"/>
      <c r="MLY114" s="15"/>
      <c r="MLZ114" s="15"/>
      <c r="MMA114" s="15"/>
      <c r="MMB114" s="15"/>
      <c r="MMC114" s="15"/>
      <c r="MMD114" s="14"/>
      <c r="MME114" s="15"/>
      <c r="MMF114" s="15"/>
      <c r="MMG114" s="15"/>
      <c r="MMH114" s="15"/>
      <c r="MMI114" s="15"/>
      <c r="MMJ114" s="15"/>
      <c r="MMK114" s="15"/>
      <c r="MML114" s="15"/>
      <c r="MMM114" s="15"/>
      <c r="MMN114" s="15"/>
      <c r="MMO114" s="15"/>
      <c r="MMP114" s="15"/>
      <c r="MMQ114" s="15"/>
      <c r="MMR114" s="15"/>
      <c r="MMS114" s="15"/>
      <c r="MMT114" s="15"/>
      <c r="MMU114" s="15"/>
      <c r="MMV114" s="15"/>
      <c r="MMW114" s="15"/>
      <c r="MMX114" s="15"/>
      <c r="MMY114" s="15"/>
      <c r="MMZ114" s="14"/>
      <c r="MNA114" s="15"/>
      <c r="MNB114" s="15"/>
      <c r="MNC114" s="15"/>
      <c r="MND114" s="15"/>
      <c r="MNE114" s="15"/>
      <c r="MNF114" s="15"/>
      <c r="MNG114" s="15"/>
      <c r="MNH114" s="15"/>
      <c r="MNI114" s="15"/>
      <c r="MNJ114" s="15"/>
      <c r="MNK114" s="15"/>
      <c r="MNL114" s="15"/>
      <c r="MNM114" s="15"/>
      <c r="MNN114" s="15"/>
      <c r="MNO114" s="15"/>
      <c r="MNP114" s="15"/>
      <c r="MNQ114" s="15"/>
      <c r="MNR114" s="15"/>
      <c r="MNS114" s="15"/>
      <c r="MNT114" s="15"/>
      <c r="MNU114" s="15"/>
      <c r="MNV114" s="14"/>
      <c r="MNW114" s="15"/>
      <c r="MNX114" s="15"/>
      <c r="MNY114" s="15"/>
      <c r="MNZ114" s="15"/>
      <c r="MOA114" s="15"/>
      <c r="MOB114" s="15"/>
      <c r="MOC114" s="15"/>
      <c r="MOD114" s="15"/>
      <c r="MOE114" s="15"/>
      <c r="MOF114" s="15"/>
      <c r="MOG114" s="15"/>
      <c r="MOH114" s="15"/>
      <c r="MOI114" s="15"/>
      <c r="MOJ114" s="15"/>
      <c r="MOK114" s="15"/>
      <c r="MOL114" s="15"/>
      <c r="MOM114" s="15"/>
      <c r="MON114" s="15"/>
      <c r="MOO114" s="15"/>
      <c r="MOP114" s="15"/>
      <c r="MOQ114" s="15"/>
      <c r="MOR114" s="14"/>
      <c r="MOS114" s="15"/>
      <c r="MOT114" s="15"/>
      <c r="MOU114" s="15"/>
      <c r="MOV114" s="15"/>
      <c r="MOW114" s="15"/>
      <c r="MOX114" s="15"/>
      <c r="MOY114" s="15"/>
      <c r="MOZ114" s="15"/>
      <c r="MPA114" s="15"/>
      <c r="MPB114" s="15"/>
      <c r="MPC114" s="15"/>
      <c r="MPD114" s="15"/>
      <c r="MPE114" s="15"/>
      <c r="MPF114" s="15"/>
      <c r="MPG114" s="15"/>
      <c r="MPH114" s="15"/>
      <c r="MPI114" s="15"/>
      <c r="MPJ114" s="15"/>
      <c r="MPK114" s="15"/>
      <c r="MPL114" s="15"/>
      <c r="MPM114" s="15"/>
      <c r="MPN114" s="14"/>
      <c r="MPO114" s="15"/>
      <c r="MPP114" s="15"/>
      <c r="MPQ114" s="15"/>
      <c r="MPR114" s="15"/>
      <c r="MPS114" s="15"/>
      <c r="MPT114" s="15"/>
      <c r="MPU114" s="15"/>
      <c r="MPV114" s="15"/>
      <c r="MPW114" s="15"/>
      <c r="MPX114" s="15"/>
      <c r="MPY114" s="15"/>
      <c r="MPZ114" s="15"/>
      <c r="MQA114" s="15"/>
      <c r="MQB114" s="15"/>
      <c r="MQC114" s="15"/>
      <c r="MQD114" s="15"/>
      <c r="MQE114" s="15"/>
      <c r="MQF114" s="15"/>
      <c r="MQG114" s="15"/>
      <c r="MQH114" s="15"/>
      <c r="MQI114" s="15"/>
      <c r="MQJ114" s="14"/>
      <c r="MQK114" s="15"/>
      <c r="MQL114" s="15"/>
      <c r="MQM114" s="15"/>
      <c r="MQN114" s="15"/>
      <c r="MQO114" s="15"/>
      <c r="MQP114" s="15"/>
      <c r="MQQ114" s="15"/>
      <c r="MQR114" s="15"/>
      <c r="MQS114" s="15"/>
      <c r="MQT114" s="15"/>
      <c r="MQU114" s="15"/>
      <c r="MQV114" s="15"/>
      <c r="MQW114" s="15"/>
      <c r="MQX114" s="15"/>
      <c r="MQY114" s="15"/>
      <c r="MQZ114" s="15"/>
      <c r="MRA114" s="15"/>
      <c r="MRB114" s="15"/>
      <c r="MRC114" s="15"/>
      <c r="MRD114" s="15"/>
      <c r="MRE114" s="15"/>
      <c r="MRF114" s="14"/>
      <c r="MRG114" s="15"/>
      <c r="MRH114" s="15"/>
      <c r="MRI114" s="15"/>
      <c r="MRJ114" s="15"/>
      <c r="MRK114" s="15"/>
      <c r="MRL114" s="15"/>
      <c r="MRM114" s="15"/>
      <c r="MRN114" s="15"/>
      <c r="MRO114" s="15"/>
      <c r="MRP114" s="15"/>
      <c r="MRQ114" s="15"/>
      <c r="MRR114" s="15"/>
      <c r="MRS114" s="15"/>
      <c r="MRT114" s="15"/>
      <c r="MRU114" s="15"/>
      <c r="MRV114" s="15"/>
      <c r="MRW114" s="15"/>
      <c r="MRX114" s="15"/>
      <c r="MRY114" s="15"/>
      <c r="MRZ114" s="15"/>
      <c r="MSA114" s="15"/>
      <c r="MSB114" s="14"/>
      <c r="MSC114" s="15"/>
      <c r="MSD114" s="15"/>
      <c r="MSE114" s="15"/>
      <c r="MSF114" s="15"/>
      <c r="MSG114" s="15"/>
      <c r="MSH114" s="15"/>
      <c r="MSI114" s="15"/>
      <c r="MSJ114" s="15"/>
      <c r="MSK114" s="15"/>
      <c r="MSL114" s="15"/>
      <c r="MSM114" s="15"/>
      <c r="MSN114" s="15"/>
      <c r="MSO114" s="15"/>
      <c r="MSP114" s="15"/>
      <c r="MSQ114" s="15"/>
      <c r="MSR114" s="15"/>
      <c r="MSS114" s="15"/>
      <c r="MST114" s="15"/>
      <c r="MSU114" s="15"/>
      <c r="MSV114" s="15"/>
      <c r="MSW114" s="15"/>
      <c r="MSX114" s="14"/>
      <c r="MSY114" s="15"/>
      <c r="MSZ114" s="15"/>
      <c r="MTA114" s="15"/>
      <c r="MTB114" s="15"/>
      <c r="MTC114" s="15"/>
      <c r="MTD114" s="15"/>
      <c r="MTE114" s="15"/>
      <c r="MTF114" s="15"/>
      <c r="MTG114" s="15"/>
      <c r="MTH114" s="15"/>
      <c r="MTI114" s="15"/>
      <c r="MTJ114" s="15"/>
      <c r="MTK114" s="15"/>
      <c r="MTL114" s="15"/>
      <c r="MTM114" s="15"/>
      <c r="MTN114" s="15"/>
      <c r="MTO114" s="15"/>
      <c r="MTP114" s="15"/>
      <c r="MTQ114" s="15"/>
      <c r="MTR114" s="15"/>
      <c r="MTS114" s="15"/>
      <c r="MTT114" s="14"/>
      <c r="MTU114" s="15"/>
      <c r="MTV114" s="15"/>
      <c r="MTW114" s="15"/>
      <c r="MTX114" s="15"/>
      <c r="MTY114" s="15"/>
      <c r="MTZ114" s="15"/>
      <c r="MUA114" s="15"/>
      <c r="MUB114" s="15"/>
      <c r="MUC114" s="15"/>
      <c r="MUD114" s="15"/>
      <c r="MUE114" s="15"/>
      <c r="MUF114" s="15"/>
      <c r="MUG114" s="15"/>
      <c r="MUH114" s="15"/>
      <c r="MUI114" s="15"/>
      <c r="MUJ114" s="15"/>
      <c r="MUK114" s="15"/>
      <c r="MUL114" s="15"/>
      <c r="MUM114" s="15"/>
      <c r="MUN114" s="15"/>
      <c r="MUO114" s="15"/>
      <c r="MUP114" s="14"/>
      <c r="MUQ114" s="15"/>
      <c r="MUR114" s="15"/>
      <c r="MUS114" s="15"/>
      <c r="MUT114" s="15"/>
      <c r="MUU114" s="15"/>
      <c r="MUV114" s="15"/>
      <c r="MUW114" s="15"/>
      <c r="MUX114" s="15"/>
      <c r="MUY114" s="15"/>
      <c r="MUZ114" s="15"/>
      <c r="MVA114" s="15"/>
      <c r="MVB114" s="15"/>
      <c r="MVC114" s="15"/>
      <c r="MVD114" s="15"/>
      <c r="MVE114" s="15"/>
      <c r="MVF114" s="15"/>
      <c r="MVG114" s="15"/>
      <c r="MVH114" s="15"/>
      <c r="MVI114" s="15"/>
      <c r="MVJ114" s="15"/>
      <c r="MVK114" s="15"/>
      <c r="MVL114" s="14"/>
      <c r="MVM114" s="15"/>
      <c r="MVN114" s="15"/>
      <c r="MVO114" s="15"/>
      <c r="MVP114" s="15"/>
      <c r="MVQ114" s="15"/>
      <c r="MVR114" s="15"/>
      <c r="MVS114" s="15"/>
      <c r="MVT114" s="15"/>
      <c r="MVU114" s="15"/>
      <c r="MVV114" s="15"/>
      <c r="MVW114" s="15"/>
      <c r="MVX114" s="15"/>
      <c r="MVY114" s="15"/>
      <c r="MVZ114" s="15"/>
      <c r="MWA114" s="15"/>
      <c r="MWB114" s="15"/>
      <c r="MWC114" s="15"/>
      <c r="MWD114" s="15"/>
      <c r="MWE114" s="15"/>
      <c r="MWF114" s="15"/>
      <c r="MWG114" s="15"/>
      <c r="MWH114" s="14"/>
      <c r="MWI114" s="15"/>
      <c r="MWJ114" s="15"/>
      <c r="MWK114" s="15"/>
      <c r="MWL114" s="15"/>
      <c r="MWM114" s="15"/>
      <c r="MWN114" s="15"/>
      <c r="MWO114" s="15"/>
      <c r="MWP114" s="15"/>
      <c r="MWQ114" s="15"/>
      <c r="MWR114" s="15"/>
      <c r="MWS114" s="15"/>
      <c r="MWT114" s="15"/>
      <c r="MWU114" s="15"/>
      <c r="MWV114" s="15"/>
      <c r="MWW114" s="15"/>
      <c r="MWX114" s="15"/>
      <c r="MWY114" s="15"/>
      <c r="MWZ114" s="15"/>
      <c r="MXA114" s="15"/>
      <c r="MXB114" s="15"/>
      <c r="MXC114" s="15"/>
      <c r="MXD114" s="14"/>
      <c r="MXE114" s="15"/>
      <c r="MXF114" s="15"/>
      <c r="MXG114" s="15"/>
      <c r="MXH114" s="15"/>
      <c r="MXI114" s="15"/>
      <c r="MXJ114" s="15"/>
      <c r="MXK114" s="15"/>
      <c r="MXL114" s="15"/>
      <c r="MXM114" s="15"/>
      <c r="MXN114" s="15"/>
      <c r="MXO114" s="15"/>
      <c r="MXP114" s="15"/>
      <c r="MXQ114" s="15"/>
      <c r="MXR114" s="15"/>
      <c r="MXS114" s="15"/>
      <c r="MXT114" s="15"/>
      <c r="MXU114" s="15"/>
      <c r="MXV114" s="15"/>
      <c r="MXW114" s="15"/>
      <c r="MXX114" s="15"/>
      <c r="MXY114" s="15"/>
      <c r="MXZ114" s="14"/>
      <c r="MYA114" s="15"/>
      <c r="MYB114" s="15"/>
      <c r="MYC114" s="15"/>
      <c r="MYD114" s="15"/>
      <c r="MYE114" s="15"/>
      <c r="MYF114" s="15"/>
      <c r="MYG114" s="15"/>
      <c r="MYH114" s="15"/>
      <c r="MYI114" s="15"/>
      <c r="MYJ114" s="15"/>
      <c r="MYK114" s="15"/>
      <c r="MYL114" s="15"/>
      <c r="MYM114" s="15"/>
      <c r="MYN114" s="15"/>
      <c r="MYO114" s="15"/>
      <c r="MYP114" s="15"/>
      <c r="MYQ114" s="15"/>
      <c r="MYR114" s="15"/>
      <c r="MYS114" s="15"/>
      <c r="MYT114" s="15"/>
      <c r="MYU114" s="15"/>
      <c r="MYV114" s="14"/>
      <c r="MYW114" s="15"/>
      <c r="MYX114" s="15"/>
      <c r="MYY114" s="15"/>
      <c r="MYZ114" s="15"/>
      <c r="MZA114" s="15"/>
      <c r="MZB114" s="15"/>
      <c r="MZC114" s="15"/>
      <c r="MZD114" s="15"/>
      <c r="MZE114" s="15"/>
      <c r="MZF114" s="15"/>
      <c r="MZG114" s="15"/>
      <c r="MZH114" s="15"/>
      <c r="MZI114" s="15"/>
      <c r="MZJ114" s="15"/>
      <c r="MZK114" s="15"/>
      <c r="MZL114" s="15"/>
      <c r="MZM114" s="15"/>
      <c r="MZN114" s="15"/>
      <c r="MZO114" s="15"/>
      <c r="MZP114" s="15"/>
      <c r="MZQ114" s="15"/>
      <c r="MZR114" s="14"/>
      <c r="MZS114" s="15"/>
      <c r="MZT114" s="15"/>
      <c r="MZU114" s="15"/>
      <c r="MZV114" s="15"/>
      <c r="MZW114" s="15"/>
      <c r="MZX114" s="15"/>
      <c r="MZY114" s="15"/>
      <c r="MZZ114" s="15"/>
      <c r="NAA114" s="15"/>
      <c r="NAB114" s="15"/>
      <c r="NAC114" s="15"/>
      <c r="NAD114" s="15"/>
      <c r="NAE114" s="15"/>
      <c r="NAF114" s="15"/>
      <c r="NAG114" s="15"/>
      <c r="NAH114" s="15"/>
      <c r="NAI114" s="15"/>
      <c r="NAJ114" s="15"/>
      <c r="NAK114" s="15"/>
      <c r="NAL114" s="15"/>
      <c r="NAM114" s="15"/>
      <c r="NAN114" s="14"/>
      <c r="NAO114" s="15"/>
      <c r="NAP114" s="15"/>
      <c r="NAQ114" s="15"/>
      <c r="NAR114" s="15"/>
      <c r="NAS114" s="15"/>
      <c r="NAT114" s="15"/>
      <c r="NAU114" s="15"/>
      <c r="NAV114" s="15"/>
      <c r="NAW114" s="15"/>
      <c r="NAX114" s="15"/>
      <c r="NAY114" s="15"/>
      <c r="NAZ114" s="15"/>
      <c r="NBA114" s="15"/>
      <c r="NBB114" s="15"/>
      <c r="NBC114" s="15"/>
      <c r="NBD114" s="15"/>
      <c r="NBE114" s="15"/>
      <c r="NBF114" s="15"/>
      <c r="NBG114" s="15"/>
      <c r="NBH114" s="15"/>
      <c r="NBI114" s="15"/>
      <c r="NBJ114" s="14"/>
      <c r="NBK114" s="15"/>
      <c r="NBL114" s="15"/>
      <c r="NBM114" s="15"/>
      <c r="NBN114" s="15"/>
      <c r="NBO114" s="15"/>
      <c r="NBP114" s="15"/>
      <c r="NBQ114" s="15"/>
      <c r="NBR114" s="15"/>
      <c r="NBS114" s="15"/>
      <c r="NBT114" s="15"/>
      <c r="NBU114" s="15"/>
      <c r="NBV114" s="15"/>
      <c r="NBW114" s="15"/>
      <c r="NBX114" s="15"/>
      <c r="NBY114" s="15"/>
      <c r="NBZ114" s="15"/>
      <c r="NCA114" s="15"/>
      <c r="NCB114" s="15"/>
      <c r="NCC114" s="15"/>
      <c r="NCD114" s="15"/>
      <c r="NCE114" s="15"/>
      <c r="NCF114" s="14"/>
      <c r="NCG114" s="15"/>
      <c r="NCH114" s="15"/>
      <c r="NCI114" s="15"/>
      <c r="NCJ114" s="15"/>
      <c r="NCK114" s="15"/>
      <c r="NCL114" s="15"/>
      <c r="NCM114" s="15"/>
      <c r="NCN114" s="15"/>
      <c r="NCO114" s="15"/>
      <c r="NCP114" s="15"/>
      <c r="NCQ114" s="15"/>
      <c r="NCR114" s="15"/>
      <c r="NCS114" s="15"/>
      <c r="NCT114" s="15"/>
      <c r="NCU114" s="15"/>
      <c r="NCV114" s="15"/>
      <c r="NCW114" s="15"/>
      <c r="NCX114" s="15"/>
      <c r="NCY114" s="15"/>
      <c r="NCZ114" s="15"/>
      <c r="NDA114" s="15"/>
      <c r="NDB114" s="14"/>
      <c r="NDC114" s="15"/>
      <c r="NDD114" s="15"/>
      <c r="NDE114" s="15"/>
      <c r="NDF114" s="15"/>
      <c r="NDG114" s="15"/>
      <c r="NDH114" s="15"/>
      <c r="NDI114" s="15"/>
      <c r="NDJ114" s="15"/>
      <c r="NDK114" s="15"/>
      <c r="NDL114" s="15"/>
      <c r="NDM114" s="15"/>
      <c r="NDN114" s="15"/>
      <c r="NDO114" s="15"/>
      <c r="NDP114" s="15"/>
      <c r="NDQ114" s="15"/>
      <c r="NDR114" s="15"/>
      <c r="NDS114" s="15"/>
      <c r="NDT114" s="15"/>
      <c r="NDU114" s="15"/>
      <c r="NDV114" s="15"/>
      <c r="NDW114" s="15"/>
      <c r="NDX114" s="14"/>
      <c r="NDY114" s="15"/>
      <c r="NDZ114" s="15"/>
      <c r="NEA114" s="15"/>
      <c r="NEB114" s="15"/>
      <c r="NEC114" s="15"/>
      <c r="NED114" s="15"/>
      <c r="NEE114" s="15"/>
      <c r="NEF114" s="15"/>
      <c r="NEG114" s="15"/>
      <c r="NEH114" s="15"/>
      <c r="NEI114" s="15"/>
      <c r="NEJ114" s="15"/>
      <c r="NEK114" s="15"/>
      <c r="NEL114" s="15"/>
      <c r="NEM114" s="15"/>
      <c r="NEN114" s="15"/>
      <c r="NEO114" s="15"/>
      <c r="NEP114" s="15"/>
      <c r="NEQ114" s="15"/>
      <c r="NER114" s="15"/>
      <c r="NES114" s="15"/>
      <c r="NET114" s="14"/>
      <c r="NEU114" s="15"/>
      <c r="NEV114" s="15"/>
      <c r="NEW114" s="15"/>
      <c r="NEX114" s="15"/>
      <c r="NEY114" s="15"/>
      <c r="NEZ114" s="15"/>
      <c r="NFA114" s="15"/>
      <c r="NFB114" s="15"/>
      <c r="NFC114" s="15"/>
      <c r="NFD114" s="15"/>
      <c r="NFE114" s="15"/>
      <c r="NFF114" s="15"/>
      <c r="NFG114" s="15"/>
      <c r="NFH114" s="15"/>
      <c r="NFI114" s="15"/>
      <c r="NFJ114" s="15"/>
      <c r="NFK114" s="15"/>
      <c r="NFL114" s="15"/>
      <c r="NFM114" s="15"/>
      <c r="NFN114" s="15"/>
      <c r="NFO114" s="15"/>
      <c r="NFP114" s="14"/>
      <c r="NFQ114" s="15"/>
      <c r="NFR114" s="15"/>
      <c r="NFS114" s="15"/>
      <c r="NFT114" s="15"/>
      <c r="NFU114" s="15"/>
      <c r="NFV114" s="15"/>
      <c r="NFW114" s="15"/>
      <c r="NFX114" s="15"/>
      <c r="NFY114" s="15"/>
      <c r="NFZ114" s="15"/>
      <c r="NGA114" s="15"/>
      <c r="NGB114" s="15"/>
      <c r="NGC114" s="15"/>
      <c r="NGD114" s="15"/>
      <c r="NGE114" s="15"/>
      <c r="NGF114" s="15"/>
      <c r="NGG114" s="15"/>
      <c r="NGH114" s="15"/>
      <c r="NGI114" s="15"/>
      <c r="NGJ114" s="15"/>
      <c r="NGK114" s="15"/>
      <c r="NGL114" s="14"/>
      <c r="NGM114" s="15"/>
      <c r="NGN114" s="15"/>
      <c r="NGO114" s="15"/>
      <c r="NGP114" s="15"/>
      <c r="NGQ114" s="15"/>
      <c r="NGR114" s="15"/>
      <c r="NGS114" s="15"/>
      <c r="NGT114" s="15"/>
      <c r="NGU114" s="15"/>
      <c r="NGV114" s="15"/>
      <c r="NGW114" s="15"/>
      <c r="NGX114" s="15"/>
      <c r="NGY114" s="15"/>
      <c r="NGZ114" s="15"/>
      <c r="NHA114" s="15"/>
      <c r="NHB114" s="15"/>
      <c r="NHC114" s="15"/>
      <c r="NHD114" s="15"/>
      <c r="NHE114" s="15"/>
      <c r="NHF114" s="15"/>
      <c r="NHG114" s="15"/>
      <c r="NHH114" s="14"/>
      <c r="NHI114" s="15"/>
      <c r="NHJ114" s="15"/>
      <c r="NHK114" s="15"/>
      <c r="NHL114" s="15"/>
      <c r="NHM114" s="15"/>
      <c r="NHN114" s="15"/>
      <c r="NHO114" s="15"/>
      <c r="NHP114" s="15"/>
      <c r="NHQ114" s="15"/>
      <c r="NHR114" s="15"/>
      <c r="NHS114" s="15"/>
      <c r="NHT114" s="15"/>
      <c r="NHU114" s="15"/>
      <c r="NHV114" s="15"/>
      <c r="NHW114" s="15"/>
      <c r="NHX114" s="15"/>
      <c r="NHY114" s="15"/>
      <c r="NHZ114" s="15"/>
      <c r="NIA114" s="15"/>
      <c r="NIB114" s="15"/>
      <c r="NIC114" s="15"/>
      <c r="NID114" s="14"/>
      <c r="NIE114" s="15"/>
      <c r="NIF114" s="15"/>
      <c r="NIG114" s="15"/>
      <c r="NIH114" s="15"/>
      <c r="NII114" s="15"/>
      <c r="NIJ114" s="15"/>
      <c r="NIK114" s="15"/>
      <c r="NIL114" s="15"/>
      <c r="NIM114" s="15"/>
      <c r="NIN114" s="15"/>
      <c r="NIO114" s="15"/>
      <c r="NIP114" s="15"/>
      <c r="NIQ114" s="15"/>
      <c r="NIR114" s="15"/>
      <c r="NIS114" s="15"/>
      <c r="NIT114" s="15"/>
      <c r="NIU114" s="15"/>
      <c r="NIV114" s="15"/>
      <c r="NIW114" s="15"/>
      <c r="NIX114" s="15"/>
      <c r="NIY114" s="15"/>
      <c r="NIZ114" s="14"/>
      <c r="NJA114" s="15"/>
      <c r="NJB114" s="15"/>
      <c r="NJC114" s="15"/>
      <c r="NJD114" s="15"/>
      <c r="NJE114" s="15"/>
      <c r="NJF114" s="15"/>
      <c r="NJG114" s="15"/>
      <c r="NJH114" s="15"/>
      <c r="NJI114" s="15"/>
      <c r="NJJ114" s="15"/>
      <c r="NJK114" s="15"/>
      <c r="NJL114" s="15"/>
      <c r="NJM114" s="15"/>
      <c r="NJN114" s="15"/>
      <c r="NJO114" s="15"/>
      <c r="NJP114" s="15"/>
      <c r="NJQ114" s="15"/>
      <c r="NJR114" s="15"/>
      <c r="NJS114" s="15"/>
      <c r="NJT114" s="15"/>
      <c r="NJU114" s="15"/>
      <c r="NJV114" s="14"/>
      <c r="NJW114" s="15"/>
      <c r="NJX114" s="15"/>
      <c r="NJY114" s="15"/>
      <c r="NJZ114" s="15"/>
      <c r="NKA114" s="15"/>
      <c r="NKB114" s="15"/>
      <c r="NKC114" s="15"/>
      <c r="NKD114" s="15"/>
      <c r="NKE114" s="15"/>
      <c r="NKF114" s="15"/>
      <c r="NKG114" s="15"/>
      <c r="NKH114" s="15"/>
      <c r="NKI114" s="15"/>
      <c r="NKJ114" s="15"/>
      <c r="NKK114" s="15"/>
      <c r="NKL114" s="15"/>
      <c r="NKM114" s="15"/>
      <c r="NKN114" s="15"/>
      <c r="NKO114" s="15"/>
      <c r="NKP114" s="15"/>
      <c r="NKQ114" s="15"/>
      <c r="NKR114" s="14"/>
      <c r="NKS114" s="15"/>
      <c r="NKT114" s="15"/>
      <c r="NKU114" s="15"/>
      <c r="NKV114" s="15"/>
      <c r="NKW114" s="15"/>
      <c r="NKX114" s="15"/>
      <c r="NKY114" s="15"/>
      <c r="NKZ114" s="15"/>
      <c r="NLA114" s="15"/>
      <c r="NLB114" s="15"/>
      <c r="NLC114" s="15"/>
      <c r="NLD114" s="15"/>
      <c r="NLE114" s="15"/>
      <c r="NLF114" s="15"/>
      <c r="NLG114" s="15"/>
      <c r="NLH114" s="15"/>
      <c r="NLI114" s="15"/>
      <c r="NLJ114" s="15"/>
      <c r="NLK114" s="15"/>
      <c r="NLL114" s="15"/>
      <c r="NLM114" s="15"/>
      <c r="NLN114" s="14"/>
      <c r="NLO114" s="15"/>
      <c r="NLP114" s="15"/>
      <c r="NLQ114" s="15"/>
      <c r="NLR114" s="15"/>
      <c r="NLS114" s="15"/>
      <c r="NLT114" s="15"/>
      <c r="NLU114" s="15"/>
      <c r="NLV114" s="15"/>
      <c r="NLW114" s="15"/>
      <c r="NLX114" s="15"/>
      <c r="NLY114" s="15"/>
      <c r="NLZ114" s="15"/>
      <c r="NMA114" s="15"/>
      <c r="NMB114" s="15"/>
      <c r="NMC114" s="15"/>
      <c r="NMD114" s="15"/>
      <c r="NME114" s="15"/>
      <c r="NMF114" s="15"/>
      <c r="NMG114" s="15"/>
      <c r="NMH114" s="15"/>
      <c r="NMI114" s="15"/>
      <c r="NMJ114" s="14"/>
      <c r="NMK114" s="15"/>
      <c r="NML114" s="15"/>
      <c r="NMM114" s="15"/>
      <c r="NMN114" s="15"/>
      <c r="NMO114" s="15"/>
      <c r="NMP114" s="15"/>
      <c r="NMQ114" s="15"/>
      <c r="NMR114" s="15"/>
      <c r="NMS114" s="15"/>
      <c r="NMT114" s="15"/>
      <c r="NMU114" s="15"/>
      <c r="NMV114" s="15"/>
      <c r="NMW114" s="15"/>
      <c r="NMX114" s="15"/>
      <c r="NMY114" s="15"/>
      <c r="NMZ114" s="15"/>
      <c r="NNA114" s="15"/>
      <c r="NNB114" s="15"/>
      <c r="NNC114" s="15"/>
      <c r="NND114" s="15"/>
      <c r="NNE114" s="15"/>
      <c r="NNF114" s="14"/>
      <c r="NNG114" s="15"/>
      <c r="NNH114" s="15"/>
      <c r="NNI114" s="15"/>
      <c r="NNJ114" s="15"/>
      <c r="NNK114" s="15"/>
      <c r="NNL114" s="15"/>
      <c r="NNM114" s="15"/>
      <c r="NNN114" s="15"/>
      <c r="NNO114" s="15"/>
      <c r="NNP114" s="15"/>
      <c r="NNQ114" s="15"/>
      <c r="NNR114" s="15"/>
      <c r="NNS114" s="15"/>
      <c r="NNT114" s="15"/>
      <c r="NNU114" s="15"/>
      <c r="NNV114" s="15"/>
      <c r="NNW114" s="15"/>
      <c r="NNX114" s="15"/>
      <c r="NNY114" s="15"/>
      <c r="NNZ114" s="15"/>
      <c r="NOA114" s="15"/>
      <c r="NOB114" s="14"/>
      <c r="NOC114" s="15"/>
      <c r="NOD114" s="15"/>
      <c r="NOE114" s="15"/>
      <c r="NOF114" s="15"/>
      <c r="NOG114" s="15"/>
      <c r="NOH114" s="15"/>
      <c r="NOI114" s="15"/>
      <c r="NOJ114" s="15"/>
      <c r="NOK114" s="15"/>
      <c r="NOL114" s="15"/>
      <c r="NOM114" s="15"/>
      <c r="NON114" s="15"/>
      <c r="NOO114" s="15"/>
      <c r="NOP114" s="15"/>
      <c r="NOQ114" s="15"/>
      <c r="NOR114" s="15"/>
      <c r="NOS114" s="15"/>
      <c r="NOT114" s="15"/>
      <c r="NOU114" s="15"/>
      <c r="NOV114" s="15"/>
      <c r="NOW114" s="15"/>
      <c r="NOX114" s="14"/>
      <c r="NOY114" s="15"/>
      <c r="NOZ114" s="15"/>
      <c r="NPA114" s="15"/>
      <c r="NPB114" s="15"/>
      <c r="NPC114" s="15"/>
      <c r="NPD114" s="15"/>
      <c r="NPE114" s="15"/>
      <c r="NPF114" s="15"/>
      <c r="NPG114" s="15"/>
      <c r="NPH114" s="15"/>
      <c r="NPI114" s="15"/>
      <c r="NPJ114" s="15"/>
      <c r="NPK114" s="15"/>
      <c r="NPL114" s="15"/>
      <c r="NPM114" s="15"/>
      <c r="NPN114" s="15"/>
      <c r="NPO114" s="15"/>
      <c r="NPP114" s="15"/>
      <c r="NPQ114" s="15"/>
      <c r="NPR114" s="15"/>
      <c r="NPS114" s="15"/>
      <c r="NPT114" s="14"/>
      <c r="NPU114" s="15"/>
      <c r="NPV114" s="15"/>
      <c r="NPW114" s="15"/>
      <c r="NPX114" s="15"/>
      <c r="NPY114" s="15"/>
      <c r="NPZ114" s="15"/>
      <c r="NQA114" s="15"/>
      <c r="NQB114" s="15"/>
      <c r="NQC114" s="15"/>
      <c r="NQD114" s="15"/>
      <c r="NQE114" s="15"/>
      <c r="NQF114" s="15"/>
      <c r="NQG114" s="15"/>
      <c r="NQH114" s="15"/>
      <c r="NQI114" s="15"/>
      <c r="NQJ114" s="15"/>
      <c r="NQK114" s="15"/>
      <c r="NQL114" s="15"/>
      <c r="NQM114" s="15"/>
      <c r="NQN114" s="15"/>
      <c r="NQO114" s="15"/>
      <c r="NQP114" s="14"/>
      <c r="NQQ114" s="15"/>
      <c r="NQR114" s="15"/>
      <c r="NQS114" s="15"/>
      <c r="NQT114" s="15"/>
      <c r="NQU114" s="15"/>
      <c r="NQV114" s="15"/>
      <c r="NQW114" s="15"/>
      <c r="NQX114" s="15"/>
      <c r="NQY114" s="15"/>
      <c r="NQZ114" s="15"/>
      <c r="NRA114" s="15"/>
      <c r="NRB114" s="15"/>
      <c r="NRC114" s="15"/>
      <c r="NRD114" s="15"/>
      <c r="NRE114" s="15"/>
      <c r="NRF114" s="15"/>
      <c r="NRG114" s="15"/>
      <c r="NRH114" s="15"/>
      <c r="NRI114" s="15"/>
      <c r="NRJ114" s="15"/>
      <c r="NRK114" s="15"/>
      <c r="NRL114" s="14"/>
      <c r="NRM114" s="15"/>
      <c r="NRN114" s="15"/>
      <c r="NRO114" s="15"/>
      <c r="NRP114" s="15"/>
      <c r="NRQ114" s="15"/>
      <c r="NRR114" s="15"/>
      <c r="NRS114" s="15"/>
      <c r="NRT114" s="15"/>
      <c r="NRU114" s="15"/>
      <c r="NRV114" s="15"/>
      <c r="NRW114" s="15"/>
      <c r="NRX114" s="15"/>
      <c r="NRY114" s="15"/>
      <c r="NRZ114" s="15"/>
      <c r="NSA114" s="15"/>
      <c r="NSB114" s="15"/>
      <c r="NSC114" s="15"/>
      <c r="NSD114" s="15"/>
      <c r="NSE114" s="15"/>
      <c r="NSF114" s="15"/>
      <c r="NSG114" s="15"/>
      <c r="NSH114" s="14"/>
      <c r="NSI114" s="15"/>
      <c r="NSJ114" s="15"/>
      <c r="NSK114" s="15"/>
      <c r="NSL114" s="15"/>
      <c r="NSM114" s="15"/>
      <c r="NSN114" s="15"/>
      <c r="NSO114" s="15"/>
      <c r="NSP114" s="15"/>
      <c r="NSQ114" s="15"/>
      <c r="NSR114" s="15"/>
      <c r="NSS114" s="15"/>
      <c r="NST114" s="15"/>
      <c r="NSU114" s="15"/>
      <c r="NSV114" s="15"/>
      <c r="NSW114" s="15"/>
      <c r="NSX114" s="15"/>
      <c r="NSY114" s="15"/>
      <c r="NSZ114" s="15"/>
      <c r="NTA114" s="15"/>
      <c r="NTB114" s="15"/>
      <c r="NTC114" s="15"/>
      <c r="NTD114" s="14"/>
      <c r="NTE114" s="15"/>
      <c r="NTF114" s="15"/>
      <c r="NTG114" s="15"/>
      <c r="NTH114" s="15"/>
      <c r="NTI114" s="15"/>
      <c r="NTJ114" s="15"/>
      <c r="NTK114" s="15"/>
      <c r="NTL114" s="15"/>
      <c r="NTM114" s="15"/>
      <c r="NTN114" s="15"/>
      <c r="NTO114" s="15"/>
      <c r="NTP114" s="15"/>
      <c r="NTQ114" s="15"/>
      <c r="NTR114" s="15"/>
      <c r="NTS114" s="15"/>
      <c r="NTT114" s="15"/>
      <c r="NTU114" s="15"/>
      <c r="NTV114" s="15"/>
      <c r="NTW114" s="15"/>
      <c r="NTX114" s="15"/>
      <c r="NTY114" s="15"/>
      <c r="NTZ114" s="14"/>
      <c r="NUA114" s="15"/>
      <c r="NUB114" s="15"/>
      <c r="NUC114" s="15"/>
      <c r="NUD114" s="15"/>
      <c r="NUE114" s="15"/>
      <c r="NUF114" s="15"/>
      <c r="NUG114" s="15"/>
      <c r="NUH114" s="15"/>
      <c r="NUI114" s="15"/>
      <c r="NUJ114" s="15"/>
      <c r="NUK114" s="15"/>
      <c r="NUL114" s="15"/>
      <c r="NUM114" s="15"/>
      <c r="NUN114" s="15"/>
      <c r="NUO114" s="15"/>
      <c r="NUP114" s="15"/>
      <c r="NUQ114" s="15"/>
      <c r="NUR114" s="15"/>
      <c r="NUS114" s="15"/>
      <c r="NUT114" s="15"/>
      <c r="NUU114" s="15"/>
      <c r="NUV114" s="14"/>
      <c r="NUW114" s="15"/>
      <c r="NUX114" s="15"/>
      <c r="NUY114" s="15"/>
      <c r="NUZ114" s="15"/>
      <c r="NVA114" s="15"/>
      <c r="NVB114" s="15"/>
      <c r="NVC114" s="15"/>
      <c r="NVD114" s="15"/>
      <c r="NVE114" s="15"/>
      <c r="NVF114" s="15"/>
      <c r="NVG114" s="15"/>
      <c r="NVH114" s="15"/>
      <c r="NVI114" s="15"/>
      <c r="NVJ114" s="15"/>
      <c r="NVK114" s="15"/>
      <c r="NVL114" s="15"/>
      <c r="NVM114" s="15"/>
      <c r="NVN114" s="15"/>
      <c r="NVO114" s="15"/>
      <c r="NVP114" s="15"/>
      <c r="NVQ114" s="15"/>
      <c r="NVR114" s="14"/>
      <c r="NVS114" s="15"/>
      <c r="NVT114" s="15"/>
      <c r="NVU114" s="15"/>
      <c r="NVV114" s="15"/>
      <c r="NVW114" s="15"/>
      <c r="NVX114" s="15"/>
      <c r="NVY114" s="15"/>
      <c r="NVZ114" s="15"/>
      <c r="NWA114" s="15"/>
      <c r="NWB114" s="15"/>
      <c r="NWC114" s="15"/>
      <c r="NWD114" s="15"/>
      <c r="NWE114" s="15"/>
      <c r="NWF114" s="15"/>
      <c r="NWG114" s="15"/>
      <c r="NWH114" s="15"/>
      <c r="NWI114" s="15"/>
      <c r="NWJ114" s="15"/>
      <c r="NWK114" s="15"/>
      <c r="NWL114" s="15"/>
      <c r="NWM114" s="15"/>
      <c r="NWN114" s="14"/>
      <c r="NWO114" s="15"/>
      <c r="NWP114" s="15"/>
      <c r="NWQ114" s="15"/>
      <c r="NWR114" s="15"/>
      <c r="NWS114" s="15"/>
      <c r="NWT114" s="15"/>
      <c r="NWU114" s="15"/>
      <c r="NWV114" s="15"/>
      <c r="NWW114" s="15"/>
      <c r="NWX114" s="15"/>
      <c r="NWY114" s="15"/>
      <c r="NWZ114" s="15"/>
      <c r="NXA114" s="15"/>
      <c r="NXB114" s="15"/>
      <c r="NXC114" s="15"/>
      <c r="NXD114" s="15"/>
      <c r="NXE114" s="15"/>
      <c r="NXF114" s="15"/>
      <c r="NXG114" s="15"/>
      <c r="NXH114" s="15"/>
      <c r="NXI114" s="15"/>
      <c r="NXJ114" s="14"/>
      <c r="NXK114" s="15"/>
      <c r="NXL114" s="15"/>
      <c r="NXM114" s="15"/>
      <c r="NXN114" s="15"/>
      <c r="NXO114" s="15"/>
      <c r="NXP114" s="15"/>
      <c r="NXQ114" s="15"/>
      <c r="NXR114" s="15"/>
      <c r="NXS114" s="15"/>
      <c r="NXT114" s="15"/>
      <c r="NXU114" s="15"/>
      <c r="NXV114" s="15"/>
      <c r="NXW114" s="15"/>
      <c r="NXX114" s="15"/>
      <c r="NXY114" s="15"/>
      <c r="NXZ114" s="15"/>
      <c r="NYA114" s="15"/>
      <c r="NYB114" s="15"/>
      <c r="NYC114" s="15"/>
      <c r="NYD114" s="15"/>
      <c r="NYE114" s="15"/>
      <c r="NYF114" s="14"/>
      <c r="NYG114" s="15"/>
      <c r="NYH114" s="15"/>
      <c r="NYI114" s="15"/>
      <c r="NYJ114" s="15"/>
      <c r="NYK114" s="15"/>
      <c r="NYL114" s="15"/>
      <c r="NYM114" s="15"/>
      <c r="NYN114" s="15"/>
      <c r="NYO114" s="15"/>
      <c r="NYP114" s="15"/>
      <c r="NYQ114" s="15"/>
      <c r="NYR114" s="15"/>
      <c r="NYS114" s="15"/>
      <c r="NYT114" s="15"/>
      <c r="NYU114" s="15"/>
      <c r="NYV114" s="15"/>
      <c r="NYW114" s="15"/>
      <c r="NYX114" s="15"/>
      <c r="NYY114" s="15"/>
      <c r="NYZ114" s="15"/>
      <c r="NZA114" s="15"/>
      <c r="NZB114" s="14"/>
      <c r="NZC114" s="15"/>
      <c r="NZD114" s="15"/>
      <c r="NZE114" s="15"/>
      <c r="NZF114" s="15"/>
      <c r="NZG114" s="15"/>
      <c r="NZH114" s="15"/>
      <c r="NZI114" s="15"/>
      <c r="NZJ114" s="15"/>
      <c r="NZK114" s="15"/>
      <c r="NZL114" s="15"/>
      <c r="NZM114" s="15"/>
      <c r="NZN114" s="15"/>
      <c r="NZO114" s="15"/>
      <c r="NZP114" s="15"/>
      <c r="NZQ114" s="15"/>
      <c r="NZR114" s="15"/>
      <c r="NZS114" s="15"/>
      <c r="NZT114" s="15"/>
      <c r="NZU114" s="15"/>
      <c r="NZV114" s="15"/>
      <c r="NZW114" s="15"/>
      <c r="NZX114" s="14"/>
      <c r="NZY114" s="15"/>
      <c r="NZZ114" s="15"/>
      <c r="OAA114" s="15"/>
      <c r="OAB114" s="15"/>
      <c r="OAC114" s="15"/>
      <c r="OAD114" s="15"/>
      <c r="OAE114" s="15"/>
      <c r="OAF114" s="15"/>
      <c r="OAG114" s="15"/>
      <c r="OAH114" s="15"/>
      <c r="OAI114" s="15"/>
      <c r="OAJ114" s="15"/>
      <c r="OAK114" s="15"/>
      <c r="OAL114" s="15"/>
      <c r="OAM114" s="15"/>
      <c r="OAN114" s="15"/>
      <c r="OAO114" s="15"/>
      <c r="OAP114" s="15"/>
      <c r="OAQ114" s="15"/>
      <c r="OAR114" s="15"/>
      <c r="OAS114" s="15"/>
      <c r="OAT114" s="14"/>
      <c r="OAU114" s="15"/>
      <c r="OAV114" s="15"/>
      <c r="OAW114" s="15"/>
      <c r="OAX114" s="15"/>
      <c r="OAY114" s="15"/>
      <c r="OAZ114" s="15"/>
      <c r="OBA114" s="15"/>
      <c r="OBB114" s="15"/>
      <c r="OBC114" s="15"/>
      <c r="OBD114" s="15"/>
      <c r="OBE114" s="15"/>
      <c r="OBF114" s="15"/>
      <c r="OBG114" s="15"/>
      <c r="OBH114" s="15"/>
      <c r="OBI114" s="15"/>
      <c r="OBJ114" s="15"/>
      <c r="OBK114" s="15"/>
      <c r="OBL114" s="15"/>
      <c r="OBM114" s="15"/>
      <c r="OBN114" s="15"/>
      <c r="OBO114" s="15"/>
      <c r="OBP114" s="14"/>
      <c r="OBQ114" s="15"/>
      <c r="OBR114" s="15"/>
      <c r="OBS114" s="15"/>
      <c r="OBT114" s="15"/>
      <c r="OBU114" s="15"/>
      <c r="OBV114" s="15"/>
      <c r="OBW114" s="15"/>
      <c r="OBX114" s="15"/>
      <c r="OBY114" s="15"/>
      <c r="OBZ114" s="15"/>
      <c r="OCA114" s="15"/>
      <c r="OCB114" s="15"/>
      <c r="OCC114" s="15"/>
      <c r="OCD114" s="15"/>
      <c r="OCE114" s="15"/>
      <c r="OCF114" s="15"/>
      <c r="OCG114" s="15"/>
      <c r="OCH114" s="15"/>
      <c r="OCI114" s="15"/>
      <c r="OCJ114" s="15"/>
      <c r="OCK114" s="15"/>
      <c r="OCL114" s="14"/>
      <c r="OCM114" s="15"/>
      <c r="OCN114" s="15"/>
      <c r="OCO114" s="15"/>
      <c r="OCP114" s="15"/>
      <c r="OCQ114" s="15"/>
      <c r="OCR114" s="15"/>
      <c r="OCS114" s="15"/>
      <c r="OCT114" s="15"/>
      <c r="OCU114" s="15"/>
      <c r="OCV114" s="15"/>
      <c r="OCW114" s="15"/>
      <c r="OCX114" s="15"/>
      <c r="OCY114" s="15"/>
      <c r="OCZ114" s="15"/>
      <c r="ODA114" s="15"/>
      <c r="ODB114" s="15"/>
      <c r="ODC114" s="15"/>
      <c r="ODD114" s="15"/>
      <c r="ODE114" s="15"/>
      <c r="ODF114" s="15"/>
      <c r="ODG114" s="15"/>
      <c r="ODH114" s="14"/>
      <c r="ODI114" s="15"/>
      <c r="ODJ114" s="15"/>
      <c r="ODK114" s="15"/>
      <c r="ODL114" s="15"/>
      <c r="ODM114" s="15"/>
      <c r="ODN114" s="15"/>
      <c r="ODO114" s="15"/>
      <c r="ODP114" s="15"/>
      <c r="ODQ114" s="15"/>
      <c r="ODR114" s="15"/>
      <c r="ODS114" s="15"/>
      <c r="ODT114" s="15"/>
      <c r="ODU114" s="15"/>
      <c r="ODV114" s="15"/>
      <c r="ODW114" s="15"/>
      <c r="ODX114" s="15"/>
      <c r="ODY114" s="15"/>
      <c r="ODZ114" s="15"/>
      <c r="OEA114" s="15"/>
      <c r="OEB114" s="15"/>
      <c r="OEC114" s="15"/>
      <c r="OED114" s="14"/>
      <c r="OEE114" s="15"/>
      <c r="OEF114" s="15"/>
      <c r="OEG114" s="15"/>
      <c r="OEH114" s="15"/>
      <c r="OEI114" s="15"/>
      <c r="OEJ114" s="15"/>
      <c r="OEK114" s="15"/>
      <c r="OEL114" s="15"/>
      <c r="OEM114" s="15"/>
      <c r="OEN114" s="15"/>
      <c r="OEO114" s="15"/>
      <c r="OEP114" s="15"/>
      <c r="OEQ114" s="15"/>
      <c r="OER114" s="15"/>
      <c r="OES114" s="15"/>
      <c r="OET114" s="15"/>
      <c r="OEU114" s="15"/>
      <c r="OEV114" s="15"/>
      <c r="OEW114" s="15"/>
      <c r="OEX114" s="15"/>
      <c r="OEY114" s="15"/>
      <c r="OEZ114" s="14"/>
      <c r="OFA114" s="15"/>
      <c r="OFB114" s="15"/>
      <c r="OFC114" s="15"/>
      <c r="OFD114" s="15"/>
      <c r="OFE114" s="15"/>
      <c r="OFF114" s="15"/>
      <c r="OFG114" s="15"/>
      <c r="OFH114" s="15"/>
      <c r="OFI114" s="15"/>
      <c r="OFJ114" s="15"/>
      <c r="OFK114" s="15"/>
      <c r="OFL114" s="15"/>
      <c r="OFM114" s="15"/>
      <c r="OFN114" s="15"/>
      <c r="OFO114" s="15"/>
      <c r="OFP114" s="15"/>
      <c r="OFQ114" s="15"/>
      <c r="OFR114" s="15"/>
      <c r="OFS114" s="15"/>
      <c r="OFT114" s="15"/>
      <c r="OFU114" s="15"/>
      <c r="OFV114" s="14"/>
      <c r="OFW114" s="15"/>
      <c r="OFX114" s="15"/>
      <c r="OFY114" s="15"/>
      <c r="OFZ114" s="15"/>
      <c r="OGA114" s="15"/>
      <c r="OGB114" s="15"/>
      <c r="OGC114" s="15"/>
      <c r="OGD114" s="15"/>
      <c r="OGE114" s="15"/>
      <c r="OGF114" s="15"/>
      <c r="OGG114" s="15"/>
      <c r="OGH114" s="15"/>
      <c r="OGI114" s="15"/>
      <c r="OGJ114" s="15"/>
      <c r="OGK114" s="15"/>
      <c r="OGL114" s="15"/>
      <c r="OGM114" s="15"/>
      <c r="OGN114" s="15"/>
      <c r="OGO114" s="15"/>
      <c r="OGP114" s="15"/>
      <c r="OGQ114" s="15"/>
      <c r="OGR114" s="14"/>
      <c r="OGS114" s="15"/>
      <c r="OGT114" s="15"/>
      <c r="OGU114" s="15"/>
      <c r="OGV114" s="15"/>
      <c r="OGW114" s="15"/>
      <c r="OGX114" s="15"/>
      <c r="OGY114" s="15"/>
      <c r="OGZ114" s="15"/>
      <c r="OHA114" s="15"/>
      <c r="OHB114" s="15"/>
      <c r="OHC114" s="15"/>
      <c r="OHD114" s="15"/>
      <c r="OHE114" s="15"/>
      <c r="OHF114" s="15"/>
      <c r="OHG114" s="15"/>
      <c r="OHH114" s="15"/>
      <c r="OHI114" s="15"/>
      <c r="OHJ114" s="15"/>
      <c r="OHK114" s="15"/>
      <c r="OHL114" s="15"/>
      <c r="OHM114" s="15"/>
      <c r="OHN114" s="14"/>
      <c r="OHO114" s="15"/>
      <c r="OHP114" s="15"/>
      <c r="OHQ114" s="15"/>
      <c r="OHR114" s="15"/>
      <c r="OHS114" s="15"/>
      <c r="OHT114" s="15"/>
      <c r="OHU114" s="15"/>
      <c r="OHV114" s="15"/>
      <c r="OHW114" s="15"/>
      <c r="OHX114" s="15"/>
      <c r="OHY114" s="15"/>
      <c r="OHZ114" s="15"/>
      <c r="OIA114" s="15"/>
      <c r="OIB114" s="15"/>
      <c r="OIC114" s="15"/>
      <c r="OID114" s="15"/>
      <c r="OIE114" s="15"/>
      <c r="OIF114" s="15"/>
      <c r="OIG114" s="15"/>
      <c r="OIH114" s="15"/>
      <c r="OII114" s="15"/>
      <c r="OIJ114" s="14"/>
      <c r="OIK114" s="15"/>
      <c r="OIL114" s="15"/>
      <c r="OIM114" s="15"/>
      <c r="OIN114" s="15"/>
      <c r="OIO114" s="15"/>
      <c r="OIP114" s="15"/>
      <c r="OIQ114" s="15"/>
      <c r="OIR114" s="15"/>
      <c r="OIS114" s="15"/>
      <c r="OIT114" s="15"/>
      <c r="OIU114" s="15"/>
      <c r="OIV114" s="15"/>
      <c r="OIW114" s="15"/>
      <c r="OIX114" s="15"/>
      <c r="OIY114" s="15"/>
      <c r="OIZ114" s="15"/>
      <c r="OJA114" s="15"/>
      <c r="OJB114" s="15"/>
      <c r="OJC114" s="15"/>
      <c r="OJD114" s="15"/>
      <c r="OJE114" s="15"/>
      <c r="OJF114" s="14"/>
      <c r="OJG114" s="15"/>
      <c r="OJH114" s="15"/>
      <c r="OJI114" s="15"/>
      <c r="OJJ114" s="15"/>
      <c r="OJK114" s="15"/>
      <c r="OJL114" s="15"/>
      <c r="OJM114" s="15"/>
      <c r="OJN114" s="15"/>
      <c r="OJO114" s="15"/>
      <c r="OJP114" s="15"/>
      <c r="OJQ114" s="15"/>
      <c r="OJR114" s="15"/>
      <c r="OJS114" s="15"/>
      <c r="OJT114" s="15"/>
      <c r="OJU114" s="15"/>
      <c r="OJV114" s="15"/>
      <c r="OJW114" s="15"/>
      <c r="OJX114" s="15"/>
      <c r="OJY114" s="15"/>
      <c r="OJZ114" s="15"/>
      <c r="OKA114" s="15"/>
      <c r="OKB114" s="14"/>
      <c r="OKC114" s="15"/>
      <c r="OKD114" s="15"/>
      <c r="OKE114" s="15"/>
      <c r="OKF114" s="15"/>
      <c r="OKG114" s="15"/>
      <c r="OKH114" s="15"/>
      <c r="OKI114" s="15"/>
      <c r="OKJ114" s="15"/>
      <c r="OKK114" s="15"/>
      <c r="OKL114" s="15"/>
      <c r="OKM114" s="15"/>
      <c r="OKN114" s="15"/>
      <c r="OKO114" s="15"/>
      <c r="OKP114" s="15"/>
      <c r="OKQ114" s="15"/>
      <c r="OKR114" s="15"/>
      <c r="OKS114" s="15"/>
      <c r="OKT114" s="15"/>
      <c r="OKU114" s="15"/>
      <c r="OKV114" s="15"/>
      <c r="OKW114" s="15"/>
      <c r="OKX114" s="14"/>
      <c r="OKY114" s="15"/>
      <c r="OKZ114" s="15"/>
      <c r="OLA114" s="15"/>
      <c r="OLB114" s="15"/>
      <c r="OLC114" s="15"/>
      <c r="OLD114" s="15"/>
      <c r="OLE114" s="15"/>
      <c r="OLF114" s="15"/>
      <c r="OLG114" s="15"/>
      <c r="OLH114" s="15"/>
      <c r="OLI114" s="15"/>
      <c r="OLJ114" s="15"/>
      <c r="OLK114" s="15"/>
      <c r="OLL114" s="15"/>
      <c r="OLM114" s="15"/>
      <c r="OLN114" s="15"/>
      <c r="OLO114" s="15"/>
      <c r="OLP114" s="15"/>
      <c r="OLQ114" s="15"/>
      <c r="OLR114" s="15"/>
      <c r="OLS114" s="15"/>
      <c r="OLT114" s="14"/>
      <c r="OLU114" s="15"/>
      <c r="OLV114" s="15"/>
      <c r="OLW114" s="15"/>
      <c r="OLX114" s="15"/>
      <c r="OLY114" s="15"/>
      <c r="OLZ114" s="15"/>
      <c r="OMA114" s="15"/>
      <c r="OMB114" s="15"/>
      <c r="OMC114" s="15"/>
      <c r="OMD114" s="15"/>
      <c r="OME114" s="15"/>
      <c r="OMF114" s="15"/>
      <c r="OMG114" s="15"/>
      <c r="OMH114" s="15"/>
      <c r="OMI114" s="15"/>
      <c r="OMJ114" s="15"/>
      <c r="OMK114" s="15"/>
      <c r="OML114" s="15"/>
      <c r="OMM114" s="15"/>
      <c r="OMN114" s="15"/>
      <c r="OMO114" s="15"/>
      <c r="OMP114" s="14"/>
      <c r="OMQ114" s="15"/>
      <c r="OMR114" s="15"/>
      <c r="OMS114" s="15"/>
      <c r="OMT114" s="15"/>
      <c r="OMU114" s="15"/>
      <c r="OMV114" s="15"/>
      <c r="OMW114" s="15"/>
      <c r="OMX114" s="15"/>
      <c r="OMY114" s="15"/>
      <c r="OMZ114" s="15"/>
      <c r="ONA114" s="15"/>
      <c r="ONB114" s="15"/>
      <c r="ONC114" s="15"/>
      <c r="OND114" s="15"/>
      <c r="ONE114" s="15"/>
      <c r="ONF114" s="15"/>
      <c r="ONG114" s="15"/>
      <c r="ONH114" s="15"/>
      <c r="ONI114" s="15"/>
      <c r="ONJ114" s="15"/>
      <c r="ONK114" s="15"/>
      <c r="ONL114" s="14"/>
      <c r="ONM114" s="15"/>
      <c r="ONN114" s="15"/>
      <c r="ONO114" s="15"/>
      <c r="ONP114" s="15"/>
      <c r="ONQ114" s="15"/>
      <c r="ONR114" s="15"/>
      <c r="ONS114" s="15"/>
      <c r="ONT114" s="15"/>
      <c r="ONU114" s="15"/>
      <c r="ONV114" s="15"/>
      <c r="ONW114" s="15"/>
      <c r="ONX114" s="15"/>
      <c r="ONY114" s="15"/>
      <c r="ONZ114" s="15"/>
      <c r="OOA114" s="15"/>
      <c r="OOB114" s="15"/>
      <c r="OOC114" s="15"/>
      <c r="OOD114" s="15"/>
      <c r="OOE114" s="15"/>
      <c r="OOF114" s="15"/>
      <c r="OOG114" s="15"/>
      <c r="OOH114" s="14"/>
      <c r="OOI114" s="15"/>
      <c r="OOJ114" s="15"/>
      <c r="OOK114" s="15"/>
      <c r="OOL114" s="15"/>
      <c r="OOM114" s="15"/>
      <c r="OON114" s="15"/>
      <c r="OOO114" s="15"/>
      <c r="OOP114" s="15"/>
      <c r="OOQ114" s="15"/>
      <c r="OOR114" s="15"/>
      <c r="OOS114" s="15"/>
      <c r="OOT114" s="15"/>
      <c r="OOU114" s="15"/>
      <c r="OOV114" s="15"/>
      <c r="OOW114" s="15"/>
      <c r="OOX114" s="15"/>
      <c r="OOY114" s="15"/>
      <c r="OOZ114" s="15"/>
      <c r="OPA114" s="15"/>
      <c r="OPB114" s="15"/>
      <c r="OPC114" s="15"/>
      <c r="OPD114" s="14"/>
      <c r="OPE114" s="15"/>
      <c r="OPF114" s="15"/>
      <c r="OPG114" s="15"/>
      <c r="OPH114" s="15"/>
      <c r="OPI114" s="15"/>
      <c r="OPJ114" s="15"/>
      <c r="OPK114" s="15"/>
      <c r="OPL114" s="15"/>
      <c r="OPM114" s="15"/>
      <c r="OPN114" s="15"/>
      <c r="OPO114" s="15"/>
      <c r="OPP114" s="15"/>
      <c r="OPQ114" s="15"/>
      <c r="OPR114" s="15"/>
      <c r="OPS114" s="15"/>
      <c r="OPT114" s="15"/>
      <c r="OPU114" s="15"/>
      <c r="OPV114" s="15"/>
      <c r="OPW114" s="15"/>
      <c r="OPX114" s="15"/>
      <c r="OPY114" s="15"/>
      <c r="OPZ114" s="14"/>
      <c r="OQA114" s="15"/>
      <c r="OQB114" s="15"/>
      <c r="OQC114" s="15"/>
      <c r="OQD114" s="15"/>
      <c r="OQE114" s="15"/>
      <c r="OQF114" s="15"/>
      <c r="OQG114" s="15"/>
      <c r="OQH114" s="15"/>
      <c r="OQI114" s="15"/>
      <c r="OQJ114" s="15"/>
      <c r="OQK114" s="15"/>
      <c r="OQL114" s="15"/>
      <c r="OQM114" s="15"/>
      <c r="OQN114" s="15"/>
      <c r="OQO114" s="15"/>
      <c r="OQP114" s="15"/>
      <c r="OQQ114" s="15"/>
      <c r="OQR114" s="15"/>
      <c r="OQS114" s="15"/>
      <c r="OQT114" s="15"/>
      <c r="OQU114" s="15"/>
      <c r="OQV114" s="14"/>
      <c r="OQW114" s="15"/>
      <c r="OQX114" s="15"/>
      <c r="OQY114" s="15"/>
      <c r="OQZ114" s="15"/>
      <c r="ORA114" s="15"/>
      <c r="ORB114" s="15"/>
      <c r="ORC114" s="15"/>
      <c r="ORD114" s="15"/>
      <c r="ORE114" s="15"/>
      <c r="ORF114" s="15"/>
      <c r="ORG114" s="15"/>
      <c r="ORH114" s="15"/>
      <c r="ORI114" s="15"/>
      <c r="ORJ114" s="15"/>
      <c r="ORK114" s="15"/>
      <c r="ORL114" s="15"/>
      <c r="ORM114" s="15"/>
      <c r="ORN114" s="15"/>
      <c r="ORO114" s="15"/>
      <c r="ORP114" s="15"/>
      <c r="ORQ114" s="15"/>
      <c r="ORR114" s="14"/>
      <c r="ORS114" s="15"/>
      <c r="ORT114" s="15"/>
      <c r="ORU114" s="15"/>
      <c r="ORV114" s="15"/>
      <c r="ORW114" s="15"/>
      <c r="ORX114" s="15"/>
      <c r="ORY114" s="15"/>
      <c r="ORZ114" s="15"/>
      <c r="OSA114" s="15"/>
      <c r="OSB114" s="15"/>
      <c r="OSC114" s="15"/>
      <c r="OSD114" s="15"/>
      <c r="OSE114" s="15"/>
      <c r="OSF114" s="15"/>
      <c r="OSG114" s="15"/>
      <c r="OSH114" s="15"/>
      <c r="OSI114" s="15"/>
      <c r="OSJ114" s="15"/>
      <c r="OSK114" s="15"/>
      <c r="OSL114" s="15"/>
      <c r="OSM114" s="15"/>
      <c r="OSN114" s="14"/>
      <c r="OSO114" s="15"/>
      <c r="OSP114" s="15"/>
      <c r="OSQ114" s="15"/>
      <c r="OSR114" s="15"/>
      <c r="OSS114" s="15"/>
      <c r="OST114" s="15"/>
      <c r="OSU114" s="15"/>
      <c r="OSV114" s="15"/>
      <c r="OSW114" s="15"/>
      <c r="OSX114" s="15"/>
      <c r="OSY114" s="15"/>
      <c r="OSZ114" s="15"/>
      <c r="OTA114" s="15"/>
      <c r="OTB114" s="15"/>
      <c r="OTC114" s="15"/>
      <c r="OTD114" s="15"/>
      <c r="OTE114" s="15"/>
      <c r="OTF114" s="15"/>
      <c r="OTG114" s="15"/>
      <c r="OTH114" s="15"/>
      <c r="OTI114" s="15"/>
      <c r="OTJ114" s="14"/>
      <c r="OTK114" s="15"/>
      <c r="OTL114" s="15"/>
      <c r="OTM114" s="15"/>
      <c r="OTN114" s="15"/>
      <c r="OTO114" s="15"/>
      <c r="OTP114" s="15"/>
      <c r="OTQ114" s="15"/>
      <c r="OTR114" s="15"/>
      <c r="OTS114" s="15"/>
      <c r="OTT114" s="15"/>
      <c r="OTU114" s="15"/>
      <c r="OTV114" s="15"/>
      <c r="OTW114" s="15"/>
      <c r="OTX114" s="15"/>
      <c r="OTY114" s="15"/>
      <c r="OTZ114" s="15"/>
      <c r="OUA114" s="15"/>
      <c r="OUB114" s="15"/>
      <c r="OUC114" s="15"/>
      <c r="OUD114" s="15"/>
      <c r="OUE114" s="15"/>
      <c r="OUF114" s="14"/>
      <c r="OUG114" s="15"/>
      <c r="OUH114" s="15"/>
      <c r="OUI114" s="15"/>
      <c r="OUJ114" s="15"/>
      <c r="OUK114" s="15"/>
      <c r="OUL114" s="15"/>
      <c r="OUM114" s="15"/>
      <c r="OUN114" s="15"/>
      <c r="OUO114" s="15"/>
      <c r="OUP114" s="15"/>
      <c r="OUQ114" s="15"/>
      <c r="OUR114" s="15"/>
      <c r="OUS114" s="15"/>
      <c r="OUT114" s="15"/>
      <c r="OUU114" s="15"/>
      <c r="OUV114" s="15"/>
      <c r="OUW114" s="15"/>
      <c r="OUX114" s="15"/>
      <c r="OUY114" s="15"/>
      <c r="OUZ114" s="15"/>
      <c r="OVA114" s="15"/>
      <c r="OVB114" s="14"/>
      <c r="OVC114" s="15"/>
      <c r="OVD114" s="15"/>
      <c r="OVE114" s="15"/>
      <c r="OVF114" s="15"/>
      <c r="OVG114" s="15"/>
      <c r="OVH114" s="15"/>
      <c r="OVI114" s="15"/>
      <c r="OVJ114" s="15"/>
      <c r="OVK114" s="15"/>
      <c r="OVL114" s="15"/>
      <c r="OVM114" s="15"/>
      <c r="OVN114" s="15"/>
      <c r="OVO114" s="15"/>
      <c r="OVP114" s="15"/>
      <c r="OVQ114" s="15"/>
      <c r="OVR114" s="15"/>
      <c r="OVS114" s="15"/>
      <c r="OVT114" s="15"/>
      <c r="OVU114" s="15"/>
      <c r="OVV114" s="15"/>
      <c r="OVW114" s="15"/>
      <c r="OVX114" s="14"/>
      <c r="OVY114" s="15"/>
      <c r="OVZ114" s="15"/>
      <c r="OWA114" s="15"/>
      <c r="OWB114" s="15"/>
      <c r="OWC114" s="15"/>
      <c r="OWD114" s="15"/>
      <c r="OWE114" s="15"/>
      <c r="OWF114" s="15"/>
      <c r="OWG114" s="15"/>
      <c r="OWH114" s="15"/>
      <c r="OWI114" s="15"/>
      <c r="OWJ114" s="15"/>
      <c r="OWK114" s="15"/>
      <c r="OWL114" s="15"/>
      <c r="OWM114" s="15"/>
      <c r="OWN114" s="15"/>
      <c r="OWO114" s="15"/>
      <c r="OWP114" s="15"/>
      <c r="OWQ114" s="15"/>
      <c r="OWR114" s="15"/>
      <c r="OWS114" s="15"/>
      <c r="OWT114" s="14"/>
      <c r="OWU114" s="15"/>
      <c r="OWV114" s="15"/>
      <c r="OWW114" s="15"/>
      <c r="OWX114" s="15"/>
      <c r="OWY114" s="15"/>
      <c r="OWZ114" s="15"/>
      <c r="OXA114" s="15"/>
      <c r="OXB114" s="15"/>
      <c r="OXC114" s="15"/>
      <c r="OXD114" s="15"/>
      <c r="OXE114" s="15"/>
      <c r="OXF114" s="15"/>
      <c r="OXG114" s="15"/>
      <c r="OXH114" s="15"/>
      <c r="OXI114" s="15"/>
      <c r="OXJ114" s="15"/>
      <c r="OXK114" s="15"/>
      <c r="OXL114" s="15"/>
      <c r="OXM114" s="15"/>
      <c r="OXN114" s="15"/>
      <c r="OXO114" s="15"/>
      <c r="OXP114" s="14"/>
      <c r="OXQ114" s="15"/>
      <c r="OXR114" s="15"/>
      <c r="OXS114" s="15"/>
      <c r="OXT114" s="15"/>
      <c r="OXU114" s="15"/>
      <c r="OXV114" s="15"/>
      <c r="OXW114" s="15"/>
      <c r="OXX114" s="15"/>
      <c r="OXY114" s="15"/>
      <c r="OXZ114" s="15"/>
      <c r="OYA114" s="15"/>
      <c r="OYB114" s="15"/>
      <c r="OYC114" s="15"/>
      <c r="OYD114" s="15"/>
      <c r="OYE114" s="15"/>
      <c r="OYF114" s="15"/>
      <c r="OYG114" s="15"/>
      <c r="OYH114" s="15"/>
      <c r="OYI114" s="15"/>
      <c r="OYJ114" s="15"/>
      <c r="OYK114" s="15"/>
      <c r="OYL114" s="14"/>
      <c r="OYM114" s="15"/>
      <c r="OYN114" s="15"/>
      <c r="OYO114" s="15"/>
      <c r="OYP114" s="15"/>
      <c r="OYQ114" s="15"/>
      <c r="OYR114" s="15"/>
      <c r="OYS114" s="15"/>
      <c r="OYT114" s="15"/>
      <c r="OYU114" s="15"/>
      <c r="OYV114" s="15"/>
      <c r="OYW114" s="15"/>
      <c r="OYX114" s="15"/>
      <c r="OYY114" s="15"/>
      <c r="OYZ114" s="15"/>
      <c r="OZA114" s="15"/>
      <c r="OZB114" s="15"/>
      <c r="OZC114" s="15"/>
      <c r="OZD114" s="15"/>
      <c r="OZE114" s="15"/>
      <c r="OZF114" s="15"/>
      <c r="OZG114" s="15"/>
      <c r="OZH114" s="14"/>
      <c r="OZI114" s="15"/>
      <c r="OZJ114" s="15"/>
      <c r="OZK114" s="15"/>
      <c r="OZL114" s="15"/>
      <c r="OZM114" s="15"/>
      <c r="OZN114" s="15"/>
      <c r="OZO114" s="15"/>
      <c r="OZP114" s="15"/>
      <c r="OZQ114" s="15"/>
      <c r="OZR114" s="15"/>
      <c r="OZS114" s="15"/>
      <c r="OZT114" s="15"/>
      <c r="OZU114" s="15"/>
      <c r="OZV114" s="15"/>
      <c r="OZW114" s="15"/>
      <c r="OZX114" s="15"/>
      <c r="OZY114" s="15"/>
      <c r="OZZ114" s="15"/>
      <c r="PAA114" s="15"/>
      <c r="PAB114" s="15"/>
      <c r="PAC114" s="15"/>
      <c r="PAD114" s="14"/>
      <c r="PAE114" s="15"/>
      <c r="PAF114" s="15"/>
      <c r="PAG114" s="15"/>
      <c r="PAH114" s="15"/>
      <c r="PAI114" s="15"/>
      <c r="PAJ114" s="15"/>
      <c r="PAK114" s="15"/>
      <c r="PAL114" s="15"/>
      <c r="PAM114" s="15"/>
      <c r="PAN114" s="15"/>
      <c r="PAO114" s="15"/>
      <c r="PAP114" s="15"/>
      <c r="PAQ114" s="15"/>
      <c r="PAR114" s="15"/>
      <c r="PAS114" s="15"/>
      <c r="PAT114" s="15"/>
      <c r="PAU114" s="15"/>
      <c r="PAV114" s="15"/>
      <c r="PAW114" s="15"/>
      <c r="PAX114" s="15"/>
      <c r="PAY114" s="15"/>
      <c r="PAZ114" s="14"/>
      <c r="PBA114" s="15"/>
      <c r="PBB114" s="15"/>
      <c r="PBC114" s="15"/>
      <c r="PBD114" s="15"/>
      <c r="PBE114" s="15"/>
      <c r="PBF114" s="15"/>
      <c r="PBG114" s="15"/>
      <c r="PBH114" s="15"/>
      <c r="PBI114" s="15"/>
      <c r="PBJ114" s="15"/>
      <c r="PBK114" s="15"/>
      <c r="PBL114" s="15"/>
      <c r="PBM114" s="15"/>
      <c r="PBN114" s="15"/>
      <c r="PBO114" s="15"/>
      <c r="PBP114" s="15"/>
      <c r="PBQ114" s="15"/>
      <c r="PBR114" s="15"/>
      <c r="PBS114" s="15"/>
      <c r="PBT114" s="15"/>
      <c r="PBU114" s="15"/>
      <c r="PBV114" s="14"/>
      <c r="PBW114" s="15"/>
      <c r="PBX114" s="15"/>
      <c r="PBY114" s="15"/>
      <c r="PBZ114" s="15"/>
      <c r="PCA114" s="15"/>
      <c r="PCB114" s="15"/>
      <c r="PCC114" s="15"/>
      <c r="PCD114" s="15"/>
      <c r="PCE114" s="15"/>
      <c r="PCF114" s="15"/>
      <c r="PCG114" s="15"/>
      <c r="PCH114" s="15"/>
      <c r="PCI114" s="15"/>
      <c r="PCJ114" s="15"/>
      <c r="PCK114" s="15"/>
      <c r="PCL114" s="15"/>
      <c r="PCM114" s="15"/>
      <c r="PCN114" s="15"/>
      <c r="PCO114" s="15"/>
      <c r="PCP114" s="15"/>
      <c r="PCQ114" s="15"/>
      <c r="PCR114" s="14"/>
      <c r="PCS114" s="15"/>
      <c r="PCT114" s="15"/>
      <c r="PCU114" s="15"/>
      <c r="PCV114" s="15"/>
      <c r="PCW114" s="15"/>
      <c r="PCX114" s="15"/>
      <c r="PCY114" s="15"/>
      <c r="PCZ114" s="15"/>
      <c r="PDA114" s="15"/>
      <c r="PDB114" s="15"/>
      <c r="PDC114" s="15"/>
      <c r="PDD114" s="15"/>
      <c r="PDE114" s="15"/>
      <c r="PDF114" s="15"/>
      <c r="PDG114" s="15"/>
      <c r="PDH114" s="15"/>
      <c r="PDI114" s="15"/>
      <c r="PDJ114" s="15"/>
      <c r="PDK114" s="15"/>
      <c r="PDL114" s="15"/>
      <c r="PDM114" s="15"/>
      <c r="PDN114" s="14"/>
      <c r="PDO114" s="15"/>
      <c r="PDP114" s="15"/>
      <c r="PDQ114" s="15"/>
      <c r="PDR114" s="15"/>
      <c r="PDS114" s="15"/>
      <c r="PDT114" s="15"/>
      <c r="PDU114" s="15"/>
      <c r="PDV114" s="15"/>
      <c r="PDW114" s="15"/>
      <c r="PDX114" s="15"/>
      <c r="PDY114" s="15"/>
      <c r="PDZ114" s="15"/>
      <c r="PEA114" s="15"/>
      <c r="PEB114" s="15"/>
      <c r="PEC114" s="15"/>
      <c r="PED114" s="15"/>
      <c r="PEE114" s="15"/>
      <c r="PEF114" s="15"/>
      <c r="PEG114" s="15"/>
      <c r="PEH114" s="15"/>
      <c r="PEI114" s="15"/>
      <c r="PEJ114" s="14"/>
      <c r="PEK114" s="15"/>
      <c r="PEL114" s="15"/>
      <c r="PEM114" s="15"/>
      <c r="PEN114" s="15"/>
      <c r="PEO114" s="15"/>
      <c r="PEP114" s="15"/>
      <c r="PEQ114" s="15"/>
      <c r="PER114" s="15"/>
      <c r="PES114" s="15"/>
      <c r="PET114" s="15"/>
      <c r="PEU114" s="15"/>
      <c r="PEV114" s="15"/>
      <c r="PEW114" s="15"/>
      <c r="PEX114" s="15"/>
      <c r="PEY114" s="15"/>
      <c r="PEZ114" s="15"/>
      <c r="PFA114" s="15"/>
      <c r="PFB114" s="15"/>
      <c r="PFC114" s="15"/>
      <c r="PFD114" s="15"/>
      <c r="PFE114" s="15"/>
      <c r="PFF114" s="14"/>
      <c r="PFG114" s="15"/>
      <c r="PFH114" s="15"/>
      <c r="PFI114" s="15"/>
      <c r="PFJ114" s="15"/>
      <c r="PFK114" s="15"/>
      <c r="PFL114" s="15"/>
      <c r="PFM114" s="15"/>
      <c r="PFN114" s="15"/>
      <c r="PFO114" s="15"/>
      <c r="PFP114" s="15"/>
      <c r="PFQ114" s="15"/>
      <c r="PFR114" s="15"/>
      <c r="PFS114" s="15"/>
      <c r="PFT114" s="15"/>
      <c r="PFU114" s="15"/>
      <c r="PFV114" s="15"/>
      <c r="PFW114" s="15"/>
      <c r="PFX114" s="15"/>
      <c r="PFY114" s="15"/>
      <c r="PFZ114" s="15"/>
      <c r="PGA114" s="15"/>
      <c r="PGB114" s="14"/>
      <c r="PGC114" s="15"/>
      <c r="PGD114" s="15"/>
      <c r="PGE114" s="15"/>
      <c r="PGF114" s="15"/>
      <c r="PGG114" s="15"/>
      <c r="PGH114" s="15"/>
      <c r="PGI114" s="15"/>
      <c r="PGJ114" s="15"/>
      <c r="PGK114" s="15"/>
      <c r="PGL114" s="15"/>
      <c r="PGM114" s="15"/>
      <c r="PGN114" s="15"/>
      <c r="PGO114" s="15"/>
      <c r="PGP114" s="15"/>
      <c r="PGQ114" s="15"/>
      <c r="PGR114" s="15"/>
      <c r="PGS114" s="15"/>
      <c r="PGT114" s="15"/>
      <c r="PGU114" s="15"/>
      <c r="PGV114" s="15"/>
      <c r="PGW114" s="15"/>
      <c r="PGX114" s="14"/>
      <c r="PGY114" s="15"/>
      <c r="PGZ114" s="15"/>
      <c r="PHA114" s="15"/>
      <c r="PHB114" s="15"/>
      <c r="PHC114" s="15"/>
      <c r="PHD114" s="15"/>
      <c r="PHE114" s="15"/>
      <c r="PHF114" s="15"/>
      <c r="PHG114" s="15"/>
      <c r="PHH114" s="15"/>
      <c r="PHI114" s="15"/>
      <c r="PHJ114" s="15"/>
      <c r="PHK114" s="15"/>
      <c r="PHL114" s="15"/>
      <c r="PHM114" s="15"/>
      <c r="PHN114" s="15"/>
      <c r="PHO114" s="15"/>
      <c r="PHP114" s="15"/>
      <c r="PHQ114" s="15"/>
      <c r="PHR114" s="15"/>
      <c r="PHS114" s="15"/>
      <c r="PHT114" s="14"/>
      <c r="PHU114" s="15"/>
      <c r="PHV114" s="15"/>
      <c r="PHW114" s="15"/>
      <c r="PHX114" s="15"/>
      <c r="PHY114" s="15"/>
      <c r="PHZ114" s="15"/>
      <c r="PIA114" s="15"/>
      <c r="PIB114" s="15"/>
      <c r="PIC114" s="15"/>
      <c r="PID114" s="15"/>
      <c r="PIE114" s="15"/>
      <c r="PIF114" s="15"/>
      <c r="PIG114" s="15"/>
      <c r="PIH114" s="15"/>
      <c r="PII114" s="15"/>
      <c r="PIJ114" s="15"/>
      <c r="PIK114" s="15"/>
      <c r="PIL114" s="15"/>
      <c r="PIM114" s="15"/>
      <c r="PIN114" s="15"/>
      <c r="PIO114" s="15"/>
      <c r="PIP114" s="14"/>
      <c r="PIQ114" s="15"/>
      <c r="PIR114" s="15"/>
      <c r="PIS114" s="15"/>
      <c r="PIT114" s="15"/>
      <c r="PIU114" s="15"/>
      <c r="PIV114" s="15"/>
      <c r="PIW114" s="15"/>
      <c r="PIX114" s="15"/>
      <c r="PIY114" s="15"/>
      <c r="PIZ114" s="15"/>
      <c r="PJA114" s="15"/>
      <c r="PJB114" s="15"/>
      <c r="PJC114" s="15"/>
      <c r="PJD114" s="15"/>
      <c r="PJE114" s="15"/>
      <c r="PJF114" s="15"/>
      <c r="PJG114" s="15"/>
      <c r="PJH114" s="15"/>
      <c r="PJI114" s="15"/>
      <c r="PJJ114" s="15"/>
      <c r="PJK114" s="15"/>
      <c r="PJL114" s="14"/>
      <c r="PJM114" s="15"/>
      <c r="PJN114" s="15"/>
      <c r="PJO114" s="15"/>
      <c r="PJP114" s="15"/>
      <c r="PJQ114" s="15"/>
      <c r="PJR114" s="15"/>
      <c r="PJS114" s="15"/>
      <c r="PJT114" s="15"/>
      <c r="PJU114" s="15"/>
      <c r="PJV114" s="15"/>
      <c r="PJW114" s="15"/>
      <c r="PJX114" s="15"/>
      <c r="PJY114" s="15"/>
      <c r="PJZ114" s="15"/>
      <c r="PKA114" s="15"/>
      <c r="PKB114" s="15"/>
      <c r="PKC114" s="15"/>
      <c r="PKD114" s="15"/>
      <c r="PKE114" s="15"/>
      <c r="PKF114" s="15"/>
      <c r="PKG114" s="15"/>
      <c r="PKH114" s="14"/>
      <c r="PKI114" s="15"/>
      <c r="PKJ114" s="15"/>
      <c r="PKK114" s="15"/>
      <c r="PKL114" s="15"/>
      <c r="PKM114" s="15"/>
      <c r="PKN114" s="15"/>
      <c r="PKO114" s="15"/>
      <c r="PKP114" s="15"/>
      <c r="PKQ114" s="15"/>
      <c r="PKR114" s="15"/>
      <c r="PKS114" s="15"/>
      <c r="PKT114" s="15"/>
      <c r="PKU114" s="15"/>
      <c r="PKV114" s="15"/>
      <c r="PKW114" s="15"/>
      <c r="PKX114" s="15"/>
      <c r="PKY114" s="15"/>
      <c r="PKZ114" s="15"/>
      <c r="PLA114" s="15"/>
      <c r="PLB114" s="15"/>
      <c r="PLC114" s="15"/>
      <c r="PLD114" s="14"/>
      <c r="PLE114" s="15"/>
      <c r="PLF114" s="15"/>
      <c r="PLG114" s="15"/>
      <c r="PLH114" s="15"/>
      <c r="PLI114" s="15"/>
      <c r="PLJ114" s="15"/>
      <c r="PLK114" s="15"/>
      <c r="PLL114" s="15"/>
      <c r="PLM114" s="15"/>
      <c r="PLN114" s="15"/>
      <c r="PLO114" s="15"/>
      <c r="PLP114" s="15"/>
      <c r="PLQ114" s="15"/>
      <c r="PLR114" s="15"/>
      <c r="PLS114" s="15"/>
      <c r="PLT114" s="15"/>
      <c r="PLU114" s="15"/>
      <c r="PLV114" s="15"/>
      <c r="PLW114" s="15"/>
      <c r="PLX114" s="15"/>
      <c r="PLY114" s="15"/>
      <c r="PLZ114" s="14"/>
      <c r="PMA114" s="15"/>
      <c r="PMB114" s="15"/>
      <c r="PMC114" s="15"/>
      <c r="PMD114" s="15"/>
      <c r="PME114" s="15"/>
      <c r="PMF114" s="15"/>
      <c r="PMG114" s="15"/>
      <c r="PMH114" s="15"/>
      <c r="PMI114" s="15"/>
      <c r="PMJ114" s="15"/>
      <c r="PMK114" s="15"/>
      <c r="PML114" s="15"/>
      <c r="PMM114" s="15"/>
      <c r="PMN114" s="15"/>
      <c r="PMO114" s="15"/>
      <c r="PMP114" s="15"/>
      <c r="PMQ114" s="15"/>
      <c r="PMR114" s="15"/>
      <c r="PMS114" s="15"/>
      <c r="PMT114" s="15"/>
      <c r="PMU114" s="15"/>
      <c r="PMV114" s="14"/>
      <c r="PMW114" s="15"/>
      <c r="PMX114" s="15"/>
      <c r="PMY114" s="15"/>
      <c r="PMZ114" s="15"/>
      <c r="PNA114" s="15"/>
      <c r="PNB114" s="15"/>
      <c r="PNC114" s="15"/>
      <c r="PND114" s="15"/>
      <c r="PNE114" s="15"/>
      <c r="PNF114" s="15"/>
      <c r="PNG114" s="15"/>
      <c r="PNH114" s="15"/>
      <c r="PNI114" s="15"/>
      <c r="PNJ114" s="15"/>
      <c r="PNK114" s="15"/>
      <c r="PNL114" s="15"/>
      <c r="PNM114" s="15"/>
      <c r="PNN114" s="15"/>
      <c r="PNO114" s="15"/>
      <c r="PNP114" s="15"/>
      <c r="PNQ114" s="15"/>
      <c r="PNR114" s="14"/>
      <c r="PNS114" s="15"/>
      <c r="PNT114" s="15"/>
      <c r="PNU114" s="15"/>
      <c r="PNV114" s="15"/>
      <c r="PNW114" s="15"/>
      <c r="PNX114" s="15"/>
      <c r="PNY114" s="15"/>
      <c r="PNZ114" s="15"/>
      <c r="POA114" s="15"/>
      <c r="POB114" s="15"/>
      <c r="POC114" s="15"/>
      <c r="POD114" s="15"/>
      <c r="POE114" s="15"/>
      <c r="POF114" s="15"/>
      <c r="POG114" s="15"/>
      <c r="POH114" s="15"/>
      <c r="POI114" s="15"/>
      <c r="POJ114" s="15"/>
      <c r="POK114" s="15"/>
      <c r="POL114" s="15"/>
      <c r="POM114" s="15"/>
      <c r="PON114" s="14"/>
      <c r="POO114" s="15"/>
      <c r="POP114" s="15"/>
      <c r="POQ114" s="15"/>
      <c r="POR114" s="15"/>
      <c r="POS114" s="15"/>
      <c r="POT114" s="15"/>
      <c r="POU114" s="15"/>
      <c r="POV114" s="15"/>
      <c r="POW114" s="15"/>
      <c r="POX114" s="15"/>
      <c r="POY114" s="15"/>
      <c r="POZ114" s="15"/>
      <c r="PPA114" s="15"/>
      <c r="PPB114" s="15"/>
      <c r="PPC114" s="15"/>
      <c r="PPD114" s="15"/>
      <c r="PPE114" s="15"/>
      <c r="PPF114" s="15"/>
      <c r="PPG114" s="15"/>
      <c r="PPH114" s="15"/>
      <c r="PPI114" s="15"/>
      <c r="PPJ114" s="14"/>
      <c r="PPK114" s="15"/>
      <c r="PPL114" s="15"/>
      <c r="PPM114" s="15"/>
      <c r="PPN114" s="15"/>
      <c r="PPO114" s="15"/>
      <c r="PPP114" s="15"/>
      <c r="PPQ114" s="15"/>
      <c r="PPR114" s="15"/>
      <c r="PPS114" s="15"/>
      <c r="PPT114" s="15"/>
      <c r="PPU114" s="15"/>
      <c r="PPV114" s="15"/>
      <c r="PPW114" s="15"/>
      <c r="PPX114" s="15"/>
      <c r="PPY114" s="15"/>
      <c r="PPZ114" s="15"/>
      <c r="PQA114" s="15"/>
      <c r="PQB114" s="15"/>
      <c r="PQC114" s="15"/>
      <c r="PQD114" s="15"/>
      <c r="PQE114" s="15"/>
      <c r="PQF114" s="14"/>
      <c r="PQG114" s="15"/>
      <c r="PQH114" s="15"/>
      <c r="PQI114" s="15"/>
      <c r="PQJ114" s="15"/>
      <c r="PQK114" s="15"/>
      <c r="PQL114" s="15"/>
      <c r="PQM114" s="15"/>
      <c r="PQN114" s="15"/>
      <c r="PQO114" s="15"/>
      <c r="PQP114" s="15"/>
      <c r="PQQ114" s="15"/>
      <c r="PQR114" s="15"/>
      <c r="PQS114" s="15"/>
      <c r="PQT114" s="15"/>
      <c r="PQU114" s="15"/>
      <c r="PQV114" s="15"/>
      <c r="PQW114" s="15"/>
      <c r="PQX114" s="15"/>
      <c r="PQY114" s="15"/>
      <c r="PQZ114" s="15"/>
      <c r="PRA114" s="15"/>
      <c r="PRB114" s="14"/>
      <c r="PRC114" s="15"/>
      <c r="PRD114" s="15"/>
      <c r="PRE114" s="15"/>
      <c r="PRF114" s="15"/>
      <c r="PRG114" s="15"/>
      <c r="PRH114" s="15"/>
      <c r="PRI114" s="15"/>
      <c r="PRJ114" s="15"/>
      <c r="PRK114" s="15"/>
      <c r="PRL114" s="15"/>
      <c r="PRM114" s="15"/>
      <c r="PRN114" s="15"/>
      <c r="PRO114" s="15"/>
      <c r="PRP114" s="15"/>
      <c r="PRQ114" s="15"/>
      <c r="PRR114" s="15"/>
      <c r="PRS114" s="15"/>
      <c r="PRT114" s="15"/>
      <c r="PRU114" s="15"/>
      <c r="PRV114" s="15"/>
      <c r="PRW114" s="15"/>
      <c r="PRX114" s="14"/>
      <c r="PRY114" s="15"/>
      <c r="PRZ114" s="15"/>
      <c r="PSA114" s="15"/>
      <c r="PSB114" s="15"/>
      <c r="PSC114" s="15"/>
      <c r="PSD114" s="15"/>
      <c r="PSE114" s="15"/>
      <c r="PSF114" s="15"/>
      <c r="PSG114" s="15"/>
      <c r="PSH114" s="15"/>
      <c r="PSI114" s="15"/>
      <c r="PSJ114" s="15"/>
      <c r="PSK114" s="15"/>
      <c r="PSL114" s="15"/>
      <c r="PSM114" s="15"/>
      <c r="PSN114" s="15"/>
      <c r="PSO114" s="15"/>
      <c r="PSP114" s="15"/>
      <c r="PSQ114" s="15"/>
      <c r="PSR114" s="15"/>
      <c r="PSS114" s="15"/>
      <c r="PST114" s="14"/>
      <c r="PSU114" s="15"/>
      <c r="PSV114" s="15"/>
      <c r="PSW114" s="15"/>
      <c r="PSX114" s="15"/>
      <c r="PSY114" s="15"/>
      <c r="PSZ114" s="15"/>
      <c r="PTA114" s="15"/>
      <c r="PTB114" s="15"/>
      <c r="PTC114" s="15"/>
      <c r="PTD114" s="15"/>
      <c r="PTE114" s="15"/>
      <c r="PTF114" s="15"/>
      <c r="PTG114" s="15"/>
      <c r="PTH114" s="15"/>
      <c r="PTI114" s="15"/>
      <c r="PTJ114" s="15"/>
      <c r="PTK114" s="15"/>
      <c r="PTL114" s="15"/>
      <c r="PTM114" s="15"/>
      <c r="PTN114" s="15"/>
      <c r="PTO114" s="15"/>
      <c r="PTP114" s="14"/>
      <c r="PTQ114" s="15"/>
      <c r="PTR114" s="15"/>
      <c r="PTS114" s="15"/>
      <c r="PTT114" s="15"/>
      <c r="PTU114" s="15"/>
      <c r="PTV114" s="15"/>
      <c r="PTW114" s="15"/>
      <c r="PTX114" s="15"/>
      <c r="PTY114" s="15"/>
      <c r="PTZ114" s="15"/>
      <c r="PUA114" s="15"/>
      <c r="PUB114" s="15"/>
      <c r="PUC114" s="15"/>
      <c r="PUD114" s="15"/>
      <c r="PUE114" s="15"/>
      <c r="PUF114" s="15"/>
      <c r="PUG114" s="15"/>
      <c r="PUH114" s="15"/>
      <c r="PUI114" s="15"/>
      <c r="PUJ114" s="15"/>
      <c r="PUK114" s="15"/>
      <c r="PUL114" s="14"/>
      <c r="PUM114" s="15"/>
      <c r="PUN114" s="15"/>
      <c r="PUO114" s="15"/>
      <c r="PUP114" s="15"/>
      <c r="PUQ114" s="15"/>
      <c r="PUR114" s="15"/>
      <c r="PUS114" s="15"/>
      <c r="PUT114" s="15"/>
      <c r="PUU114" s="15"/>
      <c r="PUV114" s="15"/>
      <c r="PUW114" s="15"/>
      <c r="PUX114" s="15"/>
      <c r="PUY114" s="15"/>
      <c r="PUZ114" s="15"/>
      <c r="PVA114" s="15"/>
      <c r="PVB114" s="15"/>
      <c r="PVC114" s="15"/>
      <c r="PVD114" s="15"/>
      <c r="PVE114" s="15"/>
      <c r="PVF114" s="15"/>
      <c r="PVG114" s="15"/>
      <c r="PVH114" s="14"/>
      <c r="PVI114" s="15"/>
      <c r="PVJ114" s="15"/>
      <c r="PVK114" s="15"/>
      <c r="PVL114" s="15"/>
      <c r="PVM114" s="15"/>
      <c r="PVN114" s="15"/>
      <c r="PVO114" s="15"/>
      <c r="PVP114" s="15"/>
      <c r="PVQ114" s="15"/>
      <c r="PVR114" s="15"/>
      <c r="PVS114" s="15"/>
      <c r="PVT114" s="15"/>
      <c r="PVU114" s="15"/>
      <c r="PVV114" s="15"/>
      <c r="PVW114" s="15"/>
      <c r="PVX114" s="15"/>
      <c r="PVY114" s="15"/>
      <c r="PVZ114" s="15"/>
      <c r="PWA114" s="15"/>
      <c r="PWB114" s="15"/>
      <c r="PWC114" s="15"/>
      <c r="PWD114" s="14"/>
      <c r="PWE114" s="15"/>
      <c r="PWF114" s="15"/>
      <c r="PWG114" s="15"/>
      <c r="PWH114" s="15"/>
      <c r="PWI114" s="15"/>
      <c r="PWJ114" s="15"/>
      <c r="PWK114" s="15"/>
      <c r="PWL114" s="15"/>
      <c r="PWM114" s="15"/>
      <c r="PWN114" s="15"/>
      <c r="PWO114" s="15"/>
      <c r="PWP114" s="15"/>
      <c r="PWQ114" s="15"/>
      <c r="PWR114" s="15"/>
      <c r="PWS114" s="15"/>
      <c r="PWT114" s="15"/>
      <c r="PWU114" s="15"/>
      <c r="PWV114" s="15"/>
      <c r="PWW114" s="15"/>
      <c r="PWX114" s="15"/>
      <c r="PWY114" s="15"/>
      <c r="PWZ114" s="14"/>
      <c r="PXA114" s="15"/>
      <c r="PXB114" s="15"/>
      <c r="PXC114" s="15"/>
      <c r="PXD114" s="15"/>
      <c r="PXE114" s="15"/>
      <c r="PXF114" s="15"/>
      <c r="PXG114" s="15"/>
      <c r="PXH114" s="15"/>
      <c r="PXI114" s="15"/>
      <c r="PXJ114" s="15"/>
      <c r="PXK114" s="15"/>
      <c r="PXL114" s="15"/>
      <c r="PXM114" s="15"/>
      <c r="PXN114" s="15"/>
      <c r="PXO114" s="15"/>
      <c r="PXP114" s="15"/>
      <c r="PXQ114" s="15"/>
      <c r="PXR114" s="15"/>
      <c r="PXS114" s="15"/>
      <c r="PXT114" s="15"/>
      <c r="PXU114" s="15"/>
      <c r="PXV114" s="14"/>
      <c r="PXW114" s="15"/>
      <c r="PXX114" s="15"/>
      <c r="PXY114" s="15"/>
      <c r="PXZ114" s="15"/>
      <c r="PYA114" s="15"/>
      <c r="PYB114" s="15"/>
      <c r="PYC114" s="15"/>
      <c r="PYD114" s="15"/>
      <c r="PYE114" s="15"/>
      <c r="PYF114" s="15"/>
      <c r="PYG114" s="15"/>
      <c r="PYH114" s="15"/>
      <c r="PYI114" s="15"/>
      <c r="PYJ114" s="15"/>
      <c r="PYK114" s="15"/>
      <c r="PYL114" s="15"/>
      <c r="PYM114" s="15"/>
      <c r="PYN114" s="15"/>
      <c r="PYO114" s="15"/>
      <c r="PYP114" s="15"/>
      <c r="PYQ114" s="15"/>
      <c r="PYR114" s="14"/>
      <c r="PYS114" s="15"/>
      <c r="PYT114" s="15"/>
      <c r="PYU114" s="15"/>
      <c r="PYV114" s="15"/>
      <c r="PYW114" s="15"/>
      <c r="PYX114" s="15"/>
      <c r="PYY114" s="15"/>
      <c r="PYZ114" s="15"/>
      <c r="PZA114" s="15"/>
      <c r="PZB114" s="15"/>
      <c r="PZC114" s="15"/>
      <c r="PZD114" s="15"/>
      <c r="PZE114" s="15"/>
      <c r="PZF114" s="15"/>
      <c r="PZG114" s="15"/>
      <c r="PZH114" s="15"/>
      <c r="PZI114" s="15"/>
      <c r="PZJ114" s="15"/>
      <c r="PZK114" s="15"/>
      <c r="PZL114" s="15"/>
      <c r="PZM114" s="15"/>
      <c r="PZN114" s="14"/>
      <c r="PZO114" s="15"/>
      <c r="PZP114" s="15"/>
      <c r="PZQ114" s="15"/>
      <c r="PZR114" s="15"/>
      <c r="PZS114" s="15"/>
      <c r="PZT114" s="15"/>
      <c r="PZU114" s="15"/>
      <c r="PZV114" s="15"/>
      <c r="PZW114" s="15"/>
      <c r="PZX114" s="15"/>
      <c r="PZY114" s="15"/>
      <c r="PZZ114" s="15"/>
      <c r="QAA114" s="15"/>
      <c r="QAB114" s="15"/>
      <c r="QAC114" s="15"/>
      <c r="QAD114" s="15"/>
      <c r="QAE114" s="15"/>
      <c r="QAF114" s="15"/>
      <c r="QAG114" s="15"/>
      <c r="QAH114" s="15"/>
      <c r="QAI114" s="15"/>
      <c r="QAJ114" s="14"/>
      <c r="QAK114" s="15"/>
      <c r="QAL114" s="15"/>
      <c r="QAM114" s="15"/>
      <c r="QAN114" s="15"/>
      <c r="QAO114" s="15"/>
      <c r="QAP114" s="15"/>
      <c r="QAQ114" s="15"/>
      <c r="QAR114" s="15"/>
      <c r="QAS114" s="15"/>
      <c r="QAT114" s="15"/>
      <c r="QAU114" s="15"/>
      <c r="QAV114" s="15"/>
      <c r="QAW114" s="15"/>
      <c r="QAX114" s="15"/>
      <c r="QAY114" s="15"/>
      <c r="QAZ114" s="15"/>
      <c r="QBA114" s="15"/>
      <c r="QBB114" s="15"/>
      <c r="QBC114" s="15"/>
      <c r="QBD114" s="15"/>
      <c r="QBE114" s="15"/>
      <c r="QBF114" s="14"/>
      <c r="QBG114" s="15"/>
      <c r="QBH114" s="15"/>
      <c r="QBI114" s="15"/>
      <c r="QBJ114" s="15"/>
      <c r="QBK114" s="15"/>
      <c r="QBL114" s="15"/>
      <c r="QBM114" s="15"/>
      <c r="QBN114" s="15"/>
      <c r="QBO114" s="15"/>
      <c r="QBP114" s="15"/>
      <c r="QBQ114" s="15"/>
      <c r="QBR114" s="15"/>
      <c r="QBS114" s="15"/>
      <c r="QBT114" s="15"/>
      <c r="QBU114" s="15"/>
      <c r="QBV114" s="15"/>
      <c r="QBW114" s="15"/>
      <c r="QBX114" s="15"/>
      <c r="QBY114" s="15"/>
      <c r="QBZ114" s="15"/>
      <c r="QCA114" s="15"/>
      <c r="QCB114" s="14"/>
      <c r="QCC114" s="15"/>
      <c r="QCD114" s="15"/>
      <c r="QCE114" s="15"/>
      <c r="QCF114" s="15"/>
      <c r="QCG114" s="15"/>
      <c r="QCH114" s="15"/>
      <c r="QCI114" s="15"/>
      <c r="QCJ114" s="15"/>
      <c r="QCK114" s="15"/>
      <c r="QCL114" s="15"/>
      <c r="QCM114" s="15"/>
      <c r="QCN114" s="15"/>
      <c r="QCO114" s="15"/>
      <c r="QCP114" s="15"/>
      <c r="QCQ114" s="15"/>
      <c r="QCR114" s="15"/>
      <c r="QCS114" s="15"/>
      <c r="QCT114" s="15"/>
      <c r="QCU114" s="15"/>
      <c r="QCV114" s="15"/>
      <c r="QCW114" s="15"/>
      <c r="QCX114" s="14"/>
      <c r="QCY114" s="15"/>
      <c r="QCZ114" s="15"/>
      <c r="QDA114" s="15"/>
      <c r="QDB114" s="15"/>
      <c r="QDC114" s="15"/>
      <c r="QDD114" s="15"/>
      <c r="QDE114" s="15"/>
      <c r="QDF114" s="15"/>
      <c r="QDG114" s="15"/>
      <c r="QDH114" s="15"/>
      <c r="QDI114" s="15"/>
      <c r="QDJ114" s="15"/>
      <c r="QDK114" s="15"/>
      <c r="QDL114" s="15"/>
      <c r="QDM114" s="15"/>
      <c r="QDN114" s="15"/>
      <c r="QDO114" s="15"/>
      <c r="QDP114" s="15"/>
      <c r="QDQ114" s="15"/>
      <c r="QDR114" s="15"/>
      <c r="QDS114" s="15"/>
      <c r="QDT114" s="14"/>
      <c r="QDU114" s="15"/>
      <c r="QDV114" s="15"/>
      <c r="QDW114" s="15"/>
      <c r="QDX114" s="15"/>
      <c r="QDY114" s="15"/>
      <c r="QDZ114" s="15"/>
      <c r="QEA114" s="15"/>
      <c r="QEB114" s="15"/>
      <c r="QEC114" s="15"/>
      <c r="QED114" s="15"/>
      <c r="QEE114" s="15"/>
      <c r="QEF114" s="15"/>
      <c r="QEG114" s="15"/>
      <c r="QEH114" s="15"/>
      <c r="QEI114" s="15"/>
      <c r="QEJ114" s="15"/>
      <c r="QEK114" s="15"/>
      <c r="QEL114" s="15"/>
      <c r="QEM114" s="15"/>
      <c r="QEN114" s="15"/>
      <c r="QEO114" s="15"/>
      <c r="QEP114" s="14"/>
      <c r="QEQ114" s="15"/>
      <c r="QER114" s="15"/>
      <c r="QES114" s="15"/>
      <c r="QET114" s="15"/>
      <c r="QEU114" s="15"/>
      <c r="QEV114" s="15"/>
      <c r="QEW114" s="15"/>
      <c r="QEX114" s="15"/>
      <c r="QEY114" s="15"/>
      <c r="QEZ114" s="15"/>
      <c r="QFA114" s="15"/>
      <c r="QFB114" s="15"/>
      <c r="QFC114" s="15"/>
      <c r="QFD114" s="15"/>
      <c r="QFE114" s="15"/>
      <c r="QFF114" s="15"/>
      <c r="QFG114" s="15"/>
      <c r="QFH114" s="15"/>
      <c r="QFI114" s="15"/>
      <c r="QFJ114" s="15"/>
      <c r="QFK114" s="15"/>
      <c r="QFL114" s="14"/>
      <c r="QFM114" s="15"/>
      <c r="QFN114" s="15"/>
      <c r="QFO114" s="15"/>
      <c r="QFP114" s="15"/>
      <c r="QFQ114" s="15"/>
      <c r="QFR114" s="15"/>
      <c r="QFS114" s="15"/>
      <c r="QFT114" s="15"/>
      <c r="QFU114" s="15"/>
      <c r="QFV114" s="15"/>
      <c r="QFW114" s="15"/>
      <c r="QFX114" s="15"/>
      <c r="QFY114" s="15"/>
      <c r="QFZ114" s="15"/>
      <c r="QGA114" s="15"/>
      <c r="QGB114" s="15"/>
      <c r="QGC114" s="15"/>
      <c r="QGD114" s="15"/>
      <c r="QGE114" s="15"/>
      <c r="QGF114" s="15"/>
      <c r="QGG114" s="15"/>
      <c r="QGH114" s="14"/>
      <c r="QGI114" s="15"/>
      <c r="QGJ114" s="15"/>
      <c r="QGK114" s="15"/>
      <c r="QGL114" s="15"/>
      <c r="QGM114" s="15"/>
      <c r="QGN114" s="15"/>
      <c r="QGO114" s="15"/>
      <c r="QGP114" s="15"/>
      <c r="QGQ114" s="15"/>
      <c r="QGR114" s="15"/>
      <c r="QGS114" s="15"/>
      <c r="QGT114" s="15"/>
      <c r="QGU114" s="15"/>
      <c r="QGV114" s="15"/>
      <c r="QGW114" s="15"/>
      <c r="QGX114" s="15"/>
      <c r="QGY114" s="15"/>
      <c r="QGZ114" s="15"/>
      <c r="QHA114" s="15"/>
      <c r="QHB114" s="15"/>
      <c r="QHC114" s="15"/>
      <c r="QHD114" s="14"/>
      <c r="QHE114" s="15"/>
      <c r="QHF114" s="15"/>
      <c r="QHG114" s="15"/>
      <c r="QHH114" s="15"/>
      <c r="QHI114" s="15"/>
      <c r="QHJ114" s="15"/>
      <c r="QHK114" s="15"/>
      <c r="QHL114" s="15"/>
      <c r="QHM114" s="15"/>
      <c r="QHN114" s="15"/>
      <c r="QHO114" s="15"/>
      <c r="QHP114" s="15"/>
      <c r="QHQ114" s="15"/>
      <c r="QHR114" s="15"/>
      <c r="QHS114" s="15"/>
      <c r="QHT114" s="15"/>
      <c r="QHU114" s="15"/>
      <c r="QHV114" s="15"/>
      <c r="QHW114" s="15"/>
      <c r="QHX114" s="15"/>
      <c r="QHY114" s="15"/>
      <c r="QHZ114" s="14"/>
      <c r="QIA114" s="15"/>
      <c r="QIB114" s="15"/>
      <c r="QIC114" s="15"/>
      <c r="QID114" s="15"/>
      <c r="QIE114" s="15"/>
      <c r="QIF114" s="15"/>
      <c r="QIG114" s="15"/>
      <c r="QIH114" s="15"/>
      <c r="QII114" s="15"/>
      <c r="QIJ114" s="15"/>
      <c r="QIK114" s="15"/>
      <c r="QIL114" s="15"/>
      <c r="QIM114" s="15"/>
      <c r="QIN114" s="15"/>
      <c r="QIO114" s="15"/>
      <c r="QIP114" s="15"/>
      <c r="QIQ114" s="15"/>
      <c r="QIR114" s="15"/>
      <c r="QIS114" s="15"/>
      <c r="QIT114" s="15"/>
      <c r="QIU114" s="15"/>
      <c r="QIV114" s="14"/>
      <c r="QIW114" s="15"/>
      <c r="QIX114" s="15"/>
      <c r="QIY114" s="15"/>
      <c r="QIZ114" s="15"/>
      <c r="QJA114" s="15"/>
      <c r="QJB114" s="15"/>
      <c r="QJC114" s="15"/>
      <c r="QJD114" s="15"/>
      <c r="QJE114" s="15"/>
      <c r="QJF114" s="15"/>
      <c r="QJG114" s="15"/>
      <c r="QJH114" s="15"/>
      <c r="QJI114" s="15"/>
      <c r="QJJ114" s="15"/>
      <c r="QJK114" s="15"/>
      <c r="QJL114" s="15"/>
      <c r="QJM114" s="15"/>
      <c r="QJN114" s="15"/>
      <c r="QJO114" s="15"/>
      <c r="QJP114" s="15"/>
      <c r="QJQ114" s="15"/>
      <c r="QJR114" s="14"/>
      <c r="QJS114" s="15"/>
      <c r="QJT114" s="15"/>
      <c r="QJU114" s="15"/>
      <c r="QJV114" s="15"/>
      <c r="QJW114" s="15"/>
      <c r="QJX114" s="15"/>
      <c r="QJY114" s="15"/>
      <c r="QJZ114" s="15"/>
      <c r="QKA114" s="15"/>
      <c r="QKB114" s="15"/>
      <c r="QKC114" s="15"/>
      <c r="QKD114" s="15"/>
      <c r="QKE114" s="15"/>
      <c r="QKF114" s="15"/>
      <c r="QKG114" s="15"/>
      <c r="QKH114" s="15"/>
      <c r="QKI114" s="15"/>
      <c r="QKJ114" s="15"/>
      <c r="QKK114" s="15"/>
      <c r="QKL114" s="15"/>
      <c r="QKM114" s="15"/>
      <c r="QKN114" s="14"/>
      <c r="QKO114" s="15"/>
      <c r="QKP114" s="15"/>
      <c r="QKQ114" s="15"/>
      <c r="QKR114" s="15"/>
      <c r="QKS114" s="15"/>
      <c r="QKT114" s="15"/>
      <c r="QKU114" s="15"/>
      <c r="QKV114" s="15"/>
      <c r="QKW114" s="15"/>
      <c r="QKX114" s="15"/>
      <c r="QKY114" s="15"/>
      <c r="QKZ114" s="15"/>
      <c r="QLA114" s="15"/>
      <c r="QLB114" s="15"/>
      <c r="QLC114" s="15"/>
      <c r="QLD114" s="15"/>
      <c r="QLE114" s="15"/>
      <c r="QLF114" s="15"/>
      <c r="QLG114" s="15"/>
      <c r="QLH114" s="15"/>
      <c r="QLI114" s="15"/>
      <c r="QLJ114" s="14"/>
      <c r="QLK114" s="15"/>
      <c r="QLL114" s="15"/>
      <c r="QLM114" s="15"/>
      <c r="QLN114" s="15"/>
      <c r="QLO114" s="15"/>
      <c r="QLP114" s="15"/>
      <c r="QLQ114" s="15"/>
      <c r="QLR114" s="15"/>
      <c r="QLS114" s="15"/>
      <c r="QLT114" s="15"/>
      <c r="QLU114" s="15"/>
      <c r="QLV114" s="15"/>
      <c r="QLW114" s="15"/>
      <c r="QLX114" s="15"/>
      <c r="QLY114" s="15"/>
      <c r="QLZ114" s="15"/>
      <c r="QMA114" s="15"/>
      <c r="QMB114" s="15"/>
      <c r="QMC114" s="15"/>
      <c r="QMD114" s="15"/>
      <c r="QME114" s="15"/>
      <c r="QMF114" s="14"/>
      <c r="QMG114" s="15"/>
      <c r="QMH114" s="15"/>
      <c r="QMI114" s="15"/>
      <c r="QMJ114" s="15"/>
      <c r="QMK114" s="15"/>
      <c r="QML114" s="15"/>
      <c r="QMM114" s="15"/>
      <c r="QMN114" s="15"/>
      <c r="QMO114" s="15"/>
      <c r="QMP114" s="15"/>
      <c r="QMQ114" s="15"/>
      <c r="QMR114" s="15"/>
      <c r="QMS114" s="15"/>
      <c r="QMT114" s="15"/>
      <c r="QMU114" s="15"/>
      <c r="QMV114" s="15"/>
      <c r="QMW114" s="15"/>
      <c r="QMX114" s="15"/>
      <c r="QMY114" s="15"/>
      <c r="QMZ114" s="15"/>
      <c r="QNA114" s="15"/>
      <c r="QNB114" s="14"/>
      <c r="QNC114" s="15"/>
      <c r="QND114" s="15"/>
      <c r="QNE114" s="15"/>
      <c r="QNF114" s="15"/>
      <c r="QNG114" s="15"/>
      <c r="QNH114" s="15"/>
      <c r="QNI114" s="15"/>
      <c r="QNJ114" s="15"/>
      <c r="QNK114" s="15"/>
      <c r="QNL114" s="15"/>
      <c r="QNM114" s="15"/>
      <c r="QNN114" s="15"/>
      <c r="QNO114" s="15"/>
      <c r="QNP114" s="15"/>
      <c r="QNQ114" s="15"/>
      <c r="QNR114" s="15"/>
      <c r="QNS114" s="15"/>
      <c r="QNT114" s="15"/>
      <c r="QNU114" s="15"/>
      <c r="QNV114" s="15"/>
      <c r="QNW114" s="15"/>
      <c r="QNX114" s="14"/>
      <c r="QNY114" s="15"/>
      <c r="QNZ114" s="15"/>
      <c r="QOA114" s="15"/>
      <c r="QOB114" s="15"/>
      <c r="QOC114" s="15"/>
      <c r="QOD114" s="15"/>
      <c r="QOE114" s="15"/>
      <c r="QOF114" s="15"/>
      <c r="QOG114" s="15"/>
      <c r="QOH114" s="15"/>
      <c r="QOI114" s="15"/>
      <c r="QOJ114" s="15"/>
      <c r="QOK114" s="15"/>
      <c r="QOL114" s="15"/>
      <c r="QOM114" s="15"/>
      <c r="QON114" s="15"/>
      <c r="QOO114" s="15"/>
      <c r="QOP114" s="15"/>
      <c r="QOQ114" s="15"/>
      <c r="QOR114" s="15"/>
      <c r="QOS114" s="15"/>
      <c r="QOT114" s="14"/>
      <c r="QOU114" s="15"/>
      <c r="QOV114" s="15"/>
      <c r="QOW114" s="15"/>
      <c r="QOX114" s="15"/>
      <c r="QOY114" s="15"/>
      <c r="QOZ114" s="15"/>
      <c r="QPA114" s="15"/>
      <c r="QPB114" s="15"/>
      <c r="QPC114" s="15"/>
      <c r="QPD114" s="15"/>
      <c r="QPE114" s="15"/>
      <c r="QPF114" s="15"/>
      <c r="QPG114" s="15"/>
      <c r="QPH114" s="15"/>
      <c r="QPI114" s="15"/>
      <c r="QPJ114" s="15"/>
      <c r="QPK114" s="15"/>
      <c r="QPL114" s="15"/>
      <c r="QPM114" s="15"/>
      <c r="QPN114" s="15"/>
      <c r="QPO114" s="15"/>
      <c r="QPP114" s="14"/>
      <c r="QPQ114" s="15"/>
      <c r="QPR114" s="15"/>
      <c r="QPS114" s="15"/>
      <c r="QPT114" s="15"/>
      <c r="QPU114" s="15"/>
      <c r="QPV114" s="15"/>
      <c r="QPW114" s="15"/>
      <c r="QPX114" s="15"/>
      <c r="QPY114" s="15"/>
      <c r="QPZ114" s="15"/>
      <c r="QQA114" s="15"/>
      <c r="QQB114" s="15"/>
      <c r="QQC114" s="15"/>
      <c r="QQD114" s="15"/>
      <c r="QQE114" s="15"/>
      <c r="QQF114" s="15"/>
      <c r="QQG114" s="15"/>
      <c r="QQH114" s="15"/>
      <c r="QQI114" s="15"/>
      <c r="QQJ114" s="15"/>
      <c r="QQK114" s="15"/>
      <c r="QQL114" s="14"/>
      <c r="QQM114" s="15"/>
      <c r="QQN114" s="15"/>
      <c r="QQO114" s="15"/>
      <c r="QQP114" s="15"/>
      <c r="QQQ114" s="15"/>
      <c r="QQR114" s="15"/>
      <c r="QQS114" s="15"/>
      <c r="QQT114" s="15"/>
      <c r="QQU114" s="15"/>
      <c r="QQV114" s="15"/>
      <c r="QQW114" s="15"/>
      <c r="QQX114" s="15"/>
      <c r="QQY114" s="15"/>
      <c r="QQZ114" s="15"/>
      <c r="QRA114" s="15"/>
      <c r="QRB114" s="15"/>
      <c r="QRC114" s="15"/>
      <c r="QRD114" s="15"/>
      <c r="QRE114" s="15"/>
      <c r="QRF114" s="15"/>
      <c r="QRG114" s="15"/>
      <c r="QRH114" s="14"/>
      <c r="QRI114" s="15"/>
      <c r="QRJ114" s="15"/>
      <c r="QRK114" s="15"/>
      <c r="QRL114" s="15"/>
      <c r="QRM114" s="15"/>
      <c r="QRN114" s="15"/>
      <c r="QRO114" s="15"/>
      <c r="QRP114" s="15"/>
      <c r="QRQ114" s="15"/>
      <c r="QRR114" s="15"/>
      <c r="QRS114" s="15"/>
      <c r="QRT114" s="15"/>
      <c r="QRU114" s="15"/>
      <c r="QRV114" s="15"/>
      <c r="QRW114" s="15"/>
      <c r="QRX114" s="15"/>
      <c r="QRY114" s="15"/>
      <c r="QRZ114" s="15"/>
      <c r="QSA114" s="15"/>
      <c r="QSB114" s="15"/>
      <c r="QSC114" s="15"/>
      <c r="QSD114" s="14"/>
      <c r="QSE114" s="15"/>
      <c r="QSF114" s="15"/>
      <c r="QSG114" s="15"/>
      <c r="QSH114" s="15"/>
      <c r="QSI114" s="15"/>
      <c r="QSJ114" s="15"/>
      <c r="QSK114" s="15"/>
      <c r="QSL114" s="15"/>
      <c r="QSM114" s="15"/>
      <c r="QSN114" s="15"/>
      <c r="QSO114" s="15"/>
      <c r="QSP114" s="15"/>
      <c r="QSQ114" s="15"/>
      <c r="QSR114" s="15"/>
      <c r="QSS114" s="15"/>
      <c r="QST114" s="15"/>
      <c r="QSU114" s="15"/>
      <c r="QSV114" s="15"/>
      <c r="QSW114" s="15"/>
      <c r="QSX114" s="15"/>
      <c r="QSY114" s="15"/>
      <c r="QSZ114" s="14"/>
      <c r="QTA114" s="15"/>
      <c r="QTB114" s="15"/>
      <c r="QTC114" s="15"/>
      <c r="QTD114" s="15"/>
      <c r="QTE114" s="15"/>
      <c r="QTF114" s="15"/>
      <c r="QTG114" s="15"/>
      <c r="QTH114" s="15"/>
      <c r="QTI114" s="15"/>
      <c r="QTJ114" s="15"/>
      <c r="QTK114" s="15"/>
      <c r="QTL114" s="15"/>
      <c r="QTM114" s="15"/>
      <c r="QTN114" s="15"/>
      <c r="QTO114" s="15"/>
      <c r="QTP114" s="15"/>
      <c r="QTQ114" s="15"/>
      <c r="QTR114" s="15"/>
      <c r="QTS114" s="15"/>
      <c r="QTT114" s="15"/>
      <c r="QTU114" s="15"/>
      <c r="QTV114" s="14"/>
      <c r="QTW114" s="15"/>
      <c r="QTX114" s="15"/>
      <c r="QTY114" s="15"/>
      <c r="QTZ114" s="15"/>
      <c r="QUA114" s="15"/>
      <c r="QUB114" s="15"/>
      <c r="QUC114" s="15"/>
      <c r="QUD114" s="15"/>
      <c r="QUE114" s="15"/>
      <c r="QUF114" s="15"/>
      <c r="QUG114" s="15"/>
      <c r="QUH114" s="15"/>
      <c r="QUI114" s="15"/>
      <c r="QUJ114" s="15"/>
      <c r="QUK114" s="15"/>
      <c r="QUL114" s="15"/>
      <c r="QUM114" s="15"/>
      <c r="QUN114" s="15"/>
      <c r="QUO114" s="15"/>
      <c r="QUP114" s="15"/>
      <c r="QUQ114" s="15"/>
      <c r="QUR114" s="14"/>
      <c r="QUS114" s="15"/>
      <c r="QUT114" s="15"/>
      <c r="QUU114" s="15"/>
      <c r="QUV114" s="15"/>
      <c r="QUW114" s="15"/>
      <c r="QUX114" s="15"/>
      <c r="QUY114" s="15"/>
      <c r="QUZ114" s="15"/>
      <c r="QVA114" s="15"/>
      <c r="QVB114" s="15"/>
      <c r="QVC114" s="15"/>
      <c r="QVD114" s="15"/>
      <c r="QVE114" s="15"/>
      <c r="QVF114" s="15"/>
      <c r="QVG114" s="15"/>
      <c r="QVH114" s="15"/>
      <c r="QVI114" s="15"/>
      <c r="QVJ114" s="15"/>
      <c r="QVK114" s="15"/>
      <c r="QVL114" s="15"/>
      <c r="QVM114" s="15"/>
      <c r="QVN114" s="14"/>
      <c r="QVO114" s="15"/>
      <c r="QVP114" s="15"/>
      <c r="QVQ114" s="15"/>
      <c r="QVR114" s="15"/>
      <c r="QVS114" s="15"/>
      <c r="QVT114" s="15"/>
      <c r="QVU114" s="15"/>
      <c r="QVV114" s="15"/>
      <c r="QVW114" s="15"/>
      <c r="QVX114" s="15"/>
      <c r="QVY114" s="15"/>
      <c r="QVZ114" s="15"/>
      <c r="QWA114" s="15"/>
      <c r="QWB114" s="15"/>
      <c r="QWC114" s="15"/>
      <c r="QWD114" s="15"/>
      <c r="QWE114" s="15"/>
      <c r="QWF114" s="15"/>
      <c r="QWG114" s="15"/>
      <c r="QWH114" s="15"/>
      <c r="QWI114" s="15"/>
      <c r="QWJ114" s="14"/>
      <c r="QWK114" s="15"/>
      <c r="QWL114" s="15"/>
      <c r="QWM114" s="15"/>
      <c r="QWN114" s="15"/>
      <c r="QWO114" s="15"/>
      <c r="QWP114" s="15"/>
      <c r="QWQ114" s="15"/>
      <c r="QWR114" s="15"/>
      <c r="QWS114" s="15"/>
      <c r="QWT114" s="15"/>
      <c r="QWU114" s="15"/>
      <c r="QWV114" s="15"/>
      <c r="QWW114" s="15"/>
      <c r="QWX114" s="15"/>
      <c r="QWY114" s="15"/>
      <c r="QWZ114" s="15"/>
      <c r="QXA114" s="15"/>
      <c r="QXB114" s="15"/>
      <c r="QXC114" s="15"/>
      <c r="QXD114" s="15"/>
      <c r="QXE114" s="15"/>
      <c r="QXF114" s="14"/>
      <c r="QXG114" s="15"/>
      <c r="QXH114" s="15"/>
      <c r="QXI114" s="15"/>
      <c r="QXJ114" s="15"/>
      <c r="QXK114" s="15"/>
      <c r="QXL114" s="15"/>
      <c r="QXM114" s="15"/>
      <c r="QXN114" s="15"/>
      <c r="QXO114" s="15"/>
      <c r="QXP114" s="15"/>
      <c r="QXQ114" s="15"/>
      <c r="QXR114" s="15"/>
      <c r="QXS114" s="15"/>
      <c r="QXT114" s="15"/>
      <c r="QXU114" s="15"/>
      <c r="QXV114" s="15"/>
      <c r="QXW114" s="15"/>
      <c r="QXX114" s="15"/>
      <c r="QXY114" s="15"/>
      <c r="QXZ114" s="15"/>
      <c r="QYA114" s="15"/>
      <c r="QYB114" s="14"/>
      <c r="QYC114" s="15"/>
      <c r="QYD114" s="15"/>
      <c r="QYE114" s="15"/>
      <c r="QYF114" s="15"/>
      <c r="QYG114" s="15"/>
      <c r="QYH114" s="15"/>
      <c r="QYI114" s="15"/>
      <c r="QYJ114" s="15"/>
      <c r="QYK114" s="15"/>
      <c r="QYL114" s="15"/>
      <c r="QYM114" s="15"/>
      <c r="QYN114" s="15"/>
      <c r="QYO114" s="15"/>
      <c r="QYP114" s="15"/>
      <c r="QYQ114" s="15"/>
      <c r="QYR114" s="15"/>
      <c r="QYS114" s="15"/>
      <c r="QYT114" s="15"/>
      <c r="QYU114" s="15"/>
      <c r="QYV114" s="15"/>
      <c r="QYW114" s="15"/>
      <c r="QYX114" s="14"/>
      <c r="QYY114" s="15"/>
      <c r="QYZ114" s="15"/>
      <c r="QZA114" s="15"/>
      <c r="QZB114" s="15"/>
      <c r="QZC114" s="15"/>
      <c r="QZD114" s="15"/>
      <c r="QZE114" s="15"/>
      <c r="QZF114" s="15"/>
      <c r="QZG114" s="15"/>
      <c r="QZH114" s="15"/>
      <c r="QZI114" s="15"/>
      <c r="QZJ114" s="15"/>
      <c r="QZK114" s="15"/>
      <c r="QZL114" s="15"/>
      <c r="QZM114" s="15"/>
      <c r="QZN114" s="15"/>
      <c r="QZO114" s="15"/>
      <c r="QZP114" s="15"/>
      <c r="QZQ114" s="15"/>
      <c r="QZR114" s="15"/>
      <c r="QZS114" s="15"/>
      <c r="QZT114" s="14"/>
      <c r="QZU114" s="15"/>
      <c r="QZV114" s="15"/>
      <c r="QZW114" s="15"/>
      <c r="QZX114" s="15"/>
      <c r="QZY114" s="15"/>
      <c r="QZZ114" s="15"/>
      <c r="RAA114" s="15"/>
      <c r="RAB114" s="15"/>
      <c r="RAC114" s="15"/>
      <c r="RAD114" s="15"/>
      <c r="RAE114" s="15"/>
      <c r="RAF114" s="15"/>
      <c r="RAG114" s="15"/>
      <c r="RAH114" s="15"/>
      <c r="RAI114" s="15"/>
      <c r="RAJ114" s="15"/>
      <c r="RAK114" s="15"/>
      <c r="RAL114" s="15"/>
      <c r="RAM114" s="15"/>
      <c r="RAN114" s="15"/>
      <c r="RAO114" s="15"/>
      <c r="RAP114" s="14"/>
      <c r="RAQ114" s="15"/>
      <c r="RAR114" s="15"/>
      <c r="RAS114" s="15"/>
      <c r="RAT114" s="15"/>
      <c r="RAU114" s="15"/>
      <c r="RAV114" s="15"/>
      <c r="RAW114" s="15"/>
      <c r="RAX114" s="15"/>
      <c r="RAY114" s="15"/>
      <c r="RAZ114" s="15"/>
      <c r="RBA114" s="15"/>
      <c r="RBB114" s="15"/>
      <c r="RBC114" s="15"/>
      <c r="RBD114" s="15"/>
      <c r="RBE114" s="15"/>
      <c r="RBF114" s="15"/>
      <c r="RBG114" s="15"/>
      <c r="RBH114" s="15"/>
      <c r="RBI114" s="15"/>
      <c r="RBJ114" s="15"/>
      <c r="RBK114" s="15"/>
      <c r="RBL114" s="14"/>
      <c r="RBM114" s="15"/>
      <c r="RBN114" s="15"/>
      <c r="RBO114" s="15"/>
      <c r="RBP114" s="15"/>
      <c r="RBQ114" s="15"/>
      <c r="RBR114" s="15"/>
      <c r="RBS114" s="15"/>
      <c r="RBT114" s="15"/>
      <c r="RBU114" s="15"/>
      <c r="RBV114" s="15"/>
      <c r="RBW114" s="15"/>
      <c r="RBX114" s="15"/>
      <c r="RBY114" s="15"/>
      <c r="RBZ114" s="15"/>
      <c r="RCA114" s="15"/>
      <c r="RCB114" s="15"/>
      <c r="RCC114" s="15"/>
      <c r="RCD114" s="15"/>
      <c r="RCE114" s="15"/>
      <c r="RCF114" s="15"/>
      <c r="RCG114" s="15"/>
      <c r="RCH114" s="14"/>
      <c r="RCI114" s="15"/>
      <c r="RCJ114" s="15"/>
      <c r="RCK114" s="15"/>
      <c r="RCL114" s="15"/>
      <c r="RCM114" s="15"/>
      <c r="RCN114" s="15"/>
      <c r="RCO114" s="15"/>
      <c r="RCP114" s="15"/>
      <c r="RCQ114" s="15"/>
      <c r="RCR114" s="15"/>
      <c r="RCS114" s="15"/>
      <c r="RCT114" s="15"/>
      <c r="RCU114" s="15"/>
      <c r="RCV114" s="15"/>
      <c r="RCW114" s="15"/>
      <c r="RCX114" s="15"/>
      <c r="RCY114" s="15"/>
      <c r="RCZ114" s="15"/>
      <c r="RDA114" s="15"/>
      <c r="RDB114" s="15"/>
      <c r="RDC114" s="15"/>
      <c r="RDD114" s="14"/>
      <c r="RDE114" s="15"/>
      <c r="RDF114" s="15"/>
      <c r="RDG114" s="15"/>
      <c r="RDH114" s="15"/>
      <c r="RDI114" s="15"/>
      <c r="RDJ114" s="15"/>
      <c r="RDK114" s="15"/>
      <c r="RDL114" s="15"/>
      <c r="RDM114" s="15"/>
      <c r="RDN114" s="15"/>
      <c r="RDO114" s="15"/>
      <c r="RDP114" s="15"/>
      <c r="RDQ114" s="15"/>
      <c r="RDR114" s="15"/>
      <c r="RDS114" s="15"/>
      <c r="RDT114" s="15"/>
      <c r="RDU114" s="15"/>
      <c r="RDV114" s="15"/>
      <c r="RDW114" s="15"/>
      <c r="RDX114" s="15"/>
      <c r="RDY114" s="15"/>
      <c r="RDZ114" s="14"/>
      <c r="REA114" s="15"/>
      <c r="REB114" s="15"/>
      <c r="REC114" s="15"/>
      <c r="RED114" s="15"/>
      <c r="REE114" s="15"/>
      <c r="REF114" s="15"/>
      <c r="REG114" s="15"/>
      <c r="REH114" s="15"/>
      <c r="REI114" s="15"/>
      <c r="REJ114" s="15"/>
      <c r="REK114" s="15"/>
      <c r="REL114" s="15"/>
      <c r="REM114" s="15"/>
      <c r="REN114" s="15"/>
      <c r="REO114" s="15"/>
      <c r="REP114" s="15"/>
      <c r="REQ114" s="15"/>
      <c r="RER114" s="15"/>
      <c r="RES114" s="15"/>
      <c r="RET114" s="15"/>
      <c r="REU114" s="15"/>
      <c r="REV114" s="14"/>
      <c r="REW114" s="15"/>
      <c r="REX114" s="15"/>
      <c r="REY114" s="15"/>
      <c r="REZ114" s="15"/>
      <c r="RFA114" s="15"/>
      <c r="RFB114" s="15"/>
      <c r="RFC114" s="15"/>
      <c r="RFD114" s="15"/>
      <c r="RFE114" s="15"/>
      <c r="RFF114" s="15"/>
      <c r="RFG114" s="15"/>
      <c r="RFH114" s="15"/>
      <c r="RFI114" s="15"/>
      <c r="RFJ114" s="15"/>
      <c r="RFK114" s="15"/>
      <c r="RFL114" s="15"/>
      <c r="RFM114" s="15"/>
      <c r="RFN114" s="15"/>
      <c r="RFO114" s="15"/>
      <c r="RFP114" s="15"/>
      <c r="RFQ114" s="15"/>
      <c r="RFR114" s="14"/>
      <c r="RFS114" s="15"/>
      <c r="RFT114" s="15"/>
      <c r="RFU114" s="15"/>
      <c r="RFV114" s="15"/>
      <c r="RFW114" s="15"/>
      <c r="RFX114" s="15"/>
      <c r="RFY114" s="15"/>
      <c r="RFZ114" s="15"/>
      <c r="RGA114" s="15"/>
      <c r="RGB114" s="15"/>
      <c r="RGC114" s="15"/>
      <c r="RGD114" s="15"/>
      <c r="RGE114" s="15"/>
      <c r="RGF114" s="15"/>
      <c r="RGG114" s="15"/>
      <c r="RGH114" s="15"/>
      <c r="RGI114" s="15"/>
      <c r="RGJ114" s="15"/>
      <c r="RGK114" s="15"/>
      <c r="RGL114" s="15"/>
      <c r="RGM114" s="15"/>
      <c r="RGN114" s="14"/>
      <c r="RGO114" s="15"/>
      <c r="RGP114" s="15"/>
      <c r="RGQ114" s="15"/>
      <c r="RGR114" s="15"/>
      <c r="RGS114" s="15"/>
      <c r="RGT114" s="15"/>
      <c r="RGU114" s="15"/>
      <c r="RGV114" s="15"/>
      <c r="RGW114" s="15"/>
      <c r="RGX114" s="15"/>
      <c r="RGY114" s="15"/>
      <c r="RGZ114" s="15"/>
      <c r="RHA114" s="15"/>
      <c r="RHB114" s="15"/>
      <c r="RHC114" s="15"/>
      <c r="RHD114" s="15"/>
      <c r="RHE114" s="15"/>
      <c r="RHF114" s="15"/>
      <c r="RHG114" s="15"/>
      <c r="RHH114" s="15"/>
      <c r="RHI114" s="15"/>
      <c r="RHJ114" s="14"/>
      <c r="RHK114" s="15"/>
      <c r="RHL114" s="15"/>
      <c r="RHM114" s="15"/>
      <c r="RHN114" s="15"/>
      <c r="RHO114" s="15"/>
      <c r="RHP114" s="15"/>
      <c r="RHQ114" s="15"/>
      <c r="RHR114" s="15"/>
      <c r="RHS114" s="15"/>
      <c r="RHT114" s="15"/>
      <c r="RHU114" s="15"/>
      <c r="RHV114" s="15"/>
      <c r="RHW114" s="15"/>
      <c r="RHX114" s="15"/>
      <c r="RHY114" s="15"/>
      <c r="RHZ114" s="15"/>
      <c r="RIA114" s="15"/>
      <c r="RIB114" s="15"/>
      <c r="RIC114" s="15"/>
      <c r="RID114" s="15"/>
      <c r="RIE114" s="15"/>
      <c r="RIF114" s="14"/>
      <c r="RIG114" s="15"/>
      <c r="RIH114" s="15"/>
      <c r="RII114" s="15"/>
      <c r="RIJ114" s="15"/>
      <c r="RIK114" s="15"/>
      <c r="RIL114" s="15"/>
      <c r="RIM114" s="15"/>
      <c r="RIN114" s="15"/>
      <c r="RIO114" s="15"/>
      <c r="RIP114" s="15"/>
      <c r="RIQ114" s="15"/>
      <c r="RIR114" s="15"/>
      <c r="RIS114" s="15"/>
      <c r="RIT114" s="15"/>
      <c r="RIU114" s="15"/>
      <c r="RIV114" s="15"/>
      <c r="RIW114" s="15"/>
      <c r="RIX114" s="15"/>
      <c r="RIY114" s="15"/>
      <c r="RIZ114" s="15"/>
      <c r="RJA114" s="15"/>
      <c r="RJB114" s="14"/>
      <c r="RJC114" s="15"/>
      <c r="RJD114" s="15"/>
      <c r="RJE114" s="15"/>
      <c r="RJF114" s="15"/>
      <c r="RJG114" s="15"/>
      <c r="RJH114" s="15"/>
      <c r="RJI114" s="15"/>
      <c r="RJJ114" s="15"/>
      <c r="RJK114" s="15"/>
      <c r="RJL114" s="15"/>
      <c r="RJM114" s="15"/>
      <c r="RJN114" s="15"/>
      <c r="RJO114" s="15"/>
      <c r="RJP114" s="15"/>
      <c r="RJQ114" s="15"/>
      <c r="RJR114" s="15"/>
      <c r="RJS114" s="15"/>
      <c r="RJT114" s="15"/>
      <c r="RJU114" s="15"/>
      <c r="RJV114" s="15"/>
      <c r="RJW114" s="15"/>
      <c r="RJX114" s="14"/>
      <c r="RJY114" s="15"/>
      <c r="RJZ114" s="15"/>
      <c r="RKA114" s="15"/>
      <c r="RKB114" s="15"/>
      <c r="RKC114" s="15"/>
      <c r="RKD114" s="15"/>
      <c r="RKE114" s="15"/>
      <c r="RKF114" s="15"/>
      <c r="RKG114" s="15"/>
      <c r="RKH114" s="15"/>
      <c r="RKI114" s="15"/>
      <c r="RKJ114" s="15"/>
      <c r="RKK114" s="15"/>
      <c r="RKL114" s="15"/>
      <c r="RKM114" s="15"/>
      <c r="RKN114" s="15"/>
      <c r="RKO114" s="15"/>
      <c r="RKP114" s="15"/>
      <c r="RKQ114" s="15"/>
      <c r="RKR114" s="15"/>
      <c r="RKS114" s="15"/>
      <c r="RKT114" s="14"/>
      <c r="RKU114" s="15"/>
      <c r="RKV114" s="15"/>
      <c r="RKW114" s="15"/>
      <c r="RKX114" s="15"/>
      <c r="RKY114" s="15"/>
      <c r="RKZ114" s="15"/>
      <c r="RLA114" s="15"/>
      <c r="RLB114" s="15"/>
      <c r="RLC114" s="15"/>
      <c r="RLD114" s="15"/>
      <c r="RLE114" s="15"/>
      <c r="RLF114" s="15"/>
      <c r="RLG114" s="15"/>
      <c r="RLH114" s="15"/>
      <c r="RLI114" s="15"/>
      <c r="RLJ114" s="15"/>
      <c r="RLK114" s="15"/>
      <c r="RLL114" s="15"/>
      <c r="RLM114" s="15"/>
      <c r="RLN114" s="15"/>
      <c r="RLO114" s="15"/>
      <c r="RLP114" s="14"/>
      <c r="RLQ114" s="15"/>
      <c r="RLR114" s="15"/>
      <c r="RLS114" s="15"/>
      <c r="RLT114" s="15"/>
      <c r="RLU114" s="15"/>
      <c r="RLV114" s="15"/>
      <c r="RLW114" s="15"/>
      <c r="RLX114" s="15"/>
      <c r="RLY114" s="15"/>
      <c r="RLZ114" s="15"/>
      <c r="RMA114" s="15"/>
      <c r="RMB114" s="15"/>
      <c r="RMC114" s="15"/>
      <c r="RMD114" s="15"/>
      <c r="RME114" s="15"/>
      <c r="RMF114" s="15"/>
      <c r="RMG114" s="15"/>
      <c r="RMH114" s="15"/>
      <c r="RMI114" s="15"/>
      <c r="RMJ114" s="15"/>
      <c r="RMK114" s="15"/>
      <c r="RML114" s="14"/>
      <c r="RMM114" s="15"/>
      <c r="RMN114" s="15"/>
      <c r="RMO114" s="15"/>
      <c r="RMP114" s="15"/>
      <c r="RMQ114" s="15"/>
      <c r="RMR114" s="15"/>
      <c r="RMS114" s="15"/>
      <c r="RMT114" s="15"/>
      <c r="RMU114" s="15"/>
      <c r="RMV114" s="15"/>
      <c r="RMW114" s="15"/>
      <c r="RMX114" s="15"/>
      <c r="RMY114" s="15"/>
      <c r="RMZ114" s="15"/>
      <c r="RNA114" s="15"/>
      <c r="RNB114" s="15"/>
      <c r="RNC114" s="15"/>
      <c r="RND114" s="15"/>
      <c r="RNE114" s="15"/>
      <c r="RNF114" s="15"/>
      <c r="RNG114" s="15"/>
      <c r="RNH114" s="14"/>
      <c r="RNI114" s="15"/>
      <c r="RNJ114" s="15"/>
      <c r="RNK114" s="15"/>
      <c r="RNL114" s="15"/>
      <c r="RNM114" s="15"/>
      <c r="RNN114" s="15"/>
      <c r="RNO114" s="15"/>
      <c r="RNP114" s="15"/>
      <c r="RNQ114" s="15"/>
      <c r="RNR114" s="15"/>
      <c r="RNS114" s="15"/>
      <c r="RNT114" s="15"/>
      <c r="RNU114" s="15"/>
      <c r="RNV114" s="15"/>
      <c r="RNW114" s="15"/>
      <c r="RNX114" s="15"/>
      <c r="RNY114" s="15"/>
      <c r="RNZ114" s="15"/>
      <c r="ROA114" s="15"/>
      <c r="ROB114" s="15"/>
      <c r="ROC114" s="15"/>
      <c r="ROD114" s="14"/>
      <c r="ROE114" s="15"/>
      <c r="ROF114" s="15"/>
      <c r="ROG114" s="15"/>
      <c r="ROH114" s="15"/>
      <c r="ROI114" s="15"/>
      <c r="ROJ114" s="15"/>
      <c r="ROK114" s="15"/>
      <c r="ROL114" s="15"/>
      <c r="ROM114" s="15"/>
      <c r="RON114" s="15"/>
      <c r="ROO114" s="15"/>
      <c r="ROP114" s="15"/>
      <c r="ROQ114" s="15"/>
      <c r="ROR114" s="15"/>
      <c r="ROS114" s="15"/>
      <c r="ROT114" s="15"/>
      <c r="ROU114" s="15"/>
      <c r="ROV114" s="15"/>
      <c r="ROW114" s="15"/>
      <c r="ROX114" s="15"/>
      <c r="ROY114" s="15"/>
      <c r="ROZ114" s="14"/>
      <c r="RPA114" s="15"/>
      <c r="RPB114" s="15"/>
      <c r="RPC114" s="15"/>
      <c r="RPD114" s="15"/>
      <c r="RPE114" s="15"/>
      <c r="RPF114" s="15"/>
      <c r="RPG114" s="15"/>
      <c r="RPH114" s="15"/>
      <c r="RPI114" s="15"/>
      <c r="RPJ114" s="15"/>
      <c r="RPK114" s="15"/>
      <c r="RPL114" s="15"/>
      <c r="RPM114" s="15"/>
      <c r="RPN114" s="15"/>
      <c r="RPO114" s="15"/>
      <c r="RPP114" s="15"/>
      <c r="RPQ114" s="15"/>
      <c r="RPR114" s="15"/>
      <c r="RPS114" s="15"/>
      <c r="RPT114" s="15"/>
      <c r="RPU114" s="15"/>
      <c r="RPV114" s="14"/>
      <c r="RPW114" s="15"/>
      <c r="RPX114" s="15"/>
      <c r="RPY114" s="15"/>
      <c r="RPZ114" s="15"/>
      <c r="RQA114" s="15"/>
      <c r="RQB114" s="15"/>
      <c r="RQC114" s="15"/>
      <c r="RQD114" s="15"/>
      <c r="RQE114" s="15"/>
      <c r="RQF114" s="15"/>
      <c r="RQG114" s="15"/>
      <c r="RQH114" s="15"/>
      <c r="RQI114" s="15"/>
      <c r="RQJ114" s="15"/>
      <c r="RQK114" s="15"/>
      <c r="RQL114" s="15"/>
      <c r="RQM114" s="15"/>
      <c r="RQN114" s="15"/>
      <c r="RQO114" s="15"/>
      <c r="RQP114" s="15"/>
      <c r="RQQ114" s="15"/>
      <c r="RQR114" s="14"/>
      <c r="RQS114" s="15"/>
      <c r="RQT114" s="15"/>
      <c r="RQU114" s="15"/>
      <c r="RQV114" s="15"/>
      <c r="RQW114" s="15"/>
      <c r="RQX114" s="15"/>
      <c r="RQY114" s="15"/>
      <c r="RQZ114" s="15"/>
      <c r="RRA114" s="15"/>
      <c r="RRB114" s="15"/>
      <c r="RRC114" s="15"/>
      <c r="RRD114" s="15"/>
      <c r="RRE114" s="15"/>
      <c r="RRF114" s="15"/>
      <c r="RRG114" s="15"/>
      <c r="RRH114" s="15"/>
      <c r="RRI114" s="15"/>
      <c r="RRJ114" s="15"/>
      <c r="RRK114" s="15"/>
      <c r="RRL114" s="15"/>
      <c r="RRM114" s="15"/>
      <c r="RRN114" s="14"/>
      <c r="RRO114" s="15"/>
      <c r="RRP114" s="15"/>
      <c r="RRQ114" s="15"/>
      <c r="RRR114" s="15"/>
      <c r="RRS114" s="15"/>
      <c r="RRT114" s="15"/>
      <c r="RRU114" s="15"/>
      <c r="RRV114" s="15"/>
      <c r="RRW114" s="15"/>
      <c r="RRX114" s="15"/>
      <c r="RRY114" s="15"/>
      <c r="RRZ114" s="15"/>
      <c r="RSA114" s="15"/>
      <c r="RSB114" s="15"/>
      <c r="RSC114" s="15"/>
      <c r="RSD114" s="15"/>
      <c r="RSE114" s="15"/>
      <c r="RSF114" s="15"/>
      <c r="RSG114" s="15"/>
      <c r="RSH114" s="15"/>
      <c r="RSI114" s="15"/>
      <c r="RSJ114" s="14"/>
      <c r="RSK114" s="15"/>
      <c r="RSL114" s="15"/>
      <c r="RSM114" s="15"/>
      <c r="RSN114" s="15"/>
      <c r="RSO114" s="15"/>
      <c r="RSP114" s="15"/>
      <c r="RSQ114" s="15"/>
      <c r="RSR114" s="15"/>
      <c r="RSS114" s="15"/>
      <c r="RST114" s="15"/>
      <c r="RSU114" s="15"/>
      <c r="RSV114" s="15"/>
      <c r="RSW114" s="15"/>
      <c r="RSX114" s="15"/>
      <c r="RSY114" s="15"/>
      <c r="RSZ114" s="15"/>
      <c r="RTA114" s="15"/>
      <c r="RTB114" s="15"/>
      <c r="RTC114" s="15"/>
      <c r="RTD114" s="15"/>
      <c r="RTE114" s="15"/>
      <c r="RTF114" s="14"/>
      <c r="RTG114" s="15"/>
      <c r="RTH114" s="15"/>
      <c r="RTI114" s="15"/>
      <c r="RTJ114" s="15"/>
      <c r="RTK114" s="15"/>
      <c r="RTL114" s="15"/>
      <c r="RTM114" s="15"/>
      <c r="RTN114" s="15"/>
      <c r="RTO114" s="15"/>
      <c r="RTP114" s="15"/>
      <c r="RTQ114" s="15"/>
      <c r="RTR114" s="15"/>
      <c r="RTS114" s="15"/>
      <c r="RTT114" s="15"/>
      <c r="RTU114" s="15"/>
      <c r="RTV114" s="15"/>
      <c r="RTW114" s="15"/>
      <c r="RTX114" s="15"/>
      <c r="RTY114" s="15"/>
      <c r="RTZ114" s="15"/>
      <c r="RUA114" s="15"/>
      <c r="RUB114" s="14"/>
      <c r="RUC114" s="15"/>
      <c r="RUD114" s="15"/>
      <c r="RUE114" s="15"/>
      <c r="RUF114" s="15"/>
      <c r="RUG114" s="15"/>
      <c r="RUH114" s="15"/>
      <c r="RUI114" s="15"/>
      <c r="RUJ114" s="15"/>
      <c r="RUK114" s="15"/>
      <c r="RUL114" s="15"/>
      <c r="RUM114" s="15"/>
      <c r="RUN114" s="15"/>
      <c r="RUO114" s="15"/>
      <c r="RUP114" s="15"/>
      <c r="RUQ114" s="15"/>
      <c r="RUR114" s="15"/>
      <c r="RUS114" s="15"/>
      <c r="RUT114" s="15"/>
      <c r="RUU114" s="15"/>
      <c r="RUV114" s="15"/>
      <c r="RUW114" s="15"/>
      <c r="RUX114" s="14"/>
      <c r="RUY114" s="15"/>
      <c r="RUZ114" s="15"/>
      <c r="RVA114" s="15"/>
      <c r="RVB114" s="15"/>
      <c r="RVC114" s="15"/>
      <c r="RVD114" s="15"/>
      <c r="RVE114" s="15"/>
      <c r="RVF114" s="15"/>
      <c r="RVG114" s="15"/>
      <c r="RVH114" s="15"/>
      <c r="RVI114" s="15"/>
      <c r="RVJ114" s="15"/>
      <c r="RVK114" s="15"/>
      <c r="RVL114" s="15"/>
      <c r="RVM114" s="15"/>
      <c r="RVN114" s="15"/>
      <c r="RVO114" s="15"/>
      <c r="RVP114" s="15"/>
      <c r="RVQ114" s="15"/>
      <c r="RVR114" s="15"/>
      <c r="RVS114" s="15"/>
      <c r="RVT114" s="14"/>
      <c r="RVU114" s="15"/>
      <c r="RVV114" s="15"/>
      <c r="RVW114" s="15"/>
      <c r="RVX114" s="15"/>
      <c r="RVY114" s="15"/>
      <c r="RVZ114" s="15"/>
      <c r="RWA114" s="15"/>
      <c r="RWB114" s="15"/>
      <c r="RWC114" s="15"/>
      <c r="RWD114" s="15"/>
      <c r="RWE114" s="15"/>
      <c r="RWF114" s="15"/>
      <c r="RWG114" s="15"/>
      <c r="RWH114" s="15"/>
      <c r="RWI114" s="15"/>
      <c r="RWJ114" s="15"/>
      <c r="RWK114" s="15"/>
      <c r="RWL114" s="15"/>
      <c r="RWM114" s="15"/>
      <c r="RWN114" s="15"/>
      <c r="RWO114" s="15"/>
      <c r="RWP114" s="14"/>
      <c r="RWQ114" s="15"/>
      <c r="RWR114" s="15"/>
      <c r="RWS114" s="15"/>
      <c r="RWT114" s="15"/>
      <c r="RWU114" s="15"/>
      <c r="RWV114" s="15"/>
      <c r="RWW114" s="15"/>
      <c r="RWX114" s="15"/>
      <c r="RWY114" s="15"/>
      <c r="RWZ114" s="15"/>
      <c r="RXA114" s="15"/>
      <c r="RXB114" s="15"/>
      <c r="RXC114" s="15"/>
      <c r="RXD114" s="15"/>
      <c r="RXE114" s="15"/>
      <c r="RXF114" s="15"/>
      <c r="RXG114" s="15"/>
      <c r="RXH114" s="15"/>
      <c r="RXI114" s="15"/>
      <c r="RXJ114" s="15"/>
      <c r="RXK114" s="15"/>
      <c r="RXL114" s="14"/>
      <c r="RXM114" s="15"/>
      <c r="RXN114" s="15"/>
      <c r="RXO114" s="15"/>
      <c r="RXP114" s="15"/>
      <c r="RXQ114" s="15"/>
      <c r="RXR114" s="15"/>
      <c r="RXS114" s="15"/>
      <c r="RXT114" s="15"/>
      <c r="RXU114" s="15"/>
      <c r="RXV114" s="15"/>
      <c r="RXW114" s="15"/>
      <c r="RXX114" s="15"/>
      <c r="RXY114" s="15"/>
      <c r="RXZ114" s="15"/>
      <c r="RYA114" s="15"/>
      <c r="RYB114" s="15"/>
      <c r="RYC114" s="15"/>
      <c r="RYD114" s="15"/>
      <c r="RYE114" s="15"/>
      <c r="RYF114" s="15"/>
      <c r="RYG114" s="15"/>
      <c r="RYH114" s="14"/>
      <c r="RYI114" s="15"/>
      <c r="RYJ114" s="15"/>
      <c r="RYK114" s="15"/>
      <c r="RYL114" s="15"/>
      <c r="RYM114" s="15"/>
      <c r="RYN114" s="15"/>
      <c r="RYO114" s="15"/>
      <c r="RYP114" s="15"/>
      <c r="RYQ114" s="15"/>
      <c r="RYR114" s="15"/>
      <c r="RYS114" s="15"/>
      <c r="RYT114" s="15"/>
      <c r="RYU114" s="15"/>
      <c r="RYV114" s="15"/>
      <c r="RYW114" s="15"/>
      <c r="RYX114" s="15"/>
      <c r="RYY114" s="15"/>
      <c r="RYZ114" s="15"/>
      <c r="RZA114" s="15"/>
      <c r="RZB114" s="15"/>
      <c r="RZC114" s="15"/>
      <c r="RZD114" s="14"/>
      <c r="RZE114" s="15"/>
      <c r="RZF114" s="15"/>
      <c r="RZG114" s="15"/>
      <c r="RZH114" s="15"/>
      <c r="RZI114" s="15"/>
      <c r="RZJ114" s="15"/>
      <c r="RZK114" s="15"/>
      <c r="RZL114" s="15"/>
      <c r="RZM114" s="15"/>
      <c r="RZN114" s="15"/>
      <c r="RZO114" s="15"/>
      <c r="RZP114" s="15"/>
      <c r="RZQ114" s="15"/>
      <c r="RZR114" s="15"/>
      <c r="RZS114" s="15"/>
      <c r="RZT114" s="15"/>
      <c r="RZU114" s="15"/>
      <c r="RZV114" s="15"/>
      <c r="RZW114" s="15"/>
      <c r="RZX114" s="15"/>
      <c r="RZY114" s="15"/>
      <c r="RZZ114" s="14"/>
      <c r="SAA114" s="15"/>
      <c r="SAB114" s="15"/>
      <c r="SAC114" s="15"/>
      <c r="SAD114" s="15"/>
      <c r="SAE114" s="15"/>
      <c r="SAF114" s="15"/>
      <c r="SAG114" s="15"/>
      <c r="SAH114" s="15"/>
      <c r="SAI114" s="15"/>
      <c r="SAJ114" s="15"/>
      <c r="SAK114" s="15"/>
      <c r="SAL114" s="15"/>
      <c r="SAM114" s="15"/>
      <c r="SAN114" s="15"/>
      <c r="SAO114" s="15"/>
      <c r="SAP114" s="15"/>
      <c r="SAQ114" s="15"/>
      <c r="SAR114" s="15"/>
      <c r="SAS114" s="15"/>
      <c r="SAT114" s="15"/>
      <c r="SAU114" s="15"/>
      <c r="SAV114" s="14"/>
      <c r="SAW114" s="15"/>
      <c r="SAX114" s="15"/>
      <c r="SAY114" s="15"/>
      <c r="SAZ114" s="15"/>
      <c r="SBA114" s="15"/>
      <c r="SBB114" s="15"/>
      <c r="SBC114" s="15"/>
      <c r="SBD114" s="15"/>
      <c r="SBE114" s="15"/>
      <c r="SBF114" s="15"/>
      <c r="SBG114" s="15"/>
      <c r="SBH114" s="15"/>
      <c r="SBI114" s="15"/>
      <c r="SBJ114" s="15"/>
      <c r="SBK114" s="15"/>
      <c r="SBL114" s="15"/>
      <c r="SBM114" s="15"/>
      <c r="SBN114" s="15"/>
      <c r="SBO114" s="15"/>
      <c r="SBP114" s="15"/>
      <c r="SBQ114" s="15"/>
      <c r="SBR114" s="14"/>
      <c r="SBS114" s="15"/>
      <c r="SBT114" s="15"/>
      <c r="SBU114" s="15"/>
      <c r="SBV114" s="15"/>
      <c r="SBW114" s="15"/>
      <c r="SBX114" s="15"/>
      <c r="SBY114" s="15"/>
      <c r="SBZ114" s="15"/>
      <c r="SCA114" s="15"/>
      <c r="SCB114" s="15"/>
      <c r="SCC114" s="15"/>
      <c r="SCD114" s="15"/>
      <c r="SCE114" s="15"/>
      <c r="SCF114" s="15"/>
      <c r="SCG114" s="15"/>
      <c r="SCH114" s="15"/>
      <c r="SCI114" s="15"/>
      <c r="SCJ114" s="15"/>
      <c r="SCK114" s="15"/>
      <c r="SCL114" s="15"/>
      <c r="SCM114" s="15"/>
      <c r="SCN114" s="14"/>
      <c r="SCO114" s="15"/>
      <c r="SCP114" s="15"/>
      <c r="SCQ114" s="15"/>
      <c r="SCR114" s="15"/>
      <c r="SCS114" s="15"/>
      <c r="SCT114" s="15"/>
      <c r="SCU114" s="15"/>
      <c r="SCV114" s="15"/>
      <c r="SCW114" s="15"/>
      <c r="SCX114" s="15"/>
      <c r="SCY114" s="15"/>
      <c r="SCZ114" s="15"/>
      <c r="SDA114" s="15"/>
      <c r="SDB114" s="15"/>
      <c r="SDC114" s="15"/>
      <c r="SDD114" s="15"/>
      <c r="SDE114" s="15"/>
      <c r="SDF114" s="15"/>
      <c r="SDG114" s="15"/>
      <c r="SDH114" s="15"/>
      <c r="SDI114" s="15"/>
      <c r="SDJ114" s="14"/>
      <c r="SDK114" s="15"/>
      <c r="SDL114" s="15"/>
      <c r="SDM114" s="15"/>
      <c r="SDN114" s="15"/>
      <c r="SDO114" s="15"/>
      <c r="SDP114" s="15"/>
      <c r="SDQ114" s="15"/>
      <c r="SDR114" s="15"/>
      <c r="SDS114" s="15"/>
      <c r="SDT114" s="15"/>
      <c r="SDU114" s="15"/>
      <c r="SDV114" s="15"/>
      <c r="SDW114" s="15"/>
      <c r="SDX114" s="15"/>
      <c r="SDY114" s="15"/>
      <c r="SDZ114" s="15"/>
      <c r="SEA114" s="15"/>
      <c r="SEB114" s="15"/>
      <c r="SEC114" s="15"/>
      <c r="SED114" s="15"/>
      <c r="SEE114" s="15"/>
      <c r="SEF114" s="14"/>
      <c r="SEG114" s="15"/>
      <c r="SEH114" s="15"/>
      <c r="SEI114" s="15"/>
      <c r="SEJ114" s="15"/>
      <c r="SEK114" s="15"/>
      <c r="SEL114" s="15"/>
      <c r="SEM114" s="15"/>
      <c r="SEN114" s="15"/>
      <c r="SEO114" s="15"/>
      <c r="SEP114" s="15"/>
      <c r="SEQ114" s="15"/>
      <c r="SER114" s="15"/>
      <c r="SES114" s="15"/>
      <c r="SET114" s="15"/>
      <c r="SEU114" s="15"/>
      <c r="SEV114" s="15"/>
      <c r="SEW114" s="15"/>
      <c r="SEX114" s="15"/>
      <c r="SEY114" s="15"/>
      <c r="SEZ114" s="15"/>
      <c r="SFA114" s="15"/>
      <c r="SFB114" s="14"/>
      <c r="SFC114" s="15"/>
      <c r="SFD114" s="15"/>
      <c r="SFE114" s="15"/>
      <c r="SFF114" s="15"/>
      <c r="SFG114" s="15"/>
      <c r="SFH114" s="15"/>
      <c r="SFI114" s="15"/>
      <c r="SFJ114" s="15"/>
      <c r="SFK114" s="15"/>
      <c r="SFL114" s="15"/>
      <c r="SFM114" s="15"/>
      <c r="SFN114" s="15"/>
      <c r="SFO114" s="15"/>
      <c r="SFP114" s="15"/>
      <c r="SFQ114" s="15"/>
      <c r="SFR114" s="15"/>
      <c r="SFS114" s="15"/>
      <c r="SFT114" s="15"/>
      <c r="SFU114" s="15"/>
      <c r="SFV114" s="15"/>
      <c r="SFW114" s="15"/>
      <c r="SFX114" s="14"/>
      <c r="SFY114" s="15"/>
      <c r="SFZ114" s="15"/>
      <c r="SGA114" s="15"/>
      <c r="SGB114" s="15"/>
      <c r="SGC114" s="15"/>
      <c r="SGD114" s="15"/>
      <c r="SGE114" s="15"/>
      <c r="SGF114" s="15"/>
      <c r="SGG114" s="15"/>
      <c r="SGH114" s="15"/>
      <c r="SGI114" s="15"/>
      <c r="SGJ114" s="15"/>
      <c r="SGK114" s="15"/>
      <c r="SGL114" s="15"/>
      <c r="SGM114" s="15"/>
      <c r="SGN114" s="15"/>
      <c r="SGO114" s="15"/>
      <c r="SGP114" s="15"/>
      <c r="SGQ114" s="15"/>
      <c r="SGR114" s="15"/>
      <c r="SGS114" s="15"/>
      <c r="SGT114" s="14"/>
      <c r="SGU114" s="15"/>
      <c r="SGV114" s="15"/>
      <c r="SGW114" s="15"/>
      <c r="SGX114" s="15"/>
      <c r="SGY114" s="15"/>
      <c r="SGZ114" s="15"/>
      <c r="SHA114" s="15"/>
      <c r="SHB114" s="15"/>
      <c r="SHC114" s="15"/>
      <c r="SHD114" s="15"/>
      <c r="SHE114" s="15"/>
      <c r="SHF114" s="15"/>
      <c r="SHG114" s="15"/>
      <c r="SHH114" s="15"/>
      <c r="SHI114" s="15"/>
      <c r="SHJ114" s="15"/>
      <c r="SHK114" s="15"/>
      <c r="SHL114" s="15"/>
      <c r="SHM114" s="15"/>
      <c r="SHN114" s="15"/>
      <c r="SHO114" s="15"/>
      <c r="SHP114" s="14"/>
      <c r="SHQ114" s="15"/>
      <c r="SHR114" s="15"/>
      <c r="SHS114" s="15"/>
      <c r="SHT114" s="15"/>
      <c r="SHU114" s="15"/>
      <c r="SHV114" s="15"/>
      <c r="SHW114" s="15"/>
      <c r="SHX114" s="15"/>
      <c r="SHY114" s="15"/>
      <c r="SHZ114" s="15"/>
      <c r="SIA114" s="15"/>
      <c r="SIB114" s="15"/>
      <c r="SIC114" s="15"/>
      <c r="SID114" s="15"/>
      <c r="SIE114" s="15"/>
      <c r="SIF114" s="15"/>
      <c r="SIG114" s="15"/>
      <c r="SIH114" s="15"/>
      <c r="SII114" s="15"/>
      <c r="SIJ114" s="15"/>
      <c r="SIK114" s="15"/>
      <c r="SIL114" s="14"/>
      <c r="SIM114" s="15"/>
      <c r="SIN114" s="15"/>
      <c r="SIO114" s="15"/>
      <c r="SIP114" s="15"/>
      <c r="SIQ114" s="15"/>
      <c r="SIR114" s="15"/>
      <c r="SIS114" s="15"/>
      <c r="SIT114" s="15"/>
      <c r="SIU114" s="15"/>
      <c r="SIV114" s="15"/>
      <c r="SIW114" s="15"/>
      <c r="SIX114" s="15"/>
      <c r="SIY114" s="15"/>
      <c r="SIZ114" s="15"/>
      <c r="SJA114" s="15"/>
      <c r="SJB114" s="15"/>
      <c r="SJC114" s="15"/>
      <c r="SJD114" s="15"/>
      <c r="SJE114" s="15"/>
      <c r="SJF114" s="15"/>
      <c r="SJG114" s="15"/>
      <c r="SJH114" s="14"/>
      <c r="SJI114" s="15"/>
      <c r="SJJ114" s="15"/>
      <c r="SJK114" s="15"/>
      <c r="SJL114" s="15"/>
      <c r="SJM114" s="15"/>
      <c r="SJN114" s="15"/>
      <c r="SJO114" s="15"/>
      <c r="SJP114" s="15"/>
      <c r="SJQ114" s="15"/>
      <c r="SJR114" s="15"/>
      <c r="SJS114" s="15"/>
      <c r="SJT114" s="15"/>
      <c r="SJU114" s="15"/>
      <c r="SJV114" s="15"/>
      <c r="SJW114" s="15"/>
      <c r="SJX114" s="15"/>
      <c r="SJY114" s="15"/>
      <c r="SJZ114" s="15"/>
      <c r="SKA114" s="15"/>
      <c r="SKB114" s="15"/>
      <c r="SKC114" s="15"/>
      <c r="SKD114" s="14"/>
      <c r="SKE114" s="15"/>
      <c r="SKF114" s="15"/>
      <c r="SKG114" s="15"/>
      <c r="SKH114" s="15"/>
      <c r="SKI114" s="15"/>
      <c r="SKJ114" s="15"/>
      <c r="SKK114" s="15"/>
      <c r="SKL114" s="15"/>
      <c r="SKM114" s="15"/>
      <c r="SKN114" s="15"/>
      <c r="SKO114" s="15"/>
      <c r="SKP114" s="15"/>
      <c r="SKQ114" s="15"/>
      <c r="SKR114" s="15"/>
      <c r="SKS114" s="15"/>
      <c r="SKT114" s="15"/>
      <c r="SKU114" s="15"/>
      <c r="SKV114" s="15"/>
      <c r="SKW114" s="15"/>
      <c r="SKX114" s="15"/>
      <c r="SKY114" s="15"/>
      <c r="SKZ114" s="14"/>
      <c r="SLA114" s="15"/>
      <c r="SLB114" s="15"/>
      <c r="SLC114" s="15"/>
      <c r="SLD114" s="15"/>
      <c r="SLE114" s="15"/>
      <c r="SLF114" s="15"/>
      <c r="SLG114" s="15"/>
      <c r="SLH114" s="15"/>
      <c r="SLI114" s="15"/>
      <c r="SLJ114" s="15"/>
      <c r="SLK114" s="15"/>
      <c r="SLL114" s="15"/>
      <c r="SLM114" s="15"/>
      <c r="SLN114" s="15"/>
      <c r="SLO114" s="15"/>
      <c r="SLP114" s="15"/>
      <c r="SLQ114" s="15"/>
      <c r="SLR114" s="15"/>
      <c r="SLS114" s="15"/>
      <c r="SLT114" s="15"/>
      <c r="SLU114" s="15"/>
      <c r="SLV114" s="14"/>
      <c r="SLW114" s="15"/>
      <c r="SLX114" s="15"/>
      <c r="SLY114" s="15"/>
      <c r="SLZ114" s="15"/>
      <c r="SMA114" s="15"/>
      <c r="SMB114" s="15"/>
      <c r="SMC114" s="15"/>
      <c r="SMD114" s="15"/>
      <c r="SME114" s="15"/>
      <c r="SMF114" s="15"/>
      <c r="SMG114" s="15"/>
      <c r="SMH114" s="15"/>
      <c r="SMI114" s="15"/>
      <c r="SMJ114" s="15"/>
      <c r="SMK114" s="15"/>
      <c r="SML114" s="15"/>
      <c r="SMM114" s="15"/>
      <c r="SMN114" s="15"/>
      <c r="SMO114" s="15"/>
      <c r="SMP114" s="15"/>
      <c r="SMQ114" s="15"/>
      <c r="SMR114" s="14"/>
      <c r="SMS114" s="15"/>
      <c r="SMT114" s="15"/>
      <c r="SMU114" s="15"/>
      <c r="SMV114" s="15"/>
      <c r="SMW114" s="15"/>
      <c r="SMX114" s="15"/>
      <c r="SMY114" s="15"/>
      <c r="SMZ114" s="15"/>
      <c r="SNA114" s="15"/>
      <c r="SNB114" s="15"/>
      <c r="SNC114" s="15"/>
      <c r="SND114" s="15"/>
      <c r="SNE114" s="15"/>
      <c r="SNF114" s="15"/>
      <c r="SNG114" s="15"/>
      <c r="SNH114" s="15"/>
      <c r="SNI114" s="15"/>
      <c r="SNJ114" s="15"/>
      <c r="SNK114" s="15"/>
      <c r="SNL114" s="15"/>
      <c r="SNM114" s="15"/>
      <c r="SNN114" s="14"/>
      <c r="SNO114" s="15"/>
      <c r="SNP114" s="15"/>
      <c r="SNQ114" s="15"/>
      <c r="SNR114" s="15"/>
      <c r="SNS114" s="15"/>
      <c r="SNT114" s="15"/>
      <c r="SNU114" s="15"/>
      <c r="SNV114" s="15"/>
      <c r="SNW114" s="15"/>
      <c r="SNX114" s="15"/>
      <c r="SNY114" s="15"/>
      <c r="SNZ114" s="15"/>
      <c r="SOA114" s="15"/>
      <c r="SOB114" s="15"/>
      <c r="SOC114" s="15"/>
      <c r="SOD114" s="15"/>
      <c r="SOE114" s="15"/>
      <c r="SOF114" s="15"/>
      <c r="SOG114" s="15"/>
      <c r="SOH114" s="15"/>
      <c r="SOI114" s="15"/>
      <c r="SOJ114" s="14"/>
      <c r="SOK114" s="15"/>
      <c r="SOL114" s="15"/>
      <c r="SOM114" s="15"/>
      <c r="SON114" s="15"/>
      <c r="SOO114" s="15"/>
      <c r="SOP114" s="15"/>
      <c r="SOQ114" s="15"/>
      <c r="SOR114" s="15"/>
      <c r="SOS114" s="15"/>
      <c r="SOT114" s="15"/>
      <c r="SOU114" s="15"/>
      <c r="SOV114" s="15"/>
      <c r="SOW114" s="15"/>
      <c r="SOX114" s="15"/>
      <c r="SOY114" s="15"/>
      <c r="SOZ114" s="15"/>
      <c r="SPA114" s="15"/>
      <c r="SPB114" s="15"/>
      <c r="SPC114" s="15"/>
      <c r="SPD114" s="15"/>
      <c r="SPE114" s="15"/>
      <c r="SPF114" s="14"/>
      <c r="SPG114" s="15"/>
      <c r="SPH114" s="15"/>
      <c r="SPI114" s="15"/>
      <c r="SPJ114" s="15"/>
      <c r="SPK114" s="15"/>
      <c r="SPL114" s="15"/>
      <c r="SPM114" s="15"/>
      <c r="SPN114" s="15"/>
      <c r="SPO114" s="15"/>
      <c r="SPP114" s="15"/>
      <c r="SPQ114" s="15"/>
      <c r="SPR114" s="15"/>
      <c r="SPS114" s="15"/>
      <c r="SPT114" s="15"/>
      <c r="SPU114" s="15"/>
      <c r="SPV114" s="15"/>
      <c r="SPW114" s="15"/>
      <c r="SPX114" s="15"/>
      <c r="SPY114" s="15"/>
      <c r="SPZ114" s="15"/>
      <c r="SQA114" s="15"/>
      <c r="SQB114" s="14"/>
      <c r="SQC114" s="15"/>
      <c r="SQD114" s="15"/>
      <c r="SQE114" s="15"/>
      <c r="SQF114" s="15"/>
      <c r="SQG114" s="15"/>
      <c r="SQH114" s="15"/>
      <c r="SQI114" s="15"/>
      <c r="SQJ114" s="15"/>
      <c r="SQK114" s="15"/>
      <c r="SQL114" s="15"/>
      <c r="SQM114" s="15"/>
      <c r="SQN114" s="15"/>
      <c r="SQO114" s="15"/>
      <c r="SQP114" s="15"/>
      <c r="SQQ114" s="15"/>
      <c r="SQR114" s="15"/>
      <c r="SQS114" s="15"/>
      <c r="SQT114" s="15"/>
      <c r="SQU114" s="15"/>
      <c r="SQV114" s="15"/>
      <c r="SQW114" s="15"/>
      <c r="SQX114" s="14"/>
      <c r="SQY114" s="15"/>
      <c r="SQZ114" s="15"/>
      <c r="SRA114" s="15"/>
      <c r="SRB114" s="15"/>
      <c r="SRC114" s="15"/>
      <c r="SRD114" s="15"/>
      <c r="SRE114" s="15"/>
      <c r="SRF114" s="15"/>
      <c r="SRG114" s="15"/>
      <c r="SRH114" s="15"/>
      <c r="SRI114" s="15"/>
      <c r="SRJ114" s="15"/>
      <c r="SRK114" s="15"/>
      <c r="SRL114" s="15"/>
      <c r="SRM114" s="15"/>
      <c r="SRN114" s="15"/>
      <c r="SRO114" s="15"/>
      <c r="SRP114" s="15"/>
      <c r="SRQ114" s="15"/>
      <c r="SRR114" s="15"/>
      <c r="SRS114" s="15"/>
      <c r="SRT114" s="14"/>
      <c r="SRU114" s="15"/>
      <c r="SRV114" s="15"/>
      <c r="SRW114" s="15"/>
      <c r="SRX114" s="15"/>
      <c r="SRY114" s="15"/>
      <c r="SRZ114" s="15"/>
      <c r="SSA114" s="15"/>
      <c r="SSB114" s="15"/>
      <c r="SSC114" s="15"/>
      <c r="SSD114" s="15"/>
      <c r="SSE114" s="15"/>
      <c r="SSF114" s="15"/>
      <c r="SSG114" s="15"/>
      <c r="SSH114" s="15"/>
      <c r="SSI114" s="15"/>
      <c r="SSJ114" s="15"/>
      <c r="SSK114" s="15"/>
      <c r="SSL114" s="15"/>
      <c r="SSM114" s="15"/>
      <c r="SSN114" s="15"/>
      <c r="SSO114" s="15"/>
      <c r="SSP114" s="14"/>
      <c r="SSQ114" s="15"/>
      <c r="SSR114" s="15"/>
      <c r="SSS114" s="15"/>
      <c r="SST114" s="15"/>
      <c r="SSU114" s="15"/>
      <c r="SSV114" s="15"/>
      <c r="SSW114" s="15"/>
      <c r="SSX114" s="15"/>
      <c r="SSY114" s="15"/>
      <c r="SSZ114" s="15"/>
      <c r="STA114" s="15"/>
      <c r="STB114" s="15"/>
      <c r="STC114" s="15"/>
      <c r="STD114" s="15"/>
      <c r="STE114" s="15"/>
      <c r="STF114" s="15"/>
      <c r="STG114" s="15"/>
      <c r="STH114" s="15"/>
      <c r="STI114" s="15"/>
      <c r="STJ114" s="15"/>
      <c r="STK114" s="15"/>
      <c r="STL114" s="14"/>
      <c r="STM114" s="15"/>
      <c r="STN114" s="15"/>
      <c r="STO114" s="15"/>
      <c r="STP114" s="15"/>
      <c r="STQ114" s="15"/>
      <c r="STR114" s="15"/>
      <c r="STS114" s="15"/>
      <c r="STT114" s="15"/>
      <c r="STU114" s="15"/>
      <c r="STV114" s="15"/>
      <c r="STW114" s="15"/>
      <c r="STX114" s="15"/>
      <c r="STY114" s="15"/>
      <c r="STZ114" s="15"/>
      <c r="SUA114" s="15"/>
      <c r="SUB114" s="15"/>
      <c r="SUC114" s="15"/>
      <c r="SUD114" s="15"/>
      <c r="SUE114" s="15"/>
      <c r="SUF114" s="15"/>
      <c r="SUG114" s="15"/>
      <c r="SUH114" s="14"/>
      <c r="SUI114" s="15"/>
      <c r="SUJ114" s="15"/>
      <c r="SUK114" s="15"/>
      <c r="SUL114" s="15"/>
      <c r="SUM114" s="15"/>
      <c r="SUN114" s="15"/>
      <c r="SUO114" s="15"/>
      <c r="SUP114" s="15"/>
      <c r="SUQ114" s="15"/>
      <c r="SUR114" s="15"/>
      <c r="SUS114" s="15"/>
      <c r="SUT114" s="15"/>
      <c r="SUU114" s="15"/>
      <c r="SUV114" s="15"/>
      <c r="SUW114" s="15"/>
      <c r="SUX114" s="15"/>
      <c r="SUY114" s="15"/>
      <c r="SUZ114" s="15"/>
      <c r="SVA114" s="15"/>
      <c r="SVB114" s="15"/>
      <c r="SVC114" s="15"/>
      <c r="SVD114" s="14"/>
      <c r="SVE114" s="15"/>
      <c r="SVF114" s="15"/>
      <c r="SVG114" s="15"/>
      <c r="SVH114" s="15"/>
      <c r="SVI114" s="15"/>
      <c r="SVJ114" s="15"/>
      <c r="SVK114" s="15"/>
      <c r="SVL114" s="15"/>
      <c r="SVM114" s="15"/>
      <c r="SVN114" s="15"/>
      <c r="SVO114" s="15"/>
      <c r="SVP114" s="15"/>
      <c r="SVQ114" s="15"/>
      <c r="SVR114" s="15"/>
      <c r="SVS114" s="15"/>
      <c r="SVT114" s="15"/>
      <c r="SVU114" s="15"/>
      <c r="SVV114" s="15"/>
      <c r="SVW114" s="15"/>
      <c r="SVX114" s="15"/>
      <c r="SVY114" s="15"/>
      <c r="SVZ114" s="14"/>
      <c r="SWA114" s="15"/>
      <c r="SWB114" s="15"/>
      <c r="SWC114" s="15"/>
      <c r="SWD114" s="15"/>
      <c r="SWE114" s="15"/>
      <c r="SWF114" s="15"/>
      <c r="SWG114" s="15"/>
      <c r="SWH114" s="15"/>
      <c r="SWI114" s="15"/>
      <c r="SWJ114" s="15"/>
      <c r="SWK114" s="15"/>
      <c r="SWL114" s="15"/>
      <c r="SWM114" s="15"/>
      <c r="SWN114" s="15"/>
      <c r="SWO114" s="15"/>
      <c r="SWP114" s="15"/>
      <c r="SWQ114" s="15"/>
      <c r="SWR114" s="15"/>
      <c r="SWS114" s="15"/>
      <c r="SWT114" s="15"/>
      <c r="SWU114" s="15"/>
      <c r="SWV114" s="14"/>
      <c r="SWW114" s="15"/>
      <c r="SWX114" s="15"/>
      <c r="SWY114" s="15"/>
      <c r="SWZ114" s="15"/>
      <c r="SXA114" s="15"/>
      <c r="SXB114" s="15"/>
      <c r="SXC114" s="15"/>
      <c r="SXD114" s="15"/>
      <c r="SXE114" s="15"/>
      <c r="SXF114" s="15"/>
      <c r="SXG114" s="15"/>
      <c r="SXH114" s="15"/>
      <c r="SXI114" s="15"/>
      <c r="SXJ114" s="15"/>
      <c r="SXK114" s="15"/>
      <c r="SXL114" s="15"/>
      <c r="SXM114" s="15"/>
      <c r="SXN114" s="15"/>
      <c r="SXO114" s="15"/>
      <c r="SXP114" s="15"/>
      <c r="SXQ114" s="15"/>
      <c r="SXR114" s="14"/>
      <c r="SXS114" s="15"/>
      <c r="SXT114" s="15"/>
      <c r="SXU114" s="15"/>
      <c r="SXV114" s="15"/>
      <c r="SXW114" s="15"/>
      <c r="SXX114" s="15"/>
      <c r="SXY114" s="15"/>
      <c r="SXZ114" s="15"/>
      <c r="SYA114" s="15"/>
      <c r="SYB114" s="15"/>
      <c r="SYC114" s="15"/>
      <c r="SYD114" s="15"/>
      <c r="SYE114" s="15"/>
      <c r="SYF114" s="15"/>
      <c r="SYG114" s="15"/>
      <c r="SYH114" s="15"/>
      <c r="SYI114" s="15"/>
      <c r="SYJ114" s="15"/>
      <c r="SYK114" s="15"/>
      <c r="SYL114" s="15"/>
      <c r="SYM114" s="15"/>
      <c r="SYN114" s="14"/>
      <c r="SYO114" s="15"/>
      <c r="SYP114" s="15"/>
      <c r="SYQ114" s="15"/>
      <c r="SYR114" s="15"/>
      <c r="SYS114" s="15"/>
      <c r="SYT114" s="15"/>
      <c r="SYU114" s="15"/>
      <c r="SYV114" s="15"/>
      <c r="SYW114" s="15"/>
      <c r="SYX114" s="15"/>
      <c r="SYY114" s="15"/>
      <c r="SYZ114" s="15"/>
      <c r="SZA114" s="15"/>
      <c r="SZB114" s="15"/>
      <c r="SZC114" s="15"/>
      <c r="SZD114" s="15"/>
      <c r="SZE114" s="15"/>
      <c r="SZF114" s="15"/>
      <c r="SZG114" s="15"/>
      <c r="SZH114" s="15"/>
      <c r="SZI114" s="15"/>
      <c r="SZJ114" s="14"/>
      <c r="SZK114" s="15"/>
      <c r="SZL114" s="15"/>
      <c r="SZM114" s="15"/>
      <c r="SZN114" s="15"/>
      <c r="SZO114" s="15"/>
      <c r="SZP114" s="15"/>
      <c r="SZQ114" s="15"/>
      <c r="SZR114" s="15"/>
      <c r="SZS114" s="15"/>
      <c r="SZT114" s="15"/>
      <c r="SZU114" s="15"/>
      <c r="SZV114" s="15"/>
      <c r="SZW114" s="15"/>
      <c r="SZX114" s="15"/>
      <c r="SZY114" s="15"/>
      <c r="SZZ114" s="15"/>
      <c r="TAA114" s="15"/>
      <c r="TAB114" s="15"/>
      <c r="TAC114" s="15"/>
      <c r="TAD114" s="15"/>
      <c r="TAE114" s="15"/>
      <c r="TAF114" s="14"/>
      <c r="TAG114" s="15"/>
      <c r="TAH114" s="15"/>
      <c r="TAI114" s="15"/>
      <c r="TAJ114" s="15"/>
      <c r="TAK114" s="15"/>
      <c r="TAL114" s="15"/>
      <c r="TAM114" s="15"/>
      <c r="TAN114" s="15"/>
      <c r="TAO114" s="15"/>
      <c r="TAP114" s="15"/>
      <c r="TAQ114" s="15"/>
      <c r="TAR114" s="15"/>
      <c r="TAS114" s="15"/>
      <c r="TAT114" s="15"/>
      <c r="TAU114" s="15"/>
      <c r="TAV114" s="15"/>
      <c r="TAW114" s="15"/>
      <c r="TAX114" s="15"/>
      <c r="TAY114" s="15"/>
      <c r="TAZ114" s="15"/>
      <c r="TBA114" s="15"/>
      <c r="TBB114" s="14"/>
      <c r="TBC114" s="15"/>
      <c r="TBD114" s="15"/>
      <c r="TBE114" s="15"/>
      <c r="TBF114" s="15"/>
      <c r="TBG114" s="15"/>
      <c r="TBH114" s="15"/>
      <c r="TBI114" s="15"/>
      <c r="TBJ114" s="15"/>
      <c r="TBK114" s="15"/>
      <c r="TBL114" s="15"/>
      <c r="TBM114" s="15"/>
      <c r="TBN114" s="15"/>
      <c r="TBO114" s="15"/>
      <c r="TBP114" s="15"/>
      <c r="TBQ114" s="15"/>
      <c r="TBR114" s="15"/>
      <c r="TBS114" s="15"/>
      <c r="TBT114" s="15"/>
      <c r="TBU114" s="15"/>
      <c r="TBV114" s="15"/>
      <c r="TBW114" s="15"/>
      <c r="TBX114" s="14"/>
      <c r="TBY114" s="15"/>
      <c r="TBZ114" s="15"/>
      <c r="TCA114" s="15"/>
      <c r="TCB114" s="15"/>
      <c r="TCC114" s="15"/>
      <c r="TCD114" s="15"/>
      <c r="TCE114" s="15"/>
      <c r="TCF114" s="15"/>
      <c r="TCG114" s="15"/>
      <c r="TCH114" s="15"/>
      <c r="TCI114" s="15"/>
      <c r="TCJ114" s="15"/>
      <c r="TCK114" s="15"/>
      <c r="TCL114" s="15"/>
      <c r="TCM114" s="15"/>
      <c r="TCN114" s="15"/>
      <c r="TCO114" s="15"/>
      <c r="TCP114" s="15"/>
      <c r="TCQ114" s="15"/>
      <c r="TCR114" s="15"/>
      <c r="TCS114" s="15"/>
      <c r="TCT114" s="14"/>
      <c r="TCU114" s="15"/>
      <c r="TCV114" s="15"/>
      <c r="TCW114" s="15"/>
      <c r="TCX114" s="15"/>
      <c r="TCY114" s="15"/>
      <c r="TCZ114" s="15"/>
      <c r="TDA114" s="15"/>
      <c r="TDB114" s="15"/>
      <c r="TDC114" s="15"/>
      <c r="TDD114" s="15"/>
      <c r="TDE114" s="15"/>
      <c r="TDF114" s="15"/>
      <c r="TDG114" s="15"/>
      <c r="TDH114" s="15"/>
      <c r="TDI114" s="15"/>
      <c r="TDJ114" s="15"/>
      <c r="TDK114" s="15"/>
      <c r="TDL114" s="15"/>
      <c r="TDM114" s="15"/>
      <c r="TDN114" s="15"/>
      <c r="TDO114" s="15"/>
      <c r="TDP114" s="14"/>
      <c r="TDQ114" s="15"/>
      <c r="TDR114" s="15"/>
      <c r="TDS114" s="15"/>
      <c r="TDT114" s="15"/>
      <c r="TDU114" s="15"/>
      <c r="TDV114" s="15"/>
      <c r="TDW114" s="15"/>
      <c r="TDX114" s="15"/>
      <c r="TDY114" s="15"/>
      <c r="TDZ114" s="15"/>
      <c r="TEA114" s="15"/>
      <c r="TEB114" s="15"/>
      <c r="TEC114" s="15"/>
      <c r="TED114" s="15"/>
      <c r="TEE114" s="15"/>
      <c r="TEF114" s="15"/>
      <c r="TEG114" s="15"/>
      <c r="TEH114" s="15"/>
      <c r="TEI114" s="15"/>
      <c r="TEJ114" s="15"/>
      <c r="TEK114" s="15"/>
      <c r="TEL114" s="14"/>
      <c r="TEM114" s="15"/>
      <c r="TEN114" s="15"/>
      <c r="TEO114" s="15"/>
      <c r="TEP114" s="15"/>
      <c r="TEQ114" s="15"/>
      <c r="TER114" s="15"/>
      <c r="TES114" s="15"/>
      <c r="TET114" s="15"/>
      <c r="TEU114" s="15"/>
      <c r="TEV114" s="15"/>
      <c r="TEW114" s="15"/>
      <c r="TEX114" s="15"/>
      <c r="TEY114" s="15"/>
      <c r="TEZ114" s="15"/>
      <c r="TFA114" s="15"/>
      <c r="TFB114" s="15"/>
      <c r="TFC114" s="15"/>
      <c r="TFD114" s="15"/>
      <c r="TFE114" s="15"/>
      <c r="TFF114" s="15"/>
      <c r="TFG114" s="15"/>
      <c r="TFH114" s="14"/>
      <c r="TFI114" s="15"/>
      <c r="TFJ114" s="15"/>
      <c r="TFK114" s="15"/>
      <c r="TFL114" s="15"/>
      <c r="TFM114" s="15"/>
      <c r="TFN114" s="15"/>
      <c r="TFO114" s="15"/>
      <c r="TFP114" s="15"/>
      <c r="TFQ114" s="15"/>
      <c r="TFR114" s="15"/>
      <c r="TFS114" s="15"/>
      <c r="TFT114" s="15"/>
      <c r="TFU114" s="15"/>
      <c r="TFV114" s="15"/>
      <c r="TFW114" s="15"/>
      <c r="TFX114" s="15"/>
      <c r="TFY114" s="15"/>
      <c r="TFZ114" s="15"/>
      <c r="TGA114" s="15"/>
      <c r="TGB114" s="15"/>
      <c r="TGC114" s="15"/>
      <c r="TGD114" s="14"/>
      <c r="TGE114" s="15"/>
      <c r="TGF114" s="15"/>
      <c r="TGG114" s="15"/>
      <c r="TGH114" s="15"/>
      <c r="TGI114" s="15"/>
      <c r="TGJ114" s="15"/>
      <c r="TGK114" s="15"/>
      <c r="TGL114" s="15"/>
      <c r="TGM114" s="15"/>
      <c r="TGN114" s="15"/>
      <c r="TGO114" s="15"/>
      <c r="TGP114" s="15"/>
      <c r="TGQ114" s="15"/>
      <c r="TGR114" s="15"/>
      <c r="TGS114" s="15"/>
      <c r="TGT114" s="15"/>
      <c r="TGU114" s="15"/>
      <c r="TGV114" s="15"/>
      <c r="TGW114" s="15"/>
      <c r="TGX114" s="15"/>
      <c r="TGY114" s="15"/>
      <c r="TGZ114" s="14"/>
      <c r="THA114" s="15"/>
      <c r="THB114" s="15"/>
      <c r="THC114" s="15"/>
      <c r="THD114" s="15"/>
      <c r="THE114" s="15"/>
      <c r="THF114" s="15"/>
      <c r="THG114" s="15"/>
      <c r="THH114" s="15"/>
      <c r="THI114" s="15"/>
      <c r="THJ114" s="15"/>
      <c r="THK114" s="15"/>
      <c r="THL114" s="15"/>
      <c r="THM114" s="15"/>
      <c r="THN114" s="15"/>
      <c r="THO114" s="15"/>
      <c r="THP114" s="15"/>
      <c r="THQ114" s="15"/>
      <c r="THR114" s="15"/>
      <c r="THS114" s="15"/>
      <c r="THT114" s="15"/>
      <c r="THU114" s="15"/>
      <c r="THV114" s="14"/>
      <c r="THW114" s="15"/>
      <c r="THX114" s="15"/>
      <c r="THY114" s="15"/>
      <c r="THZ114" s="15"/>
      <c r="TIA114" s="15"/>
      <c r="TIB114" s="15"/>
      <c r="TIC114" s="15"/>
      <c r="TID114" s="15"/>
      <c r="TIE114" s="15"/>
      <c r="TIF114" s="15"/>
      <c r="TIG114" s="15"/>
      <c r="TIH114" s="15"/>
      <c r="TII114" s="15"/>
      <c r="TIJ114" s="15"/>
      <c r="TIK114" s="15"/>
      <c r="TIL114" s="15"/>
      <c r="TIM114" s="15"/>
      <c r="TIN114" s="15"/>
      <c r="TIO114" s="15"/>
      <c r="TIP114" s="15"/>
      <c r="TIQ114" s="15"/>
      <c r="TIR114" s="14"/>
      <c r="TIS114" s="15"/>
      <c r="TIT114" s="15"/>
      <c r="TIU114" s="15"/>
      <c r="TIV114" s="15"/>
      <c r="TIW114" s="15"/>
      <c r="TIX114" s="15"/>
      <c r="TIY114" s="15"/>
      <c r="TIZ114" s="15"/>
      <c r="TJA114" s="15"/>
      <c r="TJB114" s="15"/>
      <c r="TJC114" s="15"/>
      <c r="TJD114" s="15"/>
      <c r="TJE114" s="15"/>
      <c r="TJF114" s="15"/>
      <c r="TJG114" s="15"/>
      <c r="TJH114" s="15"/>
      <c r="TJI114" s="15"/>
      <c r="TJJ114" s="15"/>
      <c r="TJK114" s="15"/>
      <c r="TJL114" s="15"/>
      <c r="TJM114" s="15"/>
      <c r="TJN114" s="14"/>
      <c r="TJO114" s="15"/>
      <c r="TJP114" s="15"/>
      <c r="TJQ114" s="15"/>
      <c r="TJR114" s="15"/>
      <c r="TJS114" s="15"/>
      <c r="TJT114" s="15"/>
      <c r="TJU114" s="15"/>
      <c r="TJV114" s="15"/>
      <c r="TJW114" s="15"/>
      <c r="TJX114" s="15"/>
      <c r="TJY114" s="15"/>
      <c r="TJZ114" s="15"/>
      <c r="TKA114" s="15"/>
      <c r="TKB114" s="15"/>
      <c r="TKC114" s="15"/>
      <c r="TKD114" s="15"/>
      <c r="TKE114" s="15"/>
      <c r="TKF114" s="15"/>
      <c r="TKG114" s="15"/>
      <c r="TKH114" s="15"/>
      <c r="TKI114" s="15"/>
      <c r="TKJ114" s="14"/>
      <c r="TKK114" s="15"/>
      <c r="TKL114" s="15"/>
      <c r="TKM114" s="15"/>
      <c r="TKN114" s="15"/>
      <c r="TKO114" s="15"/>
      <c r="TKP114" s="15"/>
      <c r="TKQ114" s="15"/>
      <c r="TKR114" s="15"/>
      <c r="TKS114" s="15"/>
      <c r="TKT114" s="15"/>
      <c r="TKU114" s="15"/>
      <c r="TKV114" s="15"/>
      <c r="TKW114" s="15"/>
      <c r="TKX114" s="15"/>
      <c r="TKY114" s="15"/>
      <c r="TKZ114" s="15"/>
      <c r="TLA114" s="15"/>
      <c r="TLB114" s="15"/>
      <c r="TLC114" s="15"/>
      <c r="TLD114" s="15"/>
      <c r="TLE114" s="15"/>
      <c r="TLF114" s="14"/>
      <c r="TLG114" s="15"/>
      <c r="TLH114" s="15"/>
      <c r="TLI114" s="15"/>
      <c r="TLJ114" s="15"/>
      <c r="TLK114" s="15"/>
      <c r="TLL114" s="15"/>
      <c r="TLM114" s="15"/>
      <c r="TLN114" s="15"/>
      <c r="TLO114" s="15"/>
      <c r="TLP114" s="15"/>
      <c r="TLQ114" s="15"/>
      <c r="TLR114" s="15"/>
      <c r="TLS114" s="15"/>
      <c r="TLT114" s="15"/>
      <c r="TLU114" s="15"/>
      <c r="TLV114" s="15"/>
      <c r="TLW114" s="15"/>
      <c r="TLX114" s="15"/>
      <c r="TLY114" s="15"/>
      <c r="TLZ114" s="15"/>
      <c r="TMA114" s="15"/>
      <c r="TMB114" s="14"/>
      <c r="TMC114" s="15"/>
      <c r="TMD114" s="15"/>
      <c r="TME114" s="15"/>
      <c r="TMF114" s="15"/>
      <c r="TMG114" s="15"/>
      <c r="TMH114" s="15"/>
      <c r="TMI114" s="15"/>
      <c r="TMJ114" s="15"/>
      <c r="TMK114" s="15"/>
      <c r="TML114" s="15"/>
      <c r="TMM114" s="15"/>
      <c r="TMN114" s="15"/>
      <c r="TMO114" s="15"/>
      <c r="TMP114" s="15"/>
      <c r="TMQ114" s="15"/>
      <c r="TMR114" s="15"/>
      <c r="TMS114" s="15"/>
      <c r="TMT114" s="15"/>
      <c r="TMU114" s="15"/>
      <c r="TMV114" s="15"/>
      <c r="TMW114" s="15"/>
      <c r="TMX114" s="14"/>
      <c r="TMY114" s="15"/>
      <c r="TMZ114" s="15"/>
      <c r="TNA114" s="15"/>
      <c r="TNB114" s="15"/>
      <c r="TNC114" s="15"/>
      <c r="TND114" s="15"/>
      <c r="TNE114" s="15"/>
      <c r="TNF114" s="15"/>
      <c r="TNG114" s="15"/>
      <c r="TNH114" s="15"/>
      <c r="TNI114" s="15"/>
      <c r="TNJ114" s="15"/>
      <c r="TNK114" s="15"/>
      <c r="TNL114" s="15"/>
      <c r="TNM114" s="15"/>
      <c r="TNN114" s="15"/>
      <c r="TNO114" s="15"/>
      <c r="TNP114" s="15"/>
      <c r="TNQ114" s="15"/>
      <c r="TNR114" s="15"/>
      <c r="TNS114" s="15"/>
      <c r="TNT114" s="14"/>
      <c r="TNU114" s="15"/>
      <c r="TNV114" s="15"/>
      <c r="TNW114" s="15"/>
      <c r="TNX114" s="15"/>
      <c r="TNY114" s="15"/>
      <c r="TNZ114" s="15"/>
      <c r="TOA114" s="15"/>
      <c r="TOB114" s="15"/>
      <c r="TOC114" s="15"/>
      <c r="TOD114" s="15"/>
      <c r="TOE114" s="15"/>
      <c r="TOF114" s="15"/>
      <c r="TOG114" s="15"/>
      <c r="TOH114" s="15"/>
      <c r="TOI114" s="15"/>
      <c r="TOJ114" s="15"/>
      <c r="TOK114" s="15"/>
      <c r="TOL114" s="15"/>
      <c r="TOM114" s="15"/>
      <c r="TON114" s="15"/>
      <c r="TOO114" s="15"/>
      <c r="TOP114" s="14"/>
      <c r="TOQ114" s="15"/>
      <c r="TOR114" s="15"/>
      <c r="TOS114" s="15"/>
      <c r="TOT114" s="15"/>
      <c r="TOU114" s="15"/>
      <c r="TOV114" s="15"/>
      <c r="TOW114" s="15"/>
      <c r="TOX114" s="15"/>
      <c r="TOY114" s="15"/>
      <c r="TOZ114" s="15"/>
      <c r="TPA114" s="15"/>
      <c r="TPB114" s="15"/>
      <c r="TPC114" s="15"/>
      <c r="TPD114" s="15"/>
      <c r="TPE114" s="15"/>
      <c r="TPF114" s="15"/>
      <c r="TPG114" s="15"/>
      <c r="TPH114" s="15"/>
      <c r="TPI114" s="15"/>
      <c r="TPJ114" s="15"/>
      <c r="TPK114" s="15"/>
      <c r="TPL114" s="14"/>
      <c r="TPM114" s="15"/>
      <c r="TPN114" s="15"/>
      <c r="TPO114" s="15"/>
      <c r="TPP114" s="15"/>
      <c r="TPQ114" s="15"/>
      <c r="TPR114" s="15"/>
      <c r="TPS114" s="15"/>
      <c r="TPT114" s="15"/>
      <c r="TPU114" s="15"/>
      <c r="TPV114" s="15"/>
      <c r="TPW114" s="15"/>
      <c r="TPX114" s="15"/>
      <c r="TPY114" s="15"/>
      <c r="TPZ114" s="15"/>
      <c r="TQA114" s="15"/>
      <c r="TQB114" s="15"/>
      <c r="TQC114" s="15"/>
      <c r="TQD114" s="15"/>
      <c r="TQE114" s="15"/>
      <c r="TQF114" s="15"/>
      <c r="TQG114" s="15"/>
      <c r="TQH114" s="14"/>
      <c r="TQI114" s="15"/>
      <c r="TQJ114" s="15"/>
      <c r="TQK114" s="15"/>
      <c r="TQL114" s="15"/>
      <c r="TQM114" s="15"/>
      <c r="TQN114" s="15"/>
      <c r="TQO114" s="15"/>
      <c r="TQP114" s="15"/>
      <c r="TQQ114" s="15"/>
      <c r="TQR114" s="15"/>
      <c r="TQS114" s="15"/>
      <c r="TQT114" s="15"/>
      <c r="TQU114" s="15"/>
      <c r="TQV114" s="15"/>
      <c r="TQW114" s="15"/>
      <c r="TQX114" s="15"/>
      <c r="TQY114" s="15"/>
      <c r="TQZ114" s="15"/>
      <c r="TRA114" s="15"/>
      <c r="TRB114" s="15"/>
      <c r="TRC114" s="15"/>
      <c r="TRD114" s="14"/>
      <c r="TRE114" s="15"/>
      <c r="TRF114" s="15"/>
      <c r="TRG114" s="15"/>
      <c r="TRH114" s="15"/>
      <c r="TRI114" s="15"/>
      <c r="TRJ114" s="15"/>
      <c r="TRK114" s="15"/>
      <c r="TRL114" s="15"/>
      <c r="TRM114" s="15"/>
      <c r="TRN114" s="15"/>
      <c r="TRO114" s="15"/>
      <c r="TRP114" s="15"/>
      <c r="TRQ114" s="15"/>
      <c r="TRR114" s="15"/>
      <c r="TRS114" s="15"/>
      <c r="TRT114" s="15"/>
      <c r="TRU114" s="15"/>
      <c r="TRV114" s="15"/>
      <c r="TRW114" s="15"/>
      <c r="TRX114" s="15"/>
      <c r="TRY114" s="15"/>
      <c r="TRZ114" s="14"/>
      <c r="TSA114" s="15"/>
      <c r="TSB114" s="15"/>
      <c r="TSC114" s="15"/>
      <c r="TSD114" s="15"/>
      <c r="TSE114" s="15"/>
      <c r="TSF114" s="15"/>
      <c r="TSG114" s="15"/>
      <c r="TSH114" s="15"/>
      <c r="TSI114" s="15"/>
      <c r="TSJ114" s="15"/>
      <c r="TSK114" s="15"/>
      <c r="TSL114" s="15"/>
      <c r="TSM114" s="15"/>
      <c r="TSN114" s="15"/>
      <c r="TSO114" s="15"/>
      <c r="TSP114" s="15"/>
      <c r="TSQ114" s="15"/>
      <c r="TSR114" s="15"/>
      <c r="TSS114" s="15"/>
      <c r="TST114" s="15"/>
      <c r="TSU114" s="15"/>
      <c r="TSV114" s="14"/>
      <c r="TSW114" s="15"/>
      <c r="TSX114" s="15"/>
      <c r="TSY114" s="15"/>
      <c r="TSZ114" s="15"/>
      <c r="TTA114" s="15"/>
      <c r="TTB114" s="15"/>
      <c r="TTC114" s="15"/>
      <c r="TTD114" s="15"/>
      <c r="TTE114" s="15"/>
      <c r="TTF114" s="15"/>
      <c r="TTG114" s="15"/>
      <c r="TTH114" s="15"/>
      <c r="TTI114" s="15"/>
      <c r="TTJ114" s="15"/>
      <c r="TTK114" s="15"/>
      <c r="TTL114" s="15"/>
      <c r="TTM114" s="15"/>
      <c r="TTN114" s="15"/>
      <c r="TTO114" s="15"/>
      <c r="TTP114" s="15"/>
      <c r="TTQ114" s="15"/>
      <c r="TTR114" s="14"/>
      <c r="TTS114" s="15"/>
      <c r="TTT114" s="15"/>
      <c r="TTU114" s="15"/>
      <c r="TTV114" s="15"/>
      <c r="TTW114" s="15"/>
      <c r="TTX114" s="15"/>
      <c r="TTY114" s="15"/>
      <c r="TTZ114" s="15"/>
      <c r="TUA114" s="15"/>
      <c r="TUB114" s="15"/>
      <c r="TUC114" s="15"/>
      <c r="TUD114" s="15"/>
      <c r="TUE114" s="15"/>
      <c r="TUF114" s="15"/>
      <c r="TUG114" s="15"/>
      <c r="TUH114" s="15"/>
      <c r="TUI114" s="15"/>
      <c r="TUJ114" s="15"/>
      <c r="TUK114" s="15"/>
      <c r="TUL114" s="15"/>
      <c r="TUM114" s="15"/>
      <c r="TUN114" s="14"/>
      <c r="TUO114" s="15"/>
      <c r="TUP114" s="15"/>
      <c r="TUQ114" s="15"/>
      <c r="TUR114" s="15"/>
      <c r="TUS114" s="15"/>
      <c r="TUT114" s="15"/>
      <c r="TUU114" s="15"/>
      <c r="TUV114" s="15"/>
      <c r="TUW114" s="15"/>
      <c r="TUX114" s="15"/>
      <c r="TUY114" s="15"/>
      <c r="TUZ114" s="15"/>
      <c r="TVA114" s="15"/>
      <c r="TVB114" s="15"/>
      <c r="TVC114" s="15"/>
      <c r="TVD114" s="15"/>
      <c r="TVE114" s="15"/>
      <c r="TVF114" s="15"/>
      <c r="TVG114" s="15"/>
      <c r="TVH114" s="15"/>
      <c r="TVI114" s="15"/>
      <c r="TVJ114" s="14"/>
      <c r="TVK114" s="15"/>
      <c r="TVL114" s="15"/>
      <c r="TVM114" s="15"/>
      <c r="TVN114" s="15"/>
      <c r="TVO114" s="15"/>
      <c r="TVP114" s="15"/>
      <c r="TVQ114" s="15"/>
      <c r="TVR114" s="15"/>
      <c r="TVS114" s="15"/>
      <c r="TVT114" s="15"/>
      <c r="TVU114" s="15"/>
      <c r="TVV114" s="15"/>
      <c r="TVW114" s="15"/>
      <c r="TVX114" s="15"/>
      <c r="TVY114" s="15"/>
      <c r="TVZ114" s="15"/>
      <c r="TWA114" s="15"/>
      <c r="TWB114" s="15"/>
      <c r="TWC114" s="15"/>
      <c r="TWD114" s="15"/>
      <c r="TWE114" s="15"/>
      <c r="TWF114" s="14"/>
      <c r="TWG114" s="15"/>
      <c r="TWH114" s="15"/>
      <c r="TWI114" s="15"/>
      <c r="TWJ114" s="15"/>
      <c r="TWK114" s="15"/>
      <c r="TWL114" s="15"/>
      <c r="TWM114" s="15"/>
      <c r="TWN114" s="15"/>
      <c r="TWO114" s="15"/>
      <c r="TWP114" s="15"/>
      <c r="TWQ114" s="15"/>
      <c r="TWR114" s="15"/>
      <c r="TWS114" s="15"/>
      <c r="TWT114" s="15"/>
      <c r="TWU114" s="15"/>
      <c r="TWV114" s="15"/>
      <c r="TWW114" s="15"/>
      <c r="TWX114" s="15"/>
      <c r="TWY114" s="15"/>
      <c r="TWZ114" s="15"/>
      <c r="TXA114" s="15"/>
      <c r="TXB114" s="14"/>
      <c r="TXC114" s="15"/>
      <c r="TXD114" s="15"/>
      <c r="TXE114" s="15"/>
      <c r="TXF114" s="15"/>
      <c r="TXG114" s="15"/>
      <c r="TXH114" s="15"/>
      <c r="TXI114" s="15"/>
      <c r="TXJ114" s="15"/>
      <c r="TXK114" s="15"/>
      <c r="TXL114" s="15"/>
      <c r="TXM114" s="15"/>
      <c r="TXN114" s="15"/>
      <c r="TXO114" s="15"/>
      <c r="TXP114" s="15"/>
      <c r="TXQ114" s="15"/>
      <c r="TXR114" s="15"/>
      <c r="TXS114" s="15"/>
      <c r="TXT114" s="15"/>
      <c r="TXU114" s="15"/>
      <c r="TXV114" s="15"/>
      <c r="TXW114" s="15"/>
      <c r="TXX114" s="14"/>
      <c r="TXY114" s="15"/>
      <c r="TXZ114" s="15"/>
      <c r="TYA114" s="15"/>
      <c r="TYB114" s="15"/>
      <c r="TYC114" s="15"/>
      <c r="TYD114" s="15"/>
      <c r="TYE114" s="15"/>
      <c r="TYF114" s="15"/>
      <c r="TYG114" s="15"/>
      <c r="TYH114" s="15"/>
      <c r="TYI114" s="15"/>
      <c r="TYJ114" s="15"/>
      <c r="TYK114" s="15"/>
      <c r="TYL114" s="15"/>
      <c r="TYM114" s="15"/>
      <c r="TYN114" s="15"/>
      <c r="TYO114" s="15"/>
      <c r="TYP114" s="15"/>
      <c r="TYQ114" s="15"/>
      <c r="TYR114" s="15"/>
      <c r="TYS114" s="15"/>
      <c r="TYT114" s="14"/>
      <c r="TYU114" s="15"/>
      <c r="TYV114" s="15"/>
      <c r="TYW114" s="15"/>
      <c r="TYX114" s="15"/>
      <c r="TYY114" s="15"/>
      <c r="TYZ114" s="15"/>
      <c r="TZA114" s="15"/>
      <c r="TZB114" s="15"/>
      <c r="TZC114" s="15"/>
      <c r="TZD114" s="15"/>
      <c r="TZE114" s="15"/>
      <c r="TZF114" s="15"/>
      <c r="TZG114" s="15"/>
      <c r="TZH114" s="15"/>
      <c r="TZI114" s="15"/>
      <c r="TZJ114" s="15"/>
      <c r="TZK114" s="15"/>
      <c r="TZL114" s="15"/>
      <c r="TZM114" s="15"/>
      <c r="TZN114" s="15"/>
      <c r="TZO114" s="15"/>
      <c r="TZP114" s="14"/>
      <c r="TZQ114" s="15"/>
      <c r="TZR114" s="15"/>
      <c r="TZS114" s="15"/>
      <c r="TZT114" s="15"/>
      <c r="TZU114" s="15"/>
      <c r="TZV114" s="15"/>
      <c r="TZW114" s="15"/>
      <c r="TZX114" s="15"/>
      <c r="TZY114" s="15"/>
      <c r="TZZ114" s="15"/>
      <c r="UAA114" s="15"/>
      <c r="UAB114" s="15"/>
      <c r="UAC114" s="15"/>
      <c r="UAD114" s="15"/>
      <c r="UAE114" s="15"/>
      <c r="UAF114" s="15"/>
      <c r="UAG114" s="15"/>
      <c r="UAH114" s="15"/>
      <c r="UAI114" s="15"/>
      <c r="UAJ114" s="15"/>
      <c r="UAK114" s="15"/>
      <c r="UAL114" s="14"/>
      <c r="UAM114" s="15"/>
      <c r="UAN114" s="15"/>
      <c r="UAO114" s="15"/>
      <c r="UAP114" s="15"/>
      <c r="UAQ114" s="15"/>
      <c r="UAR114" s="15"/>
      <c r="UAS114" s="15"/>
      <c r="UAT114" s="15"/>
      <c r="UAU114" s="15"/>
      <c r="UAV114" s="15"/>
      <c r="UAW114" s="15"/>
      <c r="UAX114" s="15"/>
      <c r="UAY114" s="15"/>
      <c r="UAZ114" s="15"/>
      <c r="UBA114" s="15"/>
      <c r="UBB114" s="15"/>
      <c r="UBC114" s="15"/>
      <c r="UBD114" s="15"/>
      <c r="UBE114" s="15"/>
      <c r="UBF114" s="15"/>
      <c r="UBG114" s="15"/>
      <c r="UBH114" s="14"/>
      <c r="UBI114" s="15"/>
      <c r="UBJ114" s="15"/>
      <c r="UBK114" s="15"/>
      <c r="UBL114" s="15"/>
      <c r="UBM114" s="15"/>
      <c r="UBN114" s="15"/>
      <c r="UBO114" s="15"/>
      <c r="UBP114" s="15"/>
      <c r="UBQ114" s="15"/>
      <c r="UBR114" s="15"/>
      <c r="UBS114" s="15"/>
      <c r="UBT114" s="15"/>
      <c r="UBU114" s="15"/>
      <c r="UBV114" s="15"/>
      <c r="UBW114" s="15"/>
      <c r="UBX114" s="15"/>
      <c r="UBY114" s="15"/>
      <c r="UBZ114" s="15"/>
      <c r="UCA114" s="15"/>
      <c r="UCB114" s="15"/>
      <c r="UCC114" s="15"/>
      <c r="UCD114" s="14"/>
      <c r="UCE114" s="15"/>
      <c r="UCF114" s="15"/>
      <c r="UCG114" s="15"/>
      <c r="UCH114" s="15"/>
      <c r="UCI114" s="15"/>
      <c r="UCJ114" s="15"/>
      <c r="UCK114" s="15"/>
      <c r="UCL114" s="15"/>
      <c r="UCM114" s="15"/>
      <c r="UCN114" s="15"/>
      <c r="UCO114" s="15"/>
      <c r="UCP114" s="15"/>
      <c r="UCQ114" s="15"/>
      <c r="UCR114" s="15"/>
      <c r="UCS114" s="15"/>
      <c r="UCT114" s="15"/>
      <c r="UCU114" s="15"/>
      <c r="UCV114" s="15"/>
      <c r="UCW114" s="15"/>
      <c r="UCX114" s="15"/>
      <c r="UCY114" s="15"/>
      <c r="UCZ114" s="14"/>
      <c r="UDA114" s="15"/>
      <c r="UDB114" s="15"/>
      <c r="UDC114" s="15"/>
      <c r="UDD114" s="15"/>
      <c r="UDE114" s="15"/>
      <c r="UDF114" s="15"/>
      <c r="UDG114" s="15"/>
      <c r="UDH114" s="15"/>
      <c r="UDI114" s="15"/>
      <c r="UDJ114" s="15"/>
      <c r="UDK114" s="15"/>
      <c r="UDL114" s="15"/>
      <c r="UDM114" s="15"/>
      <c r="UDN114" s="15"/>
      <c r="UDO114" s="15"/>
      <c r="UDP114" s="15"/>
      <c r="UDQ114" s="15"/>
      <c r="UDR114" s="15"/>
      <c r="UDS114" s="15"/>
      <c r="UDT114" s="15"/>
      <c r="UDU114" s="15"/>
      <c r="UDV114" s="14"/>
      <c r="UDW114" s="15"/>
      <c r="UDX114" s="15"/>
      <c r="UDY114" s="15"/>
      <c r="UDZ114" s="15"/>
      <c r="UEA114" s="15"/>
      <c r="UEB114" s="15"/>
      <c r="UEC114" s="15"/>
      <c r="UED114" s="15"/>
      <c r="UEE114" s="15"/>
      <c r="UEF114" s="15"/>
      <c r="UEG114" s="15"/>
      <c r="UEH114" s="15"/>
      <c r="UEI114" s="15"/>
      <c r="UEJ114" s="15"/>
      <c r="UEK114" s="15"/>
      <c r="UEL114" s="15"/>
      <c r="UEM114" s="15"/>
      <c r="UEN114" s="15"/>
      <c r="UEO114" s="15"/>
      <c r="UEP114" s="15"/>
      <c r="UEQ114" s="15"/>
      <c r="UER114" s="14"/>
      <c r="UES114" s="15"/>
      <c r="UET114" s="15"/>
      <c r="UEU114" s="15"/>
      <c r="UEV114" s="15"/>
      <c r="UEW114" s="15"/>
      <c r="UEX114" s="15"/>
      <c r="UEY114" s="15"/>
      <c r="UEZ114" s="15"/>
      <c r="UFA114" s="15"/>
      <c r="UFB114" s="15"/>
      <c r="UFC114" s="15"/>
      <c r="UFD114" s="15"/>
      <c r="UFE114" s="15"/>
      <c r="UFF114" s="15"/>
      <c r="UFG114" s="15"/>
      <c r="UFH114" s="15"/>
      <c r="UFI114" s="15"/>
      <c r="UFJ114" s="15"/>
      <c r="UFK114" s="15"/>
      <c r="UFL114" s="15"/>
      <c r="UFM114" s="15"/>
      <c r="UFN114" s="14"/>
      <c r="UFO114" s="15"/>
      <c r="UFP114" s="15"/>
      <c r="UFQ114" s="15"/>
      <c r="UFR114" s="15"/>
      <c r="UFS114" s="15"/>
      <c r="UFT114" s="15"/>
      <c r="UFU114" s="15"/>
      <c r="UFV114" s="15"/>
      <c r="UFW114" s="15"/>
      <c r="UFX114" s="15"/>
      <c r="UFY114" s="15"/>
      <c r="UFZ114" s="15"/>
      <c r="UGA114" s="15"/>
      <c r="UGB114" s="15"/>
      <c r="UGC114" s="15"/>
      <c r="UGD114" s="15"/>
      <c r="UGE114" s="15"/>
      <c r="UGF114" s="15"/>
      <c r="UGG114" s="15"/>
      <c r="UGH114" s="15"/>
      <c r="UGI114" s="15"/>
      <c r="UGJ114" s="14"/>
      <c r="UGK114" s="15"/>
      <c r="UGL114" s="15"/>
      <c r="UGM114" s="15"/>
      <c r="UGN114" s="15"/>
      <c r="UGO114" s="15"/>
      <c r="UGP114" s="15"/>
      <c r="UGQ114" s="15"/>
      <c r="UGR114" s="15"/>
      <c r="UGS114" s="15"/>
      <c r="UGT114" s="15"/>
      <c r="UGU114" s="15"/>
      <c r="UGV114" s="15"/>
      <c r="UGW114" s="15"/>
      <c r="UGX114" s="15"/>
      <c r="UGY114" s="15"/>
      <c r="UGZ114" s="15"/>
      <c r="UHA114" s="15"/>
      <c r="UHB114" s="15"/>
      <c r="UHC114" s="15"/>
      <c r="UHD114" s="15"/>
      <c r="UHE114" s="15"/>
      <c r="UHF114" s="14"/>
      <c r="UHG114" s="15"/>
      <c r="UHH114" s="15"/>
      <c r="UHI114" s="15"/>
      <c r="UHJ114" s="15"/>
      <c r="UHK114" s="15"/>
      <c r="UHL114" s="15"/>
      <c r="UHM114" s="15"/>
      <c r="UHN114" s="15"/>
      <c r="UHO114" s="15"/>
      <c r="UHP114" s="15"/>
      <c r="UHQ114" s="15"/>
      <c r="UHR114" s="15"/>
      <c r="UHS114" s="15"/>
      <c r="UHT114" s="15"/>
      <c r="UHU114" s="15"/>
      <c r="UHV114" s="15"/>
      <c r="UHW114" s="15"/>
      <c r="UHX114" s="15"/>
      <c r="UHY114" s="15"/>
      <c r="UHZ114" s="15"/>
      <c r="UIA114" s="15"/>
      <c r="UIB114" s="14"/>
      <c r="UIC114" s="15"/>
      <c r="UID114" s="15"/>
      <c r="UIE114" s="15"/>
      <c r="UIF114" s="15"/>
      <c r="UIG114" s="15"/>
      <c r="UIH114" s="15"/>
      <c r="UII114" s="15"/>
      <c r="UIJ114" s="15"/>
      <c r="UIK114" s="15"/>
      <c r="UIL114" s="15"/>
      <c r="UIM114" s="15"/>
      <c r="UIN114" s="15"/>
      <c r="UIO114" s="15"/>
      <c r="UIP114" s="15"/>
      <c r="UIQ114" s="15"/>
      <c r="UIR114" s="15"/>
      <c r="UIS114" s="15"/>
      <c r="UIT114" s="15"/>
      <c r="UIU114" s="15"/>
      <c r="UIV114" s="15"/>
      <c r="UIW114" s="15"/>
      <c r="UIX114" s="14"/>
      <c r="UIY114" s="15"/>
      <c r="UIZ114" s="15"/>
      <c r="UJA114" s="15"/>
      <c r="UJB114" s="15"/>
      <c r="UJC114" s="15"/>
      <c r="UJD114" s="15"/>
      <c r="UJE114" s="15"/>
      <c r="UJF114" s="15"/>
      <c r="UJG114" s="15"/>
      <c r="UJH114" s="15"/>
      <c r="UJI114" s="15"/>
      <c r="UJJ114" s="15"/>
      <c r="UJK114" s="15"/>
      <c r="UJL114" s="15"/>
      <c r="UJM114" s="15"/>
      <c r="UJN114" s="15"/>
      <c r="UJO114" s="15"/>
      <c r="UJP114" s="15"/>
      <c r="UJQ114" s="15"/>
      <c r="UJR114" s="15"/>
      <c r="UJS114" s="15"/>
      <c r="UJT114" s="14"/>
      <c r="UJU114" s="15"/>
      <c r="UJV114" s="15"/>
      <c r="UJW114" s="15"/>
      <c r="UJX114" s="15"/>
      <c r="UJY114" s="15"/>
      <c r="UJZ114" s="15"/>
      <c r="UKA114" s="15"/>
      <c r="UKB114" s="15"/>
      <c r="UKC114" s="15"/>
      <c r="UKD114" s="15"/>
      <c r="UKE114" s="15"/>
      <c r="UKF114" s="15"/>
      <c r="UKG114" s="15"/>
      <c r="UKH114" s="15"/>
      <c r="UKI114" s="15"/>
      <c r="UKJ114" s="15"/>
      <c r="UKK114" s="15"/>
      <c r="UKL114" s="15"/>
      <c r="UKM114" s="15"/>
      <c r="UKN114" s="15"/>
      <c r="UKO114" s="15"/>
      <c r="UKP114" s="14"/>
      <c r="UKQ114" s="15"/>
      <c r="UKR114" s="15"/>
      <c r="UKS114" s="15"/>
      <c r="UKT114" s="15"/>
      <c r="UKU114" s="15"/>
      <c r="UKV114" s="15"/>
      <c r="UKW114" s="15"/>
      <c r="UKX114" s="15"/>
      <c r="UKY114" s="15"/>
      <c r="UKZ114" s="15"/>
      <c r="ULA114" s="15"/>
      <c r="ULB114" s="15"/>
      <c r="ULC114" s="15"/>
      <c r="ULD114" s="15"/>
      <c r="ULE114" s="15"/>
      <c r="ULF114" s="15"/>
      <c r="ULG114" s="15"/>
      <c r="ULH114" s="15"/>
      <c r="ULI114" s="15"/>
      <c r="ULJ114" s="15"/>
      <c r="ULK114" s="15"/>
      <c r="ULL114" s="14"/>
      <c r="ULM114" s="15"/>
      <c r="ULN114" s="15"/>
      <c r="ULO114" s="15"/>
      <c r="ULP114" s="15"/>
      <c r="ULQ114" s="15"/>
      <c r="ULR114" s="15"/>
      <c r="ULS114" s="15"/>
      <c r="ULT114" s="15"/>
      <c r="ULU114" s="15"/>
      <c r="ULV114" s="15"/>
      <c r="ULW114" s="15"/>
      <c r="ULX114" s="15"/>
      <c r="ULY114" s="15"/>
      <c r="ULZ114" s="15"/>
      <c r="UMA114" s="15"/>
      <c r="UMB114" s="15"/>
      <c r="UMC114" s="15"/>
      <c r="UMD114" s="15"/>
      <c r="UME114" s="15"/>
      <c r="UMF114" s="15"/>
      <c r="UMG114" s="15"/>
      <c r="UMH114" s="14"/>
      <c r="UMI114" s="15"/>
      <c r="UMJ114" s="15"/>
      <c r="UMK114" s="15"/>
      <c r="UML114" s="15"/>
      <c r="UMM114" s="15"/>
      <c r="UMN114" s="15"/>
      <c r="UMO114" s="15"/>
      <c r="UMP114" s="15"/>
      <c r="UMQ114" s="15"/>
      <c r="UMR114" s="15"/>
      <c r="UMS114" s="15"/>
      <c r="UMT114" s="15"/>
      <c r="UMU114" s="15"/>
      <c r="UMV114" s="15"/>
      <c r="UMW114" s="15"/>
      <c r="UMX114" s="15"/>
      <c r="UMY114" s="15"/>
      <c r="UMZ114" s="15"/>
      <c r="UNA114" s="15"/>
      <c r="UNB114" s="15"/>
      <c r="UNC114" s="15"/>
      <c r="UND114" s="14"/>
      <c r="UNE114" s="15"/>
      <c r="UNF114" s="15"/>
      <c r="UNG114" s="15"/>
      <c r="UNH114" s="15"/>
      <c r="UNI114" s="15"/>
      <c r="UNJ114" s="15"/>
      <c r="UNK114" s="15"/>
      <c r="UNL114" s="15"/>
      <c r="UNM114" s="15"/>
      <c r="UNN114" s="15"/>
      <c r="UNO114" s="15"/>
      <c r="UNP114" s="15"/>
      <c r="UNQ114" s="15"/>
      <c r="UNR114" s="15"/>
      <c r="UNS114" s="15"/>
      <c r="UNT114" s="15"/>
      <c r="UNU114" s="15"/>
      <c r="UNV114" s="15"/>
      <c r="UNW114" s="15"/>
      <c r="UNX114" s="15"/>
      <c r="UNY114" s="15"/>
      <c r="UNZ114" s="14"/>
      <c r="UOA114" s="15"/>
      <c r="UOB114" s="15"/>
      <c r="UOC114" s="15"/>
      <c r="UOD114" s="15"/>
      <c r="UOE114" s="15"/>
      <c r="UOF114" s="15"/>
      <c r="UOG114" s="15"/>
      <c r="UOH114" s="15"/>
      <c r="UOI114" s="15"/>
      <c r="UOJ114" s="15"/>
      <c r="UOK114" s="15"/>
      <c r="UOL114" s="15"/>
      <c r="UOM114" s="15"/>
      <c r="UON114" s="15"/>
      <c r="UOO114" s="15"/>
      <c r="UOP114" s="15"/>
      <c r="UOQ114" s="15"/>
      <c r="UOR114" s="15"/>
      <c r="UOS114" s="15"/>
      <c r="UOT114" s="15"/>
      <c r="UOU114" s="15"/>
      <c r="UOV114" s="14"/>
      <c r="UOW114" s="15"/>
      <c r="UOX114" s="15"/>
      <c r="UOY114" s="15"/>
      <c r="UOZ114" s="15"/>
      <c r="UPA114" s="15"/>
      <c r="UPB114" s="15"/>
      <c r="UPC114" s="15"/>
      <c r="UPD114" s="15"/>
      <c r="UPE114" s="15"/>
      <c r="UPF114" s="15"/>
      <c r="UPG114" s="15"/>
      <c r="UPH114" s="15"/>
      <c r="UPI114" s="15"/>
      <c r="UPJ114" s="15"/>
      <c r="UPK114" s="15"/>
      <c r="UPL114" s="15"/>
      <c r="UPM114" s="15"/>
      <c r="UPN114" s="15"/>
      <c r="UPO114" s="15"/>
      <c r="UPP114" s="15"/>
      <c r="UPQ114" s="15"/>
      <c r="UPR114" s="14"/>
      <c r="UPS114" s="15"/>
      <c r="UPT114" s="15"/>
      <c r="UPU114" s="15"/>
      <c r="UPV114" s="15"/>
      <c r="UPW114" s="15"/>
      <c r="UPX114" s="15"/>
      <c r="UPY114" s="15"/>
      <c r="UPZ114" s="15"/>
      <c r="UQA114" s="15"/>
      <c r="UQB114" s="15"/>
      <c r="UQC114" s="15"/>
      <c r="UQD114" s="15"/>
      <c r="UQE114" s="15"/>
      <c r="UQF114" s="15"/>
      <c r="UQG114" s="15"/>
      <c r="UQH114" s="15"/>
      <c r="UQI114" s="15"/>
      <c r="UQJ114" s="15"/>
      <c r="UQK114" s="15"/>
      <c r="UQL114" s="15"/>
      <c r="UQM114" s="15"/>
      <c r="UQN114" s="14"/>
      <c r="UQO114" s="15"/>
      <c r="UQP114" s="15"/>
      <c r="UQQ114" s="15"/>
      <c r="UQR114" s="15"/>
      <c r="UQS114" s="15"/>
      <c r="UQT114" s="15"/>
      <c r="UQU114" s="15"/>
      <c r="UQV114" s="15"/>
      <c r="UQW114" s="15"/>
      <c r="UQX114" s="15"/>
      <c r="UQY114" s="15"/>
      <c r="UQZ114" s="15"/>
      <c r="URA114" s="15"/>
      <c r="URB114" s="15"/>
      <c r="URC114" s="15"/>
      <c r="URD114" s="15"/>
      <c r="URE114" s="15"/>
      <c r="URF114" s="15"/>
      <c r="URG114" s="15"/>
      <c r="URH114" s="15"/>
      <c r="URI114" s="15"/>
      <c r="URJ114" s="14"/>
      <c r="URK114" s="15"/>
      <c r="URL114" s="15"/>
      <c r="URM114" s="15"/>
      <c r="URN114" s="15"/>
      <c r="URO114" s="15"/>
      <c r="URP114" s="15"/>
      <c r="URQ114" s="15"/>
      <c r="URR114" s="15"/>
      <c r="URS114" s="15"/>
      <c r="URT114" s="15"/>
      <c r="URU114" s="15"/>
      <c r="URV114" s="15"/>
      <c r="URW114" s="15"/>
      <c r="URX114" s="15"/>
      <c r="URY114" s="15"/>
      <c r="URZ114" s="15"/>
      <c r="USA114" s="15"/>
      <c r="USB114" s="15"/>
      <c r="USC114" s="15"/>
      <c r="USD114" s="15"/>
      <c r="USE114" s="15"/>
      <c r="USF114" s="14"/>
      <c r="USG114" s="15"/>
      <c r="USH114" s="15"/>
      <c r="USI114" s="15"/>
      <c r="USJ114" s="15"/>
      <c r="USK114" s="15"/>
      <c r="USL114" s="15"/>
      <c r="USM114" s="15"/>
      <c r="USN114" s="15"/>
      <c r="USO114" s="15"/>
      <c r="USP114" s="15"/>
      <c r="USQ114" s="15"/>
      <c r="USR114" s="15"/>
      <c r="USS114" s="15"/>
      <c r="UST114" s="15"/>
      <c r="USU114" s="15"/>
      <c r="USV114" s="15"/>
      <c r="USW114" s="15"/>
      <c r="USX114" s="15"/>
      <c r="USY114" s="15"/>
      <c r="USZ114" s="15"/>
      <c r="UTA114" s="15"/>
      <c r="UTB114" s="14"/>
      <c r="UTC114" s="15"/>
      <c r="UTD114" s="15"/>
      <c r="UTE114" s="15"/>
      <c r="UTF114" s="15"/>
      <c r="UTG114" s="15"/>
      <c r="UTH114" s="15"/>
      <c r="UTI114" s="15"/>
      <c r="UTJ114" s="15"/>
      <c r="UTK114" s="15"/>
      <c r="UTL114" s="15"/>
      <c r="UTM114" s="15"/>
      <c r="UTN114" s="15"/>
      <c r="UTO114" s="15"/>
      <c r="UTP114" s="15"/>
      <c r="UTQ114" s="15"/>
      <c r="UTR114" s="15"/>
      <c r="UTS114" s="15"/>
      <c r="UTT114" s="15"/>
      <c r="UTU114" s="15"/>
      <c r="UTV114" s="15"/>
      <c r="UTW114" s="15"/>
      <c r="UTX114" s="14"/>
      <c r="UTY114" s="15"/>
      <c r="UTZ114" s="15"/>
      <c r="UUA114" s="15"/>
      <c r="UUB114" s="15"/>
      <c r="UUC114" s="15"/>
      <c r="UUD114" s="15"/>
      <c r="UUE114" s="15"/>
      <c r="UUF114" s="15"/>
      <c r="UUG114" s="15"/>
      <c r="UUH114" s="15"/>
      <c r="UUI114" s="15"/>
      <c r="UUJ114" s="15"/>
      <c r="UUK114" s="15"/>
      <c r="UUL114" s="15"/>
      <c r="UUM114" s="15"/>
      <c r="UUN114" s="15"/>
      <c r="UUO114" s="15"/>
      <c r="UUP114" s="15"/>
      <c r="UUQ114" s="15"/>
      <c r="UUR114" s="15"/>
      <c r="UUS114" s="15"/>
      <c r="UUT114" s="14"/>
      <c r="UUU114" s="15"/>
      <c r="UUV114" s="15"/>
      <c r="UUW114" s="15"/>
      <c r="UUX114" s="15"/>
      <c r="UUY114" s="15"/>
      <c r="UUZ114" s="15"/>
      <c r="UVA114" s="15"/>
      <c r="UVB114" s="15"/>
      <c r="UVC114" s="15"/>
      <c r="UVD114" s="15"/>
      <c r="UVE114" s="15"/>
      <c r="UVF114" s="15"/>
      <c r="UVG114" s="15"/>
      <c r="UVH114" s="15"/>
      <c r="UVI114" s="15"/>
      <c r="UVJ114" s="15"/>
      <c r="UVK114" s="15"/>
      <c r="UVL114" s="15"/>
      <c r="UVM114" s="15"/>
      <c r="UVN114" s="15"/>
      <c r="UVO114" s="15"/>
      <c r="UVP114" s="14"/>
      <c r="UVQ114" s="15"/>
      <c r="UVR114" s="15"/>
      <c r="UVS114" s="15"/>
      <c r="UVT114" s="15"/>
      <c r="UVU114" s="15"/>
      <c r="UVV114" s="15"/>
      <c r="UVW114" s="15"/>
      <c r="UVX114" s="15"/>
      <c r="UVY114" s="15"/>
      <c r="UVZ114" s="15"/>
      <c r="UWA114" s="15"/>
      <c r="UWB114" s="15"/>
      <c r="UWC114" s="15"/>
      <c r="UWD114" s="15"/>
      <c r="UWE114" s="15"/>
      <c r="UWF114" s="15"/>
      <c r="UWG114" s="15"/>
      <c r="UWH114" s="15"/>
      <c r="UWI114" s="15"/>
      <c r="UWJ114" s="15"/>
      <c r="UWK114" s="15"/>
      <c r="UWL114" s="14"/>
      <c r="UWM114" s="15"/>
      <c r="UWN114" s="15"/>
      <c r="UWO114" s="15"/>
      <c r="UWP114" s="15"/>
      <c r="UWQ114" s="15"/>
      <c r="UWR114" s="15"/>
      <c r="UWS114" s="15"/>
      <c r="UWT114" s="15"/>
      <c r="UWU114" s="15"/>
      <c r="UWV114" s="15"/>
      <c r="UWW114" s="15"/>
      <c r="UWX114" s="15"/>
      <c r="UWY114" s="15"/>
      <c r="UWZ114" s="15"/>
      <c r="UXA114" s="15"/>
      <c r="UXB114" s="15"/>
      <c r="UXC114" s="15"/>
      <c r="UXD114" s="15"/>
      <c r="UXE114" s="15"/>
      <c r="UXF114" s="15"/>
      <c r="UXG114" s="15"/>
      <c r="UXH114" s="14"/>
      <c r="UXI114" s="15"/>
      <c r="UXJ114" s="15"/>
      <c r="UXK114" s="15"/>
      <c r="UXL114" s="15"/>
      <c r="UXM114" s="15"/>
      <c r="UXN114" s="15"/>
      <c r="UXO114" s="15"/>
      <c r="UXP114" s="15"/>
      <c r="UXQ114" s="15"/>
      <c r="UXR114" s="15"/>
      <c r="UXS114" s="15"/>
      <c r="UXT114" s="15"/>
      <c r="UXU114" s="15"/>
      <c r="UXV114" s="15"/>
      <c r="UXW114" s="15"/>
      <c r="UXX114" s="15"/>
      <c r="UXY114" s="15"/>
      <c r="UXZ114" s="15"/>
      <c r="UYA114" s="15"/>
      <c r="UYB114" s="15"/>
      <c r="UYC114" s="15"/>
      <c r="UYD114" s="14"/>
      <c r="UYE114" s="15"/>
      <c r="UYF114" s="15"/>
      <c r="UYG114" s="15"/>
      <c r="UYH114" s="15"/>
      <c r="UYI114" s="15"/>
      <c r="UYJ114" s="15"/>
      <c r="UYK114" s="15"/>
      <c r="UYL114" s="15"/>
      <c r="UYM114" s="15"/>
      <c r="UYN114" s="15"/>
      <c r="UYO114" s="15"/>
      <c r="UYP114" s="15"/>
      <c r="UYQ114" s="15"/>
      <c r="UYR114" s="15"/>
      <c r="UYS114" s="15"/>
      <c r="UYT114" s="15"/>
      <c r="UYU114" s="15"/>
      <c r="UYV114" s="15"/>
      <c r="UYW114" s="15"/>
      <c r="UYX114" s="15"/>
      <c r="UYY114" s="15"/>
      <c r="UYZ114" s="14"/>
      <c r="UZA114" s="15"/>
      <c r="UZB114" s="15"/>
      <c r="UZC114" s="15"/>
      <c r="UZD114" s="15"/>
      <c r="UZE114" s="15"/>
      <c r="UZF114" s="15"/>
      <c r="UZG114" s="15"/>
      <c r="UZH114" s="15"/>
      <c r="UZI114" s="15"/>
      <c r="UZJ114" s="15"/>
      <c r="UZK114" s="15"/>
      <c r="UZL114" s="15"/>
      <c r="UZM114" s="15"/>
      <c r="UZN114" s="15"/>
      <c r="UZO114" s="15"/>
      <c r="UZP114" s="15"/>
      <c r="UZQ114" s="15"/>
      <c r="UZR114" s="15"/>
      <c r="UZS114" s="15"/>
      <c r="UZT114" s="15"/>
      <c r="UZU114" s="15"/>
      <c r="UZV114" s="14"/>
      <c r="UZW114" s="15"/>
      <c r="UZX114" s="15"/>
      <c r="UZY114" s="15"/>
      <c r="UZZ114" s="15"/>
      <c r="VAA114" s="15"/>
      <c r="VAB114" s="15"/>
      <c r="VAC114" s="15"/>
      <c r="VAD114" s="15"/>
      <c r="VAE114" s="15"/>
      <c r="VAF114" s="15"/>
      <c r="VAG114" s="15"/>
      <c r="VAH114" s="15"/>
      <c r="VAI114" s="15"/>
      <c r="VAJ114" s="15"/>
      <c r="VAK114" s="15"/>
      <c r="VAL114" s="15"/>
      <c r="VAM114" s="15"/>
      <c r="VAN114" s="15"/>
      <c r="VAO114" s="15"/>
      <c r="VAP114" s="15"/>
      <c r="VAQ114" s="15"/>
      <c r="VAR114" s="14"/>
      <c r="VAS114" s="15"/>
      <c r="VAT114" s="15"/>
      <c r="VAU114" s="15"/>
      <c r="VAV114" s="15"/>
      <c r="VAW114" s="15"/>
      <c r="VAX114" s="15"/>
      <c r="VAY114" s="15"/>
      <c r="VAZ114" s="15"/>
      <c r="VBA114" s="15"/>
      <c r="VBB114" s="15"/>
      <c r="VBC114" s="15"/>
      <c r="VBD114" s="15"/>
      <c r="VBE114" s="15"/>
      <c r="VBF114" s="15"/>
      <c r="VBG114" s="15"/>
      <c r="VBH114" s="15"/>
      <c r="VBI114" s="15"/>
      <c r="VBJ114" s="15"/>
      <c r="VBK114" s="15"/>
      <c r="VBL114" s="15"/>
      <c r="VBM114" s="15"/>
      <c r="VBN114" s="14"/>
      <c r="VBO114" s="15"/>
      <c r="VBP114" s="15"/>
      <c r="VBQ114" s="15"/>
      <c r="VBR114" s="15"/>
      <c r="VBS114" s="15"/>
      <c r="VBT114" s="15"/>
      <c r="VBU114" s="15"/>
      <c r="VBV114" s="15"/>
      <c r="VBW114" s="15"/>
      <c r="VBX114" s="15"/>
      <c r="VBY114" s="15"/>
      <c r="VBZ114" s="15"/>
      <c r="VCA114" s="15"/>
      <c r="VCB114" s="15"/>
      <c r="VCC114" s="15"/>
      <c r="VCD114" s="15"/>
      <c r="VCE114" s="15"/>
      <c r="VCF114" s="15"/>
      <c r="VCG114" s="15"/>
      <c r="VCH114" s="15"/>
      <c r="VCI114" s="15"/>
      <c r="VCJ114" s="14"/>
      <c r="VCK114" s="15"/>
      <c r="VCL114" s="15"/>
      <c r="VCM114" s="15"/>
      <c r="VCN114" s="15"/>
      <c r="VCO114" s="15"/>
      <c r="VCP114" s="15"/>
      <c r="VCQ114" s="15"/>
      <c r="VCR114" s="15"/>
      <c r="VCS114" s="15"/>
      <c r="VCT114" s="15"/>
      <c r="VCU114" s="15"/>
      <c r="VCV114" s="15"/>
      <c r="VCW114" s="15"/>
      <c r="VCX114" s="15"/>
      <c r="VCY114" s="15"/>
      <c r="VCZ114" s="15"/>
      <c r="VDA114" s="15"/>
      <c r="VDB114" s="15"/>
      <c r="VDC114" s="15"/>
      <c r="VDD114" s="15"/>
      <c r="VDE114" s="15"/>
      <c r="VDF114" s="14"/>
      <c r="VDG114" s="15"/>
      <c r="VDH114" s="15"/>
      <c r="VDI114" s="15"/>
      <c r="VDJ114" s="15"/>
      <c r="VDK114" s="15"/>
      <c r="VDL114" s="15"/>
      <c r="VDM114" s="15"/>
      <c r="VDN114" s="15"/>
      <c r="VDO114" s="15"/>
      <c r="VDP114" s="15"/>
      <c r="VDQ114" s="15"/>
      <c r="VDR114" s="15"/>
      <c r="VDS114" s="15"/>
      <c r="VDT114" s="15"/>
      <c r="VDU114" s="15"/>
      <c r="VDV114" s="15"/>
      <c r="VDW114" s="15"/>
      <c r="VDX114" s="15"/>
      <c r="VDY114" s="15"/>
      <c r="VDZ114" s="15"/>
      <c r="VEA114" s="15"/>
      <c r="VEB114" s="14"/>
      <c r="VEC114" s="15"/>
      <c r="VED114" s="15"/>
      <c r="VEE114" s="15"/>
      <c r="VEF114" s="15"/>
      <c r="VEG114" s="15"/>
      <c r="VEH114" s="15"/>
      <c r="VEI114" s="15"/>
      <c r="VEJ114" s="15"/>
      <c r="VEK114" s="15"/>
      <c r="VEL114" s="15"/>
      <c r="VEM114" s="15"/>
      <c r="VEN114" s="15"/>
      <c r="VEO114" s="15"/>
      <c r="VEP114" s="15"/>
      <c r="VEQ114" s="15"/>
      <c r="VER114" s="15"/>
      <c r="VES114" s="15"/>
      <c r="VET114" s="15"/>
      <c r="VEU114" s="15"/>
      <c r="VEV114" s="15"/>
      <c r="VEW114" s="15"/>
      <c r="VEX114" s="14"/>
      <c r="VEY114" s="15"/>
      <c r="VEZ114" s="15"/>
      <c r="VFA114" s="15"/>
      <c r="VFB114" s="15"/>
      <c r="VFC114" s="15"/>
      <c r="VFD114" s="15"/>
      <c r="VFE114" s="15"/>
      <c r="VFF114" s="15"/>
      <c r="VFG114" s="15"/>
      <c r="VFH114" s="15"/>
      <c r="VFI114" s="15"/>
      <c r="VFJ114" s="15"/>
      <c r="VFK114" s="15"/>
      <c r="VFL114" s="15"/>
      <c r="VFM114" s="15"/>
      <c r="VFN114" s="15"/>
      <c r="VFO114" s="15"/>
      <c r="VFP114" s="15"/>
      <c r="VFQ114" s="15"/>
      <c r="VFR114" s="15"/>
      <c r="VFS114" s="15"/>
      <c r="VFT114" s="14"/>
      <c r="VFU114" s="15"/>
      <c r="VFV114" s="15"/>
      <c r="VFW114" s="15"/>
      <c r="VFX114" s="15"/>
      <c r="VFY114" s="15"/>
      <c r="VFZ114" s="15"/>
      <c r="VGA114" s="15"/>
      <c r="VGB114" s="15"/>
      <c r="VGC114" s="15"/>
      <c r="VGD114" s="15"/>
      <c r="VGE114" s="15"/>
      <c r="VGF114" s="15"/>
      <c r="VGG114" s="15"/>
      <c r="VGH114" s="15"/>
      <c r="VGI114" s="15"/>
      <c r="VGJ114" s="15"/>
      <c r="VGK114" s="15"/>
      <c r="VGL114" s="15"/>
      <c r="VGM114" s="15"/>
      <c r="VGN114" s="15"/>
      <c r="VGO114" s="15"/>
      <c r="VGP114" s="14"/>
      <c r="VGQ114" s="15"/>
      <c r="VGR114" s="15"/>
      <c r="VGS114" s="15"/>
      <c r="VGT114" s="15"/>
      <c r="VGU114" s="15"/>
      <c r="VGV114" s="15"/>
      <c r="VGW114" s="15"/>
      <c r="VGX114" s="15"/>
      <c r="VGY114" s="15"/>
      <c r="VGZ114" s="15"/>
      <c r="VHA114" s="15"/>
      <c r="VHB114" s="15"/>
      <c r="VHC114" s="15"/>
      <c r="VHD114" s="15"/>
      <c r="VHE114" s="15"/>
      <c r="VHF114" s="15"/>
      <c r="VHG114" s="15"/>
      <c r="VHH114" s="15"/>
      <c r="VHI114" s="15"/>
      <c r="VHJ114" s="15"/>
      <c r="VHK114" s="15"/>
      <c r="VHL114" s="14"/>
      <c r="VHM114" s="15"/>
      <c r="VHN114" s="15"/>
      <c r="VHO114" s="15"/>
      <c r="VHP114" s="15"/>
      <c r="VHQ114" s="15"/>
      <c r="VHR114" s="15"/>
      <c r="VHS114" s="15"/>
      <c r="VHT114" s="15"/>
      <c r="VHU114" s="15"/>
      <c r="VHV114" s="15"/>
      <c r="VHW114" s="15"/>
      <c r="VHX114" s="15"/>
      <c r="VHY114" s="15"/>
      <c r="VHZ114" s="15"/>
      <c r="VIA114" s="15"/>
      <c r="VIB114" s="15"/>
      <c r="VIC114" s="15"/>
      <c r="VID114" s="15"/>
      <c r="VIE114" s="15"/>
      <c r="VIF114" s="15"/>
      <c r="VIG114" s="15"/>
      <c r="VIH114" s="14"/>
      <c r="VII114" s="15"/>
      <c r="VIJ114" s="15"/>
      <c r="VIK114" s="15"/>
      <c r="VIL114" s="15"/>
      <c r="VIM114" s="15"/>
      <c r="VIN114" s="15"/>
      <c r="VIO114" s="15"/>
      <c r="VIP114" s="15"/>
      <c r="VIQ114" s="15"/>
      <c r="VIR114" s="15"/>
      <c r="VIS114" s="15"/>
      <c r="VIT114" s="15"/>
      <c r="VIU114" s="15"/>
      <c r="VIV114" s="15"/>
      <c r="VIW114" s="15"/>
      <c r="VIX114" s="15"/>
      <c r="VIY114" s="15"/>
      <c r="VIZ114" s="15"/>
      <c r="VJA114" s="15"/>
      <c r="VJB114" s="15"/>
      <c r="VJC114" s="15"/>
      <c r="VJD114" s="14"/>
      <c r="VJE114" s="15"/>
      <c r="VJF114" s="15"/>
      <c r="VJG114" s="15"/>
      <c r="VJH114" s="15"/>
      <c r="VJI114" s="15"/>
      <c r="VJJ114" s="15"/>
      <c r="VJK114" s="15"/>
      <c r="VJL114" s="15"/>
      <c r="VJM114" s="15"/>
      <c r="VJN114" s="15"/>
      <c r="VJO114" s="15"/>
      <c r="VJP114" s="15"/>
      <c r="VJQ114" s="15"/>
      <c r="VJR114" s="15"/>
      <c r="VJS114" s="15"/>
      <c r="VJT114" s="15"/>
      <c r="VJU114" s="15"/>
      <c r="VJV114" s="15"/>
      <c r="VJW114" s="15"/>
      <c r="VJX114" s="15"/>
      <c r="VJY114" s="15"/>
      <c r="VJZ114" s="14"/>
      <c r="VKA114" s="15"/>
      <c r="VKB114" s="15"/>
      <c r="VKC114" s="15"/>
      <c r="VKD114" s="15"/>
      <c r="VKE114" s="15"/>
      <c r="VKF114" s="15"/>
      <c r="VKG114" s="15"/>
      <c r="VKH114" s="15"/>
      <c r="VKI114" s="15"/>
      <c r="VKJ114" s="15"/>
      <c r="VKK114" s="15"/>
      <c r="VKL114" s="15"/>
      <c r="VKM114" s="15"/>
      <c r="VKN114" s="15"/>
      <c r="VKO114" s="15"/>
      <c r="VKP114" s="15"/>
      <c r="VKQ114" s="15"/>
      <c r="VKR114" s="15"/>
      <c r="VKS114" s="15"/>
      <c r="VKT114" s="15"/>
      <c r="VKU114" s="15"/>
      <c r="VKV114" s="14"/>
      <c r="VKW114" s="15"/>
      <c r="VKX114" s="15"/>
      <c r="VKY114" s="15"/>
      <c r="VKZ114" s="15"/>
      <c r="VLA114" s="15"/>
      <c r="VLB114" s="15"/>
      <c r="VLC114" s="15"/>
      <c r="VLD114" s="15"/>
      <c r="VLE114" s="15"/>
      <c r="VLF114" s="15"/>
      <c r="VLG114" s="15"/>
      <c r="VLH114" s="15"/>
      <c r="VLI114" s="15"/>
      <c r="VLJ114" s="15"/>
      <c r="VLK114" s="15"/>
      <c r="VLL114" s="15"/>
      <c r="VLM114" s="15"/>
      <c r="VLN114" s="15"/>
      <c r="VLO114" s="15"/>
      <c r="VLP114" s="15"/>
      <c r="VLQ114" s="15"/>
      <c r="VLR114" s="14"/>
      <c r="VLS114" s="15"/>
      <c r="VLT114" s="15"/>
      <c r="VLU114" s="15"/>
      <c r="VLV114" s="15"/>
      <c r="VLW114" s="15"/>
      <c r="VLX114" s="15"/>
      <c r="VLY114" s="15"/>
      <c r="VLZ114" s="15"/>
      <c r="VMA114" s="15"/>
      <c r="VMB114" s="15"/>
      <c r="VMC114" s="15"/>
      <c r="VMD114" s="15"/>
      <c r="VME114" s="15"/>
      <c r="VMF114" s="15"/>
      <c r="VMG114" s="15"/>
      <c r="VMH114" s="15"/>
      <c r="VMI114" s="15"/>
      <c r="VMJ114" s="15"/>
      <c r="VMK114" s="15"/>
      <c r="VML114" s="15"/>
      <c r="VMM114" s="15"/>
      <c r="VMN114" s="14"/>
      <c r="VMO114" s="15"/>
      <c r="VMP114" s="15"/>
      <c r="VMQ114" s="15"/>
      <c r="VMR114" s="15"/>
      <c r="VMS114" s="15"/>
      <c r="VMT114" s="15"/>
      <c r="VMU114" s="15"/>
      <c r="VMV114" s="15"/>
      <c r="VMW114" s="15"/>
      <c r="VMX114" s="15"/>
      <c r="VMY114" s="15"/>
      <c r="VMZ114" s="15"/>
      <c r="VNA114" s="15"/>
      <c r="VNB114" s="15"/>
      <c r="VNC114" s="15"/>
      <c r="VND114" s="15"/>
      <c r="VNE114" s="15"/>
      <c r="VNF114" s="15"/>
      <c r="VNG114" s="15"/>
      <c r="VNH114" s="15"/>
      <c r="VNI114" s="15"/>
      <c r="VNJ114" s="14"/>
      <c r="VNK114" s="15"/>
      <c r="VNL114" s="15"/>
      <c r="VNM114" s="15"/>
      <c r="VNN114" s="15"/>
      <c r="VNO114" s="15"/>
      <c r="VNP114" s="15"/>
      <c r="VNQ114" s="15"/>
      <c r="VNR114" s="15"/>
      <c r="VNS114" s="15"/>
      <c r="VNT114" s="15"/>
      <c r="VNU114" s="15"/>
      <c r="VNV114" s="15"/>
      <c r="VNW114" s="15"/>
      <c r="VNX114" s="15"/>
      <c r="VNY114" s="15"/>
      <c r="VNZ114" s="15"/>
      <c r="VOA114" s="15"/>
      <c r="VOB114" s="15"/>
      <c r="VOC114" s="15"/>
      <c r="VOD114" s="15"/>
      <c r="VOE114" s="15"/>
      <c r="VOF114" s="14"/>
      <c r="VOG114" s="15"/>
      <c r="VOH114" s="15"/>
      <c r="VOI114" s="15"/>
      <c r="VOJ114" s="15"/>
      <c r="VOK114" s="15"/>
      <c r="VOL114" s="15"/>
      <c r="VOM114" s="15"/>
      <c r="VON114" s="15"/>
      <c r="VOO114" s="15"/>
      <c r="VOP114" s="15"/>
      <c r="VOQ114" s="15"/>
      <c r="VOR114" s="15"/>
      <c r="VOS114" s="15"/>
      <c r="VOT114" s="15"/>
      <c r="VOU114" s="15"/>
      <c r="VOV114" s="15"/>
      <c r="VOW114" s="15"/>
      <c r="VOX114" s="15"/>
      <c r="VOY114" s="15"/>
      <c r="VOZ114" s="15"/>
      <c r="VPA114" s="15"/>
      <c r="VPB114" s="14"/>
      <c r="VPC114" s="15"/>
      <c r="VPD114" s="15"/>
      <c r="VPE114" s="15"/>
      <c r="VPF114" s="15"/>
      <c r="VPG114" s="15"/>
      <c r="VPH114" s="15"/>
      <c r="VPI114" s="15"/>
      <c r="VPJ114" s="15"/>
      <c r="VPK114" s="15"/>
      <c r="VPL114" s="15"/>
      <c r="VPM114" s="15"/>
      <c r="VPN114" s="15"/>
      <c r="VPO114" s="15"/>
      <c r="VPP114" s="15"/>
      <c r="VPQ114" s="15"/>
      <c r="VPR114" s="15"/>
      <c r="VPS114" s="15"/>
      <c r="VPT114" s="15"/>
      <c r="VPU114" s="15"/>
      <c r="VPV114" s="15"/>
      <c r="VPW114" s="15"/>
      <c r="VPX114" s="14"/>
      <c r="VPY114" s="15"/>
      <c r="VPZ114" s="15"/>
      <c r="VQA114" s="15"/>
      <c r="VQB114" s="15"/>
      <c r="VQC114" s="15"/>
      <c r="VQD114" s="15"/>
      <c r="VQE114" s="15"/>
      <c r="VQF114" s="15"/>
      <c r="VQG114" s="15"/>
      <c r="VQH114" s="15"/>
      <c r="VQI114" s="15"/>
      <c r="VQJ114" s="15"/>
      <c r="VQK114" s="15"/>
      <c r="VQL114" s="15"/>
      <c r="VQM114" s="15"/>
      <c r="VQN114" s="15"/>
      <c r="VQO114" s="15"/>
      <c r="VQP114" s="15"/>
      <c r="VQQ114" s="15"/>
      <c r="VQR114" s="15"/>
      <c r="VQS114" s="15"/>
      <c r="VQT114" s="14"/>
      <c r="VQU114" s="15"/>
      <c r="VQV114" s="15"/>
      <c r="VQW114" s="15"/>
      <c r="VQX114" s="15"/>
      <c r="VQY114" s="15"/>
      <c r="VQZ114" s="15"/>
      <c r="VRA114" s="15"/>
      <c r="VRB114" s="15"/>
      <c r="VRC114" s="15"/>
      <c r="VRD114" s="15"/>
      <c r="VRE114" s="15"/>
      <c r="VRF114" s="15"/>
      <c r="VRG114" s="15"/>
      <c r="VRH114" s="15"/>
      <c r="VRI114" s="15"/>
      <c r="VRJ114" s="15"/>
      <c r="VRK114" s="15"/>
      <c r="VRL114" s="15"/>
      <c r="VRM114" s="15"/>
      <c r="VRN114" s="15"/>
      <c r="VRO114" s="15"/>
      <c r="VRP114" s="14"/>
      <c r="VRQ114" s="15"/>
      <c r="VRR114" s="15"/>
      <c r="VRS114" s="15"/>
      <c r="VRT114" s="15"/>
      <c r="VRU114" s="15"/>
      <c r="VRV114" s="15"/>
      <c r="VRW114" s="15"/>
      <c r="VRX114" s="15"/>
      <c r="VRY114" s="15"/>
      <c r="VRZ114" s="15"/>
      <c r="VSA114" s="15"/>
      <c r="VSB114" s="15"/>
      <c r="VSC114" s="15"/>
      <c r="VSD114" s="15"/>
      <c r="VSE114" s="15"/>
      <c r="VSF114" s="15"/>
      <c r="VSG114" s="15"/>
      <c r="VSH114" s="15"/>
      <c r="VSI114" s="15"/>
      <c r="VSJ114" s="15"/>
      <c r="VSK114" s="15"/>
      <c r="VSL114" s="14"/>
      <c r="VSM114" s="15"/>
      <c r="VSN114" s="15"/>
      <c r="VSO114" s="15"/>
      <c r="VSP114" s="15"/>
      <c r="VSQ114" s="15"/>
      <c r="VSR114" s="15"/>
      <c r="VSS114" s="15"/>
      <c r="VST114" s="15"/>
      <c r="VSU114" s="15"/>
      <c r="VSV114" s="15"/>
      <c r="VSW114" s="15"/>
      <c r="VSX114" s="15"/>
      <c r="VSY114" s="15"/>
      <c r="VSZ114" s="15"/>
      <c r="VTA114" s="15"/>
      <c r="VTB114" s="15"/>
      <c r="VTC114" s="15"/>
      <c r="VTD114" s="15"/>
      <c r="VTE114" s="15"/>
      <c r="VTF114" s="15"/>
      <c r="VTG114" s="15"/>
      <c r="VTH114" s="14"/>
      <c r="VTI114" s="15"/>
      <c r="VTJ114" s="15"/>
      <c r="VTK114" s="15"/>
      <c r="VTL114" s="15"/>
      <c r="VTM114" s="15"/>
      <c r="VTN114" s="15"/>
      <c r="VTO114" s="15"/>
      <c r="VTP114" s="15"/>
      <c r="VTQ114" s="15"/>
      <c r="VTR114" s="15"/>
      <c r="VTS114" s="15"/>
      <c r="VTT114" s="15"/>
      <c r="VTU114" s="15"/>
      <c r="VTV114" s="15"/>
      <c r="VTW114" s="15"/>
      <c r="VTX114" s="15"/>
      <c r="VTY114" s="15"/>
      <c r="VTZ114" s="15"/>
      <c r="VUA114" s="15"/>
      <c r="VUB114" s="15"/>
      <c r="VUC114" s="15"/>
      <c r="VUD114" s="14"/>
      <c r="VUE114" s="15"/>
      <c r="VUF114" s="15"/>
      <c r="VUG114" s="15"/>
      <c r="VUH114" s="15"/>
      <c r="VUI114" s="15"/>
      <c r="VUJ114" s="15"/>
      <c r="VUK114" s="15"/>
      <c r="VUL114" s="15"/>
      <c r="VUM114" s="15"/>
      <c r="VUN114" s="15"/>
      <c r="VUO114" s="15"/>
      <c r="VUP114" s="15"/>
      <c r="VUQ114" s="15"/>
      <c r="VUR114" s="15"/>
      <c r="VUS114" s="15"/>
      <c r="VUT114" s="15"/>
      <c r="VUU114" s="15"/>
      <c r="VUV114" s="15"/>
      <c r="VUW114" s="15"/>
      <c r="VUX114" s="15"/>
      <c r="VUY114" s="15"/>
      <c r="VUZ114" s="14"/>
      <c r="VVA114" s="15"/>
      <c r="VVB114" s="15"/>
      <c r="VVC114" s="15"/>
      <c r="VVD114" s="15"/>
      <c r="VVE114" s="15"/>
      <c r="VVF114" s="15"/>
      <c r="VVG114" s="15"/>
      <c r="VVH114" s="15"/>
      <c r="VVI114" s="15"/>
      <c r="VVJ114" s="15"/>
      <c r="VVK114" s="15"/>
      <c r="VVL114" s="15"/>
      <c r="VVM114" s="15"/>
      <c r="VVN114" s="15"/>
      <c r="VVO114" s="15"/>
      <c r="VVP114" s="15"/>
      <c r="VVQ114" s="15"/>
      <c r="VVR114" s="15"/>
      <c r="VVS114" s="15"/>
      <c r="VVT114" s="15"/>
      <c r="VVU114" s="15"/>
      <c r="VVV114" s="14"/>
      <c r="VVW114" s="15"/>
      <c r="VVX114" s="15"/>
      <c r="VVY114" s="15"/>
      <c r="VVZ114" s="15"/>
      <c r="VWA114" s="15"/>
      <c r="VWB114" s="15"/>
      <c r="VWC114" s="15"/>
      <c r="VWD114" s="15"/>
      <c r="VWE114" s="15"/>
      <c r="VWF114" s="15"/>
      <c r="VWG114" s="15"/>
      <c r="VWH114" s="15"/>
      <c r="VWI114" s="15"/>
      <c r="VWJ114" s="15"/>
      <c r="VWK114" s="15"/>
      <c r="VWL114" s="15"/>
      <c r="VWM114" s="15"/>
      <c r="VWN114" s="15"/>
      <c r="VWO114" s="15"/>
      <c r="VWP114" s="15"/>
      <c r="VWQ114" s="15"/>
      <c r="VWR114" s="14"/>
      <c r="VWS114" s="15"/>
      <c r="VWT114" s="15"/>
      <c r="VWU114" s="15"/>
      <c r="VWV114" s="15"/>
      <c r="VWW114" s="15"/>
      <c r="VWX114" s="15"/>
      <c r="VWY114" s="15"/>
      <c r="VWZ114" s="15"/>
      <c r="VXA114" s="15"/>
      <c r="VXB114" s="15"/>
      <c r="VXC114" s="15"/>
      <c r="VXD114" s="15"/>
      <c r="VXE114" s="15"/>
      <c r="VXF114" s="15"/>
      <c r="VXG114" s="15"/>
      <c r="VXH114" s="15"/>
      <c r="VXI114" s="15"/>
      <c r="VXJ114" s="15"/>
      <c r="VXK114" s="15"/>
      <c r="VXL114" s="15"/>
      <c r="VXM114" s="15"/>
      <c r="VXN114" s="14"/>
      <c r="VXO114" s="15"/>
      <c r="VXP114" s="15"/>
      <c r="VXQ114" s="15"/>
      <c r="VXR114" s="15"/>
      <c r="VXS114" s="15"/>
      <c r="VXT114" s="15"/>
      <c r="VXU114" s="15"/>
      <c r="VXV114" s="15"/>
      <c r="VXW114" s="15"/>
      <c r="VXX114" s="15"/>
      <c r="VXY114" s="15"/>
      <c r="VXZ114" s="15"/>
      <c r="VYA114" s="15"/>
      <c r="VYB114" s="15"/>
      <c r="VYC114" s="15"/>
      <c r="VYD114" s="15"/>
      <c r="VYE114" s="15"/>
      <c r="VYF114" s="15"/>
      <c r="VYG114" s="15"/>
      <c r="VYH114" s="15"/>
      <c r="VYI114" s="15"/>
      <c r="VYJ114" s="14"/>
      <c r="VYK114" s="15"/>
      <c r="VYL114" s="15"/>
      <c r="VYM114" s="15"/>
      <c r="VYN114" s="15"/>
      <c r="VYO114" s="15"/>
      <c r="VYP114" s="15"/>
      <c r="VYQ114" s="15"/>
      <c r="VYR114" s="15"/>
      <c r="VYS114" s="15"/>
      <c r="VYT114" s="15"/>
      <c r="VYU114" s="15"/>
      <c r="VYV114" s="15"/>
      <c r="VYW114" s="15"/>
      <c r="VYX114" s="15"/>
      <c r="VYY114" s="15"/>
      <c r="VYZ114" s="15"/>
      <c r="VZA114" s="15"/>
      <c r="VZB114" s="15"/>
      <c r="VZC114" s="15"/>
      <c r="VZD114" s="15"/>
      <c r="VZE114" s="15"/>
      <c r="VZF114" s="14"/>
      <c r="VZG114" s="15"/>
      <c r="VZH114" s="15"/>
      <c r="VZI114" s="15"/>
      <c r="VZJ114" s="15"/>
      <c r="VZK114" s="15"/>
      <c r="VZL114" s="15"/>
      <c r="VZM114" s="15"/>
      <c r="VZN114" s="15"/>
      <c r="VZO114" s="15"/>
      <c r="VZP114" s="15"/>
      <c r="VZQ114" s="15"/>
      <c r="VZR114" s="15"/>
      <c r="VZS114" s="15"/>
      <c r="VZT114" s="15"/>
      <c r="VZU114" s="15"/>
      <c r="VZV114" s="15"/>
      <c r="VZW114" s="15"/>
      <c r="VZX114" s="15"/>
      <c r="VZY114" s="15"/>
      <c r="VZZ114" s="15"/>
      <c r="WAA114" s="15"/>
      <c r="WAB114" s="14"/>
      <c r="WAC114" s="15"/>
      <c r="WAD114" s="15"/>
      <c r="WAE114" s="15"/>
      <c r="WAF114" s="15"/>
      <c r="WAG114" s="15"/>
      <c r="WAH114" s="15"/>
      <c r="WAI114" s="15"/>
      <c r="WAJ114" s="15"/>
      <c r="WAK114" s="15"/>
      <c r="WAL114" s="15"/>
      <c r="WAM114" s="15"/>
      <c r="WAN114" s="15"/>
      <c r="WAO114" s="15"/>
      <c r="WAP114" s="15"/>
      <c r="WAQ114" s="15"/>
      <c r="WAR114" s="15"/>
      <c r="WAS114" s="15"/>
      <c r="WAT114" s="15"/>
      <c r="WAU114" s="15"/>
      <c r="WAV114" s="15"/>
      <c r="WAW114" s="15"/>
      <c r="WAX114" s="14"/>
      <c r="WAY114" s="15"/>
      <c r="WAZ114" s="15"/>
      <c r="WBA114" s="15"/>
      <c r="WBB114" s="15"/>
      <c r="WBC114" s="15"/>
      <c r="WBD114" s="15"/>
      <c r="WBE114" s="15"/>
      <c r="WBF114" s="15"/>
      <c r="WBG114" s="15"/>
      <c r="WBH114" s="15"/>
      <c r="WBI114" s="15"/>
      <c r="WBJ114" s="15"/>
      <c r="WBK114" s="15"/>
      <c r="WBL114" s="15"/>
      <c r="WBM114" s="15"/>
      <c r="WBN114" s="15"/>
      <c r="WBO114" s="15"/>
      <c r="WBP114" s="15"/>
      <c r="WBQ114" s="15"/>
      <c r="WBR114" s="15"/>
      <c r="WBS114" s="15"/>
      <c r="WBT114" s="14"/>
      <c r="WBU114" s="15"/>
      <c r="WBV114" s="15"/>
      <c r="WBW114" s="15"/>
      <c r="WBX114" s="15"/>
      <c r="WBY114" s="15"/>
      <c r="WBZ114" s="15"/>
      <c r="WCA114" s="15"/>
      <c r="WCB114" s="15"/>
      <c r="WCC114" s="15"/>
      <c r="WCD114" s="15"/>
      <c r="WCE114" s="15"/>
      <c r="WCF114" s="15"/>
      <c r="WCG114" s="15"/>
      <c r="WCH114" s="15"/>
      <c r="WCI114" s="15"/>
      <c r="WCJ114" s="15"/>
      <c r="WCK114" s="15"/>
      <c r="WCL114" s="15"/>
      <c r="WCM114" s="15"/>
      <c r="WCN114" s="15"/>
      <c r="WCO114" s="15"/>
      <c r="WCP114" s="14"/>
      <c r="WCQ114" s="15"/>
      <c r="WCR114" s="15"/>
      <c r="WCS114" s="15"/>
      <c r="WCT114" s="15"/>
      <c r="WCU114" s="15"/>
      <c r="WCV114" s="15"/>
      <c r="WCW114" s="15"/>
      <c r="WCX114" s="15"/>
      <c r="WCY114" s="15"/>
      <c r="WCZ114" s="15"/>
      <c r="WDA114" s="15"/>
      <c r="WDB114" s="15"/>
      <c r="WDC114" s="15"/>
      <c r="WDD114" s="15"/>
      <c r="WDE114" s="15"/>
      <c r="WDF114" s="15"/>
      <c r="WDG114" s="15"/>
      <c r="WDH114" s="15"/>
      <c r="WDI114" s="15"/>
      <c r="WDJ114" s="15"/>
      <c r="WDK114" s="15"/>
      <c r="WDL114" s="14"/>
      <c r="WDM114" s="15"/>
      <c r="WDN114" s="15"/>
      <c r="WDO114" s="15"/>
      <c r="WDP114" s="15"/>
      <c r="WDQ114" s="15"/>
      <c r="WDR114" s="15"/>
      <c r="WDS114" s="15"/>
      <c r="WDT114" s="15"/>
      <c r="WDU114" s="15"/>
      <c r="WDV114" s="15"/>
      <c r="WDW114" s="15"/>
      <c r="WDX114" s="15"/>
      <c r="WDY114" s="15"/>
      <c r="WDZ114" s="15"/>
      <c r="WEA114" s="15"/>
      <c r="WEB114" s="15"/>
      <c r="WEC114" s="15"/>
      <c r="WED114" s="15"/>
      <c r="WEE114" s="15"/>
      <c r="WEF114" s="15"/>
      <c r="WEG114" s="15"/>
      <c r="WEH114" s="14"/>
      <c r="WEI114" s="15"/>
      <c r="WEJ114" s="15"/>
      <c r="WEK114" s="15"/>
      <c r="WEL114" s="15"/>
      <c r="WEM114" s="15"/>
      <c r="WEN114" s="15"/>
      <c r="WEO114" s="15"/>
      <c r="WEP114" s="15"/>
      <c r="WEQ114" s="15"/>
      <c r="WER114" s="15"/>
      <c r="WES114" s="15"/>
      <c r="WET114" s="15"/>
      <c r="WEU114" s="15"/>
      <c r="WEV114" s="15"/>
      <c r="WEW114" s="15"/>
      <c r="WEX114" s="15"/>
      <c r="WEY114" s="15"/>
      <c r="WEZ114" s="15"/>
      <c r="WFA114" s="15"/>
      <c r="WFB114" s="15"/>
      <c r="WFC114" s="15"/>
      <c r="WFD114" s="14"/>
      <c r="WFE114" s="15"/>
      <c r="WFF114" s="15"/>
      <c r="WFG114" s="15"/>
      <c r="WFH114" s="15"/>
      <c r="WFI114" s="15"/>
      <c r="WFJ114" s="15"/>
      <c r="WFK114" s="15"/>
      <c r="WFL114" s="15"/>
      <c r="WFM114" s="15"/>
      <c r="WFN114" s="15"/>
      <c r="WFO114" s="15"/>
      <c r="WFP114" s="15"/>
      <c r="WFQ114" s="15"/>
      <c r="WFR114" s="15"/>
      <c r="WFS114" s="15"/>
      <c r="WFT114" s="15"/>
      <c r="WFU114" s="15"/>
      <c r="WFV114" s="15"/>
      <c r="WFW114" s="15"/>
      <c r="WFX114" s="15"/>
      <c r="WFY114" s="15"/>
      <c r="WFZ114" s="14"/>
      <c r="WGA114" s="15"/>
      <c r="WGB114" s="15"/>
      <c r="WGC114" s="15"/>
      <c r="WGD114" s="15"/>
      <c r="WGE114" s="15"/>
      <c r="WGF114" s="15"/>
      <c r="WGG114" s="15"/>
      <c r="WGH114" s="15"/>
      <c r="WGI114" s="15"/>
      <c r="WGJ114" s="15"/>
      <c r="WGK114" s="15"/>
      <c r="WGL114" s="15"/>
      <c r="WGM114" s="15"/>
      <c r="WGN114" s="15"/>
      <c r="WGO114" s="15"/>
      <c r="WGP114" s="15"/>
      <c r="WGQ114" s="15"/>
      <c r="WGR114" s="15"/>
      <c r="WGS114" s="15"/>
      <c r="WGT114" s="15"/>
      <c r="WGU114" s="15"/>
      <c r="WGV114" s="14"/>
      <c r="WGW114" s="15"/>
      <c r="WGX114" s="15"/>
      <c r="WGY114" s="15"/>
      <c r="WGZ114" s="15"/>
      <c r="WHA114" s="15"/>
      <c r="WHB114" s="15"/>
      <c r="WHC114" s="15"/>
      <c r="WHD114" s="15"/>
      <c r="WHE114" s="15"/>
      <c r="WHF114" s="15"/>
      <c r="WHG114" s="15"/>
      <c r="WHH114" s="15"/>
      <c r="WHI114" s="15"/>
      <c r="WHJ114" s="15"/>
      <c r="WHK114" s="15"/>
      <c r="WHL114" s="15"/>
      <c r="WHM114" s="15"/>
      <c r="WHN114" s="15"/>
      <c r="WHO114" s="15"/>
      <c r="WHP114" s="15"/>
      <c r="WHQ114" s="15"/>
      <c r="WHR114" s="14"/>
      <c r="WHS114" s="15"/>
      <c r="WHT114" s="15"/>
      <c r="WHU114" s="15"/>
      <c r="WHV114" s="15"/>
      <c r="WHW114" s="15"/>
      <c r="WHX114" s="15"/>
      <c r="WHY114" s="15"/>
      <c r="WHZ114" s="15"/>
      <c r="WIA114" s="15"/>
      <c r="WIB114" s="15"/>
      <c r="WIC114" s="15"/>
      <c r="WID114" s="15"/>
      <c r="WIE114" s="15"/>
      <c r="WIF114" s="15"/>
      <c r="WIG114" s="15"/>
      <c r="WIH114" s="15"/>
      <c r="WII114" s="15"/>
      <c r="WIJ114" s="15"/>
      <c r="WIK114" s="15"/>
      <c r="WIL114" s="15"/>
      <c r="WIM114" s="15"/>
      <c r="WIN114" s="14"/>
      <c r="WIO114" s="15"/>
      <c r="WIP114" s="15"/>
      <c r="WIQ114" s="15"/>
      <c r="WIR114" s="15"/>
      <c r="WIS114" s="15"/>
      <c r="WIT114" s="15"/>
      <c r="WIU114" s="15"/>
      <c r="WIV114" s="15"/>
      <c r="WIW114" s="15"/>
      <c r="WIX114" s="15"/>
      <c r="WIY114" s="15"/>
      <c r="WIZ114" s="15"/>
      <c r="WJA114" s="15"/>
      <c r="WJB114" s="15"/>
      <c r="WJC114" s="15"/>
      <c r="WJD114" s="15"/>
      <c r="WJE114" s="15"/>
      <c r="WJF114" s="15"/>
      <c r="WJG114" s="15"/>
      <c r="WJH114" s="15"/>
      <c r="WJI114" s="15"/>
      <c r="WJJ114" s="14"/>
      <c r="WJK114" s="15"/>
      <c r="WJL114" s="15"/>
      <c r="WJM114" s="15"/>
      <c r="WJN114" s="15"/>
      <c r="WJO114" s="15"/>
      <c r="WJP114" s="15"/>
      <c r="WJQ114" s="15"/>
      <c r="WJR114" s="15"/>
      <c r="WJS114" s="15"/>
      <c r="WJT114" s="15"/>
      <c r="WJU114" s="15"/>
      <c r="WJV114" s="15"/>
      <c r="WJW114" s="15"/>
      <c r="WJX114" s="15"/>
      <c r="WJY114" s="15"/>
      <c r="WJZ114" s="15"/>
      <c r="WKA114" s="15"/>
      <c r="WKB114" s="15"/>
      <c r="WKC114" s="15"/>
      <c r="WKD114" s="15"/>
      <c r="WKE114" s="15"/>
      <c r="WKF114" s="14"/>
      <c r="WKG114" s="15"/>
      <c r="WKH114" s="15"/>
      <c r="WKI114" s="15"/>
      <c r="WKJ114" s="15"/>
      <c r="WKK114" s="15"/>
      <c r="WKL114" s="15"/>
      <c r="WKM114" s="15"/>
      <c r="WKN114" s="15"/>
      <c r="WKO114" s="15"/>
      <c r="WKP114" s="15"/>
      <c r="WKQ114" s="15"/>
      <c r="WKR114" s="15"/>
      <c r="WKS114" s="15"/>
      <c r="WKT114" s="15"/>
      <c r="WKU114" s="15"/>
      <c r="WKV114" s="15"/>
      <c r="WKW114" s="15"/>
      <c r="WKX114" s="15"/>
      <c r="WKY114" s="15"/>
      <c r="WKZ114" s="15"/>
      <c r="WLA114" s="15"/>
      <c r="WLB114" s="14"/>
      <c r="WLC114" s="15"/>
      <c r="WLD114" s="15"/>
      <c r="WLE114" s="15"/>
      <c r="WLF114" s="15"/>
      <c r="WLG114" s="15"/>
      <c r="WLH114" s="15"/>
      <c r="WLI114" s="15"/>
      <c r="WLJ114" s="15"/>
      <c r="WLK114" s="15"/>
      <c r="WLL114" s="15"/>
      <c r="WLM114" s="15"/>
      <c r="WLN114" s="15"/>
      <c r="WLO114" s="15"/>
      <c r="WLP114" s="15"/>
      <c r="WLQ114" s="15"/>
      <c r="WLR114" s="15"/>
      <c r="WLS114" s="15"/>
      <c r="WLT114" s="15"/>
      <c r="WLU114" s="15"/>
      <c r="WLV114" s="15"/>
      <c r="WLW114" s="15"/>
      <c r="WLX114" s="14"/>
      <c r="WLY114" s="15"/>
      <c r="WLZ114" s="15"/>
      <c r="WMA114" s="15"/>
      <c r="WMB114" s="15"/>
      <c r="WMC114" s="15"/>
      <c r="WMD114" s="15"/>
      <c r="WME114" s="15"/>
      <c r="WMF114" s="15"/>
      <c r="WMG114" s="15"/>
      <c r="WMH114" s="15"/>
      <c r="WMI114" s="15"/>
      <c r="WMJ114" s="15"/>
      <c r="WMK114" s="15"/>
      <c r="WML114" s="15"/>
      <c r="WMM114" s="15"/>
      <c r="WMN114" s="15"/>
      <c r="WMO114" s="15"/>
      <c r="WMP114" s="15"/>
      <c r="WMQ114" s="15"/>
      <c r="WMR114" s="15"/>
      <c r="WMS114" s="15"/>
      <c r="WMT114" s="14"/>
      <c r="WMU114" s="15"/>
      <c r="WMV114" s="15"/>
      <c r="WMW114" s="15"/>
      <c r="WMX114" s="15"/>
      <c r="WMY114" s="15"/>
      <c r="WMZ114" s="15"/>
      <c r="WNA114" s="15"/>
      <c r="WNB114" s="15"/>
      <c r="WNC114" s="15"/>
      <c r="WND114" s="15"/>
      <c r="WNE114" s="15"/>
      <c r="WNF114" s="15"/>
      <c r="WNG114" s="15"/>
      <c r="WNH114" s="15"/>
      <c r="WNI114" s="15"/>
      <c r="WNJ114" s="15"/>
      <c r="WNK114" s="15"/>
      <c r="WNL114" s="15"/>
      <c r="WNM114" s="15"/>
      <c r="WNN114" s="15"/>
      <c r="WNO114" s="15"/>
      <c r="WNP114" s="14"/>
      <c r="WNQ114" s="15"/>
      <c r="WNR114" s="15"/>
      <c r="WNS114" s="15"/>
      <c r="WNT114" s="15"/>
      <c r="WNU114" s="15"/>
      <c r="WNV114" s="15"/>
      <c r="WNW114" s="15"/>
      <c r="WNX114" s="15"/>
      <c r="WNY114" s="15"/>
      <c r="WNZ114" s="15"/>
      <c r="WOA114" s="15"/>
      <c r="WOB114" s="15"/>
      <c r="WOC114" s="15"/>
      <c r="WOD114" s="15"/>
      <c r="WOE114" s="15"/>
      <c r="WOF114" s="15"/>
      <c r="WOG114" s="15"/>
      <c r="WOH114" s="15"/>
      <c r="WOI114" s="15"/>
      <c r="WOJ114" s="15"/>
      <c r="WOK114" s="15"/>
      <c r="WOL114" s="14"/>
      <c r="WOM114" s="15"/>
      <c r="WON114" s="15"/>
      <c r="WOO114" s="15"/>
      <c r="WOP114" s="15"/>
      <c r="WOQ114" s="15"/>
      <c r="WOR114" s="15"/>
      <c r="WOS114" s="15"/>
      <c r="WOT114" s="15"/>
      <c r="WOU114" s="15"/>
      <c r="WOV114" s="15"/>
      <c r="WOW114" s="15"/>
      <c r="WOX114" s="15"/>
      <c r="WOY114" s="15"/>
      <c r="WOZ114" s="15"/>
      <c r="WPA114" s="15"/>
      <c r="WPB114" s="15"/>
      <c r="WPC114" s="15"/>
      <c r="WPD114" s="15"/>
      <c r="WPE114" s="15"/>
      <c r="WPF114" s="15"/>
      <c r="WPG114" s="15"/>
      <c r="WPH114" s="14"/>
      <c r="WPI114" s="15"/>
      <c r="WPJ114" s="15"/>
      <c r="WPK114" s="15"/>
      <c r="WPL114" s="15"/>
      <c r="WPM114" s="15"/>
      <c r="WPN114" s="15"/>
      <c r="WPO114" s="15"/>
      <c r="WPP114" s="15"/>
      <c r="WPQ114" s="15"/>
      <c r="WPR114" s="15"/>
      <c r="WPS114" s="15"/>
      <c r="WPT114" s="15"/>
      <c r="WPU114" s="15"/>
      <c r="WPV114" s="15"/>
      <c r="WPW114" s="15"/>
      <c r="WPX114" s="15"/>
      <c r="WPY114" s="15"/>
      <c r="WPZ114" s="15"/>
      <c r="WQA114" s="15"/>
      <c r="WQB114" s="15"/>
      <c r="WQC114" s="15"/>
      <c r="WQD114" s="14"/>
      <c r="WQE114" s="15"/>
      <c r="WQF114" s="15"/>
      <c r="WQG114" s="15"/>
      <c r="WQH114" s="15"/>
      <c r="WQI114" s="15"/>
      <c r="WQJ114" s="15"/>
      <c r="WQK114" s="15"/>
      <c r="WQL114" s="15"/>
      <c r="WQM114" s="15"/>
      <c r="WQN114" s="15"/>
      <c r="WQO114" s="15"/>
      <c r="WQP114" s="15"/>
      <c r="WQQ114" s="15"/>
      <c r="WQR114" s="15"/>
      <c r="WQS114" s="15"/>
      <c r="WQT114" s="15"/>
      <c r="WQU114" s="15"/>
      <c r="WQV114" s="15"/>
      <c r="WQW114" s="15"/>
      <c r="WQX114" s="15"/>
      <c r="WQY114" s="15"/>
      <c r="WQZ114" s="14"/>
      <c r="WRA114" s="15"/>
      <c r="WRB114" s="15"/>
      <c r="WRC114" s="15"/>
      <c r="WRD114" s="15"/>
      <c r="WRE114" s="15"/>
      <c r="WRF114" s="15"/>
      <c r="WRG114" s="15"/>
      <c r="WRH114" s="15"/>
      <c r="WRI114" s="15"/>
      <c r="WRJ114" s="15"/>
      <c r="WRK114" s="15"/>
      <c r="WRL114" s="15"/>
      <c r="WRM114" s="15"/>
      <c r="WRN114" s="15"/>
      <c r="WRO114" s="15"/>
      <c r="WRP114" s="15"/>
      <c r="WRQ114" s="15"/>
      <c r="WRR114" s="15"/>
      <c r="WRS114" s="15"/>
      <c r="WRT114" s="15"/>
      <c r="WRU114" s="15"/>
      <c r="WRV114" s="14"/>
      <c r="WRW114" s="15"/>
      <c r="WRX114" s="15"/>
      <c r="WRY114" s="15"/>
      <c r="WRZ114" s="15"/>
      <c r="WSA114" s="15"/>
      <c r="WSB114" s="15"/>
      <c r="WSC114" s="15"/>
      <c r="WSD114" s="15"/>
      <c r="WSE114" s="15"/>
      <c r="WSF114" s="15"/>
      <c r="WSG114" s="15"/>
      <c r="WSH114" s="15"/>
      <c r="WSI114" s="15"/>
      <c r="WSJ114" s="15"/>
      <c r="WSK114" s="15"/>
      <c r="WSL114" s="15"/>
      <c r="WSM114" s="15"/>
      <c r="WSN114" s="15"/>
      <c r="WSO114" s="15"/>
      <c r="WSP114" s="15"/>
      <c r="WSQ114" s="15"/>
      <c r="WSR114" s="14"/>
      <c r="WSS114" s="15"/>
      <c r="WST114" s="15"/>
      <c r="WSU114" s="15"/>
      <c r="WSV114" s="15"/>
      <c r="WSW114" s="15"/>
      <c r="WSX114" s="15"/>
      <c r="WSY114" s="15"/>
      <c r="WSZ114" s="15"/>
      <c r="WTA114" s="15"/>
      <c r="WTB114" s="15"/>
      <c r="WTC114" s="15"/>
      <c r="WTD114" s="15"/>
      <c r="WTE114" s="15"/>
      <c r="WTF114" s="15"/>
      <c r="WTG114" s="15"/>
      <c r="WTH114" s="15"/>
      <c r="WTI114" s="15"/>
      <c r="WTJ114" s="15"/>
      <c r="WTK114" s="15"/>
      <c r="WTL114" s="15"/>
      <c r="WTM114" s="15"/>
      <c r="WTN114" s="14"/>
      <c r="WTO114" s="15"/>
      <c r="WTP114" s="15"/>
      <c r="WTQ114" s="15"/>
      <c r="WTR114" s="15"/>
      <c r="WTS114" s="15"/>
      <c r="WTT114" s="15"/>
      <c r="WTU114" s="15"/>
      <c r="WTV114" s="15"/>
      <c r="WTW114" s="15"/>
      <c r="WTX114" s="15"/>
      <c r="WTY114" s="15"/>
      <c r="WTZ114" s="15"/>
      <c r="WUA114" s="15"/>
      <c r="WUB114" s="15"/>
      <c r="WUC114" s="15"/>
      <c r="WUD114" s="15"/>
      <c r="WUE114" s="15"/>
      <c r="WUF114" s="15"/>
      <c r="WUG114" s="15"/>
      <c r="WUH114" s="15"/>
      <c r="WUI114" s="15"/>
      <c r="WUJ114" s="14"/>
      <c r="WUK114" s="15"/>
      <c r="WUL114" s="15"/>
      <c r="WUM114" s="15"/>
      <c r="WUN114" s="15"/>
      <c r="WUO114" s="15"/>
      <c r="WUP114" s="15"/>
      <c r="WUQ114" s="15"/>
      <c r="WUR114" s="15"/>
      <c r="WUS114" s="15"/>
      <c r="WUT114" s="15"/>
      <c r="WUU114" s="15"/>
      <c r="WUV114" s="15"/>
      <c r="WUW114" s="15"/>
      <c r="WUX114" s="15"/>
      <c r="WUY114" s="15"/>
      <c r="WUZ114" s="15"/>
      <c r="WVA114" s="15"/>
      <c r="WVB114" s="15"/>
      <c r="WVC114" s="15"/>
      <c r="WVD114" s="15"/>
      <c r="WVE114" s="15"/>
      <c r="WVF114" s="14"/>
      <c r="WVG114" s="15"/>
      <c r="WVH114" s="15"/>
      <c r="WVI114" s="15"/>
      <c r="WVJ114" s="15"/>
      <c r="WVK114" s="15"/>
      <c r="WVL114" s="15"/>
      <c r="WVM114" s="15"/>
      <c r="WVN114" s="15"/>
      <c r="WVO114" s="15"/>
      <c r="WVP114" s="15"/>
      <c r="WVQ114" s="15"/>
      <c r="WVR114" s="15"/>
      <c r="WVS114" s="15"/>
      <c r="WVT114" s="15"/>
      <c r="WVU114" s="15"/>
      <c r="WVV114" s="15"/>
      <c r="WVW114" s="15"/>
      <c r="WVX114" s="15"/>
      <c r="WVY114" s="15"/>
      <c r="WVZ114" s="15"/>
      <c r="WWA114" s="15"/>
      <c r="WWB114" s="14"/>
      <c r="WWC114" s="15"/>
      <c r="WWD114" s="15"/>
      <c r="WWE114" s="15"/>
      <c r="WWF114" s="15"/>
      <c r="WWG114" s="15"/>
      <c r="WWH114" s="15"/>
      <c r="WWI114" s="15"/>
      <c r="WWJ114" s="15"/>
      <c r="WWK114" s="15"/>
      <c r="WWL114" s="15"/>
      <c r="WWM114" s="15"/>
      <c r="WWN114" s="15"/>
      <c r="WWO114" s="15"/>
      <c r="WWP114" s="15"/>
      <c r="WWQ114" s="15"/>
      <c r="WWR114" s="15"/>
      <c r="WWS114" s="15"/>
      <c r="WWT114" s="15"/>
      <c r="WWU114" s="15"/>
      <c r="WWV114" s="15"/>
      <c r="WWW114" s="15"/>
      <c r="WWX114" s="14"/>
      <c r="WWY114" s="15"/>
      <c r="WWZ114" s="15"/>
      <c r="WXA114" s="15"/>
      <c r="WXB114" s="15"/>
      <c r="WXC114" s="15"/>
      <c r="WXD114" s="15"/>
      <c r="WXE114" s="15"/>
      <c r="WXF114" s="15"/>
      <c r="WXG114" s="15"/>
      <c r="WXH114" s="15"/>
      <c r="WXI114" s="15"/>
      <c r="WXJ114" s="15"/>
      <c r="WXK114" s="15"/>
      <c r="WXL114" s="15"/>
      <c r="WXM114" s="15"/>
      <c r="WXN114" s="15"/>
      <c r="WXO114" s="15"/>
      <c r="WXP114" s="15"/>
      <c r="WXQ114" s="15"/>
      <c r="WXR114" s="15"/>
      <c r="WXS114" s="15"/>
      <c r="WXT114" s="14"/>
      <c r="WXU114" s="15"/>
      <c r="WXV114" s="15"/>
      <c r="WXW114" s="15"/>
      <c r="WXX114" s="15"/>
      <c r="WXY114" s="15"/>
      <c r="WXZ114" s="15"/>
      <c r="WYA114" s="15"/>
      <c r="WYB114" s="15"/>
      <c r="WYC114" s="15"/>
      <c r="WYD114" s="15"/>
      <c r="WYE114" s="15"/>
      <c r="WYF114" s="15"/>
      <c r="WYG114" s="15"/>
      <c r="WYH114" s="15"/>
      <c r="WYI114" s="15"/>
      <c r="WYJ114" s="15"/>
      <c r="WYK114" s="15"/>
      <c r="WYL114" s="15"/>
      <c r="WYM114" s="15"/>
      <c r="WYN114" s="15"/>
      <c r="WYO114" s="15"/>
      <c r="WYP114" s="14"/>
      <c r="WYQ114" s="15"/>
      <c r="WYR114" s="15"/>
      <c r="WYS114" s="15"/>
      <c r="WYT114" s="15"/>
      <c r="WYU114" s="15"/>
      <c r="WYV114" s="15"/>
      <c r="WYW114" s="15"/>
      <c r="WYX114" s="15"/>
      <c r="WYY114" s="15"/>
      <c r="WYZ114" s="15"/>
      <c r="WZA114" s="15"/>
      <c r="WZB114" s="15"/>
      <c r="WZC114" s="15"/>
      <c r="WZD114" s="15"/>
      <c r="WZE114" s="15"/>
      <c r="WZF114" s="15"/>
      <c r="WZG114" s="15"/>
      <c r="WZH114" s="15"/>
      <c r="WZI114" s="15"/>
      <c r="WZJ114" s="15"/>
      <c r="WZK114" s="15"/>
      <c r="WZL114" s="14"/>
      <c r="WZM114" s="15"/>
      <c r="WZN114" s="15"/>
      <c r="WZO114" s="15"/>
      <c r="WZP114" s="15"/>
      <c r="WZQ114" s="15"/>
      <c r="WZR114" s="15"/>
      <c r="WZS114" s="15"/>
      <c r="WZT114" s="15"/>
      <c r="WZU114" s="15"/>
      <c r="WZV114" s="15"/>
      <c r="WZW114" s="15"/>
      <c r="WZX114" s="15"/>
      <c r="WZY114" s="15"/>
      <c r="WZZ114" s="15"/>
      <c r="XAA114" s="15"/>
      <c r="XAB114" s="15"/>
      <c r="XAC114" s="15"/>
      <c r="XAD114" s="15"/>
      <c r="XAE114" s="15"/>
      <c r="XAF114" s="15"/>
      <c r="XAG114" s="15"/>
      <c r="XAH114" s="14"/>
      <c r="XAI114" s="15"/>
      <c r="XAJ114" s="15"/>
      <c r="XAK114" s="15"/>
      <c r="XAL114" s="15"/>
      <c r="XAM114" s="15"/>
      <c r="XAN114" s="15"/>
      <c r="XAO114" s="15"/>
      <c r="XAP114" s="15"/>
      <c r="XAQ114" s="15"/>
      <c r="XAR114" s="15"/>
      <c r="XAS114" s="15"/>
      <c r="XAT114" s="15"/>
      <c r="XAU114" s="15"/>
      <c r="XAV114" s="15"/>
      <c r="XAW114" s="15"/>
      <c r="XAX114" s="15"/>
      <c r="XAY114" s="15"/>
      <c r="XAZ114" s="15"/>
      <c r="XBA114" s="15"/>
      <c r="XBB114" s="15"/>
      <c r="XBC114" s="15"/>
      <c r="XBD114" s="14"/>
      <c r="XBE114" s="15"/>
      <c r="XBF114" s="15"/>
      <c r="XBG114" s="15"/>
      <c r="XBH114" s="15"/>
      <c r="XBI114" s="15"/>
      <c r="XBJ114" s="15"/>
      <c r="XBK114" s="15"/>
      <c r="XBL114" s="15"/>
      <c r="XBM114" s="15"/>
      <c r="XBN114" s="15"/>
      <c r="XBO114" s="15"/>
      <c r="XBP114" s="15"/>
      <c r="XBQ114" s="15"/>
      <c r="XBR114" s="15"/>
      <c r="XBS114" s="15"/>
      <c r="XBT114" s="15"/>
      <c r="XBU114" s="15"/>
      <c r="XBV114" s="15"/>
      <c r="XBW114" s="15"/>
      <c r="XBX114" s="15"/>
      <c r="XBY114" s="15"/>
      <c r="XBZ114" s="14"/>
      <c r="XCA114" s="15"/>
      <c r="XCB114" s="15"/>
      <c r="XCC114" s="15"/>
      <c r="XCD114" s="15"/>
      <c r="XCE114" s="15"/>
      <c r="XCF114" s="15"/>
      <c r="XCG114" s="15"/>
      <c r="XCH114" s="15"/>
      <c r="XCI114" s="15"/>
      <c r="XCJ114" s="15"/>
      <c r="XCK114" s="15"/>
      <c r="XCL114" s="15"/>
      <c r="XCM114" s="15"/>
      <c r="XCN114" s="15"/>
      <c r="XCO114" s="15"/>
      <c r="XCP114" s="15"/>
      <c r="XCQ114" s="15"/>
      <c r="XCR114" s="15"/>
      <c r="XCS114" s="15"/>
      <c r="XCT114" s="15"/>
      <c r="XCU114" s="15"/>
      <c r="XCV114" s="14"/>
      <c r="XCW114" s="15"/>
      <c r="XCX114" s="15"/>
      <c r="XCY114" s="15"/>
      <c r="XCZ114" s="15"/>
      <c r="XDA114" s="15"/>
      <c r="XDB114" s="15"/>
      <c r="XDC114" s="15"/>
      <c r="XDD114" s="15"/>
      <c r="XDE114" s="15"/>
      <c r="XDF114" s="15"/>
      <c r="XDG114" s="15"/>
      <c r="XDH114" s="15"/>
      <c r="XDI114" s="15"/>
      <c r="XDJ114" s="15"/>
      <c r="XDK114" s="15"/>
      <c r="XDL114" s="15"/>
      <c r="XDM114" s="15"/>
      <c r="XDN114" s="15"/>
      <c r="XDO114" s="15"/>
      <c r="XDP114" s="15"/>
      <c r="XDQ114" s="15"/>
      <c r="XDR114" s="14"/>
      <c r="XDS114" s="15"/>
      <c r="XDT114" s="15"/>
      <c r="XDU114" s="15"/>
      <c r="XDV114" s="15"/>
      <c r="XDW114" s="15"/>
      <c r="XDX114" s="15"/>
      <c r="XDY114" s="15"/>
      <c r="XDZ114" s="15"/>
      <c r="XEA114" s="15"/>
      <c r="XEB114" s="15"/>
      <c r="XEC114" s="15"/>
      <c r="XED114" s="15"/>
      <c r="XEE114" s="15"/>
      <c r="XEF114" s="15"/>
      <c r="XEG114" s="15"/>
      <c r="XEH114" s="15"/>
      <c r="XEI114" s="15"/>
      <c r="XEJ114" s="15"/>
      <c r="XEK114" s="15"/>
      <c r="XEL114" s="15"/>
      <c r="XEM114" s="15"/>
      <c r="XEN114" s="14"/>
      <c r="XEO114" s="14"/>
      <c r="XEP114" s="14"/>
      <c r="XEQ114" s="14"/>
      <c r="XER114" s="14"/>
      <c r="XES114" s="14"/>
      <c r="XET114" s="14"/>
      <c r="XEU114" s="14"/>
      <c r="XEV114" s="14"/>
      <c r="XEW114" s="14"/>
      <c r="XEX114" s="14"/>
      <c r="XEY114" s="14"/>
      <c r="XEZ114" s="14"/>
      <c r="XFA114" s="14"/>
      <c r="XFB114" s="14"/>
      <c r="XFC114" s="14"/>
    </row>
    <row r="115" spans="1:16383" s="13" customFormat="1" ht="45.75" customHeight="1" thickTop="1" thickBot="1">
      <c r="A115" s="14"/>
      <c r="B115" s="10"/>
      <c r="C115" s="20" t="s">
        <v>15</v>
      </c>
      <c r="D115" s="20" t="s">
        <v>37</v>
      </c>
      <c r="E115" s="20" t="s">
        <v>38</v>
      </c>
      <c r="F115" s="20" t="s">
        <v>39</v>
      </c>
      <c r="G115" s="21" t="s">
        <v>40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4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4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4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4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4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4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4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4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4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4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  <c r="IX115" s="15"/>
      <c r="IY115" s="15"/>
      <c r="IZ115" s="15"/>
      <c r="JA115" s="15"/>
      <c r="JB115" s="15"/>
      <c r="JC115" s="15"/>
      <c r="JD115" s="14"/>
      <c r="JE115" s="15"/>
      <c r="JF115" s="15"/>
      <c r="JG115" s="15"/>
      <c r="JH115" s="15"/>
      <c r="JI115" s="15"/>
      <c r="JJ115" s="15"/>
      <c r="JK115" s="15"/>
      <c r="JL115" s="15"/>
      <c r="JM115" s="15"/>
      <c r="JN115" s="15"/>
      <c r="JO115" s="15"/>
      <c r="JP115" s="15"/>
      <c r="JQ115" s="15"/>
      <c r="JR115" s="15"/>
      <c r="JS115" s="15"/>
      <c r="JT115" s="15"/>
      <c r="JU115" s="15"/>
      <c r="JV115" s="15"/>
      <c r="JW115" s="15"/>
      <c r="JX115" s="15"/>
      <c r="JY115" s="15"/>
      <c r="JZ115" s="14"/>
      <c r="KA115" s="15"/>
      <c r="KB115" s="15"/>
      <c r="KC115" s="15"/>
      <c r="KD115" s="15"/>
      <c r="KE115" s="15"/>
      <c r="KF115" s="15"/>
      <c r="KG115" s="15"/>
      <c r="KH115" s="15"/>
      <c r="KI115" s="15"/>
      <c r="KJ115" s="15"/>
      <c r="KK115" s="15"/>
      <c r="KL115" s="15"/>
      <c r="KM115" s="15"/>
      <c r="KN115" s="15"/>
      <c r="KO115" s="15"/>
      <c r="KP115" s="15"/>
      <c r="KQ115" s="15"/>
      <c r="KR115" s="15"/>
      <c r="KS115" s="15"/>
      <c r="KT115" s="15"/>
      <c r="KU115" s="15"/>
      <c r="KV115" s="14"/>
      <c r="KW115" s="15"/>
      <c r="KX115" s="15"/>
      <c r="KY115" s="15"/>
      <c r="KZ115" s="15"/>
      <c r="LA115" s="15"/>
      <c r="LB115" s="15"/>
      <c r="LC115" s="15"/>
      <c r="LD115" s="15"/>
      <c r="LE115" s="15"/>
      <c r="LF115" s="15"/>
      <c r="LG115" s="15"/>
      <c r="LH115" s="15"/>
      <c r="LI115" s="15"/>
      <c r="LJ115" s="15"/>
      <c r="LK115" s="15"/>
      <c r="LL115" s="15"/>
      <c r="LM115" s="15"/>
      <c r="LN115" s="15"/>
      <c r="LO115" s="15"/>
      <c r="LP115" s="15"/>
      <c r="LQ115" s="15"/>
      <c r="LR115" s="14"/>
      <c r="LS115" s="15"/>
      <c r="LT115" s="15"/>
      <c r="LU115" s="15"/>
      <c r="LV115" s="15"/>
      <c r="LW115" s="15"/>
      <c r="LX115" s="15"/>
      <c r="LY115" s="15"/>
      <c r="LZ115" s="15"/>
      <c r="MA115" s="15"/>
      <c r="MB115" s="15"/>
      <c r="MC115" s="15"/>
      <c r="MD115" s="15"/>
      <c r="ME115" s="15"/>
      <c r="MF115" s="15"/>
      <c r="MG115" s="15"/>
      <c r="MH115" s="15"/>
      <c r="MI115" s="15"/>
      <c r="MJ115" s="15"/>
      <c r="MK115" s="15"/>
      <c r="ML115" s="15"/>
      <c r="MM115" s="15"/>
      <c r="MN115" s="14"/>
      <c r="MO115" s="15"/>
      <c r="MP115" s="15"/>
      <c r="MQ115" s="15"/>
      <c r="MR115" s="15"/>
      <c r="MS115" s="15"/>
      <c r="MT115" s="15"/>
      <c r="MU115" s="15"/>
      <c r="MV115" s="15"/>
      <c r="MW115" s="15"/>
      <c r="MX115" s="15"/>
      <c r="MY115" s="15"/>
      <c r="MZ115" s="15"/>
      <c r="NA115" s="15"/>
      <c r="NB115" s="15"/>
      <c r="NC115" s="15"/>
      <c r="ND115" s="15"/>
      <c r="NE115" s="15"/>
      <c r="NF115" s="15"/>
      <c r="NG115" s="15"/>
      <c r="NH115" s="15"/>
      <c r="NI115" s="15"/>
      <c r="NJ115" s="14"/>
      <c r="NK115" s="15"/>
      <c r="NL115" s="15"/>
      <c r="NM115" s="15"/>
      <c r="NN115" s="15"/>
      <c r="NO115" s="15"/>
      <c r="NP115" s="15"/>
      <c r="NQ115" s="15"/>
      <c r="NR115" s="15"/>
      <c r="NS115" s="15"/>
      <c r="NT115" s="15"/>
      <c r="NU115" s="15"/>
      <c r="NV115" s="15"/>
      <c r="NW115" s="15"/>
      <c r="NX115" s="15"/>
      <c r="NY115" s="15"/>
      <c r="NZ115" s="15"/>
      <c r="OA115" s="15"/>
      <c r="OB115" s="15"/>
      <c r="OC115" s="15"/>
      <c r="OD115" s="15"/>
      <c r="OE115" s="15"/>
      <c r="OF115" s="14"/>
      <c r="OG115" s="15"/>
      <c r="OH115" s="15"/>
      <c r="OI115" s="15"/>
      <c r="OJ115" s="15"/>
      <c r="OK115" s="15"/>
      <c r="OL115" s="15"/>
      <c r="OM115" s="15"/>
      <c r="ON115" s="15"/>
      <c r="OO115" s="15"/>
      <c r="OP115" s="15"/>
      <c r="OQ115" s="15"/>
      <c r="OR115" s="15"/>
      <c r="OS115" s="15"/>
      <c r="OT115" s="15"/>
      <c r="OU115" s="15"/>
      <c r="OV115" s="15"/>
      <c r="OW115" s="15"/>
      <c r="OX115" s="15"/>
      <c r="OY115" s="15"/>
      <c r="OZ115" s="15"/>
      <c r="PA115" s="15"/>
      <c r="PB115" s="14"/>
      <c r="PC115" s="15"/>
      <c r="PD115" s="15"/>
      <c r="PE115" s="15"/>
      <c r="PF115" s="15"/>
      <c r="PG115" s="15"/>
      <c r="PH115" s="15"/>
      <c r="PI115" s="15"/>
      <c r="PJ115" s="15"/>
      <c r="PK115" s="15"/>
      <c r="PL115" s="15"/>
      <c r="PM115" s="15"/>
      <c r="PN115" s="15"/>
      <c r="PO115" s="15"/>
      <c r="PP115" s="15"/>
      <c r="PQ115" s="15"/>
      <c r="PR115" s="15"/>
      <c r="PS115" s="15"/>
      <c r="PT115" s="15"/>
      <c r="PU115" s="15"/>
      <c r="PV115" s="15"/>
      <c r="PW115" s="15"/>
      <c r="PX115" s="14"/>
      <c r="PY115" s="15"/>
      <c r="PZ115" s="15"/>
      <c r="QA115" s="15"/>
      <c r="QB115" s="15"/>
      <c r="QC115" s="15"/>
      <c r="QD115" s="15"/>
      <c r="QE115" s="15"/>
      <c r="QF115" s="15"/>
      <c r="QG115" s="15"/>
      <c r="QH115" s="15"/>
      <c r="QI115" s="15"/>
      <c r="QJ115" s="15"/>
      <c r="QK115" s="15"/>
      <c r="QL115" s="15"/>
      <c r="QM115" s="15"/>
      <c r="QN115" s="15"/>
      <c r="QO115" s="15"/>
      <c r="QP115" s="15"/>
      <c r="QQ115" s="15"/>
      <c r="QR115" s="15"/>
      <c r="QS115" s="15"/>
      <c r="QT115" s="14"/>
      <c r="QU115" s="15"/>
      <c r="QV115" s="15"/>
      <c r="QW115" s="15"/>
      <c r="QX115" s="15"/>
      <c r="QY115" s="15"/>
      <c r="QZ115" s="15"/>
      <c r="RA115" s="15"/>
      <c r="RB115" s="15"/>
      <c r="RC115" s="15"/>
      <c r="RD115" s="15"/>
      <c r="RE115" s="15"/>
      <c r="RF115" s="15"/>
      <c r="RG115" s="15"/>
      <c r="RH115" s="15"/>
      <c r="RI115" s="15"/>
      <c r="RJ115" s="15"/>
      <c r="RK115" s="15"/>
      <c r="RL115" s="15"/>
      <c r="RM115" s="15"/>
      <c r="RN115" s="15"/>
      <c r="RO115" s="15"/>
      <c r="RP115" s="14"/>
      <c r="RQ115" s="15"/>
      <c r="RR115" s="15"/>
      <c r="RS115" s="15"/>
      <c r="RT115" s="15"/>
      <c r="RU115" s="15"/>
      <c r="RV115" s="15"/>
      <c r="RW115" s="15"/>
      <c r="RX115" s="15"/>
      <c r="RY115" s="15"/>
      <c r="RZ115" s="15"/>
      <c r="SA115" s="15"/>
      <c r="SB115" s="15"/>
      <c r="SC115" s="15"/>
      <c r="SD115" s="15"/>
      <c r="SE115" s="15"/>
      <c r="SF115" s="15"/>
      <c r="SG115" s="15"/>
      <c r="SH115" s="15"/>
      <c r="SI115" s="15"/>
      <c r="SJ115" s="15"/>
      <c r="SK115" s="15"/>
      <c r="SL115" s="14"/>
      <c r="SM115" s="15"/>
      <c r="SN115" s="15"/>
      <c r="SO115" s="15"/>
      <c r="SP115" s="15"/>
      <c r="SQ115" s="15"/>
      <c r="SR115" s="15"/>
      <c r="SS115" s="15"/>
      <c r="ST115" s="15"/>
      <c r="SU115" s="15"/>
      <c r="SV115" s="15"/>
      <c r="SW115" s="15"/>
      <c r="SX115" s="15"/>
      <c r="SY115" s="15"/>
      <c r="SZ115" s="15"/>
      <c r="TA115" s="15"/>
      <c r="TB115" s="15"/>
      <c r="TC115" s="15"/>
      <c r="TD115" s="15"/>
      <c r="TE115" s="15"/>
      <c r="TF115" s="15"/>
      <c r="TG115" s="15"/>
      <c r="TH115" s="14"/>
      <c r="TI115" s="15"/>
      <c r="TJ115" s="15"/>
      <c r="TK115" s="15"/>
      <c r="TL115" s="15"/>
      <c r="TM115" s="15"/>
      <c r="TN115" s="15"/>
      <c r="TO115" s="15"/>
      <c r="TP115" s="15"/>
      <c r="TQ115" s="15"/>
      <c r="TR115" s="15"/>
      <c r="TS115" s="15"/>
      <c r="TT115" s="15"/>
      <c r="TU115" s="15"/>
      <c r="TV115" s="15"/>
      <c r="TW115" s="15"/>
      <c r="TX115" s="15"/>
      <c r="TY115" s="15"/>
      <c r="TZ115" s="15"/>
      <c r="UA115" s="15"/>
      <c r="UB115" s="15"/>
      <c r="UC115" s="15"/>
      <c r="UD115" s="14"/>
      <c r="UE115" s="15"/>
      <c r="UF115" s="15"/>
      <c r="UG115" s="15"/>
      <c r="UH115" s="15"/>
      <c r="UI115" s="15"/>
      <c r="UJ115" s="15"/>
      <c r="UK115" s="15"/>
      <c r="UL115" s="15"/>
      <c r="UM115" s="15"/>
      <c r="UN115" s="15"/>
      <c r="UO115" s="15"/>
      <c r="UP115" s="15"/>
      <c r="UQ115" s="15"/>
      <c r="UR115" s="15"/>
      <c r="US115" s="15"/>
      <c r="UT115" s="15"/>
      <c r="UU115" s="15"/>
      <c r="UV115" s="15"/>
      <c r="UW115" s="15"/>
      <c r="UX115" s="15"/>
      <c r="UY115" s="15"/>
      <c r="UZ115" s="14"/>
      <c r="VA115" s="15"/>
      <c r="VB115" s="15"/>
      <c r="VC115" s="15"/>
      <c r="VD115" s="15"/>
      <c r="VE115" s="15"/>
      <c r="VF115" s="15"/>
      <c r="VG115" s="15"/>
      <c r="VH115" s="15"/>
      <c r="VI115" s="15"/>
      <c r="VJ115" s="15"/>
      <c r="VK115" s="15"/>
      <c r="VL115" s="15"/>
      <c r="VM115" s="15"/>
      <c r="VN115" s="15"/>
      <c r="VO115" s="15"/>
      <c r="VP115" s="15"/>
      <c r="VQ115" s="15"/>
      <c r="VR115" s="15"/>
      <c r="VS115" s="15"/>
      <c r="VT115" s="15"/>
      <c r="VU115" s="15"/>
      <c r="VV115" s="14"/>
      <c r="VW115" s="15"/>
      <c r="VX115" s="15"/>
      <c r="VY115" s="15"/>
      <c r="VZ115" s="15"/>
      <c r="WA115" s="15"/>
      <c r="WB115" s="15"/>
      <c r="WC115" s="15"/>
      <c r="WD115" s="15"/>
      <c r="WE115" s="15"/>
      <c r="WF115" s="15"/>
      <c r="WG115" s="15"/>
      <c r="WH115" s="15"/>
      <c r="WI115" s="15"/>
      <c r="WJ115" s="15"/>
      <c r="WK115" s="15"/>
      <c r="WL115" s="15"/>
      <c r="WM115" s="15"/>
      <c r="WN115" s="15"/>
      <c r="WO115" s="15"/>
      <c r="WP115" s="15"/>
      <c r="WQ115" s="15"/>
      <c r="WR115" s="14"/>
      <c r="WS115" s="15"/>
      <c r="WT115" s="15"/>
      <c r="WU115" s="15"/>
      <c r="WV115" s="15"/>
      <c r="WW115" s="15"/>
      <c r="WX115" s="15"/>
      <c r="WY115" s="15"/>
      <c r="WZ115" s="15"/>
      <c r="XA115" s="15"/>
      <c r="XB115" s="15"/>
      <c r="XC115" s="15"/>
      <c r="XD115" s="15"/>
      <c r="XE115" s="15"/>
      <c r="XF115" s="15"/>
      <c r="XG115" s="15"/>
      <c r="XH115" s="15"/>
      <c r="XI115" s="15"/>
      <c r="XJ115" s="15"/>
      <c r="XK115" s="15"/>
      <c r="XL115" s="15"/>
      <c r="XM115" s="15"/>
      <c r="XN115" s="14"/>
      <c r="XO115" s="15"/>
      <c r="XP115" s="15"/>
      <c r="XQ115" s="15"/>
      <c r="XR115" s="15"/>
      <c r="XS115" s="15"/>
      <c r="XT115" s="15"/>
      <c r="XU115" s="15"/>
      <c r="XV115" s="15"/>
      <c r="XW115" s="15"/>
      <c r="XX115" s="15"/>
      <c r="XY115" s="15"/>
      <c r="XZ115" s="15"/>
      <c r="YA115" s="15"/>
      <c r="YB115" s="15"/>
      <c r="YC115" s="15"/>
      <c r="YD115" s="15"/>
      <c r="YE115" s="15"/>
      <c r="YF115" s="15"/>
      <c r="YG115" s="15"/>
      <c r="YH115" s="15"/>
      <c r="YI115" s="15"/>
      <c r="YJ115" s="14"/>
      <c r="YK115" s="15"/>
      <c r="YL115" s="15"/>
      <c r="YM115" s="15"/>
      <c r="YN115" s="15"/>
      <c r="YO115" s="15"/>
      <c r="YP115" s="15"/>
      <c r="YQ115" s="15"/>
      <c r="YR115" s="15"/>
      <c r="YS115" s="15"/>
      <c r="YT115" s="15"/>
      <c r="YU115" s="15"/>
      <c r="YV115" s="15"/>
      <c r="YW115" s="15"/>
      <c r="YX115" s="15"/>
      <c r="YY115" s="15"/>
      <c r="YZ115" s="15"/>
      <c r="ZA115" s="15"/>
      <c r="ZB115" s="15"/>
      <c r="ZC115" s="15"/>
      <c r="ZD115" s="15"/>
      <c r="ZE115" s="15"/>
      <c r="ZF115" s="14"/>
      <c r="ZG115" s="15"/>
      <c r="ZH115" s="15"/>
      <c r="ZI115" s="15"/>
      <c r="ZJ115" s="15"/>
      <c r="ZK115" s="15"/>
      <c r="ZL115" s="15"/>
      <c r="ZM115" s="15"/>
      <c r="ZN115" s="15"/>
      <c r="ZO115" s="15"/>
      <c r="ZP115" s="15"/>
      <c r="ZQ115" s="15"/>
      <c r="ZR115" s="15"/>
      <c r="ZS115" s="15"/>
      <c r="ZT115" s="15"/>
      <c r="ZU115" s="15"/>
      <c r="ZV115" s="15"/>
      <c r="ZW115" s="15"/>
      <c r="ZX115" s="15"/>
      <c r="ZY115" s="15"/>
      <c r="ZZ115" s="15"/>
      <c r="AAA115" s="15"/>
      <c r="AAB115" s="14"/>
      <c r="AAC115" s="15"/>
      <c r="AAD115" s="15"/>
      <c r="AAE115" s="15"/>
      <c r="AAF115" s="15"/>
      <c r="AAG115" s="15"/>
      <c r="AAH115" s="15"/>
      <c r="AAI115" s="15"/>
      <c r="AAJ115" s="15"/>
      <c r="AAK115" s="15"/>
      <c r="AAL115" s="15"/>
      <c r="AAM115" s="15"/>
      <c r="AAN115" s="15"/>
      <c r="AAO115" s="15"/>
      <c r="AAP115" s="15"/>
      <c r="AAQ115" s="15"/>
      <c r="AAR115" s="15"/>
      <c r="AAS115" s="15"/>
      <c r="AAT115" s="15"/>
      <c r="AAU115" s="15"/>
      <c r="AAV115" s="15"/>
      <c r="AAW115" s="15"/>
      <c r="AAX115" s="14"/>
      <c r="AAY115" s="15"/>
      <c r="AAZ115" s="15"/>
      <c r="ABA115" s="15"/>
      <c r="ABB115" s="15"/>
      <c r="ABC115" s="15"/>
      <c r="ABD115" s="15"/>
      <c r="ABE115" s="15"/>
      <c r="ABF115" s="15"/>
      <c r="ABG115" s="15"/>
      <c r="ABH115" s="15"/>
      <c r="ABI115" s="15"/>
      <c r="ABJ115" s="15"/>
      <c r="ABK115" s="15"/>
      <c r="ABL115" s="15"/>
      <c r="ABM115" s="15"/>
      <c r="ABN115" s="15"/>
      <c r="ABO115" s="15"/>
      <c r="ABP115" s="15"/>
      <c r="ABQ115" s="15"/>
      <c r="ABR115" s="15"/>
      <c r="ABS115" s="15"/>
      <c r="ABT115" s="14"/>
      <c r="ABU115" s="15"/>
      <c r="ABV115" s="15"/>
      <c r="ABW115" s="15"/>
      <c r="ABX115" s="15"/>
      <c r="ABY115" s="15"/>
      <c r="ABZ115" s="15"/>
      <c r="ACA115" s="15"/>
      <c r="ACB115" s="15"/>
      <c r="ACC115" s="15"/>
      <c r="ACD115" s="15"/>
      <c r="ACE115" s="15"/>
      <c r="ACF115" s="15"/>
      <c r="ACG115" s="15"/>
      <c r="ACH115" s="15"/>
      <c r="ACI115" s="15"/>
      <c r="ACJ115" s="15"/>
      <c r="ACK115" s="15"/>
      <c r="ACL115" s="15"/>
      <c r="ACM115" s="15"/>
      <c r="ACN115" s="15"/>
      <c r="ACO115" s="15"/>
      <c r="ACP115" s="14"/>
      <c r="ACQ115" s="15"/>
      <c r="ACR115" s="15"/>
      <c r="ACS115" s="15"/>
      <c r="ACT115" s="15"/>
      <c r="ACU115" s="15"/>
      <c r="ACV115" s="15"/>
      <c r="ACW115" s="15"/>
      <c r="ACX115" s="15"/>
      <c r="ACY115" s="15"/>
      <c r="ACZ115" s="15"/>
      <c r="ADA115" s="15"/>
      <c r="ADB115" s="15"/>
      <c r="ADC115" s="15"/>
      <c r="ADD115" s="15"/>
      <c r="ADE115" s="15"/>
      <c r="ADF115" s="15"/>
      <c r="ADG115" s="15"/>
      <c r="ADH115" s="15"/>
      <c r="ADI115" s="15"/>
      <c r="ADJ115" s="15"/>
      <c r="ADK115" s="15"/>
      <c r="ADL115" s="14"/>
      <c r="ADM115" s="15"/>
      <c r="ADN115" s="15"/>
      <c r="ADO115" s="15"/>
      <c r="ADP115" s="15"/>
      <c r="ADQ115" s="15"/>
      <c r="ADR115" s="15"/>
      <c r="ADS115" s="15"/>
      <c r="ADT115" s="15"/>
      <c r="ADU115" s="15"/>
      <c r="ADV115" s="15"/>
      <c r="ADW115" s="15"/>
      <c r="ADX115" s="15"/>
      <c r="ADY115" s="15"/>
      <c r="ADZ115" s="15"/>
      <c r="AEA115" s="15"/>
      <c r="AEB115" s="15"/>
      <c r="AEC115" s="15"/>
      <c r="AED115" s="15"/>
      <c r="AEE115" s="15"/>
      <c r="AEF115" s="15"/>
      <c r="AEG115" s="15"/>
      <c r="AEH115" s="14"/>
      <c r="AEI115" s="15"/>
      <c r="AEJ115" s="15"/>
      <c r="AEK115" s="15"/>
      <c r="AEL115" s="15"/>
      <c r="AEM115" s="15"/>
      <c r="AEN115" s="15"/>
      <c r="AEO115" s="15"/>
      <c r="AEP115" s="15"/>
      <c r="AEQ115" s="15"/>
      <c r="AER115" s="15"/>
      <c r="AES115" s="15"/>
      <c r="AET115" s="15"/>
      <c r="AEU115" s="15"/>
      <c r="AEV115" s="15"/>
      <c r="AEW115" s="15"/>
      <c r="AEX115" s="15"/>
      <c r="AEY115" s="15"/>
      <c r="AEZ115" s="15"/>
      <c r="AFA115" s="15"/>
      <c r="AFB115" s="15"/>
      <c r="AFC115" s="15"/>
      <c r="AFD115" s="14"/>
      <c r="AFE115" s="15"/>
      <c r="AFF115" s="15"/>
      <c r="AFG115" s="15"/>
      <c r="AFH115" s="15"/>
      <c r="AFI115" s="15"/>
      <c r="AFJ115" s="15"/>
      <c r="AFK115" s="15"/>
      <c r="AFL115" s="15"/>
      <c r="AFM115" s="15"/>
      <c r="AFN115" s="15"/>
      <c r="AFO115" s="15"/>
      <c r="AFP115" s="15"/>
      <c r="AFQ115" s="15"/>
      <c r="AFR115" s="15"/>
      <c r="AFS115" s="15"/>
      <c r="AFT115" s="15"/>
      <c r="AFU115" s="15"/>
      <c r="AFV115" s="15"/>
      <c r="AFW115" s="15"/>
      <c r="AFX115" s="15"/>
      <c r="AFY115" s="15"/>
      <c r="AFZ115" s="14"/>
      <c r="AGA115" s="15"/>
      <c r="AGB115" s="15"/>
      <c r="AGC115" s="15"/>
      <c r="AGD115" s="15"/>
      <c r="AGE115" s="15"/>
      <c r="AGF115" s="15"/>
      <c r="AGG115" s="15"/>
      <c r="AGH115" s="15"/>
      <c r="AGI115" s="15"/>
      <c r="AGJ115" s="15"/>
      <c r="AGK115" s="15"/>
      <c r="AGL115" s="15"/>
      <c r="AGM115" s="15"/>
      <c r="AGN115" s="15"/>
      <c r="AGO115" s="15"/>
      <c r="AGP115" s="15"/>
      <c r="AGQ115" s="15"/>
      <c r="AGR115" s="15"/>
      <c r="AGS115" s="15"/>
      <c r="AGT115" s="15"/>
      <c r="AGU115" s="15"/>
      <c r="AGV115" s="14"/>
      <c r="AGW115" s="15"/>
      <c r="AGX115" s="15"/>
      <c r="AGY115" s="15"/>
      <c r="AGZ115" s="15"/>
      <c r="AHA115" s="15"/>
      <c r="AHB115" s="15"/>
      <c r="AHC115" s="15"/>
      <c r="AHD115" s="15"/>
      <c r="AHE115" s="15"/>
      <c r="AHF115" s="15"/>
      <c r="AHG115" s="15"/>
      <c r="AHH115" s="15"/>
      <c r="AHI115" s="15"/>
      <c r="AHJ115" s="15"/>
      <c r="AHK115" s="15"/>
      <c r="AHL115" s="15"/>
      <c r="AHM115" s="15"/>
      <c r="AHN115" s="15"/>
      <c r="AHO115" s="15"/>
      <c r="AHP115" s="15"/>
      <c r="AHQ115" s="15"/>
      <c r="AHR115" s="14"/>
      <c r="AHS115" s="15"/>
      <c r="AHT115" s="15"/>
      <c r="AHU115" s="15"/>
      <c r="AHV115" s="15"/>
      <c r="AHW115" s="15"/>
      <c r="AHX115" s="15"/>
      <c r="AHY115" s="15"/>
      <c r="AHZ115" s="15"/>
      <c r="AIA115" s="15"/>
      <c r="AIB115" s="15"/>
      <c r="AIC115" s="15"/>
      <c r="AID115" s="15"/>
      <c r="AIE115" s="15"/>
      <c r="AIF115" s="15"/>
      <c r="AIG115" s="15"/>
      <c r="AIH115" s="15"/>
      <c r="AII115" s="15"/>
      <c r="AIJ115" s="15"/>
      <c r="AIK115" s="15"/>
      <c r="AIL115" s="15"/>
      <c r="AIM115" s="15"/>
      <c r="AIN115" s="14"/>
      <c r="AIO115" s="15"/>
      <c r="AIP115" s="15"/>
      <c r="AIQ115" s="15"/>
      <c r="AIR115" s="15"/>
      <c r="AIS115" s="15"/>
      <c r="AIT115" s="15"/>
      <c r="AIU115" s="15"/>
      <c r="AIV115" s="15"/>
      <c r="AIW115" s="15"/>
      <c r="AIX115" s="15"/>
      <c r="AIY115" s="15"/>
      <c r="AIZ115" s="15"/>
      <c r="AJA115" s="15"/>
      <c r="AJB115" s="15"/>
      <c r="AJC115" s="15"/>
      <c r="AJD115" s="15"/>
      <c r="AJE115" s="15"/>
      <c r="AJF115" s="15"/>
      <c r="AJG115" s="15"/>
      <c r="AJH115" s="15"/>
      <c r="AJI115" s="15"/>
      <c r="AJJ115" s="14"/>
      <c r="AJK115" s="15"/>
      <c r="AJL115" s="15"/>
      <c r="AJM115" s="15"/>
      <c r="AJN115" s="15"/>
      <c r="AJO115" s="15"/>
      <c r="AJP115" s="15"/>
      <c r="AJQ115" s="15"/>
      <c r="AJR115" s="15"/>
      <c r="AJS115" s="15"/>
      <c r="AJT115" s="15"/>
      <c r="AJU115" s="15"/>
      <c r="AJV115" s="15"/>
      <c r="AJW115" s="15"/>
      <c r="AJX115" s="15"/>
      <c r="AJY115" s="15"/>
      <c r="AJZ115" s="15"/>
      <c r="AKA115" s="15"/>
      <c r="AKB115" s="15"/>
      <c r="AKC115" s="15"/>
      <c r="AKD115" s="15"/>
      <c r="AKE115" s="15"/>
      <c r="AKF115" s="14"/>
      <c r="AKG115" s="15"/>
      <c r="AKH115" s="15"/>
      <c r="AKI115" s="15"/>
      <c r="AKJ115" s="15"/>
      <c r="AKK115" s="15"/>
      <c r="AKL115" s="15"/>
      <c r="AKM115" s="15"/>
      <c r="AKN115" s="15"/>
      <c r="AKO115" s="15"/>
      <c r="AKP115" s="15"/>
      <c r="AKQ115" s="15"/>
      <c r="AKR115" s="15"/>
      <c r="AKS115" s="15"/>
      <c r="AKT115" s="15"/>
      <c r="AKU115" s="15"/>
      <c r="AKV115" s="15"/>
      <c r="AKW115" s="15"/>
      <c r="AKX115" s="15"/>
      <c r="AKY115" s="15"/>
      <c r="AKZ115" s="15"/>
      <c r="ALA115" s="15"/>
      <c r="ALB115" s="14"/>
      <c r="ALC115" s="15"/>
      <c r="ALD115" s="15"/>
      <c r="ALE115" s="15"/>
      <c r="ALF115" s="15"/>
      <c r="ALG115" s="15"/>
      <c r="ALH115" s="15"/>
      <c r="ALI115" s="15"/>
      <c r="ALJ115" s="15"/>
      <c r="ALK115" s="15"/>
      <c r="ALL115" s="15"/>
      <c r="ALM115" s="15"/>
      <c r="ALN115" s="15"/>
      <c r="ALO115" s="15"/>
      <c r="ALP115" s="15"/>
      <c r="ALQ115" s="15"/>
      <c r="ALR115" s="15"/>
      <c r="ALS115" s="15"/>
      <c r="ALT115" s="15"/>
      <c r="ALU115" s="15"/>
      <c r="ALV115" s="15"/>
      <c r="ALW115" s="15"/>
      <c r="ALX115" s="14"/>
      <c r="ALY115" s="15"/>
      <c r="ALZ115" s="15"/>
      <c r="AMA115" s="15"/>
      <c r="AMB115" s="15"/>
      <c r="AMC115" s="15"/>
      <c r="AMD115" s="15"/>
      <c r="AME115" s="15"/>
      <c r="AMF115" s="15"/>
      <c r="AMG115" s="15"/>
      <c r="AMH115" s="15"/>
      <c r="AMI115" s="15"/>
      <c r="AMJ115" s="15"/>
      <c r="AMK115" s="15"/>
      <c r="AML115" s="15"/>
      <c r="AMM115" s="15"/>
      <c r="AMN115" s="15"/>
      <c r="AMO115" s="15"/>
      <c r="AMP115" s="15"/>
      <c r="AMQ115" s="15"/>
      <c r="AMR115" s="15"/>
      <c r="AMS115" s="15"/>
      <c r="AMT115" s="14"/>
      <c r="AMU115" s="15"/>
      <c r="AMV115" s="15"/>
      <c r="AMW115" s="15"/>
      <c r="AMX115" s="15"/>
      <c r="AMY115" s="15"/>
      <c r="AMZ115" s="15"/>
      <c r="ANA115" s="15"/>
      <c r="ANB115" s="15"/>
      <c r="ANC115" s="15"/>
      <c r="AND115" s="15"/>
      <c r="ANE115" s="15"/>
      <c r="ANF115" s="15"/>
      <c r="ANG115" s="15"/>
      <c r="ANH115" s="15"/>
      <c r="ANI115" s="15"/>
      <c r="ANJ115" s="15"/>
      <c r="ANK115" s="15"/>
      <c r="ANL115" s="15"/>
      <c r="ANM115" s="15"/>
      <c r="ANN115" s="15"/>
      <c r="ANO115" s="15"/>
      <c r="ANP115" s="14"/>
      <c r="ANQ115" s="15"/>
      <c r="ANR115" s="15"/>
      <c r="ANS115" s="15"/>
      <c r="ANT115" s="15"/>
      <c r="ANU115" s="15"/>
      <c r="ANV115" s="15"/>
      <c r="ANW115" s="15"/>
      <c r="ANX115" s="15"/>
      <c r="ANY115" s="15"/>
      <c r="ANZ115" s="15"/>
      <c r="AOA115" s="15"/>
      <c r="AOB115" s="15"/>
      <c r="AOC115" s="15"/>
      <c r="AOD115" s="15"/>
      <c r="AOE115" s="15"/>
      <c r="AOF115" s="15"/>
      <c r="AOG115" s="15"/>
      <c r="AOH115" s="15"/>
      <c r="AOI115" s="15"/>
      <c r="AOJ115" s="15"/>
      <c r="AOK115" s="15"/>
      <c r="AOL115" s="14"/>
      <c r="AOM115" s="15"/>
      <c r="AON115" s="15"/>
      <c r="AOO115" s="15"/>
      <c r="AOP115" s="15"/>
      <c r="AOQ115" s="15"/>
      <c r="AOR115" s="15"/>
      <c r="AOS115" s="15"/>
      <c r="AOT115" s="15"/>
      <c r="AOU115" s="15"/>
      <c r="AOV115" s="15"/>
      <c r="AOW115" s="15"/>
      <c r="AOX115" s="15"/>
      <c r="AOY115" s="15"/>
      <c r="AOZ115" s="15"/>
      <c r="APA115" s="15"/>
      <c r="APB115" s="15"/>
      <c r="APC115" s="15"/>
      <c r="APD115" s="15"/>
      <c r="APE115" s="15"/>
      <c r="APF115" s="15"/>
      <c r="APG115" s="15"/>
      <c r="APH115" s="14"/>
      <c r="API115" s="15"/>
      <c r="APJ115" s="15"/>
      <c r="APK115" s="15"/>
      <c r="APL115" s="15"/>
      <c r="APM115" s="15"/>
      <c r="APN115" s="15"/>
      <c r="APO115" s="15"/>
      <c r="APP115" s="15"/>
      <c r="APQ115" s="15"/>
      <c r="APR115" s="15"/>
      <c r="APS115" s="15"/>
      <c r="APT115" s="15"/>
      <c r="APU115" s="15"/>
      <c r="APV115" s="15"/>
      <c r="APW115" s="15"/>
      <c r="APX115" s="15"/>
      <c r="APY115" s="15"/>
      <c r="APZ115" s="15"/>
      <c r="AQA115" s="15"/>
      <c r="AQB115" s="15"/>
      <c r="AQC115" s="15"/>
      <c r="AQD115" s="14"/>
      <c r="AQE115" s="15"/>
      <c r="AQF115" s="15"/>
      <c r="AQG115" s="15"/>
      <c r="AQH115" s="15"/>
      <c r="AQI115" s="15"/>
      <c r="AQJ115" s="15"/>
      <c r="AQK115" s="15"/>
      <c r="AQL115" s="15"/>
      <c r="AQM115" s="15"/>
      <c r="AQN115" s="15"/>
      <c r="AQO115" s="15"/>
      <c r="AQP115" s="15"/>
      <c r="AQQ115" s="15"/>
      <c r="AQR115" s="15"/>
      <c r="AQS115" s="15"/>
      <c r="AQT115" s="15"/>
      <c r="AQU115" s="15"/>
      <c r="AQV115" s="15"/>
      <c r="AQW115" s="15"/>
      <c r="AQX115" s="15"/>
      <c r="AQY115" s="15"/>
      <c r="AQZ115" s="14"/>
      <c r="ARA115" s="15"/>
      <c r="ARB115" s="15"/>
      <c r="ARC115" s="15"/>
      <c r="ARD115" s="15"/>
      <c r="ARE115" s="15"/>
      <c r="ARF115" s="15"/>
      <c r="ARG115" s="15"/>
      <c r="ARH115" s="15"/>
      <c r="ARI115" s="15"/>
      <c r="ARJ115" s="15"/>
      <c r="ARK115" s="15"/>
      <c r="ARL115" s="15"/>
      <c r="ARM115" s="15"/>
      <c r="ARN115" s="15"/>
      <c r="ARO115" s="15"/>
      <c r="ARP115" s="15"/>
      <c r="ARQ115" s="15"/>
      <c r="ARR115" s="15"/>
      <c r="ARS115" s="15"/>
      <c r="ART115" s="15"/>
      <c r="ARU115" s="15"/>
      <c r="ARV115" s="14"/>
      <c r="ARW115" s="15"/>
      <c r="ARX115" s="15"/>
      <c r="ARY115" s="15"/>
      <c r="ARZ115" s="15"/>
      <c r="ASA115" s="15"/>
      <c r="ASB115" s="15"/>
      <c r="ASC115" s="15"/>
      <c r="ASD115" s="15"/>
      <c r="ASE115" s="15"/>
      <c r="ASF115" s="15"/>
      <c r="ASG115" s="15"/>
      <c r="ASH115" s="15"/>
      <c r="ASI115" s="15"/>
      <c r="ASJ115" s="15"/>
      <c r="ASK115" s="15"/>
      <c r="ASL115" s="15"/>
      <c r="ASM115" s="15"/>
      <c r="ASN115" s="15"/>
      <c r="ASO115" s="15"/>
      <c r="ASP115" s="15"/>
      <c r="ASQ115" s="15"/>
      <c r="ASR115" s="14"/>
      <c r="ASS115" s="15"/>
      <c r="AST115" s="15"/>
      <c r="ASU115" s="15"/>
      <c r="ASV115" s="15"/>
      <c r="ASW115" s="15"/>
      <c r="ASX115" s="15"/>
      <c r="ASY115" s="15"/>
      <c r="ASZ115" s="15"/>
      <c r="ATA115" s="15"/>
      <c r="ATB115" s="15"/>
      <c r="ATC115" s="15"/>
      <c r="ATD115" s="15"/>
      <c r="ATE115" s="15"/>
      <c r="ATF115" s="15"/>
      <c r="ATG115" s="15"/>
      <c r="ATH115" s="15"/>
      <c r="ATI115" s="15"/>
      <c r="ATJ115" s="15"/>
      <c r="ATK115" s="15"/>
      <c r="ATL115" s="15"/>
      <c r="ATM115" s="15"/>
      <c r="ATN115" s="14"/>
      <c r="ATO115" s="15"/>
      <c r="ATP115" s="15"/>
      <c r="ATQ115" s="15"/>
      <c r="ATR115" s="15"/>
      <c r="ATS115" s="15"/>
      <c r="ATT115" s="15"/>
      <c r="ATU115" s="15"/>
      <c r="ATV115" s="15"/>
      <c r="ATW115" s="15"/>
      <c r="ATX115" s="15"/>
      <c r="ATY115" s="15"/>
      <c r="ATZ115" s="15"/>
      <c r="AUA115" s="15"/>
      <c r="AUB115" s="15"/>
      <c r="AUC115" s="15"/>
      <c r="AUD115" s="15"/>
      <c r="AUE115" s="15"/>
      <c r="AUF115" s="15"/>
      <c r="AUG115" s="15"/>
      <c r="AUH115" s="15"/>
      <c r="AUI115" s="15"/>
      <c r="AUJ115" s="14"/>
      <c r="AUK115" s="15"/>
      <c r="AUL115" s="15"/>
      <c r="AUM115" s="15"/>
      <c r="AUN115" s="15"/>
      <c r="AUO115" s="15"/>
      <c r="AUP115" s="15"/>
      <c r="AUQ115" s="15"/>
      <c r="AUR115" s="15"/>
      <c r="AUS115" s="15"/>
      <c r="AUT115" s="15"/>
      <c r="AUU115" s="15"/>
      <c r="AUV115" s="15"/>
      <c r="AUW115" s="15"/>
      <c r="AUX115" s="15"/>
      <c r="AUY115" s="15"/>
      <c r="AUZ115" s="15"/>
      <c r="AVA115" s="15"/>
      <c r="AVB115" s="15"/>
      <c r="AVC115" s="15"/>
      <c r="AVD115" s="15"/>
      <c r="AVE115" s="15"/>
      <c r="AVF115" s="14"/>
      <c r="AVG115" s="15"/>
      <c r="AVH115" s="15"/>
      <c r="AVI115" s="15"/>
      <c r="AVJ115" s="15"/>
      <c r="AVK115" s="15"/>
      <c r="AVL115" s="15"/>
      <c r="AVM115" s="15"/>
      <c r="AVN115" s="15"/>
      <c r="AVO115" s="15"/>
      <c r="AVP115" s="15"/>
      <c r="AVQ115" s="15"/>
      <c r="AVR115" s="15"/>
      <c r="AVS115" s="15"/>
      <c r="AVT115" s="15"/>
      <c r="AVU115" s="15"/>
      <c r="AVV115" s="15"/>
      <c r="AVW115" s="15"/>
      <c r="AVX115" s="15"/>
      <c r="AVY115" s="15"/>
      <c r="AVZ115" s="15"/>
      <c r="AWA115" s="15"/>
      <c r="AWB115" s="14"/>
      <c r="AWC115" s="15"/>
      <c r="AWD115" s="15"/>
      <c r="AWE115" s="15"/>
      <c r="AWF115" s="15"/>
      <c r="AWG115" s="15"/>
      <c r="AWH115" s="15"/>
      <c r="AWI115" s="15"/>
      <c r="AWJ115" s="15"/>
      <c r="AWK115" s="15"/>
      <c r="AWL115" s="15"/>
      <c r="AWM115" s="15"/>
      <c r="AWN115" s="15"/>
      <c r="AWO115" s="15"/>
      <c r="AWP115" s="15"/>
      <c r="AWQ115" s="15"/>
      <c r="AWR115" s="15"/>
      <c r="AWS115" s="15"/>
      <c r="AWT115" s="15"/>
      <c r="AWU115" s="15"/>
      <c r="AWV115" s="15"/>
      <c r="AWW115" s="15"/>
      <c r="AWX115" s="14"/>
      <c r="AWY115" s="15"/>
      <c r="AWZ115" s="15"/>
      <c r="AXA115" s="15"/>
      <c r="AXB115" s="15"/>
      <c r="AXC115" s="15"/>
      <c r="AXD115" s="15"/>
      <c r="AXE115" s="15"/>
      <c r="AXF115" s="15"/>
      <c r="AXG115" s="15"/>
      <c r="AXH115" s="15"/>
      <c r="AXI115" s="15"/>
      <c r="AXJ115" s="15"/>
      <c r="AXK115" s="15"/>
      <c r="AXL115" s="15"/>
      <c r="AXM115" s="15"/>
      <c r="AXN115" s="15"/>
      <c r="AXO115" s="15"/>
      <c r="AXP115" s="15"/>
      <c r="AXQ115" s="15"/>
      <c r="AXR115" s="15"/>
      <c r="AXS115" s="15"/>
      <c r="AXT115" s="14"/>
      <c r="AXU115" s="15"/>
      <c r="AXV115" s="15"/>
      <c r="AXW115" s="15"/>
      <c r="AXX115" s="15"/>
      <c r="AXY115" s="15"/>
      <c r="AXZ115" s="15"/>
      <c r="AYA115" s="15"/>
      <c r="AYB115" s="15"/>
      <c r="AYC115" s="15"/>
      <c r="AYD115" s="15"/>
      <c r="AYE115" s="15"/>
      <c r="AYF115" s="15"/>
      <c r="AYG115" s="15"/>
      <c r="AYH115" s="15"/>
      <c r="AYI115" s="15"/>
      <c r="AYJ115" s="15"/>
      <c r="AYK115" s="15"/>
      <c r="AYL115" s="15"/>
      <c r="AYM115" s="15"/>
      <c r="AYN115" s="15"/>
      <c r="AYO115" s="15"/>
      <c r="AYP115" s="14"/>
      <c r="AYQ115" s="15"/>
      <c r="AYR115" s="15"/>
      <c r="AYS115" s="15"/>
      <c r="AYT115" s="15"/>
      <c r="AYU115" s="15"/>
      <c r="AYV115" s="15"/>
      <c r="AYW115" s="15"/>
      <c r="AYX115" s="15"/>
      <c r="AYY115" s="15"/>
      <c r="AYZ115" s="15"/>
      <c r="AZA115" s="15"/>
      <c r="AZB115" s="15"/>
      <c r="AZC115" s="15"/>
      <c r="AZD115" s="15"/>
      <c r="AZE115" s="15"/>
      <c r="AZF115" s="15"/>
      <c r="AZG115" s="15"/>
      <c r="AZH115" s="15"/>
      <c r="AZI115" s="15"/>
      <c r="AZJ115" s="15"/>
      <c r="AZK115" s="15"/>
      <c r="AZL115" s="14"/>
      <c r="AZM115" s="15"/>
      <c r="AZN115" s="15"/>
      <c r="AZO115" s="15"/>
      <c r="AZP115" s="15"/>
      <c r="AZQ115" s="15"/>
      <c r="AZR115" s="15"/>
      <c r="AZS115" s="15"/>
      <c r="AZT115" s="15"/>
      <c r="AZU115" s="15"/>
      <c r="AZV115" s="15"/>
      <c r="AZW115" s="15"/>
      <c r="AZX115" s="15"/>
      <c r="AZY115" s="15"/>
      <c r="AZZ115" s="15"/>
      <c r="BAA115" s="15"/>
      <c r="BAB115" s="15"/>
      <c r="BAC115" s="15"/>
      <c r="BAD115" s="15"/>
      <c r="BAE115" s="15"/>
      <c r="BAF115" s="15"/>
      <c r="BAG115" s="15"/>
      <c r="BAH115" s="14"/>
      <c r="BAI115" s="15"/>
      <c r="BAJ115" s="15"/>
      <c r="BAK115" s="15"/>
      <c r="BAL115" s="15"/>
      <c r="BAM115" s="15"/>
      <c r="BAN115" s="15"/>
      <c r="BAO115" s="15"/>
      <c r="BAP115" s="15"/>
      <c r="BAQ115" s="15"/>
      <c r="BAR115" s="15"/>
      <c r="BAS115" s="15"/>
      <c r="BAT115" s="15"/>
      <c r="BAU115" s="15"/>
      <c r="BAV115" s="15"/>
      <c r="BAW115" s="15"/>
      <c r="BAX115" s="15"/>
      <c r="BAY115" s="15"/>
      <c r="BAZ115" s="15"/>
      <c r="BBA115" s="15"/>
      <c r="BBB115" s="15"/>
      <c r="BBC115" s="15"/>
      <c r="BBD115" s="14"/>
      <c r="BBE115" s="15"/>
      <c r="BBF115" s="15"/>
      <c r="BBG115" s="15"/>
      <c r="BBH115" s="15"/>
      <c r="BBI115" s="15"/>
      <c r="BBJ115" s="15"/>
      <c r="BBK115" s="15"/>
      <c r="BBL115" s="15"/>
      <c r="BBM115" s="15"/>
      <c r="BBN115" s="15"/>
      <c r="BBO115" s="15"/>
      <c r="BBP115" s="15"/>
      <c r="BBQ115" s="15"/>
      <c r="BBR115" s="15"/>
      <c r="BBS115" s="15"/>
      <c r="BBT115" s="15"/>
      <c r="BBU115" s="15"/>
      <c r="BBV115" s="15"/>
      <c r="BBW115" s="15"/>
      <c r="BBX115" s="15"/>
      <c r="BBY115" s="15"/>
      <c r="BBZ115" s="14"/>
      <c r="BCA115" s="15"/>
      <c r="BCB115" s="15"/>
      <c r="BCC115" s="15"/>
      <c r="BCD115" s="15"/>
      <c r="BCE115" s="15"/>
      <c r="BCF115" s="15"/>
      <c r="BCG115" s="15"/>
      <c r="BCH115" s="15"/>
      <c r="BCI115" s="15"/>
      <c r="BCJ115" s="15"/>
      <c r="BCK115" s="15"/>
      <c r="BCL115" s="15"/>
      <c r="BCM115" s="15"/>
      <c r="BCN115" s="15"/>
      <c r="BCO115" s="15"/>
      <c r="BCP115" s="15"/>
      <c r="BCQ115" s="15"/>
      <c r="BCR115" s="15"/>
      <c r="BCS115" s="15"/>
      <c r="BCT115" s="15"/>
      <c r="BCU115" s="15"/>
      <c r="BCV115" s="14"/>
      <c r="BCW115" s="15"/>
      <c r="BCX115" s="15"/>
      <c r="BCY115" s="15"/>
      <c r="BCZ115" s="15"/>
      <c r="BDA115" s="15"/>
      <c r="BDB115" s="15"/>
      <c r="BDC115" s="15"/>
      <c r="BDD115" s="15"/>
      <c r="BDE115" s="15"/>
      <c r="BDF115" s="15"/>
      <c r="BDG115" s="15"/>
      <c r="BDH115" s="15"/>
      <c r="BDI115" s="15"/>
      <c r="BDJ115" s="15"/>
      <c r="BDK115" s="15"/>
      <c r="BDL115" s="15"/>
      <c r="BDM115" s="15"/>
      <c r="BDN115" s="15"/>
      <c r="BDO115" s="15"/>
      <c r="BDP115" s="15"/>
      <c r="BDQ115" s="15"/>
      <c r="BDR115" s="14"/>
      <c r="BDS115" s="15"/>
      <c r="BDT115" s="15"/>
      <c r="BDU115" s="15"/>
      <c r="BDV115" s="15"/>
      <c r="BDW115" s="15"/>
      <c r="BDX115" s="15"/>
      <c r="BDY115" s="15"/>
      <c r="BDZ115" s="15"/>
      <c r="BEA115" s="15"/>
      <c r="BEB115" s="15"/>
      <c r="BEC115" s="15"/>
      <c r="BED115" s="15"/>
      <c r="BEE115" s="15"/>
      <c r="BEF115" s="15"/>
      <c r="BEG115" s="15"/>
      <c r="BEH115" s="15"/>
      <c r="BEI115" s="15"/>
      <c r="BEJ115" s="15"/>
      <c r="BEK115" s="15"/>
      <c r="BEL115" s="15"/>
      <c r="BEM115" s="15"/>
      <c r="BEN115" s="14"/>
      <c r="BEO115" s="15"/>
      <c r="BEP115" s="15"/>
      <c r="BEQ115" s="15"/>
      <c r="BER115" s="15"/>
      <c r="BES115" s="15"/>
      <c r="BET115" s="15"/>
      <c r="BEU115" s="15"/>
      <c r="BEV115" s="15"/>
      <c r="BEW115" s="15"/>
      <c r="BEX115" s="15"/>
      <c r="BEY115" s="15"/>
      <c r="BEZ115" s="15"/>
      <c r="BFA115" s="15"/>
      <c r="BFB115" s="15"/>
      <c r="BFC115" s="15"/>
      <c r="BFD115" s="15"/>
      <c r="BFE115" s="15"/>
      <c r="BFF115" s="15"/>
      <c r="BFG115" s="15"/>
      <c r="BFH115" s="15"/>
      <c r="BFI115" s="15"/>
      <c r="BFJ115" s="14"/>
      <c r="BFK115" s="15"/>
      <c r="BFL115" s="15"/>
      <c r="BFM115" s="15"/>
      <c r="BFN115" s="15"/>
      <c r="BFO115" s="15"/>
      <c r="BFP115" s="15"/>
      <c r="BFQ115" s="15"/>
      <c r="BFR115" s="15"/>
      <c r="BFS115" s="15"/>
      <c r="BFT115" s="15"/>
      <c r="BFU115" s="15"/>
      <c r="BFV115" s="15"/>
      <c r="BFW115" s="15"/>
      <c r="BFX115" s="15"/>
      <c r="BFY115" s="15"/>
      <c r="BFZ115" s="15"/>
      <c r="BGA115" s="15"/>
      <c r="BGB115" s="15"/>
      <c r="BGC115" s="15"/>
      <c r="BGD115" s="15"/>
      <c r="BGE115" s="15"/>
      <c r="BGF115" s="14"/>
      <c r="BGG115" s="15"/>
      <c r="BGH115" s="15"/>
      <c r="BGI115" s="15"/>
      <c r="BGJ115" s="15"/>
      <c r="BGK115" s="15"/>
      <c r="BGL115" s="15"/>
      <c r="BGM115" s="15"/>
      <c r="BGN115" s="15"/>
      <c r="BGO115" s="15"/>
      <c r="BGP115" s="15"/>
      <c r="BGQ115" s="15"/>
      <c r="BGR115" s="15"/>
      <c r="BGS115" s="15"/>
      <c r="BGT115" s="15"/>
      <c r="BGU115" s="15"/>
      <c r="BGV115" s="15"/>
      <c r="BGW115" s="15"/>
      <c r="BGX115" s="15"/>
      <c r="BGY115" s="15"/>
      <c r="BGZ115" s="15"/>
      <c r="BHA115" s="15"/>
      <c r="BHB115" s="14"/>
      <c r="BHC115" s="15"/>
      <c r="BHD115" s="15"/>
      <c r="BHE115" s="15"/>
      <c r="BHF115" s="15"/>
      <c r="BHG115" s="15"/>
      <c r="BHH115" s="15"/>
      <c r="BHI115" s="15"/>
      <c r="BHJ115" s="15"/>
      <c r="BHK115" s="15"/>
      <c r="BHL115" s="15"/>
      <c r="BHM115" s="15"/>
      <c r="BHN115" s="15"/>
      <c r="BHO115" s="15"/>
      <c r="BHP115" s="15"/>
      <c r="BHQ115" s="15"/>
      <c r="BHR115" s="15"/>
      <c r="BHS115" s="15"/>
      <c r="BHT115" s="15"/>
      <c r="BHU115" s="15"/>
      <c r="BHV115" s="15"/>
      <c r="BHW115" s="15"/>
      <c r="BHX115" s="14"/>
      <c r="BHY115" s="15"/>
      <c r="BHZ115" s="15"/>
      <c r="BIA115" s="15"/>
      <c r="BIB115" s="15"/>
      <c r="BIC115" s="15"/>
      <c r="BID115" s="15"/>
      <c r="BIE115" s="15"/>
      <c r="BIF115" s="15"/>
      <c r="BIG115" s="15"/>
      <c r="BIH115" s="15"/>
      <c r="BII115" s="15"/>
      <c r="BIJ115" s="15"/>
      <c r="BIK115" s="15"/>
      <c r="BIL115" s="15"/>
      <c r="BIM115" s="15"/>
      <c r="BIN115" s="15"/>
      <c r="BIO115" s="15"/>
      <c r="BIP115" s="15"/>
      <c r="BIQ115" s="15"/>
      <c r="BIR115" s="15"/>
      <c r="BIS115" s="15"/>
      <c r="BIT115" s="14"/>
      <c r="BIU115" s="15"/>
      <c r="BIV115" s="15"/>
      <c r="BIW115" s="15"/>
      <c r="BIX115" s="15"/>
      <c r="BIY115" s="15"/>
      <c r="BIZ115" s="15"/>
      <c r="BJA115" s="15"/>
      <c r="BJB115" s="15"/>
      <c r="BJC115" s="15"/>
      <c r="BJD115" s="15"/>
      <c r="BJE115" s="15"/>
      <c r="BJF115" s="15"/>
      <c r="BJG115" s="15"/>
      <c r="BJH115" s="15"/>
      <c r="BJI115" s="15"/>
      <c r="BJJ115" s="15"/>
      <c r="BJK115" s="15"/>
      <c r="BJL115" s="15"/>
      <c r="BJM115" s="15"/>
      <c r="BJN115" s="15"/>
      <c r="BJO115" s="15"/>
      <c r="BJP115" s="14"/>
      <c r="BJQ115" s="15"/>
      <c r="BJR115" s="15"/>
      <c r="BJS115" s="15"/>
      <c r="BJT115" s="15"/>
      <c r="BJU115" s="15"/>
      <c r="BJV115" s="15"/>
      <c r="BJW115" s="15"/>
      <c r="BJX115" s="15"/>
      <c r="BJY115" s="15"/>
      <c r="BJZ115" s="15"/>
      <c r="BKA115" s="15"/>
      <c r="BKB115" s="15"/>
      <c r="BKC115" s="15"/>
      <c r="BKD115" s="15"/>
      <c r="BKE115" s="15"/>
      <c r="BKF115" s="15"/>
      <c r="BKG115" s="15"/>
      <c r="BKH115" s="15"/>
      <c r="BKI115" s="15"/>
      <c r="BKJ115" s="15"/>
      <c r="BKK115" s="15"/>
      <c r="BKL115" s="14"/>
      <c r="BKM115" s="15"/>
      <c r="BKN115" s="15"/>
      <c r="BKO115" s="15"/>
      <c r="BKP115" s="15"/>
      <c r="BKQ115" s="15"/>
      <c r="BKR115" s="15"/>
      <c r="BKS115" s="15"/>
      <c r="BKT115" s="15"/>
      <c r="BKU115" s="15"/>
      <c r="BKV115" s="15"/>
      <c r="BKW115" s="15"/>
      <c r="BKX115" s="15"/>
      <c r="BKY115" s="15"/>
      <c r="BKZ115" s="15"/>
      <c r="BLA115" s="15"/>
      <c r="BLB115" s="15"/>
      <c r="BLC115" s="15"/>
      <c r="BLD115" s="15"/>
      <c r="BLE115" s="15"/>
      <c r="BLF115" s="15"/>
      <c r="BLG115" s="15"/>
      <c r="BLH115" s="14"/>
      <c r="BLI115" s="15"/>
      <c r="BLJ115" s="15"/>
      <c r="BLK115" s="15"/>
      <c r="BLL115" s="15"/>
      <c r="BLM115" s="15"/>
      <c r="BLN115" s="15"/>
      <c r="BLO115" s="15"/>
      <c r="BLP115" s="15"/>
      <c r="BLQ115" s="15"/>
      <c r="BLR115" s="15"/>
      <c r="BLS115" s="15"/>
      <c r="BLT115" s="15"/>
      <c r="BLU115" s="15"/>
      <c r="BLV115" s="15"/>
      <c r="BLW115" s="15"/>
      <c r="BLX115" s="15"/>
      <c r="BLY115" s="15"/>
      <c r="BLZ115" s="15"/>
      <c r="BMA115" s="15"/>
      <c r="BMB115" s="15"/>
      <c r="BMC115" s="15"/>
      <c r="BMD115" s="14"/>
      <c r="BME115" s="15"/>
      <c r="BMF115" s="15"/>
      <c r="BMG115" s="15"/>
      <c r="BMH115" s="15"/>
      <c r="BMI115" s="15"/>
      <c r="BMJ115" s="15"/>
      <c r="BMK115" s="15"/>
      <c r="BML115" s="15"/>
      <c r="BMM115" s="15"/>
      <c r="BMN115" s="15"/>
      <c r="BMO115" s="15"/>
      <c r="BMP115" s="15"/>
      <c r="BMQ115" s="15"/>
      <c r="BMR115" s="15"/>
      <c r="BMS115" s="15"/>
      <c r="BMT115" s="15"/>
      <c r="BMU115" s="15"/>
      <c r="BMV115" s="15"/>
      <c r="BMW115" s="15"/>
      <c r="BMX115" s="15"/>
      <c r="BMY115" s="15"/>
      <c r="BMZ115" s="14"/>
      <c r="BNA115" s="15"/>
      <c r="BNB115" s="15"/>
      <c r="BNC115" s="15"/>
      <c r="BND115" s="15"/>
      <c r="BNE115" s="15"/>
      <c r="BNF115" s="15"/>
      <c r="BNG115" s="15"/>
      <c r="BNH115" s="15"/>
      <c r="BNI115" s="15"/>
      <c r="BNJ115" s="15"/>
      <c r="BNK115" s="15"/>
      <c r="BNL115" s="15"/>
      <c r="BNM115" s="15"/>
      <c r="BNN115" s="15"/>
      <c r="BNO115" s="15"/>
      <c r="BNP115" s="15"/>
      <c r="BNQ115" s="15"/>
      <c r="BNR115" s="15"/>
      <c r="BNS115" s="15"/>
      <c r="BNT115" s="15"/>
      <c r="BNU115" s="15"/>
      <c r="BNV115" s="14"/>
      <c r="BNW115" s="15"/>
      <c r="BNX115" s="15"/>
      <c r="BNY115" s="15"/>
      <c r="BNZ115" s="15"/>
      <c r="BOA115" s="15"/>
      <c r="BOB115" s="15"/>
      <c r="BOC115" s="15"/>
      <c r="BOD115" s="15"/>
      <c r="BOE115" s="15"/>
      <c r="BOF115" s="15"/>
      <c r="BOG115" s="15"/>
      <c r="BOH115" s="15"/>
      <c r="BOI115" s="15"/>
      <c r="BOJ115" s="15"/>
      <c r="BOK115" s="15"/>
      <c r="BOL115" s="15"/>
      <c r="BOM115" s="15"/>
      <c r="BON115" s="15"/>
      <c r="BOO115" s="15"/>
      <c r="BOP115" s="15"/>
      <c r="BOQ115" s="15"/>
      <c r="BOR115" s="14"/>
      <c r="BOS115" s="15"/>
      <c r="BOT115" s="15"/>
      <c r="BOU115" s="15"/>
      <c r="BOV115" s="15"/>
      <c r="BOW115" s="15"/>
      <c r="BOX115" s="15"/>
      <c r="BOY115" s="15"/>
      <c r="BOZ115" s="15"/>
      <c r="BPA115" s="15"/>
      <c r="BPB115" s="15"/>
      <c r="BPC115" s="15"/>
      <c r="BPD115" s="15"/>
      <c r="BPE115" s="15"/>
      <c r="BPF115" s="15"/>
      <c r="BPG115" s="15"/>
      <c r="BPH115" s="15"/>
      <c r="BPI115" s="15"/>
      <c r="BPJ115" s="15"/>
      <c r="BPK115" s="15"/>
      <c r="BPL115" s="15"/>
      <c r="BPM115" s="15"/>
      <c r="BPN115" s="14"/>
      <c r="BPO115" s="15"/>
      <c r="BPP115" s="15"/>
      <c r="BPQ115" s="15"/>
      <c r="BPR115" s="15"/>
      <c r="BPS115" s="15"/>
      <c r="BPT115" s="15"/>
      <c r="BPU115" s="15"/>
      <c r="BPV115" s="15"/>
      <c r="BPW115" s="15"/>
      <c r="BPX115" s="15"/>
      <c r="BPY115" s="15"/>
      <c r="BPZ115" s="15"/>
      <c r="BQA115" s="15"/>
      <c r="BQB115" s="15"/>
      <c r="BQC115" s="15"/>
      <c r="BQD115" s="15"/>
      <c r="BQE115" s="15"/>
      <c r="BQF115" s="15"/>
      <c r="BQG115" s="15"/>
      <c r="BQH115" s="15"/>
      <c r="BQI115" s="15"/>
      <c r="BQJ115" s="14"/>
      <c r="BQK115" s="15"/>
      <c r="BQL115" s="15"/>
      <c r="BQM115" s="15"/>
      <c r="BQN115" s="15"/>
      <c r="BQO115" s="15"/>
      <c r="BQP115" s="15"/>
      <c r="BQQ115" s="15"/>
      <c r="BQR115" s="15"/>
      <c r="BQS115" s="15"/>
      <c r="BQT115" s="15"/>
      <c r="BQU115" s="15"/>
      <c r="BQV115" s="15"/>
      <c r="BQW115" s="15"/>
      <c r="BQX115" s="15"/>
      <c r="BQY115" s="15"/>
      <c r="BQZ115" s="15"/>
      <c r="BRA115" s="15"/>
      <c r="BRB115" s="15"/>
      <c r="BRC115" s="15"/>
      <c r="BRD115" s="15"/>
      <c r="BRE115" s="15"/>
      <c r="BRF115" s="14"/>
      <c r="BRG115" s="15"/>
      <c r="BRH115" s="15"/>
      <c r="BRI115" s="15"/>
      <c r="BRJ115" s="15"/>
      <c r="BRK115" s="15"/>
      <c r="BRL115" s="15"/>
      <c r="BRM115" s="15"/>
      <c r="BRN115" s="15"/>
      <c r="BRO115" s="15"/>
      <c r="BRP115" s="15"/>
      <c r="BRQ115" s="15"/>
      <c r="BRR115" s="15"/>
      <c r="BRS115" s="15"/>
      <c r="BRT115" s="15"/>
      <c r="BRU115" s="15"/>
      <c r="BRV115" s="15"/>
      <c r="BRW115" s="15"/>
      <c r="BRX115" s="15"/>
      <c r="BRY115" s="15"/>
      <c r="BRZ115" s="15"/>
      <c r="BSA115" s="15"/>
      <c r="BSB115" s="14"/>
      <c r="BSC115" s="15"/>
      <c r="BSD115" s="15"/>
      <c r="BSE115" s="15"/>
      <c r="BSF115" s="15"/>
      <c r="BSG115" s="15"/>
      <c r="BSH115" s="15"/>
      <c r="BSI115" s="15"/>
      <c r="BSJ115" s="15"/>
      <c r="BSK115" s="15"/>
      <c r="BSL115" s="15"/>
      <c r="BSM115" s="15"/>
      <c r="BSN115" s="15"/>
      <c r="BSO115" s="15"/>
      <c r="BSP115" s="15"/>
      <c r="BSQ115" s="15"/>
      <c r="BSR115" s="15"/>
      <c r="BSS115" s="15"/>
      <c r="BST115" s="15"/>
      <c r="BSU115" s="15"/>
      <c r="BSV115" s="15"/>
      <c r="BSW115" s="15"/>
      <c r="BSX115" s="14"/>
      <c r="BSY115" s="15"/>
      <c r="BSZ115" s="15"/>
      <c r="BTA115" s="15"/>
      <c r="BTB115" s="15"/>
      <c r="BTC115" s="15"/>
      <c r="BTD115" s="15"/>
      <c r="BTE115" s="15"/>
      <c r="BTF115" s="15"/>
      <c r="BTG115" s="15"/>
      <c r="BTH115" s="15"/>
      <c r="BTI115" s="15"/>
      <c r="BTJ115" s="15"/>
      <c r="BTK115" s="15"/>
      <c r="BTL115" s="15"/>
      <c r="BTM115" s="15"/>
      <c r="BTN115" s="15"/>
      <c r="BTO115" s="15"/>
      <c r="BTP115" s="15"/>
      <c r="BTQ115" s="15"/>
      <c r="BTR115" s="15"/>
      <c r="BTS115" s="15"/>
      <c r="BTT115" s="14"/>
      <c r="BTU115" s="15"/>
      <c r="BTV115" s="15"/>
      <c r="BTW115" s="15"/>
      <c r="BTX115" s="15"/>
      <c r="BTY115" s="15"/>
      <c r="BTZ115" s="15"/>
      <c r="BUA115" s="15"/>
      <c r="BUB115" s="15"/>
      <c r="BUC115" s="15"/>
      <c r="BUD115" s="15"/>
      <c r="BUE115" s="15"/>
      <c r="BUF115" s="15"/>
      <c r="BUG115" s="15"/>
      <c r="BUH115" s="15"/>
      <c r="BUI115" s="15"/>
      <c r="BUJ115" s="15"/>
      <c r="BUK115" s="15"/>
      <c r="BUL115" s="15"/>
      <c r="BUM115" s="15"/>
      <c r="BUN115" s="15"/>
      <c r="BUO115" s="15"/>
      <c r="BUP115" s="14"/>
      <c r="BUQ115" s="15"/>
      <c r="BUR115" s="15"/>
      <c r="BUS115" s="15"/>
      <c r="BUT115" s="15"/>
      <c r="BUU115" s="15"/>
      <c r="BUV115" s="15"/>
      <c r="BUW115" s="15"/>
      <c r="BUX115" s="15"/>
      <c r="BUY115" s="15"/>
      <c r="BUZ115" s="15"/>
      <c r="BVA115" s="15"/>
      <c r="BVB115" s="15"/>
      <c r="BVC115" s="15"/>
      <c r="BVD115" s="15"/>
      <c r="BVE115" s="15"/>
      <c r="BVF115" s="15"/>
      <c r="BVG115" s="15"/>
      <c r="BVH115" s="15"/>
      <c r="BVI115" s="15"/>
      <c r="BVJ115" s="15"/>
      <c r="BVK115" s="15"/>
      <c r="BVL115" s="14"/>
      <c r="BVM115" s="15"/>
      <c r="BVN115" s="15"/>
      <c r="BVO115" s="15"/>
      <c r="BVP115" s="15"/>
      <c r="BVQ115" s="15"/>
      <c r="BVR115" s="15"/>
      <c r="BVS115" s="15"/>
      <c r="BVT115" s="15"/>
      <c r="BVU115" s="15"/>
      <c r="BVV115" s="15"/>
      <c r="BVW115" s="15"/>
      <c r="BVX115" s="15"/>
      <c r="BVY115" s="15"/>
      <c r="BVZ115" s="15"/>
      <c r="BWA115" s="15"/>
      <c r="BWB115" s="15"/>
      <c r="BWC115" s="15"/>
      <c r="BWD115" s="15"/>
      <c r="BWE115" s="15"/>
      <c r="BWF115" s="15"/>
      <c r="BWG115" s="15"/>
      <c r="BWH115" s="14"/>
      <c r="BWI115" s="15"/>
      <c r="BWJ115" s="15"/>
      <c r="BWK115" s="15"/>
      <c r="BWL115" s="15"/>
      <c r="BWM115" s="15"/>
      <c r="BWN115" s="15"/>
      <c r="BWO115" s="15"/>
      <c r="BWP115" s="15"/>
      <c r="BWQ115" s="15"/>
      <c r="BWR115" s="15"/>
      <c r="BWS115" s="15"/>
      <c r="BWT115" s="15"/>
      <c r="BWU115" s="15"/>
      <c r="BWV115" s="15"/>
      <c r="BWW115" s="15"/>
      <c r="BWX115" s="15"/>
      <c r="BWY115" s="15"/>
      <c r="BWZ115" s="15"/>
      <c r="BXA115" s="15"/>
      <c r="BXB115" s="15"/>
      <c r="BXC115" s="15"/>
      <c r="BXD115" s="14"/>
      <c r="BXE115" s="15"/>
      <c r="BXF115" s="15"/>
      <c r="BXG115" s="15"/>
      <c r="BXH115" s="15"/>
      <c r="BXI115" s="15"/>
      <c r="BXJ115" s="15"/>
      <c r="BXK115" s="15"/>
      <c r="BXL115" s="15"/>
      <c r="BXM115" s="15"/>
      <c r="BXN115" s="15"/>
      <c r="BXO115" s="15"/>
      <c r="BXP115" s="15"/>
      <c r="BXQ115" s="15"/>
      <c r="BXR115" s="15"/>
      <c r="BXS115" s="15"/>
      <c r="BXT115" s="15"/>
      <c r="BXU115" s="15"/>
      <c r="BXV115" s="15"/>
      <c r="BXW115" s="15"/>
      <c r="BXX115" s="15"/>
      <c r="BXY115" s="15"/>
      <c r="BXZ115" s="14"/>
      <c r="BYA115" s="15"/>
      <c r="BYB115" s="15"/>
      <c r="BYC115" s="15"/>
      <c r="BYD115" s="15"/>
      <c r="BYE115" s="15"/>
      <c r="BYF115" s="15"/>
      <c r="BYG115" s="15"/>
      <c r="BYH115" s="15"/>
      <c r="BYI115" s="15"/>
      <c r="BYJ115" s="15"/>
      <c r="BYK115" s="15"/>
      <c r="BYL115" s="15"/>
      <c r="BYM115" s="15"/>
      <c r="BYN115" s="15"/>
      <c r="BYO115" s="15"/>
      <c r="BYP115" s="15"/>
      <c r="BYQ115" s="15"/>
      <c r="BYR115" s="15"/>
      <c r="BYS115" s="15"/>
      <c r="BYT115" s="15"/>
      <c r="BYU115" s="15"/>
      <c r="BYV115" s="14"/>
      <c r="BYW115" s="15"/>
      <c r="BYX115" s="15"/>
      <c r="BYY115" s="15"/>
      <c r="BYZ115" s="15"/>
      <c r="BZA115" s="15"/>
      <c r="BZB115" s="15"/>
      <c r="BZC115" s="15"/>
      <c r="BZD115" s="15"/>
      <c r="BZE115" s="15"/>
      <c r="BZF115" s="15"/>
      <c r="BZG115" s="15"/>
      <c r="BZH115" s="15"/>
      <c r="BZI115" s="15"/>
      <c r="BZJ115" s="15"/>
      <c r="BZK115" s="15"/>
      <c r="BZL115" s="15"/>
      <c r="BZM115" s="15"/>
      <c r="BZN115" s="15"/>
      <c r="BZO115" s="15"/>
      <c r="BZP115" s="15"/>
      <c r="BZQ115" s="15"/>
      <c r="BZR115" s="14"/>
      <c r="BZS115" s="15"/>
      <c r="BZT115" s="15"/>
      <c r="BZU115" s="15"/>
      <c r="BZV115" s="15"/>
      <c r="BZW115" s="15"/>
      <c r="BZX115" s="15"/>
      <c r="BZY115" s="15"/>
      <c r="BZZ115" s="15"/>
      <c r="CAA115" s="15"/>
      <c r="CAB115" s="15"/>
      <c r="CAC115" s="15"/>
      <c r="CAD115" s="15"/>
      <c r="CAE115" s="15"/>
      <c r="CAF115" s="15"/>
      <c r="CAG115" s="15"/>
      <c r="CAH115" s="15"/>
      <c r="CAI115" s="15"/>
      <c r="CAJ115" s="15"/>
      <c r="CAK115" s="15"/>
      <c r="CAL115" s="15"/>
      <c r="CAM115" s="15"/>
      <c r="CAN115" s="14"/>
      <c r="CAO115" s="15"/>
      <c r="CAP115" s="15"/>
      <c r="CAQ115" s="15"/>
      <c r="CAR115" s="15"/>
      <c r="CAS115" s="15"/>
      <c r="CAT115" s="15"/>
      <c r="CAU115" s="15"/>
      <c r="CAV115" s="15"/>
      <c r="CAW115" s="15"/>
      <c r="CAX115" s="15"/>
      <c r="CAY115" s="15"/>
      <c r="CAZ115" s="15"/>
      <c r="CBA115" s="15"/>
      <c r="CBB115" s="15"/>
      <c r="CBC115" s="15"/>
      <c r="CBD115" s="15"/>
      <c r="CBE115" s="15"/>
      <c r="CBF115" s="15"/>
      <c r="CBG115" s="15"/>
      <c r="CBH115" s="15"/>
      <c r="CBI115" s="15"/>
      <c r="CBJ115" s="14"/>
      <c r="CBK115" s="15"/>
      <c r="CBL115" s="15"/>
      <c r="CBM115" s="15"/>
      <c r="CBN115" s="15"/>
      <c r="CBO115" s="15"/>
      <c r="CBP115" s="15"/>
      <c r="CBQ115" s="15"/>
      <c r="CBR115" s="15"/>
      <c r="CBS115" s="15"/>
      <c r="CBT115" s="15"/>
      <c r="CBU115" s="15"/>
      <c r="CBV115" s="15"/>
      <c r="CBW115" s="15"/>
      <c r="CBX115" s="15"/>
      <c r="CBY115" s="15"/>
      <c r="CBZ115" s="15"/>
      <c r="CCA115" s="15"/>
      <c r="CCB115" s="15"/>
      <c r="CCC115" s="15"/>
      <c r="CCD115" s="15"/>
      <c r="CCE115" s="15"/>
      <c r="CCF115" s="14"/>
      <c r="CCG115" s="15"/>
      <c r="CCH115" s="15"/>
      <c r="CCI115" s="15"/>
      <c r="CCJ115" s="15"/>
      <c r="CCK115" s="15"/>
      <c r="CCL115" s="15"/>
      <c r="CCM115" s="15"/>
      <c r="CCN115" s="15"/>
      <c r="CCO115" s="15"/>
      <c r="CCP115" s="15"/>
      <c r="CCQ115" s="15"/>
      <c r="CCR115" s="15"/>
      <c r="CCS115" s="15"/>
      <c r="CCT115" s="15"/>
      <c r="CCU115" s="15"/>
      <c r="CCV115" s="15"/>
      <c r="CCW115" s="15"/>
      <c r="CCX115" s="15"/>
      <c r="CCY115" s="15"/>
      <c r="CCZ115" s="15"/>
      <c r="CDA115" s="15"/>
      <c r="CDB115" s="14"/>
      <c r="CDC115" s="15"/>
      <c r="CDD115" s="15"/>
      <c r="CDE115" s="15"/>
      <c r="CDF115" s="15"/>
      <c r="CDG115" s="15"/>
      <c r="CDH115" s="15"/>
      <c r="CDI115" s="15"/>
      <c r="CDJ115" s="15"/>
      <c r="CDK115" s="15"/>
      <c r="CDL115" s="15"/>
      <c r="CDM115" s="15"/>
      <c r="CDN115" s="15"/>
      <c r="CDO115" s="15"/>
      <c r="CDP115" s="15"/>
      <c r="CDQ115" s="15"/>
      <c r="CDR115" s="15"/>
      <c r="CDS115" s="15"/>
      <c r="CDT115" s="15"/>
      <c r="CDU115" s="15"/>
      <c r="CDV115" s="15"/>
      <c r="CDW115" s="15"/>
      <c r="CDX115" s="14"/>
      <c r="CDY115" s="15"/>
      <c r="CDZ115" s="15"/>
      <c r="CEA115" s="15"/>
      <c r="CEB115" s="15"/>
      <c r="CEC115" s="15"/>
      <c r="CED115" s="15"/>
      <c r="CEE115" s="15"/>
      <c r="CEF115" s="15"/>
      <c r="CEG115" s="15"/>
      <c r="CEH115" s="15"/>
      <c r="CEI115" s="15"/>
      <c r="CEJ115" s="15"/>
      <c r="CEK115" s="15"/>
      <c r="CEL115" s="15"/>
      <c r="CEM115" s="15"/>
      <c r="CEN115" s="15"/>
      <c r="CEO115" s="15"/>
      <c r="CEP115" s="15"/>
      <c r="CEQ115" s="15"/>
      <c r="CER115" s="15"/>
      <c r="CES115" s="15"/>
      <c r="CET115" s="14"/>
      <c r="CEU115" s="15"/>
      <c r="CEV115" s="15"/>
      <c r="CEW115" s="15"/>
      <c r="CEX115" s="15"/>
      <c r="CEY115" s="15"/>
      <c r="CEZ115" s="15"/>
      <c r="CFA115" s="15"/>
      <c r="CFB115" s="15"/>
      <c r="CFC115" s="15"/>
      <c r="CFD115" s="15"/>
      <c r="CFE115" s="15"/>
      <c r="CFF115" s="15"/>
      <c r="CFG115" s="15"/>
      <c r="CFH115" s="15"/>
      <c r="CFI115" s="15"/>
      <c r="CFJ115" s="15"/>
      <c r="CFK115" s="15"/>
      <c r="CFL115" s="15"/>
      <c r="CFM115" s="15"/>
      <c r="CFN115" s="15"/>
      <c r="CFO115" s="15"/>
      <c r="CFP115" s="14"/>
      <c r="CFQ115" s="15"/>
      <c r="CFR115" s="15"/>
      <c r="CFS115" s="15"/>
      <c r="CFT115" s="15"/>
      <c r="CFU115" s="15"/>
      <c r="CFV115" s="15"/>
      <c r="CFW115" s="15"/>
      <c r="CFX115" s="15"/>
      <c r="CFY115" s="15"/>
      <c r="CFZ115" s="15"/>
      <c r="CGA115" s="15"/>
      <c r="CGB115" s="15"/>
      <c r="CGC115" s="15"/>
      <c r="CGD115" s="15"/>
      <c r="CGE115" s="15"/>
      <c r="CGF115" s="15"/>
      <c r="CGG115" s="15"/>
      <c r="CGH115" s="15"/>
      <c r="CGI115" s="15"/>
      <c r="CGJ115" s="15"/>
      <c r="CGK115" s="15"/>
      <c r="CGL115" s="14"/>
      <c r="CGM115" s="15"/>
      <c r="CGN115" s="15"/>
      <c r="CGO115" s="15"/>
      <c r="CGP115" s="15"/>
      <c r="CGQ115" s="15"/>
      <c r="CGR115" s="15"/>
      <c r="CGS115" s="15"/>
      <c r="CGT115" s="15"/>
      <c r="CGU115" s="15"/>
      <c r="CGV115" s="15"/>
      <c r="CGW115" s="15"/>
      <c r="CGX115" s="15"/>
      <c r="CGY115" s="15"/>
      <c r="CGZ115" s="15"/>
      <c r="CHA115" s="15"/>
      <c r="CHB115" s="15"/>
      <c r="CHC115" s="15"/>
      <c r="CHD115" s="15"/>
      <c r="CHE115" s="15"/>
      <c r="CHF115" s="15"/>
      <c r="CHG115" s="15"/>
      <c r="CHH115" s="14"/>
      <c r="CHI115" s="15"/>
      <c r="CHJ115" s="15"/>
      <c r="CHK115" s="15"/>
      <c r="CHL115" s="15"/>
      <c r="CHM115" s="15"/>
      <c r="CHN115" s="15"/>
      <c r="CHO115" s="15"/>
      <c r="CHP115" s="15"/>
      <c r="CHQ115" s="15"/>
      <c r="CHR115" s="15"/>
      <c r="CHS115" s="15"/>
      <c r="CHT115" s="15"/>
      <c r="CHU115" s="15"/>
      <c r="CHV115" s="15"/>
      <c r="CHW115" s="15"/>
      <c r="CHX115" s="15"/>
      <c r="CHY115" s="15"/>
      <c r="CHZ115" s="15"/>
      <c r="CIA115" s="15"/>
      <c r="CIB115" s="15"/>
      <c r="CIC115" s="15"/>
      <c r="CID115" s="14"/>
      <c r="CIE115" s="15"/>
      <c r="CIF115" s="15"/>
      <c r="CIG115" s="15"/>
      <c r="CIH115" s="15"/>
      <c r="CII115" s="15"/>
      <c r="CIJ115" s="15"/>
      <c r="CIK115" s="15"/>
      <c r="CIL115" s="15"/>
      <c r="CIM115" s="15"/>
      <c r="CIN115" s="15"/>
      <c r="CIO115" s="15"/>
      <c r="CIP115" s="15"/>
      <c r="CIQ115" s="15"/>
      <c r="CIR115" s="15"/>
      <c r="CIS115" s="15"/>
      <c r="CIT115" s="15"/>
      <c r="CIU115" s="15"/>
      <c r="CIV115" s="15"/>
      <c r="CIW115" s="15"/>
      <c r="CIX115" s="15"/>
      <c r="CIY115" s="15"/>
      <c r="CIZ115" s="14"/>
      <c r="CJA115" s="15"/>
      <c r="CJB115" s="15"/>
      <c r="CJC115" s="15"/>
      <c r="CJD115" s="15"/>
      <c r="CJE115" s="15"/>
      <c r="CJF115" s="15"/>
      <c r="CJG115" s="15"/>
      <c r="CJH115" s="15"/>
      <c r="CJI115" s="15"/>
      <c r="CJJ115" s="15"/>
      <c r="CJK115" s="15"/>
      <c r="CJL115" s="15"/>
      <c r="CJM115" s="15"/>
      <c r="CJN115" s="15"/>
      <c r="CJO115" s="15"/>
      <c r="CJP115" s="15"/>
      <c r="CJQ115" s="15"/>
      <c r="CJR115" s="15"/>
      <c r="CJS115" s="15"/>
      <c r="CJT115" s="15"/>
      <c r="CJU115" s="15"/>
      <c r="CJV115" s="14"/>
      <c r="CJW115" s="15"/>
      <c r="CJX115" s="15"/>
      <c r="CJY115" s="15"/>
      <c r="CJZ115" s="15"/>
      <c r="CKA115" s="15"/>
      <c r="CKB115" s="15"/>
      <c r="CKC115" s="15"/>
      <c r="CKD115" s="15"/>
      <c r="CKE115" s="15"/>
      <c r="CKF115" s="15"/>
      <c r="CKG115" s="15"/>
      <c r="CKH115" s="15"/>
      <c r="CKI115" s="15"/>
      <c r="CKJ115" s="15"/>
      <c r="CKK115" s="15"/>
      <c r="CKL115" s="15"/>
      <c r="CKM115" s="15"/>
      <c r="CKN115" s="15"/>
      <c r="CKO115" s="15"/>
      <c r="CKP115" s="15"/>
      <c r="CKQ115" s="15"/>
      <c r="CKR115" s="14"/>
      <c r="CKS115" s="15"/>
      <c r="CKT115" s="15"/>
      <c r="CKU115" s="15"/>
      <c r="CKV115" s="15"/>
      <c r="CKW115" s="15"/>
      <c r="CKX115" s="15"/>
      <c r="CKY115" s="15"/>
      <c r="CKZ115" s="15"/>
      <c r="CLA115" s="15"/>
      <c r="CLB115" s="15"/>
      <c r="CLC115" s="15"/>
      <c r="CLD115" s="15"/>
      <c r="CLE115" s="15"/>
      <c r="CLF115" s="15"/>
      <c r="CLG115" s="15"/>
      <c r="CLH115" s="15"/>
      <c r="CLI115" s="15"/>
      <c r="CLJ115" s="15"/>
      <c r="CLK115" s="15"/>
      <c r="CLL115" s="15"/>
      <c r="CLM115" s="15"/>
      <c r="CLN115" s="14"/>
      <c r="CLO115" s="15"/>
      <c r="CLP115" s="15"/>
      <c r="CLQ115" s="15"/>
      <c r="CLR115" s="15"/>
      <c r="CLS115" s="15"/>
      <c r="CLT115" s="15"/>
      <c r="CLU115" s="15"/>
      <c r="CLV115" s="15"/>
      <c r="CLW115" s="15"/>
      <c r="CLX115" s="15"/>
      <c r="CLY115" s="15"/>
      <c r="CLZ115" s="15"/>
      <c r="CMA115" s="15"/>
      <c r="CMB115" s="15"/>
      <c r="CMC115" s="15"/>
      <c r="CMD115" s="15"/>
      <c r="CME115" s="15"/>
      <c r="CMF115" s="15"/>
      <c r="CMG115" s="15"/>
      <c r="CMH115" s="15"/>
      <c r="CMI115" s="15"/>
      <c r="CMJ115" s="14"/>
      <c r="CMK115" s="15"/>
      <c r="CML115" s="15"/>
      <c r="CMM115" s="15"/>
      <c r="CMN115" s="15"/>
      <c r="CMO115" s="15"/>
      <c r="CMP115" s="15"/>
      <c r="CMQ115" s="15"/>
      <c r="CMR115" s="15"/>
      <c r="CMS115" s="15"/>
      <c r="CMT115" s="15"/>
      <c r="CMU115" s="15"/>
      <c r="CMV115" s="15"/>
      <c r="CMW115" s="15"/>
      <c r="CMX115" s="15"/>
      <c r="CMY115" s="15"/>
      <c r="CMZ115" s="15"/>
      <c r="CNA115" s="15"/>
      <c r="CNB115" s="15"/>
      <c r="CNC115" s="15"/>
      <c r="CND115" s="15"/>
      <c r="CNE115" s="15"/>
      <c r="CNF115" s="14"/>
      <c r="CNG115" s="15"/>
      <c r="CNH115" s="15"/>
      <c r="CNI115" s="15"/>
      <c r="CNJ115" s="15"/>
      <c r="CNK115" s="15"/>
      <c r="CNL115" s="15"/>
      <c r="CNM115" s="15"/>
      <c r="CNN115" s="15"/>
      <c r="CNO115" s="15"/>
      <c r="CNP115" s="15"/>
      <c r="CNQ115" s="15"/>
      <c r="CNR115" s="15"/>
      <c r="CNS115" s="15"/>
      <c r="CNT115" s="15"/>
      <c r="CNU115" s="15"/>
      <c r="CNV115" s="15"/>
      <c r="CNW115" s="15"/>
      <c r="CNX115" s="15"/>
      <c r="CNY115" s="15"/>
      <c r="CNZ115" s="15"/>
      <c r="COA115" s="15"/>
      <c r="COB115" s="14"/>
      <c r="COC115" s="15"/>
      <c r="COD115" s="15"/>
      <c r="COE115" s="15"/>
      <c r="COF115" s="15"/>
      <c r="COG115" s="15"/>
      <c r="COH115" s="15"/>
      <c r="COI115" s="15"/>
      <c r="COJ115" s="15"/>
      <c r="COK115" s="15"/>
      <c r="COL115" s="15"/>
      <c r="COM115" s="15"/>
      <c r="CON115" s="15"/>
      <c r="COO115" s="15"/>
      <c r="COP115" s="15"/>
      <c r="COQ115" s="15"/>
      <c r="COR115" s="15"/>
      <c r="COS115" s="15"/>
      <c r="COT115" s="15"/>
      <c r="COU115" s="15"/>
      <c r="COV115" s="15"/>
      <c r="COW115" s="15"/>
      <c r="COX115" s="14"/>
      <c r="COY115" s="15"/>
      <c r="COZ115" s="15"/>
      <c r="CPA115" s="15"/>
      <c r="CPB115" s="15"/>
      <c r="CPC115" s="15"/>
      <c r="CPD115" s="15"/>
      <c r="CPE115" s="15"/>
      <c r="CPF115" s="15"/>
      <c r="CPG115" s="15"/>
      <c r="CPH115" s="15"/>
      <c r="CPI115" s="15"/>
      <c r="CPJ115" s="15"/>
      <c r="CPK115" s="15"/>
      <c r="CPL115" s="15"/>
      <c r="CPM115" s="15"/>
      <c r="CPN115" s="15"/>
      <c r="CPO115" s="15"/>
      <c r="CPP115" s="15"/>
      <c r="CPQ115" s="15"/>
      <c r="CPR115" s="15"/>
      <c r="CPS115" s="15"/>
      <c r="CPT115" s="14"/>
      <c r="CPU115" s="15"/>
      <c r="CPV115" s="15"/>
      <c r="CPW115" s="15"/>
      <c r="CPX115" s="15"/>
      <c r="CPY115" s="15"/>
      <c r="CPZ115" s="15"/>
      <c r="CQA115" s="15"/>
      <c r="CQB115" s="15"/>
      <c r="CQC115" s="15"/>
      <c r="CQD115" s="15"/>
      <c r="CQE115" s="15"/>
      <c r="CQF115" s="15"/>
      <c r="CQG115" s="15"/>
      <c r="CQH115" s="15"/>
      <c r="CQI115" s="15"/>
      <c r="CQJ115" s="15"/>
      <c r="CQK115" s="15"/>
      <c r="CQL115" s="15"/>
      <c r="CQM115" s="15"/>
      <c r="CQN115" s="15"/>
      <c r="CQO115" s="15"/>
      <c r="CQP115" s="14"/>
      <c r="CQQ115" s="15"/>
      <c r="CQR115" s="15"/>
      <c r="CQS115" s="15"/>
      <c r="CQT115" s="15"/>
      <c r="CQU115" s="15"/>
      <c r="CQV115" s="15"/>
      <c r="CQW115" s="15"/>
      <c r="CQX115" s="15"/>
      <c r="CQY115" s="15"/>
      <c r="CQZ115" s="15"/>
      <c r="CRA115" s="15"/>
      <c r="CRB115" s="15"/>
      <c r="CRC115" s="15"/>
      <c r="CRD115" s="15"/>
      <c r="CRE115" s="15"/>
      <c r="CRF115" s="15"/>
      <c r="CRG115" s="15"/>
      <c r="CRH115" s="15"/>
      <c r="CRI115" s="15"/>
      <c r="CRJ115" s="15"/>
      <c r="CRK115" s="15"/>
      <c r="CRL115" s="14"/>
      <c r="CRM115" s="15"/>
      <c r="CRN115" s="15"/>
      <c r="CRO115" s="15"/>
      <c r="CRP115" s="15"/>
      <c r="CRQ115" s="15"/>
      <c r="CRR115" s="15"/>
      <c r="CRS115" s="15"/>
      <c r="CRT115" s="15"/>
      <c r="CRU115" s="15"/>
      <c r="CRV115" s="15"/>
      <c r="CRW115" s="15"/>
      <c r="CRX115" s="15"/>
      <c r="CRY115" s="15"/>
      <c r="CRZ115" s="15"/>
      <c r="CSA115" s="15"/>
      <c r="CSB115" s="15"/>
      <c r="CSC115" s="15"/>
      <c r="CSD115" s="15"/>
      <c r="CSE115" s="15"/>
      <c r="CSF115" s="15"/>
      <c r="CSG115" s="15"/>
      <c r="CSH115" s="14"/>
      <c r="CSI115" s="15"/>
      <c r="CSJ115" s="15"/>
      <c r="CSK115" s="15"/>
      <c r="CSL115" s="15"/>
      <c r="CSM115" s="15"/>
      <c r="CSN115" s="15"/>
      <c r="CSO115" s="15"/>
      <c r="CSP115" s="15"/>
      <c r="CSQ115" s="15"/>
      <c r="CSR115" s="15"/>
      <c r="CSS115" s="15"/>
      <c r="CST115" s="15"/>
      <c r="CSU115" s="15"/>
      <c r="CSV115" s="15"/>
      <c r="CSW115" s="15"/>
      <c r="CSX115" s="15"/>
      <c r="CSY115" s="15"/>
      <c r="CSZ115" s="15"/>
      <c r="CTA115" s="15"/>
      <c r="CTB115" s="15"/>
      <c r="CTC115" s="15"/>
      <c r="CTD115" s="14"/>
      <c r="CTE115" s="15"/>
      <c r="CTF115" s="15"/>
      <c r="CTG115" s="15"/>
      <c r="CTH115" s="15"/>
      <c r="CTI115" s="15"/>
      <c r="CTJ115" s="15"/>
      <c r="CTK115" s="15"/>
      <c r="CTL115" s="15"/>
      <c r="CTM115" s="15"/>
      <c r="CTN115" s="15"/>
      <c r="CTO115" s="15"/>
      <c r="CTP115" s="15"/>
      <c r="CTQ115" s="15"/>
      <c r="CTR115" s="15"/>
      <c r="CTS115" s="15"/>
      <c r="CTT115" s="15"/>
      <c r="CTU115" s="15"/>
      <c r="CTV115" s="15"/>
      <c r="CTW115" s="15"/>
      <c r="CTX115" s="15"/>
      <c r="CTY115" s="15"/>
      <c r="CTZ115" s="14"/>
      <c r="CUA115" s="15"/>
      <c r="CUB115" s="15"/>
      <c r="CUC115" s="15"/>
      <c r="CUD115" s="15"/>
      <c r="CUE115" s="15"/>
      <c r="CUF115" s="15"/>
      <c r="CUG115" s="15"/>
      <c r="CUH115" s="15"/>
      <c r="CUI115" s="15"/>
      <c r="CUJ115" s="15"/>
      <c r="CUK115" s="15"/>
      <c r="CUL115" s="15"/>
      <c r="CUM115" s="15"/>
      <c r="CUN115" s="15"/>
      <c r="CUO115" s="15"/>
      <c r="CUP115" s="15"/>
      <c r="CUQ115" s="15"/>
      <c r="CUR115" s="15"/>
      <c r="CUS115" s="15"/>
      <c r="CUT115" s="15"/>
      <c r="CUU115" s="15"/>
      <c r="CUV115" s="14"/>
      <c r="CUW115" s="15"/>
      <c r="CUX115" s="15"/>
      <c r="CUY115" s="15"/>
      <c r="CUZ115" s="15"/>
      <c r="CVA115" s="15"/>
      <c r="CVB115" s="15"/>
      <c r="CVC115" s="15"/>
      <c r="CVD115" s="15"/>
      <c r="CVE115" s="15"/>
      <c r="CVF115" s="15"/>
      <c r="CVG115" s="15"/>
      <c r="CVH115" s="15"/>
      <c r="CVI115" s="15"/>
      <c r="CVJ115" s="15"/>
      <c r="CVK115" s="15"/>
      <c r="CVL115" s="15"/>
      <c r="CVM115" s="15"/>
      <c r="CVN115" s="15"/>
      <c r="CVO115" s="15"/>
      <c r="CVP115" s="15"/>
      <c r="CVQ115" s="15"/>
      <c r="CVR115" s="14"/>
      <c r="CVS115" s="15"/>
      <c r="CVT115" s="15"/>
      <c r="CVU115" s="15"/>
      <c r="CVV115" s="15"/>
      <c r="CVW115" s="15"/>
      <c r="CVX115" s="15"/>
      <c r="CVY115" s="15"/>
      <c r="CVZ115" s="15"/>
      <c r="CWA115" s="15"/>
      <c r="CWB115" s="15"/>
      <c r="CWC115" s="15"/>
      <c r="CWD115" s="15"/>
      <c r="CWE115" s="15"/>
      <c r="CWF115" s="15"/>
      <c r="CWG115" s="15"/>
      <c r="CWH115" s="15"/>
      <c r="CWI115" s="15"/>
      <c r="CWJ115" s="15"/>
      <c r="CWK115" s="15"/>
      <c r="CWL115" s="15"/>
      <c r="CWM115" s="15"/>
      <c r="CWN115" s="14"/>
      <c r="CWO115" s="15"/>
      <c r="CWP115" s="15"/>
      <c r="CWQ115" s="15"/>
      <c r="CWR115" s="15"/>
      <c r="CWS115" s="15"/>
      <c r="CWT115" s="15"/>
      <c r="CWU115" s="15"/>
      <c r="CWV115" s="15"/>
      <c r="CWW115" s="15"/>
      <c r="CWX115" s="15"/>
      <c r="CWY115" s="15"/>
      <c r="CWZ115" s="15"/>
      <c r="CXA115" s="15"/>
      <c r="CXB115" s="15"/>
      <c r="CXC115" s="15"/>
      <c r="CXD115" s="15"/>
      <c r="CXE115" s="15"/>
      <c r="CXF115" s="15"/>
      <c r="CXG115" s="15"/>
      <c r="CXH115" s="15"/>
      <c r="CXI115" s="15"/>
      <c r="CXJ115" s="14"/>
      <c r="CXK115" s="15"/>
      <c r="CXL115" s="15"/>
      <c r="CXM115" s="15"/>
      <c r="CXN115" s="15"/>
      <c r="CXO115" s="15"/>
      <c r="CXP115" s="15"/>
      <c r="CXQ115" s="15"/>
      <c r="CXR115" s="15"/>
      <c r="CXS115" s="15"/>
      <c r="CXT115" s="15"/>
      <c r="CXU115" s="15"/>
      <c r="CXV115" s="15"/>
      <c r="CXW115" s="15"/>
      <c r="CXX115" s="15"/>
      <c r="CXY115" s="15"/>
      <c r="CXZ115" s="15"/>
      <c r="CYA115" s="15"/>
      <c r="CYB115" s="15"/>
      <c r="CYC115" s="15"/>
      <c r="CYD115" s="15"/>
      <c r="CYE115" s="15"/>
      <c r="CYF115" s="14"/>
      <c r="CYG115" s="15"/>
      <c r="CYH115" s="15"/>
      <c r="CYI115" s="15"/>
      <c r="CYJ115" s="15"/>
      <c r="CYK115" s="15"/>
      <c r="CYL115" s="15"/>
      <c r="CYM115" s="15"/>
      <c r="CYN115" s="15"/>
      <c r="CYO115" s="15"/>
      <c r="CYP115" s="15"/>
      <c r="CYQ115" s="15"/>
      <c r="CYR115" s="15"/>
      <c r="CYS115" s="15"/>
      <c r="CYT115" s="15"/>
      <c r="CYU115" s="15"/>
      <c r="CYV115" s="15"/>
      <c r="CYW115" s="15"/>
      <c r="CYX115" s="15"/>
      <c r="CYY115" s="15"/>
      <c r="CYZ115" s="15"/>
      <c r="CZA115" s="15"/>
      <c r="CZB115" s="14"/>
      <c r="CZC115" s="15"/>
      <c r="CZD115" s="15"/>
      <c r="CZE115" s="15"/>
      <c r="CZF115" s="15"/>
      <c r="CZG115" s="15"/>
      <c r="CZH115" s="15"/>
      <c r="CZI115" s="15"/>
      <c r="CZJ115" s="15"/>
      <c r="CZK115" s="15"/>
      <c r="CZL115" s="15"/>
      <c r="CZM115" s="15"/>
      <c r="CZN115" s="15"/>
      <c r="CZO115" s="15"/>
      <c r="CZP115" s="15"/>
      <c r="CZQ115" s="15"/>
      <c r="CZR115" s="15"/>
      <c r="CZS115" s="15"/>
      <c r="CZT115" s="15"/>
      <c r="CZU115" s="15"/>
      <c r="CZV115" s="15"/>
      <c r="CZW115" s="15"/>
      <c r="CZX115" s="14"/>
      <c r="CZY115" s="15"/>
      <c r="CZZ115" s="15"/>
      <c r="DAA115" s="15"/>
      <c r="DAB115" s="15"/>
      <c r="DAC115" s="15"/>
      <c r="DAD115" s="15"/>
      <c r="DAE115" s="15"/>
      <c r="DAF115" s="15"/>
      <c r="DAG115" s="15"/>
      <c r="DAH115" s="15"/>
      <c r="DAI115" s="15"/>
      <c r="DAJ115" s="15"/>
      <c r="DAK115" s="15"/>
      <c r="DAL115" s="15"/>
      <c r="DAM115" s="15"/>
      <c r="DAN115" s="15"/>
      <c r="DAO115" s="15"/>
      <c r="DAP115" s="15"/>
      <c r="DAQ115" s="15"/>
      <c r="DAR115" s="15"/>
      <c r="DAS115" s="15"/>
      <c r="DAT115" s="14"/>
      <c r="DAU115" s="15"/>
      <c r="DAV115" s="15"/>
      <c r="DAW115" s="15"/>
      <c r="DAX115" s="15"/>
      <c r="DAY115" s="15"/>
      <c r="DAZ115" s="15"/>
      <c r="DBA115" s="15"/>
      <c r="DBB115" s="15"/>
      <c r="DBC115" s="15"/>
      <c r="DBD115" s="15"/>
      <c r="DBE115" s="15"/>
      <c r="DBF115" s="15"/>
      <c r="DBG115" s="15"/>
      <c r="DBH115" s="15"/>
      <c r="DBI115" s="15"/>
      <c r="DBJ115" s="15"/>
      <c r="DBK115" s="15"/>
      <c r="DBL115" s="15"/>
      <c r="DBM115" s="15"/>
      <c r="DBN115" s="15"/>
      <c r="DBO115" s="15"/>
      <c r="DBP115" s="14"/>
      <c r="DBQ115" s="15"/>
      <c r="DBR115" s="15"/>
      <c r="DBS115" s="15"/>
      <c r="DBT115" s="15"/>
      <c r="DBU115" s="15"/>
      <c r="DBV115" s="15"/>
      <c r="DBW115" s="15"/>
      <c r="DBX115" s="15"/>
      <c r="DBY115" s="15"/>
      <c r="DBZ115" s="15"/>
      <c r="DCA115" s="15"/>
      <c r="DCB115" s="15"/>
      <c r="DCC115" s="15"/>
      <c r="DCD115" s="15"/>
      <c r="DCE115" s="15"/>
      <c r="DCF115" s="15"/>
      <c r="DCG115" s="15"/>
      <c r="DCH115" s="15"/>
      <c r="DCI115" s="15"/>
      <c r="DCJ115" s="15"/>
      <c r="DCK115" s="15"/>
      <c r="DCL115" s="14"/>
      <c r="DCM115" s="15"/>
      <c r="DCN115" s="15"/>
      <c r="DCO115" s="15"/>
      <c r="DCP115" s="15"/>
      <c r="DCQ115" s="15"/>
      <c r="DCR115" s="15"/>
      <c r="DCS115" s="15"/>
      <c r="DCT115" s="15"/>
      <c r="DCU115" s="15"/>
      <c r="DCV115" s="15"/>
      <c r="DCW115" s="15"/>
      <c r="DCX115" s="15"/>
      <c r="DCY115" s="15"/>
      <c r="DCZ115" s="15"/>
      <c r="DDA115" s="15"/>
      <c r="DDB115" s="15"/>
      <c r="DDC115" s="15"/>
      <c r="DDD115" s="15"/>
      <c r="DDE115" s="15"/>
      <c r="DDF115" s="15"/>
      <c r="DDG115" s="15"/>
      <c r="DDH115" s="14"/>
      <c r="DDI115" s="15"/>
      <c r="DDJ115" s="15"/>
      <c r="DDK115" s="15"/>
      <c r="DDL115" s="15"/>
      <c r="DDM115" s="15"/>
      <c r="DDN115" s="15"/>
      <c r="DDO115" s="15"/>
      <c r="DDP115" s="15"/>
      <c r="DDQ115" s="15"/>
      <c r="DDR115" s="15"/>
      <c r="DDS115" s="15"/>
      <c r="DDT115" s="15"/>
      <c r="DDU115" s="15"/>
      <c r="DDV115" s="15"/>
      <c r="DDW115" s="15"/>
      <c r="DDX115" s="15"/>
      <c r="DDY115" s="15"/>
      <c r="DDZ115" s="15"/>
      <c r="DEA115" s="15"/>
      <c r="DEB115" s="15"/>
      <c r="DEC115" s="15"/>
      <c r="DED115" s="14"/>
      <c r="DEE115" s="15"/>
      <c r="DEF115" s="15"/>
      <c r="DEG115" s="15"/>
      <c r="DEH115" s="15"/>
      <c r="DEI115" s="15"/>
      <c r="DEJ115" s="15"/>
      <c r="DEK115" s="15"/>
      <c r="DEL115" s="15"/>
      <c r="DEM115" s="15"/>
      <c r="DEN115" s="15"/>
      <c r="DEO115" s="15"/>
      <c r="DEP115" s="15"/>
      <c r="DEQ115" s="15"/>
      <c r="DER115" s="15"/>
      <c r="DES115" s="15"/>
      <c r="DET115" s="15"/>
      <c r="DEU115" s="15"/>
      <c r="DEV115" s="15"/>
      <c r="DEW115" s="15"/>
      <c r="DEX115" s="15"/>
      <c r="DEY115" s="15"/>
      <c r="DEZ115" s="14"/>
      <c r="DFA115" s="15"/>
      <c r="DFB115" s="15"/>
      <c r="DFC115" s="15"/>
      <c r="DFD115" s="15"/>
      <c r="DFE115" s="15"/>
      <c r="DFF115" s="15"/>
      <c r="DFG115" s="15"/>
      <c r="DFH115" s="15"/>
      <c r="DFI115" s="15"/>
      <c r="DFJ115" s="15"/>
      <c r="DFK115" s="15"/>
      <c r="DFL115" s="15"/>
      <c r="DFM115" s="15"/>
      <c r="DFN115" s="15"/>
      <c r="DFO115" s="15"/>
      <c r="DFP115" s="15"/>
      <c r="DFQ115" s="15"/>
      <c r="DFR115" s="15"/>
      <c r="DFS115" s="15"/>
      <c r="DFT115" s="15"/>
      <c r="DFU115" s="15"/>
      <c r="DFV115" s="14"/>
      <c r="DFW115" s="15"/>
      <c r="DFX115" s="15"/>
      <c r="DFY115" s="15"/>
      <c r="DFZ115" s="15"/>
      <c r="DGA115" s="15"/>
      <c r="DGB115" s="15"/>
      <c r="DGC115" s="15"/>
      <c r="DGD115" s="15"/>
      <c r="DGE115" s="15"/>
      <c r="DGF115" s="15"/>
      <c r="DGG115" s="15"/>
      <c r="DGH115" s="15"/>
      <c r="DGI115" s="15"/>
      <c r="DGJ115" s="15"/>
      <c r="DGK115" s="15"/>
      <c r="DGL115" s="15"/>
      <c r="DGM115" s="15"/>
      <c r="DGN115" s="15"/>
      <c r="DGO115" s="15"/>
      <c r="DGP115" s="15"/>
      <c r="DGQ115" s="15"/>
      <c r="DGR115" s="14"/>
      <c r="DGS115" s="15"/>
      <c r="DGT115" s="15"/>
      <c r="DGU115" s="15"/>
      <c r="DGV115" s="15"/>
      <c r="DGW115" s="15"/>
      <c r="DGX115" s="15"/>
      <c r="DGY115" s="15"/>
      <c r="DGZ115" s="15"/>
      <c r="DHA115" s="15"/>
      <c r="DHB115" s="15"/>
      <c r="DHC115" s="15"/>
      <c r="DHD115" s="15"/>
      <c r="DHE115" s="15"/>
      <c r="DHF115" s="15"/>
      <c r="DHG115" s="15"/>
      <c r="DHH115" s="15"/>
      <c r="DHI115" s="15"/>
      <c r="DHJ115" s="15"/>
      <c r="DHK115" s="15"/>
      <c r="DHL115" s="15"/>
      <c r="DHM115" s="15"/>
      <c r="DHN115" s="14"/>
      <c r="DHO115" s="15"/>
      <c r="DHP115" s="15"/>
      <c r="DHQ115" s="15"/>
      <c r="DHR115" s="15"/>
      <c r="DHS115" s="15"/>
      <c r="DHT115" s="15"/>
      <c r="DHU115" s="15"/>
      <c r="DHV115" s="15"/>
      <c r="DHW115" s="15"/>
      <c r="DHX115" s="15"/>
      <c r="DHY115" s="15"/>
      <c r="DHZ115" s="15"/>
      <c r="DIA115" s="15"/>
      <c r="DIB115" s="15"/>
      <c r="DIC115" s="15"/>
      <c r="DID115" s="15"/>
      <c r="DIE115" s="15"/>
      <c r="DIF115" s="15"/>
      <c r="DIG115" s="15"/>
      <c r="DIH115" s="15"/>
      <c r="DII115" s="15"/>
      <c r="DIJ115" s="14"/>
      <c r="DIK115" s="15"/>
      <c r="DIL115" s="15"/>
      <c r="DIM115" s="15"/>
      <c r="DIN115" s="15"/>
      <c r="DIO115" s="15"/>
      <c r="DIP115" s="15"/>
      <c r="DIQ115" s="15"/>
      <c r="DIR115" s="15"/>
      <c r="DIS115" s="15"/>
      <c r="DIT115" s="15"/>
      <c r="DIU115" s="15"/>
      <c r="DIV115" s="15"/>
      <c r="DIW115" s="15"/>
      <c r="DIX115" s="15"/>
      <c r="DIY115" s="15"/>
      <c r="DIZ115" s="15"/>
      <c r="DJA115" s="15"/>
      <c r="DJB115" s="15"/>
      <c r="DJC115" s="15"/>
      <c r="DJD115" s="15"/>
      <c r="DJE115" s="15"/>
      <c r="DJF115" s="14"/>
      <c r="DJG115" s="15"/>
      <c r="DJH115" s="15"/>
      <c r="DJI115" s="15"/>
      <c r="DJJ115" s="15"/>
      <c r="DJK115" s="15"/>
      <c r="DJL115" s="15"/>
      <c r="DJM115" s="15"/>
      <c r="DJN115" s="15"/>
      <c r="DJO115" s="15"/>
      <c r="DJP115" s="15"/>
      <c r="DJQ115" s="15"/>
      <c r="DJR115" s="15"/>
      <c r="DJS115" s="15"/>
      <c r="DJT115" s="15"/>
      <c r="DJU115" s="15"/>
      <c r="DJV115" s="15"/>
      <c r="DJW115" s="15"/>
      <c r="DJX115" s="15"/>
      <c r="DJY115" s="15"/>
      <c r="DJZ115" s="15"/>
      <c r="DKA115" s="15"/>
      <c r="DKB115" s="14"/>
      <c r="DKC115" s="15"/>
      <c r="DKD115" s="15"/>
      <c r="DKE115" s="15"/>
      <c r="DKF115" s="15"/>
      <c r="DKG115" s="15"/>
      <c r="DKH115" s="15"/>
      <c r="DKI115" s="15"/>
      <c r="DKJ115" s="15"/>
      <c r="DKK115" s="15"/>
      <c r="DKL115" s="15"/>
      <c r="DKM115" s="15"/>
      <c r="DKN115" s="15"/>
      <c r="DKO115" s="15"/>
      <c r="DKP115" s="15"/>
      <c r="DKQ115" s="15"/>
      <c r="DKR115" s="15"/>
      <c r="DKS115" s="15"/>
      <c r="DKT115" s="15"/>
      <c r="DKU115" s="15"/>
      <c r="DKV115" s="15"/>
      <c r="DKW115" s="15"/>
      <c r="DKX115" s="14"/>
      <c r="DKY115" s="15"/>
      <c r="DKZ115" s="15"/>
      <c r="DLA115" s="15"/>
      <c r="DLB115" s="15"/>
      <c r="DLC115" s="15"/>
      <c r="DLD115" s="15"/>
      <c r="DLE115" s="15"/>
      <c r="DLF115" s="15"/>
      <c r="DLG115" s="15"/>
      <c r="DLH115" s="15"/>
      <c r="DLI115" s="15"/>
      <c r="DLJ115" s="15"/>
      <c r="DLK115" s="15"/>
      <c r="DLL115" s="15"/>
      <c r="DLM115" s="15"/>
      <c r="DLN115" s="15"/>
      <c r="DLO115" s="15"/>
      <c r="DLP115" s="15"/>
      <c r="DLQ115" s="15"/>
      <c r="DLR115" s="15"/>
      <c r="DLS115" s="15"/>
      <c r="DLT115" s="14"/>
      <c r="DLU115" s="15"/>
      <c r="DLV115" s="15"/>
      <c r="DLW115" s="15"/>
      <c r="DLX115" s="15"/>
      <c r="DLY115" s="15"/>
      <c r="DLZ115" s="15"/>
      <c r="DMA115" s="15"/>
      <c r="DMB115" s="15"/>
      <c r="DMC115" s="15"/>
      <c r="DMD115" s="15"/>
      <c r="DME115" s="15"/>
      <c r="DMF115" s="15"/>
      <c r="DMG115" s="15"/>
      <c r="DMH115" s="15"/>
      <c r="DMI115" s="15"/>
      <c r="DMJ115" s="15"/>
      <c r="DMK115" s="15"/>
      <c r="DML115" s="15"/>
      <c r="DMM115" s="15"/>
      <c r="DMN115" s="15"/>
      <c r="DMO115" s="15"/>
      <c r="DMP115" s="14"/>
      <c r="DMQ115" s="15"/>
      <c r="DMR115" s="15"/>
      <c r="DMS115" s="15"/>
      <c r="DMT115" s="15"/>
      <c r="DMU115" s="15"/>
      <c r="DMV115" s="15"/>
      <c r="DMW115" s="15"/>
      <c r="DMX115" s="15"/>
      <c r="DMY115" s="15"/>
      <c r="DMZ115" s="15"/>
      <c r="DNA115" s="15"/>
      <c r="DNB115" s="15"/>
      <c r="DNC115" s="15"/>
      <c r="DND115" s="15"/>
      <c r="DNE115" s="15"/>
      <c r="DNF115" s="15"/>
      <c r="DNG115" s="15"/>
      <c r="DNH115" s="15"/>
      <c r="DNI115" s="15"/>
      <c r="DNJ115" s="15"/>
      <c r="DNK115" s="15"/>
      <c r="DNL115" s="14"/>
      <c r="DNM115" s="15"/>
      <c r="DNN115" s="15"/>
      <c r="DNO115" s="15"/>
      <c r="DNP115" s="15"/>
      <c r="DNQ115" s="15"/>
      <c r="DNR115" s="15"/>
      <c r="DNS115" s="15"/>
      <c r="DNT115" s="15"/>
      <c r="DNU115" s="15"/>
      <c r="DNV115" s="15"/>
      <c r="DNW115" s="15"/>
      <c r="DNX115" s="15"/>
      <c r="DNY115" s="15"/>
      <c r="DNZ115" s="15"/>
      <c r="DOA115" s="15"/>
      <c r="DOB115" s="15"/>
      <c r="DOC115" s="15"/>
      <c r="DOD115" s="15"/>
      <c r="DOE115" s="15"/>
      <c r="DOF115" s="15"/>
      <c r="DOG115" s="15"/>
      <c r="DOH115" s="14"/>
      <c r="DOI115" s="15"/>
      <c r="DOJ115" s="15"/>
      <c r="DOK115" s="15"/>
      <c r="DOL115" s="15"/>
      <c r="DOM115" s="15"/>
      <c r="DON115" s="15"/>
      <c r="DOO115" s="15"/>
      <c r="DOP115" s="15"/>
      <c r="DOQ115" s="15"/>
      <c r="DOR115" s="15"/>
      <c r="DOS115" s="15"/>
      <c r="DOT115" s="15"/>
      <c r="DOU115" s="15"/>
      <c r="DOV115" s="15"/>
      <c r="DOW115" s="15"/>
      <c r="DOX115" s="15"/>
      <c r="DOY115" s="15"/>
      <c r="DOZ115" s="15"/>
      <c r="DPA115" s="15"/>
      <c r="DPB115" s="15"/>
      <c r="DPC115" s="15"/>
      <c r="DPD115" s="14"/>
      <c r="DPE115" s="15"/>
      <c r="DPF115" s="15"/>
      <c r="DPG115" s="15"/>
      <c r="DPH115" s="15"/>
      <c r="DPI115" s="15"/>
      <c r="DPJ115" s="15"/>
      <c r="DPK115" s="15"/>
      <c r="DPL115" s="15"/>
      <c r="DPM115" s="15"/>
      <c r="DPN115" s="15"/>
      <c r="DPO115" s="15"/>
      <c r="DPP115" s="15"/>
      <c r="DPQ115" s="15"/>
      <c r="DPR115" s="15"/>
      <c r="DPS115" s="15"/>
      <c r="DPT115" s="15"/>
      <c r="DPU115" s="15"/>
      <c r="DPV115" s="15"/>
      <c r="DPW115" s="15"/>
      <c r="DPX115" s="15"/>
      <c r="DPY115" s="15"/>
      <c r="DPZ115" s="14"/>
      <c r="DQA115" s="15"/>
      <c r="DQB115" s="15"/>
      <c r="DQC115" s="15"/>
      <c r="DQD115" s="15"/>
      <c r="DQE115" s="15"/>
      <c r="DQF115" s="15"/>
      <c r="DQG115" s="15"/>
      <c r="DQH115" s="15"/>
      <c r="DQI115" s="15"/>
      <c r="DQJ115" s="15"/>
      <c r="DQK115" s="15"/>
      <c r="DQL115" s="15"/>
      <c r="DQM115" s="15"/>
      <c r="DQN115" s="15"/>
      <c r="DQO115" s="15"/>
      <c r="DQP115" s="15"/>
      <c r="DQQ115" s="15"/>
      <c r="DQR115" s="15"/>
      <c r="DQS115" s="15"/>
      <c r="DQT115" s="15"/>
      <c r="DQU115" s="15"/>
      <c r="DQV115" s="14"/>
      <c r="DQW115" s="15"/>
      <c r="DQX115" s="15"/>
      <c r="DQY115" s="15"/>
      <c r="DQZ115" s="15"/>
      <c r="DRA115" s="15"/>
      <c r="DRB115" s="15"/>
      <c r="DRC115" s="15"/>
      <c r="DRD115" s="15"/>
      <c r="DRE115" s="15"/>
      <c r="DRF115" s="15"/>
      <c r="DRG115" s="15"/>
      <c r="DRH115" s="15"/>
      <c r="DRI115" s="15"/>
      <c r="DRJ115" s="15"/>
      <c r="DRK115" s="15"/>
      <c r="DRL115" s="15"/>
      <c r="DRM115" s="15"/>
      <c r="DRN115" s="15"/>
      <c r="DRO115" s="15"/>
      <c r="DRP115" s="15"/>
      <c r="DRQ115" s="15"/>
      <c r="DRR115" s="14"/>
      <c r="DRS115" s="15"/>
      <c r="DRT115" s="15"/>
      <c r="DRU115" s="15"/>
      <c r="DRV115" s="15"/>
      <c r="DRW115" s="15"/>
      <c r="DRX115" s="15"/>
      <c r="DRY115" s="15"/>
      <c r="DRZ115" s="15"/>
      <c r="DSA115" s="15"/>
      <c r="DSB115" s="15"/>
      <c r="DSC115" s="15"/>
      <c r="DSD115" s="15"/>
      <c r="DSE115" s="15"/>
      <c r="DSF115" s="15"/>
      <c r="DSG115" s="15"/>
      <c r="DSH115" s="15"/>
      <c r="DSI115" s="15"/>
      <c r="DSJ115" s="15"/>
      <c r="DSK115" s="15"/>
      <c r="DSL115" s="15"/>
      <c r="DSM115" s="15"/>
      <c r="DSN115" s="14"/>
      <c r="DSO115" s="15"/>
      <c r="DSP115" s="15"/>
      <c r="DSQ115" s="15"/>
      <c r="DSR115" s="15"/>
      <c r="DSS115" s="15"/>
      <c r="DST115" s="15"/>
      <c r="DSU115" s="15"/>
      <c r="DSV115" s="15"/>
      <c r="DSW115" s="15"/>
      <c r="DSX115" s="15"/>
      <c r="DSY115" s="15"/>
      <c r="DSZ115" s="15"/>
      <c r="DTA115" s="15"/>
      <c r="DTB115" s="15"/>
      <c r="DTC115" s="15"/>
      <c r="DTD115" s="15"/>
      <c r="DTE115" s="15"/>
      <c r="DTF115" s="15"/>
      <c r="DTG115" s="15"/>
      <c r="DTH115" s="15"/>
      <c r="DTI115" s="15"/>
      <c r="DTJ115" s="14"/>
      <c r="DTK115" s="15"/>
      <c r="DTL115" s="15"/>
      <c r="DTM115" s="15"/>
      <c r="DTN115" s="15"/>
      <c r="DTO115" s="15"/>
      <c r="DTP115" s="15"/>
      <c r="DTQ115" s="15"/>
      <c r="DTR115" s="15"/>
      <c r="DTS115" s="15"/>
      <c r="DTT115" s="15"/>
      <c r="DTU115" s="15"/>
      <c r="DTV115" s="15"/>
      <c r="DTW115" s="15"/>
      <c r="DTX115" s="15"/>
      <c r="DTY115" s="15"/>
      <c r="DTZ115" s="15"/>
      <c r="DUA115" s="15"/>
      <c r="DUB115" s="15"/>
      <c r="DUC115" s="15"/>
      <c r="DUD115" s="15"/>
      <c r="DUE115" s="15"/>
      <c r="DUF115" s="14"/>
      <c r="DUG115" s="15"/>
      <c r="DUH115" s="15"/>
      <c r="DUI115" s="15"/>
      <c r="DUJ115" s="15"/>
      <c r="DUK115" s="15"/>
      <c r="DUL115" s="15"/>
      <c r="DUM115" s="15"/>
      <c r="DUN115" s="15"/>
      <c r="DUO115" s="15"/>
      <c r="DUP115" s="15"/>
      <c r="DUQ115" s="15"/>
      <c r="DUR115" s="15"/>
      <c r="DUS115" s="15"/>
      <c r="DUT115" s="15"/>
      <c r="DUU115" s="15"/>
      <c r="DUV115" s="15"/>
      <c r="DUW115" s="15"/>
      <c r="DUX115" s="15"/>
      <c r="DUY115" s="15"/>
      <c r="DUZ115" s="15"/>
      <c r="DVA115" s="15"/>
      <c r="DVB115" s="14"/>
      <c r="DVC115" s="15"/>
      <c r="DVD115" s="15"/>
      <c r="DVE115" s="15"/>
      <c r="DVF115" s="15"/>
      <c r="DVG115" s="15"/>
      <c r="DVH115" s="15"/>
      <c r="DVI115" s="15"/>
      <c r="DVJ115" s="15"/>
      <c r="DVK115" s="15"/>
      <c r="DVL115" s="15"/>
      <c r="DVM115" s="15"/>
      <c r="DVN115" s="15"/>
      <c r="DVO115" s="15"/>
      <c r="DVP115" s="15"/>
      <c r="DVQ115" s="15"/>
      <c r="DVR115" s="15"/>
      <c r="DVS115" s="15"/>
      <c r="DVT115" s="15"/>
      <c r="DVU115" s="15"/>
      <c r="DVV115" s="15"/>
      <c r="DVW115" s="15"/>
      <c r="DVX115" s="14"/>
      <c r="DVY115" s="15"/>
      <c r="DVZ115" s="15"/>
      <c r="DWA115" s="15"/>
      <c r="DWB115" s="15"/>
      <c r="DWC115" s="15"/>
      <c r="DWD115" s="15"/>
      <c r="DWE115" s="15"/>
      <c r="DWF115" s="15"/>
      <c r="DWG115" s="15"/>
      <c r="DWH115" s="15"/>
      <c r="DWI115" s="15"/>
      <c r="DWJ115" s="15"/>
      <c r="DWK115" s="15"/>
      <c r="DWL115" s="15"/>
      <c r="DWM115" s="15"/>
      <c r="DWN115" s="15"/>
      <c r="DWO115" s="15"/>
      <c r="DWP115" s="15"/>
      <c r="DWQ115" s="15"/>
      <c r="DWR115" s="15"/>
      <c r="DWS115" s="15"/>
      <c r="DWT115" s="14"/>
      <c r="DWU115" s="15"/>
      <c r="DWV115" s="15"/>
      <c r="DWW115" s="15"/>
      <c r="DWX115" s="15"/>
      <c r="DWY115" s="15"/>
      <c r="DWZ115" s="15"/>
      <c r="DXA115" s="15"/>
      <c r="DXB115" s="15"/>
      <c r="DXC115" s="15"/>
      <c r="DXD115" s="15"/>
      <c r="DXE115" s="15"/>
      <c r="DXF115" s="15"/>
      <c r="DXG115" s="15"/>
      <c r="DXH115" s="15"/>
      <c r="DXI115" s="15"/>
      <c r="DXJ115" s="15"/>
      <c r="DXK115" s="15"/>
      <c r="DXL115" s="15"/>
      <c r="DXM115" s="15"/>
      <c r="DXN115" s="15"/>
      <c r="DXO115" s="15"/>
      <c r="DXP115" s="14"/>
      <c r="DXQ115" s="15"/>
      <c r="DXR115" s="15"/>
      <c r="DXS115" s="15"/>
      <c r="DXT115" s="15"/>
      <c r="DXU115" s="15"/>
      <c r="DXV115" s="15"/>
      <c r="DXW115" s="15"/>
      <c r="DXX115" s="15"/>
      <c r="DXY115" s="15"/>
      <c r="DXZ115" s="15"/>
      <c r="DYA115" s="15"/>
      <c r="DYB115" s="15"/>
      <c r="DYC115" s="15"/>
      <c r="DYD115" s="15"/>
      <c r="DYE115" s="15"/>
      <c r="DYF115" s="15"/>
      <c r="DYG115" s="15"/>
      <c r="DYH115" s="15"/>
      <c r="DYI115" s="15"/>
      <c r="DYJ115" s="15"/>
      <c r="DYK115" s="15"/>
      <c r="DYL115" s="14"/>
      <c r="DYM115" s="15"/>
      <c r="DYN115" s="15"/>
      <c r="DYO115" s="15"/>
      <c r="DYP115" s="15"/>
      <c r="DYQ115" s="15"/>
      <c r="DYR115" s="15"/>
      <c r="DYS115" s="15"/>
      <c r="DYT115" s="15"/>
      <c r="DYU115" s="15"/>
      <c r="DYV115" s="15"/>
      <c r="DYW115" s="15"/>
      <c r="DYX115" s="15"/>
      <c r="DYY115" s="15"/>
      <c r="DYZ115" s="15"/>
      <c r="DZA115" s="15"/>
      <c r="DZB115" s="15"/>
      <c r="DZC115" s="15"/>
      <c r="DZD115" s="15"/>
      <c r="DZE115" s="15"/>
      <c r="DZF115" s="15"/>
      <c r="DZG115" s="15"/>
      <c r="DZH115" s="14"/>
      <c r="DZI115" s="15"/>
      <c r="DZJ115" s="15"/>
      <c r="DZK115" s="15"/>
      <c r="DZL115" s="15"/>
      <c r="DZM115" s="15"/>
      <c r="DZN115" s="15"/>
      <c r="DZO115" s="15"/>
      <c r="DZP115" s="15"/>
      <c r="DZQ115" s="15"/>
      <c r="DZR115" s="15"/>
      <c r="DZS115" s="15"/>
      <c r="DZT115" s="15"/>
      <c r="DZU115" s="15"/>
      <c r="DZV115" s="15"/>
      <c r="DZW115" s="15"/>
      <c r="DZX115" s="15"/>
      <c r="DZY115" s="15"/>
      <c r="DZZ115" s="15"/>
      <c r="EAA115" s="15"/>
      <c r="EAB115" s="15"/>
      <c r="EAC115" s="15"/>
      <c r="EAD115" s="14"/>
      <c r="EAE115" s="15"/>
      <c r="EAF115" s="15"/>
      <c r="EAG115" s="15"/>
      <c r="EAH115" s="15"/>
      <c r="EAI115" s="15"/>
      <c r="EAJ115" s="15"/>
      <c r="EAK115" s="15"/>
      <c r="EAL115" s="15"/>
      <c r="EAM115" s="15"/>
      <c r="EAN115" s="15"/>
      <c r="EAO115" s="15"/>
      <c r="EAP115" s="15"/>
      <c r="EAQ115" s="15"/>
      <c r="EAR115" s="15"/>
      <c r="EAS115" s="15"/>
      <c r="EAT115" s="15"/>
      <c r="EAU115" s="15"/>
      <c r="EAV115" s="15"/>
      <c r="EAW115" s="15"/>
      <c r="EAX115" s="15"/>
      <c r="EAY115" s="15"/>
      <c r="EAZ115" s="14"/>
      <c r="EBA115" s="15"/>
      <c r="EBB115" s="15"/>
      <c r="EBC115" s="15"/>
      <c r="EBD115" s="15"/>
      <c r="EBE115" s="15"/>
      <c r="EBF115" s="15"/>
      <c r="EBG115" s="15"/>
      <c r="EBH115" s="15"/>
      <c r="EBI115" s="15"/>
      <c r="EBJ115" s="15"/>
      <c r="EBK115" s="15"/>
      <c r="EBL115" s="15"/>
      <c r="EBM115" s="15"/>
      <c r="EBN115" s="15"/>
      <c r="EBO115" s="15"/>
      <c r="EBP115" s="15"/>
      <c r="EBQ115" s="15"/>
      <c r="EBR115" s="15"/>
      <c r="EBS115" s="15"/>
      <c r="EBT115" s="15"/>
      <c r="EBU115" s="15"/>
      <c r="EBV115" s="14"/>
      <c r="EBW115" s="15"/>
      <c r="EBX115" s="15"/>
      <c r="EBY115" s="15"/>
      <c r="EBZ115" s="15"/>
      <c r="ECA115" s="15"/>
      <c r="ECB115" s="15"/>
      <c r="ECC115" s="15"/>
      <c r="ECD115" s="15"/>
      <c r="ECE115" s="15"/>
      <c r="ECF115" s="15"/>
      <c r="ECG115" s="15"/>
      <c r="ECH115" s="15"/>
      <c r="ECI115" s="15"/>
      <c r="ECJ115" s="15"/>
      <c r="ECK115" s="15"/>
      <c r="ECL115" s="15"/>
      <c r="ECM115" s="15"/>
      <c r="ECN115" s="15"/>
      <c r="ECO115" s="15"/>
      <c r="ECP115" s="15"/>
      <c r="ECQ115" s="15"/>
      <c r="ECR115" s="14"/>
      <c r="ECS115" s="15"/>
      <c r="ECT115" s="15"/>
      <c r="ECU115" s="15"/>
      <c r="ECV115" s="15"/>
      <c r="ECW115" s="15"/>
      <c r="ECX115" s="15"/>
      <c r="ECY115" s="15"/>
      <c r="ECZ115" s="15"/>
      <c r="EDA115" s="15"/>
      <c r="EDB115" s="15"/>
      <c r="EDC115" s="15"/>
      <c r="EDD115" s="15"/>
      <c r="EDE115" s="15"/>
      <c r="EDF115" s="15"/>
      <c r="EDG115" s="15"/>
      <c r="EDH115" s="15"/>
      <c r="EDI115" s="15"/>
      <c r="EDJ115" s="15"/>
      <c r="EDK115" s="15"/>
      <c r="EDL115" s="15"/>
      <c r="EDM115" s="15"/>
      <c r="EDN115" s="14"/>
      <c r="EDO115" s="15"/>
      <c r="EDP115" s="15"/>
      <c r="EDQ115" s="15"/>
      <c r="EDR115" s="15"/>
      <c r="EDS115" s="15"/>
      <c r="EDT115" s="15"/>
      <c r="EDU115" s="15"/>
      <c r="EDV115" s="15"/>
      <c r="EDW115" s="15"/>
      <c r="EDX115" s="15"/>
      <c r="EDY115" s="15"/>
      <c r="EDZ115" s="15"/>
      <c r="EEA115" s="15"/>
      <c r="EEB115" s="15"/>
      <c r="EEC115" s="15"/>
      <c r="EED115" s="15"/>
      <c r="EEE115" s="15"/>
      <c r="EEF115" s="15"/>
      <c r="EEG115" s="15"/>
      <c r="EEH115" s="15"/>
      <c r="EEI115" s="15"/>
      <c r="EEJ115" s="14"/>
      <c r="EEK115" s="15"/>
      <c r="EEL115" s="15"/>
      <c r="EEM115" s="15"/>
      <c r="EEN115" s="15"/>
      <c r="EEO115" s="15"/>
      <c r="EEP115" s="15"/>
      <c r="EEQ115" s="15"/>
      <c r="EER115" s="15"/>
      <c r="EES115" s="15"/>
      <c r="EET115" s="15"/>
      <c r="EEU115" s="15"/>
      <c r="EEV115" s="15"/>
      <c r="EEW115" s="15"/>
      <c r="EEX115" s="15"/>
      <c r="EEY115" s="15"/>
      <c r="EEZ115" s="15"/>
      <c r="EFA115" s="15"/>
      <c r="EFB115" s="15"/>
      <c r="EFC115" s="15"/>
      <c r="EFD115" s="15"/>
      <c r="EFE115" s="15"/>
      <c r="EFF115" s="14"/>
      <c r="EFG115" s="15"/>
      <c r="EFH115" s="15"/>
      <c r="EFI115" s="15"/>
      <c r="EFJ115" s="15"/>
      <c r="EFK115" s="15"/>
      <c r="EFL115" s="15"/>
      <c r="EFM115" s="15"/>
      <c r="EFN115" s="15"/>
      <c r="EFO115" s="15"/>
      <c r="EFP115" s="15"/>
      <c r="EFQ115" s="15"/>
      <c r="EFR115" s="15"/>
      <c r="EFS115" s="15"/>
      <c r="EFT115" s="15"/>
      <c r="EFU115" s="15"/>
      <c r="EFV115" s="15"/>
      <c r="EFW115" s="15"/>
      <c r="EFX115" s="15"/>
      <c r="EFY115" s="15"/>
      <c r="EFZ115" s="15"/>
      <c r="EGA115" s="15"/>
      <c r="EGB115" s="14"/>
      <c r="EGC115" s="15"/>
      <c r="EGD115" s="15"/>
      <c r="EGE115" s="15"/>
      <c r="EGF115" s="15"/>
      <c r="EGG115" s="15"/>
      <c r="EGH115" s="15"/>
      <c r="EGI115" s="15"/>
      <c r="EGJ115" s="15"/>
      <c r="EGK115" s="15"/>
      <c r="EGL115" s="15"/>
      <c r="EGM115" s="15"/>
      <c r="EGN115" s="15"/>
      <c r="EGO115" s="15"/>
      <c r="EGP115" s="15"/>
      <c r="EGQ115" s="15"/>
      <c r="EGR115" s="15"/>
      <c r="EGS115" s="15"/>
      <c r="EGT115" s="15"/>
      <c r="EGU115" s="15"/>
      <c r="EGV115" s="15"/>
      <c r="EGW115" s="15"/>
      <c r="EGX115" s="14"/>
      <c r="EGY115" s="15"/>
      <c r="EGZ115" s="15"/>
      <c r="EHA115" s="15"/>
      <c r="EHB115" s="15"/>
      <c r="EHC115" s="15"/>
      <c r="EHD115" s="15"/>
      <c r="EHE115" s="15"/>
      <c r="EHF115" s="15"/>
      <c r="EHG115" s="15"/>
      <c r="EHH115" s="15"/>
      <c r="EHI115" s="15"/>
      <c r="EHJ115" s="15"/>
      <c r="EHK115" s="15"/>
      <c r="EHL115" s="15"/>
      <c r="EHM115" s="15"/>
      <c r="EHN115" s="15"/>
      <c r="EHO115" s="15"/>
      <c r="EHP115" s="15"/>
      <c r="EHQ115" s="15"/>
      <c r="EHR115" s="15"/>
      <c r="EHS115" s="15"/>
      <c r="EHT115" s="14"/>
      <c r="EHU115" s="15"/>
      <c r="EHV115" s="15"/>
      <c r="EHW115" s="15"/>
      <c r="EHX115" s="15"/>
      <c r="EHY115" s="15"/>
      <c r="EHZ115" s="15"/>
      <c r="EIA115" s="15"/>
      <c r="EIB115" s="15"/>
      <c r="EIC115" s="15"/>
      <c r="EID115" s="15"/>
      <c r="EIE115" s="15"/>
      <c r="EIF115" s="15"/>
      <c r="EIG115" s="15"/>
      <c r="EIH115" s="15"/>
      <c r="EII115" s="15"/>
      <c r="EIJ115" s="15"/>
      <c r="EIK115" s="15"/>
      <c r="EIL115" s="15"/>
      <c r="EIM115" s="15"/>
      <c r="EIN115" s="15"/>
      <c r="EIO115" s="15"/>
      <c r="EIP115" s="14"/>
      <c r="EIQ115" s="15"/>
      <c r="EIR115" s="15"/>
      <c r="EIS115" s="15"/>
      <c r="EIT115" s="15"/>
      <c r="EIU115" s="15"/>
      <c r="EIV115" s="15"/>
      <c r="EIW115" s="15"/>
      <c r="EIX115" s="15"/>
      <c r="EIY115" s="15"/>
      <c r="EIZ115" s="15"/>
      <c r="EJA115" s="15"/>
      <c r="EJB115" s="15"/>
      <c r="EJC115" s="15"/>
      <c r="EJD115" s="15"/>
      <c r="EJE115" s="15"/>
      <c r="EJF115" s="15"/>
      <c r="EJG115" s="15"/>
      <c r="EJH115" s="15"/>
      <c r="EJI115" s="15"/>
      <c r="EJJ115" s="15"/>
      <c r="EJK115" s="15"/>
      <c r="EJL115" s="14"/>
      <c r="EJM115" s="15"/>
      <c r="EJN115" s="15"/>
      <c r="EJO115" s="15"/>
      <c r="EJP115" s="15"/>
      <c r="EJQ115" s="15"/>
      <c r="EJR115" s="15"/>
      <c r="EJS115" s="15"/>
      <c r="EJT115" s="15"/>
      <c r="EJU115" s="15"/>
      <c r="EJV115" s="15"/>
      <c r="EJW115" s="15"/>
      <c r="EJX115" s="15"/>
      <c r="EJY115" s="15"/>
      <c r="EJZ115" s="15"/>
      <c r="EKA115" s="15"/>
      <c r="EKB115" s="15"/>
      <c r="EKC115" s="15"/>
      <c r="EKD115" s="15"/>
      <c r="EKE115" s="15"/>
      <c r="EKF115" s="15"/>
      <c r="EKG115" s="15"/>
      <c r="EKH115" s="14"/>
      <c r="EKI115" s="15"/>
      <c r="EKJ115" s="15"/>
      <c r="EKK115" s="15"/>
      <c r="EKL115" s="15"/>
      <c r="EKM115" s="15"/>
      <c r="EKN115" s="15"/>
      <c r="EKO115" s="15"/>
      <c r="EKP115" s="15"/>
      <c r="EKQ115" s="15"/>
      <c r="EKR115" s="15"/>
      <c r="EKS115" s="15"/>
      <c r="EKT115" s="15"/>
      <c r="EKU115" s="15"/>
      <c r="EKV115" s="15"/>
      <c r="EKW115" s="15"/>
      <c r="EKX115" s="15"/>
      <c r="EKY115" s="15"/>
      <c r="EKZ115" s="15"/>
      <c r="ELA115" s="15"/>
      <c r="ELB115" s="15"/>
      <c r="ELC115" s="15"/>
      <c r="ELD115" s="14"/>
      <c r="ELE115" s="15"/>
      <c r="ELF115" s="15"/>
      <c r="ELG115" s="15"/>
      <c r="ELH115" s="15"/>
      <c r="ELI115" s="15"/>
      <c r="ELJ115" s="15"/>
      <c r="ELK115" s="15"/>
      <c r="ELL115" s="15"/>
      <c r="ELM115" s="15"/>
      <c r="ELN115" s="15"/>
      <c r="ELO115" s="15"/>
      <c r="ELP115" s="15"/>
      <c r="ELQ115" s="15"/>
      <c r="ELR115" s="15"/>
      <c r="ELS115" s="15"/>
      <c r="ELT115" s="15"/>
      <c r="ELU115" s="15"/>
      <c r="ELV115" s="15"/>
      <c r="ELW115" s="15"/>
      <c r="ELX115" s="15"/>
      <c r="ELY115" s="15"/>
      <c r="ELZ115" s="14"/>
      <c r="EMA115" s="15"/>
      <c r="EMB115" s="15"/>
      <c r="EMC115" s="15"/>
      <c r="EMD115" s="15"/>
      <c r="EME115" s="15"/>
      <c r="EMF115" s="15"/>
      <c r="EMG115" s="15"/>
      <c r="EMH115" s="15"/>
      <c r="EMI115" s="15"/>
      <c r="EMJ115" s="15"/>
      <c r="EMK115" s="15"/>
      <c r="EML115" s="15"/>
      <c r="EMM115" s="15"/>
      <c r="EMN115" s="15"/>
      <c r="EMO115" s="15"/>
      <c r="EMP115" s="15"/>
      <c r="EMQ115" s="15"/>
      <c r="EMR115" s="15"/>
      <c r="EMS115" s="15"/>
      <c r="EMT115" s="15"/>
      <c r="EMU115" s="15"/>
      <c r="EMV115" s="14"/>
      <c r="EMW115" s="15"/>
      <c r="EMX115" s="15"/>
      <c r="EMY115" s="15"/>
      <c r="EMZ115" s="15"/>
      <c r="ENA115" s="15"/>
      <c r="ENB115" s="15"/>
      <c r="ENC115" s="15"/>
      <c r="END115" s="15"/>
      <c r="ENE115" s="15"/>
      <c r="ENF115" s="15"/>
      <c r="ENG115" s="15"/>
      <c r="ENH115" s="15"/>
      <c r="ENI115" s="15"/>
      <c r="ENJ115" s="15"/>
      <c r="ENK115" s="15"/>
      <c r="ENL115" s="15"/>
      <c r="ENM115" s="15"/>
      <c r="ENN115" s="15"/>
      <c r="ENO115" s="15"/>
      <c r="ENP115" s="15"/>
      <c r="ENQ115" s="15"/>
      <c r="ENR115" s="14"/>
      <c r="ENS115" s="15"/>
      <c r="ENT115" s="15"/>
      <c r="ENU115" s="15"/>
      <c r="ENV115" s="15"/>
      <c r="ENW115" s="15"/>
      <c r="ENX115" s="15"/>
      <c r="ENY115" s="15"/>
      <c r="ENZ115" s="15"/>
      <c r="EOA115" s="15"/>
      <c r="EOB115" s="15"/>
      <c r="EOC115" s="15"/>
      <c r="EOD115" s="15"/>
      <c r="EOE115" s="15"/>
      <c r="EOF115" s="15"/>
      <c r="EOG115" s="15"/>
      <c r="EOH115" s="15"/>
      <c r="EOI115" s="15"/>
      <c r="EOJ115" s="15"/>
      <c r="EOK115" s="15"/>
      <c r="EOL115" s="15"/>
      <c r="EOM115" s="15"/>
      <c r="EON115" s="14"/>
      <c r="EOO115" s="15"/>
      <c r="EOP115" s="15"/>
      <c r="EOQ115" s="15"/>
      <c r="EOR115" s="15"/>
      <c r="EOS115" s="15"/>
      <c r="EOT115" s="15"/>
      <c r="EOU115" s="15"/>
      <c r="EOV115" s="15"/>
      <c r="EOW115" s="15"/>
      <c r="EOX115" s="15"/>
      <c r="EOY115" s="15"/>
      <c r="EOZ115" s="15"/>
      <c r="EPA115" s="15"/>
      <c r="EPB115" s="15"/>
      <c r="EPC115" s="15"/>
      <c r="EPD115" s="15"/>
      <c r="EPE115" s="15"/>
      <c r="EPF115" s="15"/>
      <c r="EPG115" s="15"/>
      <c r="EPH115" s="15"/>
      <c r="EPI115" s="15"/>
      <c r="EPJ115" s="14"/>
      <c r="EPK115" s="15"/>
      <c r="EPL115" s="15"/>
      <c r="EPM115" s="15"/>
      <c r="EPN115" s="15"/>
      <c r="EPO115" s="15"/>
      <c r="EPP115" s="15"/>
      <c r="EPQ115" s="15"/>
      <c r="EPR115" s="15"/>
      <c r="EPS115" s="15"/>
      <c r="EPT115" s="15"/>
      <c r="EPU115" s="15"/>
      <c r="EPV115" s="15"/>
      <c r="EPW115" s="15"/>
      <c r="EPX115" s="15"/>
      <c r="EPY115" s="15"/>
      <c r="EPZ115" s="15"/>
      <c r="EQA115" s="15"/>
      <c r="EQB115" s="15"/>
      <c r="EQC115" s="15"/>
      <c r="EQD115" s="15"/>
      <c r="EQE115" s="15"/>
      <c r="EQF115" s="14"/>
      <c r="EQG115" s="15"/>
      <c r="EQH115" s="15"/>
      <c r="EQI115" s="15"/>
      <c r="EQJ115" s="15"/>
      <c r="EQK115" s="15"/>
      <c r="EQL115" s="15"/>
      <c r="EQM115" s="15"/>
      <c r="EQN115" s="15"/>
      <c r="EQO115" s="15"/>
      <c r="EQP115" s="15"/>
      <c r="EQQ115" s="15"/>
      <c r="EQR115" s="15"/>
      <c r="EQS115" s="15"/>
      <c r="EQT115" s="15"/>
      <c r="EQU115" s="15"/>
      <c r="EQV115" s="15"/>
      <c r="EQW115" s="15"/>
      <c r="EQX115" s="15"/>
      <c r="EQY115" s="15"/>
      <c r="EQZ115" s="15"/>
      <c r="ERA115" s="15"/>
      <c r="ERB115" s="14"/>
      <c r="ERC115" s="15"/>
      <c r="ERD115" s="15"/>
      <c r="ERE115" s="15"/>
      <c r="ERF115" s="15"/>
      <c r="ERG115" s="15"/>
      <c r="ERH115" s="15"/>
      <c r="ERI115" s="15"/>
      <c r="ERJ115" s="15"/>
      <c r="ERK115" s="15"/>
      <c r="ERL115" s="15"/>
      <c r="ERM115" s="15"/>
      <c r="ERN115" s="15"/>
      <c r="ERO115" s="15"/>
      <c r="ERP115" s="15"/>
      <c r="ERQ115" s="15"/>
      <c r="ERR115" s="15"/>
      <c r="ERS115" s="15"/>
      <c r="ERT115" s="15"/>
      <c r="ERU115" s="15"/>
      <c r="ERV115" s="15"/>
      <c r="ERW115" s="15"/>
      <c r="ERX115" s="14"/>
      <c r="ERY115" s="15"/>
      <c r="ERZ115" s="15"/>
      <c r="ESA115" s="15"/>
      <c r="ESB115" s="15"/>
      <c r="ESC115" s="15"/>
      <c r="ESD115" s="15"/>
      <c r="ESE115" s="15"/>
      <c r="ESF115" s="15"/>
      <c r="ESG115" s="15"/>
      <c r="ESH115" s="15"/>
      <c r="ESI115" s="15"/>
      <c r="ESJ115" s="15"/>
      <c r="ESK115" s="15"/>
      <c r="ESL115" s="15"/>
      <c r="ESM115" s="15"/>
      <c r="ESN115" s="15"/>
      <c r="ESO115" s="15"/>
      <c r="ESP115" s="15"/>
      <c r="ESQ115" s="15"/>
      <c r="ESR115" s="15"/>
      <c r="ESS115" s="15"/>
      <c r="EST115" s="14"/>
      <c r="ESU115" s="15"/>
      <c r="ESV115" s="15"/>
      <c r="ESW115" s="15"/>
      <c r="ESX115" s="15"/>
      <c r="ESY115" s="15"/>
      <c r="ESZ115" s="15"/>
      <c r="ETA115" s="15"/>
      <c r="ETB115" s="15"/>
      <c r="ETC115" s="15"/>
      <c r="ETD115" s="15"/>
      <c r="ETE115" s="15"/>
      <c r="ETF115" s="15"/>
      <c r="ETG115" s="15"/>
      <c r="ETH115" s="15"/>
      <c r="ETI115" s="15"/>
      <c r="ETJ115" s="15"/>
      <c r="ETK115" s="15"/>
      <c r="ETL115" s="15"/>
      <c r="ETM115" s="15"/>
      <c r="ETN115" s="15"/>
      <c r="ETO115" s="15"/>
      <c r="ETP115" s="14"/>
      <c r="ETQ115" s="15"/>
      <c r="ETR115" s="15"/>
      <c r="ETS115" s="15"/>
      <c r="ETT115" s="15"/>
      <c r="ETU115" s="15"/>
      <c r="ETV115" s="15"/>
      <c r="ETW115" s="15"/>
      <c r="ETX115" s="15"/>
      <c r="ETY115" s="15"/>
      <c r="ETZ115" s="15"/>
      <c r="EUA115" s="15"/>
      <c r="EUB115" s="15"/>
      <c r="EUC115" s="15"/>
      <c r="EUD115" s="15"/>
      <c r="EUE115" s="15"/>
      <c r="EUF115" s="15"/>
      <c r="EUG115" s="15"/>
      <c r="EUH115" s="15"/>
      <c r="EUI115" s="15"/>
      <c r="EUJ115" s="15"/>
      <c r="EUK115" s="15"/>
      <c r="EUL115" s="14"/>
      <c r="EUM115" s="15"/>
      <c r="EUN115" s="15"/>
      <c r="EUO115" s="15"/>
      <c r="EUP115" s="15"/>
      <c r="EUQ115" s="15"/>
      <c r="EUR115" s="15"/>
      <c r="EUS115" s="15"/>
      <c r="EUT115" s="15"/>
      <c r="EUU115" s="15"/>
      <c r="EUV115" s="15"/>
      <c r="EUW115" s="15"/>
      <c r="EUX115" s="15"/>
      <c r="EUY115" s="15"/>
      <c r="EUZ115" s="15"/>
      <c r="EVA115" s="15"/>
      <c r="EVB115" s="15"/>
      <c r="EVC115" s="15"/>
      <c r="EVD115" s="15"/>
      <c r="EVE115" s="15"/>
      <c r="EVF115" s="15"/>
      <c r="EVG115" s="15"/>
      <c r="EVH115" s="14"/>
      <c r="EVI115" s="15"/>
      <c r="EVJ115" s="15"/>
      <c r="EVK115" s="15"/>
      <c r="EVL115" s="15"/>
      <c r="EVM115" s="15"/>
      <c r="EVN115" s="15"/>
      <c r="EVO115" s="15"/>
      <c r="EVP115" s="15"/>
      <c r="EVQ115" s="15"/>
      <c r="EVR115" s="15"/>
      <c r="EVS115" s="15"/>
      <c r="EVT115" s="15"/>
      <c r="EVU115" s="15"/>
      <c r="EVV115" s="15"/>
      <c r="EVW115" s="15"/>
      <c r="EVX115" s="15"/>
      <c r="EVY115" s="15"/>
      <c r="EVZ115" s="15"/>
      <c r="EWA115" s="15"/>
      <c r="EWB115" s="15"/>
      <c r="EWC115" s="15"/>
      <c r="EWD115" s="14"/>
      <c r="EWE115" s="15"/>
      <c r="EWF115" s="15"/>
      <c r="EWG115" s="15"/>
      <c r="EWH115" s="15"/>
      <c r="EWI115" s="15"/>
      <c r="EWJ115" s="15"/>
      <c r="EWK115" s="15"/>
      <c r="EWL115" s="15"/>
      <c r="EWM115" s="15"/>
      <c r="EWN115" s="15"/>
      <c r="EWO115" s="15"/>
      <c r="EWP115" s="15"/>
      <c r="EWQ115" s="15"/>
      <c r="EWR115" s="15"/>
      <c r="EWS115" s="15"/>
      <c r="EWT115" s="15"/>
      <c r="EWU115" s="15"/>
      <c r="EWV115" s="15"/>
      <c r="EWW115" s="15"/>
      <c r="EWX115" s="15"/>
      <c r="EWY115" s="15"/>
      <c r="EWZ115" s="14"/>
      <c r="EXA115" s="15"/>
      <c r="EXB115" s="15"/>
      <c r="EXC115" s="15"/>
      <c r="EXD115" s="15"/>
      <c r="EXE115" s="15"/>
      <c r="EXF115" s="15"/>
      <c r="EXG115" s="15"/>
      <c r="EXH115" s="15"/>
      <c r="EXI115" s="15"/>
      <c r="EXJ115" s="15"/>
      <c r="EXK115" s="15"/>
      <c r="EXL115" s="15"/>
      <c r="EXM115" s="15"/>
      <c r="EXN115" s="15"/>
      <c r="EXO115" s="15"/>
      <c r="EXP115" s="15"/>
      <c r="EXQ115" s="15"/>
      <c r="EXR115" s="15"/>
      <c r="EXS115" s="15"/>
      <c r="EXT115" s="15"/>
      <c r="EXU115" s="15"/>
      <c r="EXV115" s="14"/>
      <c r="EXW115" s="15"/>
      <c r="EXX115" s="15"/>
      <c r="EXY115" s="15"/>
      <c r="EXZ115" s="15"/>
      <c r="EYA115" s="15"/>
      <c r="EYB115" s="15"/>
      <c r="EYC115" s="15"/>
      <c r="EYD115" s="15"/>
      <c r="EYE115" s="15"/>
      <c r="EYF115" s="15"/>
      <c r="EYG115" s="15"/>
      <c r="EYH115" s="15"/>
      <c r="EYI115" s="15"/>
      <c r="EYJ115" s="15"/>
      <c r="EYK115" s="15"/>
      <c r="EYL115" s="15"/>
      <c r="EYM115" s="15"/>
      <c r="EYN115" s="15"/>
      <c r="EYO115" s="15"/>
      <c r="EYP115" s="15"/>
      <c r="EYQ115" s="15"/>
      <c r="EYR115" s="14"/>
      <c r="EYS115" s="15"/>
      <c r="EYT115" s="15"/>
      <c r="EYU115" s="15"/>
      <c r="EYV115" s="15"/>
      <c r="EYW115" s="15"/>
      <c r="EYX115" s="15"/>
      <c r="EYY115" s="15"/>
      <c r="EYZ115" s="15"/>
      <c r="EZA115" s="15"/>
      <c r="EZB115" s="15"/>
      <c r="EZC115" s="15"/>
      <c r="EZD115" s="15"/>
      <c r="EZE115" s="15"/>
      <c r="EZF115" s="15"/>
      <c r="EZG115" s="15"/>
      <c r="EZH115" s="15"/>
      <c r="EZI115" s="15"/>
      <c r="EZJ115" s="15"/>
      <c r="EZK115" s="15"/>
      <c r="EZL115" s="15"/>
      <c r="EZM115" s="15"/>
      <c r="EZN115" s="14"/>
      <c r="EZO115" s="15"/>
      <c r="EZP115" s="15"/>
      <c r="EZQ115" s="15"/>
      <c r="EZR115" s="15"/>
      <c r="EZS115" s="15"/>
      <c r="EZT115" s="15"/>
      <c r="EZU115" s="15"/>
      <c r="EZV115" s="15"/>
      <c r="EZW115" s="15"/>
      <c r="EZX115" s="15"/>
      <c r="EZY115" s="15"/>
      <c r="EZZ115" s="15"/>
      <c r="FAA115" s="15"/>
      <c r="FAB115" s="15"/>
      <c r="FAC115" s="15"/>
      <c r="FAD115" s="15"/>
      <c r="FAE115" s="15"/>
      <c r="FAF115" s="15"/>
      <c r="FAG115" s="15"/>
      <c r="FAH115" s="15"/>
      <c r="FAI115" s="15"/>
      <c r="FAJ115" s="14"/>
      <c r="FAK115" s="15"/>
      <c r="FAL115" s="15"/>
      <c r="FAM115" s="15"/>
      <c r="FAN115" s="15"/>
      <c r="FAO115" s="15"/>
      <c r="FAP115" s="15"/>
      <c r="FAQ115" s="15"/>
      <c r="FAR115" s="15"/>
      <c r="FAS115" s="15"/>
      <c r="FAT115" s="15"/>
      <c r="FAU115" s="15"/>
      <c r="FAV115" s="15"/>
      <c r="FAW115" s="15"/>
      <c r="FAX115" s="15"/>
      <c r="FAY115" s="15"/>
      <c r="FAZ115" s="15"/>
      <c r="FBA115" s="15"/>
      <c r="FBB115" s="15"/>
      <c r="FBC115" s="15"/>
      <c r="FBD115" s="15"/>
      <c r="FBE115" s="15"/>
      <c r="FBF115" s="14"/>
      <c r="FBG115" s="15"/>
      <c r="FBH115" s="15"/>
      <c r="FBI115" s="15"/>
      <c r="FBJ115" s="15"/>
      <c r="FBK115" s="15"/>
      <c r="FBL115" s="15"/>
      <c r="FBM115" s="15"/>
      <c r="FBN115" s="15"/>
      <c r="FBO115" s="15"/>
      <c r="FBP115" s="15"/>
      <c r="FBQ115" s="15"/>
      <c r="FBR115" s="15"/>
      <c r="FBS115" s="15"/>
      <c r="FBT115" s="15"/>
      <c r="FBU115" s="15"/>
      <c r="FBV115" s="15"/>
      <c r="FBW115" s="15"/>
      <c r="FBX115" s="15"/>
      <c r="FBY115" s="15"/>
      <c r="FBZ115" s="15"/>
      <c r="FCA115" s="15"/>
      <c r="FCB115" s="14"/>
      <c r="FCC115" s="15"/>
      <c r="FCD115" s="15"/>
      <c r="FCE115" s="15"/>
      <c r="FCF115" s="15"/>
      <c r="FCG115" s="15"/>
      <c r="FCH115" s="15"/>
      <c r="FCI115" s="15"/>
      <c r="FCJ115" s="15"/>
      <c r="FCK115" s="15"/>
      <c r="FCL115" s="15"/>
      <c r="FCM115" s="15"/>
      <c r="FCN115" s="15"/>
      <c r="FCO115" s="15"/>
      <c r="FCP115" s="15"/>
      <c r="FCQ115" s="15"/>
      <c r="FCR115" s="15"/>
      <c r="FCS115" s="15"/>
      <c r="FCT115" s="15"/>
      <c r="FCU115" s="15"/>
      <c r="FCV115" s="15"/>
      <c r="FCW115" s="15"/>
      <c r="FCX115" s="14"/>
      <c r="FCY115" s="15"/>
      <c r="FCZ115" s="15"/>
      <c r="FDA115" s="15"/>
      <c r="FDB115" s="15"/>
      <c r="FDC115" s="15"/>
      <c r="FDD115" s="15"/>
      <c r="FDE115" s="15"/>
      <c r="FDF115" s="15"/>
      <c r="FDG115" s="15"/>
      <c r="FDH115" s="15"/>
      <c r="FDI115" s="15"/>
      <c r="FDJ115" s="15"/>
      <c r="FDK115" s="15"/>
      <c r="FDL115" s="15"/>
      <c r="FDM115" s="15"/>
      <c r="FDN115" s="15"/>
      <c r="FDO115" s="15"/>
      <c r="FDP115" s="15"/>
      <c r="FDQ115" s="15"/>
      <c r="FDR115" s="15"/>
      <c r="FDS115" s="15"/>
      <c r="FDT115" s="14"/>
      <c r="FDU115" s="15"/>
      <c r="FDV115" s="15"/>
      <c r="FDW115" s="15"/>
      <c r="FDX115" s="15"/>
      <c r="FDY115" s="15"/>
      <c r="FDZ115" s="15"/>
      <c r="FEA115" s="15"/>
      <c r="FEB115" s="15"/>
      <c r="FEC115" s="15"/>
      <c r="FED115" s="15"/>
      <c r="FEE115" s="15"/>
      <c r="FEF115" s="15"/>
      <c r="FEG115" s="15"/>
      <c r="FEH115" s="15"/>
      <c r="FEI115" s="15"/>
      <c r="FEJ115" s="15"/>
      <c r="FEK115" s="15"/>
      <c r="FEL115" s="15"/>
      <c r="FEM115" s="15"/>
      <c r="FEN115" s="15"/>
      <c r="FEO115" s="15"/>
      <c r="FEP115" s="14"/>
      <c r="FEQ115" s="15"/>
      <c r="FER115" s="15"/>
      <c r="FES115" s="15"/>
      <c r="FET115" s="15"/>
      <c r="FEU115" s="15"/>
      <c r="FEV115" s="15"/>
      <c r="FEW115" s="15"/>
      <c r="FEX115" s="15"/>
      <c r="FEY115" s="15"/>
      <c r="FEZ115" s="15"/>
      <c r="FFA115" s="15"/>
      <c r="FFB115" s="15"/>
      <c r="FFC115" s="15"/>
      <c r="FFD115" s="15"/>
      <c r="FFE115" s="15"/>
      <c r="FFF115" s="15"/>
      <c r="FFG115" s="15"/>
      <c r="FFH115" s="15"/>
      <c r="FFI115" s="15"/>
      <c r="FFJ115" s="15"/>
      <c r="FFK115" s="15"/>
      <c r="FFL115" s="14"/>
      <c r="FFM115" s="15"/>
      <c r="FFN115" s="15"/>
      <c r="FFO115" s="15"/>
      <c r="FFP115" s="15"/>
      <c r="FFQ115" s="15"/>
      <c r="FFR115" s="15"/>
      <c r="FFS115" s="15"/>
      <c r="FFT115" s="15"/>
      <c r="FFU115" s="15"/>
      <c r="FFV115" s="15"/>
      <c r="FFW115" s="15"/>
      <c r="FFX115" s="15"/>
      <c r="FFY115" s="15"/>
      <c r="FFZ115" s="15"/>
      <c r="FGA115" s="15"/>
      <c r="FGB115" s="15"/>
      <c r="FGC115" s="15"/>
      <c r="FGD115" s="15"/>
      <c r="FGE115" s="15"/>
      <c r="FGF115" s="15"/>
      <c r="FGG115" s="15"/>
      <c r="FGH115" s="14"/>
      <c r="FGI115" s="15"/>
      <c r="FGJ115" s="15"/>
      <c r="FGK115" s="15"/>
      <c r="FGL115" s="15"/>
      <c r="FGM115" s="15"/>
      <c r="FGN115" s="15"/>
      <c r="FGO115" s="15"/>
      <c r="FGP115" s="15"/>
      <c r="FGQ115" s="15"/>
      <c r="FGR115" s="15"/>
      <c r="FGS115" s="15"/>
      <c r="FGT115" s="15"/>
      <c r="FGU115" s="15"/>
      <c r="FGV115" s="15"/>
      <c r="FGW115" s="15"/>
      <c r="FGX115" s="15"/>
      <c r="FGY115" s="15"/>
      <c r="FGZ115" s="15"/>
      <c r="FHA115" s="15"/>
      <c r="FHB115" s="15"/>
      <c r="FHC115" s="15"/>
      <c r="FHD115" s="14"/>
      <c r="FHE115" s="15"/>
      <c r="FHF115" s="15"/>
      <c r="FHG115" s="15"/>
      <c r="FHH115" s="15"/>
      <c r="FHI115" s="15"/>
      <c r="FHJ115" s="15"/>
      <c r="FHK115" s="15"/>
      <c r="FHL115" s="15"/>
      <c r="FHM115" s="15"/>
      <c r="FHN115" s="15"/>
      <c r="FHO115" s="15"/>
      <c r="FHP115" s="15"/>
      <c r="FHQ115" s="15"/>
      <c r="FHR115" s="15"/>
      <c r="FHS115" s="15"/>
      <c r="FHT115" s="15"/>
      <c r="FHU115" s="15"/>
      <c r="FHV115" s="15"/>
      <c r="FHW115" s="15"/>
      <c r="FHX115" s="15"/>
      <c r="FHY115" s="15"/>
      <c r="FHZ115" s="14"/>
      <c r="FIA115" s="15"/>
      <c r="FIB115" s="15"/>
      <c r="FIC115" s="15"/>
      <c r="FID115" s="15"/>
      <c r="FIE115" s="15"/>
      <c r="FIF115" s="15"/>
      <c r="FIG115" s="15"/>
      <c r="FIH115" s="15"/>
      <c r="FII115" s="15"/>
      <c r="FIJ115" s="15"/>
      <c r="FIK115" s="15"/>
      <c r="FIL115" s="15"/>
      <c r="FIM115" s="15"/>
      <c r="FIN115" s="15"/>
      <c r="FIO115" s="15"/>
      <c r="FIP115" s="15"/>
      <c r="FIQ115" s="15"/>
      <c r="FIR115" s="15"/>
      <c r="FIS115" s="15"/>
      <c r="FIT115" s="15"/>
      <c r="FIU115" s="15"/>
      <c r="FIV115" s="14"/>
      <c r="FIW115" s="15"/>
      <c r="FIX115" s="15"/>
      <c r="FIY115" s="15"/>
      <c r="FIZ115" s="15"/>
      <c r="FJA115" s="15"/>
      <c r="FJB115" s="15"/>
      <c r="FJC115" s="15"/>
      <c r="FJD115" s="15"/>
      <c r="FJE115" s="15"/>
      <c r="FJF115" s="15"/>
      <c r="FJG115" s="15"/>
      <c r="FJH115" s="15"/>
      <c r="FJI115" s="15"/>
      <c r="FJJ115" s="15"/>
      <c r="FJK115" s="15"/>
      <c r="FJL115" s="15"/>
      <c r="FJM115" s="15"/>
      <c r="FJN115" s="15"/>
      <c r="FJO115" s="15"/>
      <c r="FJP115" s="15"/>
      <c r="FJQ115" s="15"/>
      <c r="FJR115" s="14"/>
      <c r="FJS115" s="15"/>
      <c r="FJT115" s="15"/>
      <c r="FJU115" s="15"/>
      <c r="FJV115" s="15"/>
      <c r="FJW115" s="15"/>
      <c r="FJX115" s="15"/>
      <c r="FJY115" s="15"/>
      <c r="FJZ115" s="15"/>
      <c r="FKA115" s="15"/>
      <c r="FKB115" s="15"/>
      <c r="FKC115" s="15"/>
      <c r="FKD115" s="15"/>
      <c r="FKE115" s="15"/>
      <c r="FKF115" s="15"/>
      <c r="FKG115" s="15"/>
      <c r="FKH115" s="15"/>
      <c r="FKI115" s="15"/>
      <c r="FKJ115" s="15"/>
      <c r="FKK115" s="15"/>
      <c r="FKL115" s="15"/>
      <c r="FKM115" s="15"/>
      <c r="FKN115" s="14"/>
      <c r="FKO115" s="15"/>
      <c r="FKP115" s="15"/>
      <c r="FKQ115" s="15"/>
      <c r="FKR115" s="15"/>
      <c r="FKS115" s="15"/>
      <c r="FKT115" s="15"/>
      <c r="FKU115" s="15"/>
      <c r="FKV115" s="15"/>
      <c r="FKW115" s="15"/>
      <c r="FKX115" s="15"/>
      <c r="FKY115" s="15"/>
      <c r="FKZ115" s="15"/>
      <c r="FLA115" s="15"/>
      <c r="FLB115" s="15"/>
      <c r="FLC115" s="15"/>
      <c r="FLD115" s="15"/>
      <c r="FLE115" s="15"/>
      <c r="FLF115" s="15"/>
      <c r="FLG115" s="15"/>
      <c r="FLH115" s="15"/>
      <c r="FLI115" s="15"/>
      <c r="FLJ115" s="14"/>
      <c r="FLK115" s="15"/>
      <c r="FLL115" s="15"/>
      <c r="FLM115" s="15"/>
      <c r="FLN115" s="15"/>
      <c r="FLO115" s="15"/>
      <c r="FLP115" s="15"/>
      <c r="FLQ115" s="15"/>
      <c r="FLR115" s="15"/>
      <c r="FLS115" s="15"/>
      <c r="FLT115" s="15"/>
      <c r="FLU115" s="15"/>
      <c r="FLV115" s="15"/>
      <c r="FLW115" s="15"/>
      <c r="FLX115" s="15"/>
      <c r="FLY115" s="15"/>
      <c r="FLZ115" s="15"/>
      <c r="FMA115" s="15"/>
      <c r="FMB115" s="15"/>
      <c r="FMC115" s="15"/>
      <c r="FMD115" s="15"/>
      <c r="FME115" s="15"/>
      <c r="FMF115" s="14"/>
      <c r="FMG115" s="15"/>
      <c r="FMH115" s="15"/>
      <c r="FMI115" s="15"/>
      <c r="FMJ115" s="15"/>
      <c r="FMK115" s="15"/>
      <c r="FML115" s="15"/>
      <c r="FMM115" s="15"/>
      <c r="FMN115" s="15"/>
      <c r="FMO115" s="15"/>
      <c r="FMP115" s="15"/>
      <c r="FMQ115" s="15"/>
      <c r="FMR115" s="15"/>
      <c r="FMS115" s="15"/>
      <c r="FMT115" s="15"/>
      <c r="FMU115" s="15"/>
      <c r="FMV115" s="15"/>
      <c r="FMW115" s="15"/>
      <c r="FMX115" s="15"/>
      <c r="FMY115" s="15"/>
      <c r="FMZ115" s="15"/>
      <c r="FNA115" s="15"/>
      <c r="FNB115" s="14"/>
      <c r="FNC115" s="15"/>
      <c r="FND115" s="15"/>
      <c r="FNE115" s="15"/>
      <c r="FNF115" s="15"/>
      <c r="FNG115" s="15"/>
      <c r="FNH115" s="15"/>
      <c r="FNI115" s="15"/>
      <c r="FNJ115" s="15"/>
      <c r="FNK115" s="15"/>
      <c r="FNL115" s="15"/>
      <c r="FNM115" s="15"/>
      <c r="FNN115" s="15"/>
      <c r="FNO115" s="15"/>
      <c r="FNP115" s="15"/>
      <c r="FNQ115" s="15"/>
      <c r="FNR115" s="15"/>
      <c r="FNS115" s="15"/>
      <c r="FNT115" s="15"/>
      <c r="FNU115" s="15"/>
      <c r="FNV115" s="15"/>
      <c r="FNW115" s="15"/>
      <c r="FNX115" s="14"/>
      <c r="FNY115" s="15"/>
      <c r="FNZ115" s="15"/>
      <c r="FOA115" s="15"/>
      <c r="FOB115" s="15"/>
      <c r="FOC115" s="15"/>
      <c r="FOD115" s="15"/>
      <c r="FOE115" s="15"/>
      <c r="FOF115" s="15"/>
      <c r="FOG115" s="15"/>
      <c r="FOH115" s="15"/>
      <c r="FOI115" s="15"/>
      <c r="FOJ115" s="15"/>
      <c r="FOK115" s="15"/>
      <c r="FOL115" s="15"/>
      <c r="FOM115" s="15"/>
      <c r="FON115" s="15"/>
      <c r="FOO115" s="15"/>
      <c r="FOP115" s="15"/>
      <c r="FOQ115" s="15"/>
      <c r="FOR115" s="15"/>
      <c r="FOS115" s="15"/>
      <c r="FOT115" s="14"/>
      <c r="FOU115" s="15"/>
      <c r="FOV115" s="15"/>
      <c r="FOW115" s="15"/>
      <c r="FOX115" s="15"/>
      <c r="FOY115" s="15"/>
      <c r="FOZ115" s="15"/>
      <c r="FPA115" s="15"/>
      <c r="FPB115" s="15"/>
      <c r="FPC115" s="15"/>
      <c r="FPD115" s="15"/>
      <c r="FPE115" s="15"/>
      <c r="FPF115" s="15"/>
      <c r="FPG115" s="15"/>
      <c r="FPH115" s="15"/>
      <c r="FPI115" s="15"/>
      <c r="FPJ115" s="15"/>
      <c r="FPK115" s="15"/>
      <c r="FPL115" s="15"/>
      <c r="FPM115" s="15"/>
      <c r="FPN115" s="15"/>
      <c r="FPO115" s="15"/>
      <c r="FPP115" s="14"/>
      <c r="FPQ115" s="15"/>
      <c r="FPR115" s="15"/>
      <c r="FPS115" s="15"/>
      <c r="FPT115" s="15"/>
      <c r="FPU115" s="15"/>
      <c r="FPV115" s="15"/>
      <c r="FPW115" s="15"/>
      <c r="FPX115" s="15"/>
      <c r="FPY115" s="15"/>
      <c r="FPZ115" s="15"/>
      <c r="FQA115" s="15"/>
      <c r="FQB115" s="15"/>
      <c r="FQC115" s="15"/>
      <c r="FQD115" s="15"/>
      <c r="FQE115" s="15"/>
      <c r="FQF115" s="15"/>
      <c r="FQG115" s="15"/>
      <c r="FQH115" s="15"/>
      <c r="FQI115" s="15"/>
      <c r="FQJ115" s="15"/>
      <c r="FQK115" s="15"/>
      <c r="FQL115" s="14"/>
      <c r="FQM115" s="15"/>
      <c r="FQN115" s="15"/>
      <c r="FQO115" s="15"/>
      <c r="FQP115" s="15"/>
      <c r="FQQ115" s="15"/>
      <c r="FQR115" s="15"/>
      <c r="FQS115" s="15"/>
      <c r="FQT115" s="15"/>
      <c r="FQU115" s="15"/>
      <c r="FQV115" s="15"/>
      <c r="FQW115" s="15"/>
      <c r="FQX115" s="15"/>
      <c r="FQY115" s="15"/>
      <c r="FQZ115" s="15"/>
      <c r="FRA115" s="15"/>
      <c r="FRB115" s="15"/>
      <c r="FRC115" s="15"/>
      <c r="FRD115" s="15"/>
      <c r="FRE115" s="15"/>
      <c r="FRF115" s="15"/>
      <c r="FRG115" s="15"/>
      <c r="FRH115" s="14"/>
      <c r="FRI115" s="15"/>
      <c r="FRJ115" s="15"/>
      <c r="FRK115" s="15"/>
      <c r="FRL115" s="15"/>
      <c r="FRM115" s="15"/>
      <c r="FRN115" s="15"/>
      <c r="FRO115" s="15"/>
      <c r="FRP115" s="15"/>
      <c r="FRQ115" s="15"/>
      <c r="FRR115" s="15"/>
      <c r="FRS115" s="15"/>
      <c r="FRT115" s="15"/>
      <c r="FRU115" s="15"/>
      <c r="FRV115" s="15"/>
      <c r="FRW115" s="15"/>
      <c r="FRX115" s="15"/>
      <c r="FRY115" s="15"/>
      <c r="FRZ115" s="15"/>
      <c r="FSA115" s="15"/>
      <c r="FSB115" s="15"/>
      <c r="FSC115" s="15"/>
      <c r="FSD115" s="14"/>
      <c r="FSE115" s="15"/>
      <c r="FSF115" s="15"/>
      <c r="FSG115" s="15"/>
      <c r="FSH115" s="15"/>
      <c r="FSI115" s="15"/>
      <c r="FSJ115" s="15"/>
      <c r="FSK115" s="15"/>
      <c r="FSL115" s="15"/>
      <c r="FSM115" s="15"/>
      <c r="FSN115" s="15"/>
      <c r="FSO115" s="15"/>
      <c r="FSP115" s="15"/>
      <c r="FSQ115" s="15"/>
      <c r="FSR115" s="15"/>
      <c r="FSS115" s="15"/>
      <c r="FST115" s="15"/>
      <c r="FSU115" s="15"/>
      <c r="FSV115" s="15"/>
      <c r="FSW115" s="15"/>
      <c r="FSX115" s="15"/>
      <c r="FSY115" s="15"/>
      <c r="FSZ115" s="14"/>
      <c r="FTA115" s="15"/>
      <c r="FTB115" s="15"/>
      <c r="FTC115" s="15"/>
      <c r="FTD115" s="15"/>
      <c r="FTE115" s="15"/>
      <c r="FTF115" s="15"/>
      <c r="FTG115" s="15"/>
      <c r="FTH115" s="15"/>
      <c r="FTI115" s="15"/>
      <c r="FTJ115" s="15"/>
      <c r="FTK115" s="15"/>
      <c r="FTL115" s="15"/>
      <c r="FTM115" s="15"/>
      <c r="FTN115" s="15"/>
      <c r="FTO115" s="15"/>
      <c r="FTP115" s="15"/>
      <c r="FTQ115" s="15"/>
      <c r="FTR115" s="15"/>
      <c r="FTS115" s="15"/>
      <c r="FTT115" s="15"/>
      <c r="FTU115" s="15"/>
      <c r="FTV115" s="14"/>
      <c r="FTW115" s="15"/>
      <c r="FTX115" s="15"/>
      <c r="FTY115" s="15"/>
      <c r="FTZ115" s="15"/>
      <c r="FUA115" s="15"/>
      <c r="FUB115" s="15"/>
      <c r="FUC115" s="15"/>
      <c r="FUD115" s="15"/>
      <c r="FUE115" s="15"/>
      <c r="FUF115" s="15"/>
      <c r="FUG115" s="15"/>
      <c r="FUH115" s="15"/>
      <c r="FUI115" s="15"/>
      <c r="FUJ115" s="15"/>
      <c r="FUK115" s="15"/>
      <c r="FUL115" s="15"/>
      <c r="FUM115" s="15"/>
      <c r="FUN115" s="15"/>
      <c r="FUO115" s="15"/>
      <c r="FUP115" s="15"/>
      <c r="FUQ115" s="15"/>
      <c r="FUR115" s="14"/>
      <c r="FUS115" s="15"/>
      <c r="FUT115" s="15"/>
      <c r="FUU115" s="15"/>
      <c r="FUV115" s="15"/>
      <c r="FUW115" s="15"/>
      <c r="FUX115" s="15"/>
      <c r="FUY115" s="15"/>
      <c r="FUZ115" s="15"/>
      <c r="FVA115" s="15"/>
      <c r="FVB115" s="15"/>
      <c r="FVC115" s="15"/>
      <c r="FVD115" s="15"/>
      <c r="FVE115" s="15"/>
      <c r="FVF115" s="15"/>
      <c r="FVG115" s="15"/>
      <c r="FVH115" s="15"/>
      <c r="FVI115" s="15"/>
      <c r="FVJ115" s="15"/>
      <c r="FVK115" s="15"/>
      <c r="FVL115" s="15"/>
      <c r="FVM115" s="15"/>
      <c r="FVN115" s="14"/>
      <c r="FVO115" s="15"/>
      <c r="FVP115" s="15"/>
      <c r="FVQ115" s="15"/>
      <c r="FVR115" s="15"/>
      <c r="FVS115" s="15"/>
      <c r="FVT115" s="15"/>
      <c r="FVU115" s="15"/>
      <c r="FVV115" s="15"/>
      <c r="FVW115" s="15"/>
      <c r="FVX115" s="15"/>
      <c r="FVY115" s="15"/>
      <c r="FVZ115" s="15"/>
      <c r="FWA115" s="15"/>
      <c r="FWB115" s="15"/>
      <c r="FWC115" s="15"/>
      <c r="FWD115" s="15"/>
      <c r="FWE115" s="15"/>
      <c r="FWF115" s="15"/>
      <c r="FWG115" s="15"/>
      <c r="FWH115" s="15"/>
      <c r="FWI115" s="15"/>
      <c r="FWJ115" s="14"/>
      <c r="FWK115" s="15"/>
      <c r="FWL115" s="15"/>
      <c r="FWM115" s="15"/>
      <c r="FWN115" s="15"/>
      <c r="FWO115" s="15"/>
      <c r="FWP115" s="15"/>
      <c r="FWQ115" s="15"/>
      <c r="FWR115" s="15"/>
      <c r="FWS115" s="15"/>
      <c r="FWT115" s="15"/>
      <c r="FWU115" s="15"/>
      <c r="FWV115" s="15"/>
      <c r="FWW115" s="15"/>
      <c r="FWX115" s="15"/>
      <c r="FWY115" s="15"/>
      <c r="FWZ115" s="15"/>
      <c r="FXA115" s="15"/>
      <c r="FXB115" s="15"/>
      <c r="FXC115" s="15"/>
      <c r="FXD115" s="15"/>
      <c r="FXE115" s="15"/>
      <c r="FXF115" s="14"/>
      <c r="FXG115" s="15"/>
      <c r="FXH115" s="15"/>
      <c r="FXI115" s="15"/>
      <c r="FXJ115" s="15"/>
      <c r="FXK115" s="15"/>
      <c r="FXL115" s="15"/>
      <c r="FXM115" s="15"/>
      <c r="FXN115" s="15"/>
      <c r="FXO115" s="15"/>
      <c r="FXP115" s="15"/>
      <c r="FXQ115" s="15"/>
      <c r="FXR115" s="15"/>
      <c r="FXS115" s="15"/>
      <c r="FXT115" s="15"/>
      <c r="FXU115" s="15"/>
      <c r="FXV115" s="15"/>
      <c r="FXW115" s="15"/>
      <c r="FXX115" s="15"/>
      <c r="FXY115" s="15"/>
      <c r="FXZ115" s="15"/>
      <c r="FYA115" s="15"/>
      <c r="FYB115" s="14"/>
      <c r="FYC115" s="15"/>
      <c r="FYD115" s="15"/>
      <c r="FYE115" s="15"/>
      <c r="FYF115" s="15"/>
      <c r="FYG115" s="15"/>
      <c r="FYH115" s="15"/>
      <c r="FYI115" s="15"/>
      <c r="FYJ115" s="15"/>
      <c r="FYK115" s="15"/>
      <c r="FYL115" s="15"/>
      <c r="FYM115" s="15"/>
      <c r="FYN115" s="15"/>
      <c r="FYO115" s="15"/>
      <c r="FYP115" s="15"/>
      <c r="FYQ115" s="15"/>
      <c r="FYR115" s="15"/>
      <c r="FYS115" s="15"/>
      <c r="FYT115" s="15"/>
      <c r="FYU115" s="15"/>
      <c r="FYV115" s="15"/>
      <c r="FYW115" s="15"/>
      <c r="FYX115" s="14"/>
      <c r="FYY115" s="15"/>
      <c r="FYZ115" s="15"/>
      <c r="FZA115" s="15"/>
      <c r="FZB115" s="15"/>
      <c r="FZC115" s="15"/>
      <c r="FZD115" s="15"/>
      <c r="FZE115" s="15"/>
      <c r="FZF115" s="15"/>
      <c r="FZG115" s="15"/>
      <c r="FZH115" s="15"/>
      <c r="FZI115" s="15"/>
      <c r="FZJ115" s="15"/>
      <c r="FZK115" s="15"/>
      <c r="FZL115" s="15"/>
      <c r="FZM115" s="15"/>
      <c r="FZN115" s="15"/>
      <c r="FZO115" s="15"/>
      <c r="FZP115" s="15"/>
      <c r="FZQ115" s="15"/>
      <c r="FZR115" s="15"/>
      <c r="FZS115" s="15"/>
      <c r="FZT115" s="14"/>
      <c r="FZU115" s="15"/>
      <c r="FZV115" s="15"/>
      <c r="FZW115" s="15"/>
      <c r="FZX115" s="15"/>
      <c r="FZY115" s="15"/>
      <c r="FZZ115" s="15"/>
      <c r="GAA115" s="15"/>
      <c r="GAB115" s="15"/>
      <c r="GAC115" s="15"/>
      <c r="GAD115" s="15"/>
      <c r="GAE115" s="15"/>
      <c r="GAF115" s="15"/>
      <c r="GAG115" s="15"/>
      <c r="GAH115" s="15"/>
      <c r="GAI115" s="15"/>
      <c r="GAJ115" s="15"/>
      <c r="GAK115" s="15"/>
      <c r="GAL115" s="15"/>
      <c r="GAM115" s="15"/>
      <c r="GAN115" s="15"/>
      <c r="GAO115" s="15"/>
      <c r="GAP115" s="14"/>
      <c r="GAQ115" s="15"/>
      <c r="GAR115" s="15"/>
      <c r="GAS115" s="15"/>
      <c r="GAT115" s="15"/>
      <c r="GAU115" s="15"/>
      <c r="GAV115" s="15"/>
      <c r="GAW115" s="15"/>
      <c r="GAX115" s="15"/>
      <c r="GAY115" s="15"/>
      <c r="GAZ115" s="15"/>
      <c r="GBA115" s="15"/>
      <c r="GBB115" s="15"/>
      <c r="GBC115" s="15"/>
      <c r="GBD115" s="15"/>
      <c r="GBE115" s="15"/>
      <c r="GBF115" s="15"/>
      <c r="GBG115" s="15"/>
      <c r="GBH115" s="15"/>
      <c r="GBI115" s="15"/>
      <c r="GBJ115" s="15"/>
      <c r="GBK115" s="15"/>
      <c r="GBL115" s="14"/>
      <c r="GBM115" s="15"/>
      <c r="GBN115" s="15"/>
      <c r="GBO115" s="15"/>
      <c r="GBP115" s="15"/>
      <c r="GBQ115" s="15"/>
      <c r="GBR115" s="15"/>
      <c r="GBS115" s="15"/>
      <c r="GBT115" s="15"/>
      <c r="GBU115" s="15"/>
      <c r="GBV115" s="15"/>
      <c r="GBW115" s="15"/>
      <c r="GBX115" s="15"/>
      <c r="GBY115" s="15"/>
      <c r="GBZ115" s="15"/>
      <c r="GCA115" s="15"/>
      <c r="GCB115" s="15"/>
      <c r="GCC115" s="15"/>
      <c r="GCD115" s="15"/>
      <c r="GCE115" s="15"/>
      <c r="GCF115" s="15"/>
      <c r="GCG115" s="15"/>
      <c r="GCH115" s="14"/>
      <c r="GCI115" s="15"/>
      <c r="GCJ115" s="15"/>
      <c r="GCK115" s="15"/>
      <c r="GCL115" s="15"/>
      <c r="GCM115" s="15"/>
      <c r="GCN115" s="15"/>
      <c r="GCO115" s="15"/>
      <c r="GCP115" s="15"/>
      <c r="GCQ115" s="15"/>
      <c r="GCR115" s="15"/>
      <c r="GCS115" s="15"/>
      <c r="GCT115" s="15"/>
      <c r="GCU115" s="15"/>
      <c r="GCV115" s="15"/>
      <c r="GCW115" s="15"/>
      <c r="GCX115" s="15"/>
      <c r="GCY115" s="15"/>
      <c r="GCZ115" s="15"/>
      <c r="GDA115" s="15"/>
      <c r="GDB115" s="15"/>
      <c r="GDC115" s="15"/>
      <c r="GDD115" s="14"/>
      <c r="GDE115" s="15"/>
      <c r="GDF115" s="15"/>
      <c r="GDG115" s="15"/>
      <c r="GDH115" s="15"/>
      <c r="GDI115" s="15"/>
      <c r="GDJ115" s="15"/>
      <c r="GDK115" s="15"/>
      <c r="GDL115" s="15"/>
      <c r="GDM115" s="15"/>
      <c r="GDN115" s="15"/>
      <c r="GDO115" s="15"/>
      <c r="GDP115" s="15"/>
      <c r="GDQ115" s="15"/>
      <c r="GDR115" s="15"/>
      <c r="GDS115" s="15"/>
      <c r="GDT115" s="15"/>
      <c r="GDU115" s="15"/>
      <c r="GDV115" s="15"/>
      <c r="GDW115" s="15"/>
      <c r="GDX115" s="15"/>
      <c r="GDY115" s="15"/>
      <c r="GDZ115" s="14"/>
      <c r="GEA115" s="15"/>
      <c r="GEB115" s="15"/>
      <c r="GEC115" s="15"/>
      <c r="GED115" s="15"/>
      <c r="GEE115" s="15"/>
      <c r="GEF115" s="15"/>
      <c r="GEG115" s="15"/>
      <c r="GEH115" s="15"/>
      <c r="GEI115" s="15"/>
      <c r="GEJ115" s="15"/>
      <c r="GEK115" s="15"/>
      <c r="GEL115" s="15"/>
      <c r="GEM115" s="15"/>
      <c r="GEN115" s="15"/>
      <c r="GEO115" s="15"/>
      <c r="GEP115" s="15"/>
      <c r="GEQ115" s="15"/>
      <c r="GER115" s="15"/>
      <c r="GES115" s="15"/>
      <c r="GET115" s="15"/>
      <c r="GEU115" s="15"/>
      <c r="GEV115" s="14"/>
      <c r="GEW115" s="15"/>
      <c r="GEX115" s="15"/>
      <c r="GEY115" s="15"/>
      <c r="GEZ115" s="15"/>
      <c r="GFA115" s="15"/>
      <c r="GFB115" s="15"/>
      <c r="GFC115" s="15"/>
      <c r="GFD115" s="15"/>
      <c r="GFE115" s="15"/>
      <c r="GFF115" s="15"/>
      <c r="GFG115" s="15"/>
      <c r="GFH115" s="15"/>
      <c r="GFI115" s="15"/>
      <c r="GFJ115" s="15"/>
      <c r="GFK115" s="15"/>
      <c r="GFL115" s="15"/>
      <c r="GFM115" s="15"/>
      <c r="GFN115" s="15"/>
      <c r="GFO115" s="15"/>
      <c r="GFP115" s="15"/>
      <c r="GFQ115" s="15"/>
      <c r="GFR115" s="14"/>
      <c r="GFS115" s="15"/>
      <c r="GFT115" s="15"/>
      <c r="GFU115" s="15"/>
      <c r="GFV115" s="15"/>
      <c r="GFW115" s="15"/>
      <c r="GFX115" s="15"/>
      <c r="GFY115" s="15"/>
      <c r="GFZ115" s="15"/>
      <c r="GGA115" s="15"/>
      <c r="GGB115" s="15"/>
      <c r="GGC115" s="15"/>
      <c r="GGD115" s="15"/>
      <c r="GGE115" s="15"/>
      <c r="GGF115" s="15"/>
      <c r="GGG115" s="15"/>
      <c r="GGH115" s="15"/>
      <c r="GGI115" s="15"/>
      <c r="GGJ115" s="15"/>
      <c r="GGK115" s="15"/>
      <c r="GGL115" s="15"/>
      <c r="GGM115" s="15"/>
      <c r="GGN115" s="14"/>
      <c r="GGO115" s="15"/>
      <c r="GGP115" s="15"/>
      <c r="GGQ115" s="15"/>
      <c r="GGR115" s="15"/>
      <c r="GGS115" s="15"/>
      <c r="GGT115" s="15"/>
      <c r="GGU115" s="15"/>
      <c r="GGV115" s="15"/>
      <c r="GGW115" s="15"/>
      <c r="GGX115" s="15"/>
      <c r="GGY115" s="15"/>
      <c r="GGZ115" s="15"/>
      <c r="GHA115" s="15"/>
      <c r="GHB115" s="15"/>
      <c r="GHC115" s="15"/>
      <c r="GHD115" s="15"/>
      <c r="GHE115" s="15"/>
      <c r="GHF115" s="15"/>
      <c r="GHG115" s="15"/>
      <c r="GHH115" s="15"/>
      <c r="GHI115" s="15"/>
      <c r="GHJ115" s="14"/>
      <c r="GHK115" s="15"/>
      <c r="GHL115" s="15"/>
      <c r="GHM115" s="15"/>
      <c r="GHN115" s="15"/>
      <c r="GHO115" s="15"/>
      <c r="GHP115" s="15"/>
      <c r="GHQ115" s="15"/>
      <c r="GHR115" s="15"/>
      <c r="GHS115" s="15"/>
      <c r="GHT115" s="15"/>
      <c r="GHU115" s="15"/>
      <c r="GHV115" s="15"/>
      <c r="GHW115" s="15"/>
      <c r="GHX115" s="15"/>
      <c r="GHY115" s="15"/>
      <c r="GHZ115" s="15"/>
      <c r="GIA115" s="15"/>
      <c r="GIB115" s="15"/>
      <c r="GIC115" s="15"/>
      <c r="GID115" s="15"/>
      <c r="GIE115" s="15"/>
      <c r="GIF115" s="14"/>
      <c r="GIG115" s="15"/>
      <c r="GIH115" s="15"/>
      <c r="GII115" s="15"/>
      <c r="GIJ115" s="15"/>
      <c r="GIK115" s="15"/>
      <c r="GIL115" s="15"/>
      <c r="GIM115" s="15"/>
      <c r="GIN115" s="15"/>
      <c r="GIO115" s="15"/>
      <c r="GIP115" s="15"/>
      <c r="GIQ115" s="15"/>
      <c r="GIR115" s="15"/>
      <c r="GIS115" s="15"/>
      <c r="GIT115" s="15"/>
      <c r="GIU115" s="15"/>
      <c r="GIV115" s="15"/>
      <c r="GIW115" s="15"/>
      <c r="GIX115" s="15"/>
      <c r="GIY115" s="15"/>
      <c r="GIZ115" s="15"/>
      <c r="GJA115" s="15"/>
      <c r="GJB115" s="14"/>
      <c r="GJC115" s="15"/>
      <c r="GJD115" s="15"/>
      <c r="GJE115" s="15"/>
      <c r="GJF115" s="15"/>
      <c r="GJG115" s="15"/>
      <c r="GJH115" s="15"/>
      <c r="GJI115" s="15"/>
      <c r="GJJ115" s="15"/>
      <c r="GJK115" s="15"/>
      <c r="GJL115" s="15"/>
      <c r="GJM115" s="15"/>
      <c r="GJN115" s="15"/>
      <c r="GJO115" s="15"/>
      <c r="GJP115" s="15"/>
      <c r="GJQ115" s="15"/>
      <c r="GJR115" s="15"/>
      <c r="GJS115" s="15"/>
      <c r="GJT115" s="15"/>
      <c r="GJU115" s="15"/>
      <c r="GJV115" s="15"/>
      <c r="GJW115" s="15"/>
      <c r="GJX115" s="14"/>
      <c r="GJY115" s="15"/>
      <c r="GJZ115" s="15"/>
      <c r="GKA115" s="15"/>
      <c r="GKB115" s="15"/>
      <c r="GKC115" s="15"/>
      <c r="GKD115" s="15"/>
      <c r="GKE115" s="15"/>
      <c r="GKF115" s="15"/>
      <c r="GKG115" s="15"/>
      <c r="GKH115" s="15"/>
      <c r="GKI115" s="15"/>
      <c r="GKJ115" s="15"/>
      <c r="GKK115" s="15"/>
      <c r="GKL115" s="15"/>
      <c r="GKM115" s="15"/>
      <c r="GKN115" s="15"/>
      <c r="GKO115" s="15"/>
      <c r="GKP115" s="15"/>
      <c r="GKQ115" s="15"/>
      <c r="GKR115" s="15"/>
      <c r="GKS115" s="15"/>
      <c r="GKT115" s="14"/>
      <c r="GKU115" s="15"/>
      <c r="GKV115" s="15"/>
      <c r="GKW115" s="15"/>
      <c r="GKX115" s="15"/>
      <c r="GKY115" s="15"/>
      <c r="GKZ115" s="15"/>
      <c r="GLA115" s="15"/>
      <c r="GLB115" s="15"/>
      <c r="GLC115" s="15"/>
      <c r="GLD115" s="15"/>
      <c r="GLE115" s="15"/>
      <c r="GLF115" s="15"/>
      <c r="GLG115" s="15"/>
      <c r="GLH115" s="15"/>
      <c r="GLI115" s="15"/>
      <c r="GLJ115" s="15"/>
      <c r="GLK115" s="15"/>
      <c r="GLL115" s="15"/>
      <c r="GLM115" s="15"/>
      <c r="GLN115" s="15"/>
      <c r="GLO115" s="15"/>
      <c r="GLP115" s="14"/>
      <c r="GLQ115" s="15"/>
      <c r="GLR115" s="15"/>
      <c r="GLS115" s="15"/>
      <c r="GLT115" s="15"/>
      <c r="GLU115" s="15"/>
      <c r="GLV115" s="15"/>
      <c r="GLW115" s="15"/>
      <c r="GLX115" s="15"/>
      <c r="GLY115" s="15"/>
      <c r="GLZ115" s="15"/>
      <c r="GMA115" s="15"/>
      <c r="GMB115" s="15"/>
      <c r="GMC115" s="15"/>
      <c r="GMD115" s="15"/>
      <c r="GME115" s="15"/>
      <c r="GMF115" s="15"/>
      <c r="GMG115" s="15"/>
      <c r="GMH115" s="15"/>
      <c r="GMI115" s="15"/>
      <c r="GMJ115" s="15"/>
      <c r="GMK115" s="15"/>
      <c r="GML115" s="14"/>
      <c r="GMM115" s="15"/>
      <c r="GMN115" s="15"/>
      <c r="GMO115" s="15"/>
      <c r="GMP115" s="15"/>
      <c r="GMQ115" s="15"/>
      <c r="GMR115" s="15"/>
      <c r="GMS115" s="15"/>
      <c r="GMT115" s="15"/>
      <c r="GMU115" s="15"/>
      <c r="GMV115" s="15"/>
      <c r="GMW115" s="15"/>
      <c r="GMX115" s="15"/>
      <c r="GMY115" s="15"/>
      <c r="GMZ115" s="15"/>
      <c r="GNA115" s="15"/>
      <c r="GNB115" s="15"/>
      <c r="GNC115" s="15"/>
      <c r="GND115" s="15"/>
      <c r="GNE115" s="15"/>
      <c r="GNF115" s="15"/>
      <c r="GNG115" s="15"/>
      <c r="GNH115" s="14"/>
      <c r="GNI115" s="15"/>
      <c r="GNJ115" s="15"/>
      <c r="GNK115" s="15"/>
      <c r="GNL115" s="15"/>
      <c r="GNM115" s="15"/>
      <c r="GNN115" s="15"/>
      <c r="GNO115" s="15"/>
      <c r="GNP115" s="15"/>
      <c r="GNQ115" s="15"/>
      <c r="GNR115" s="15"/>
      <c r="GNS115" s="15"/>
      <c r="GNT115" s="15"/>
      <c r="GNU115" s="15"/>
      <c r="GNV115" s="15"/>
      <c r="GNW115" s="15"/>
      <c r="GNX115" s="15"/>
      <c r="GNY115" s="15"/>
      <c r="GNZ115" s="15"/>
      <c r="GOA115" s="15"/>
      <c r="GOB115" s="15"/>
      <c r="GOC115" s="15"/>
      <c r="GOD115" s="14"/>
      <c r="GOE115" s="15"/>
      <c r="GOF115" s="15"/>
      <c r="GOG115" s="15"/>
      <c r="GOH115" s="15"/>
      <c r="GOI115" s="15"/>
      <c r="GOJ115" s="15"/>
      <c r="GOK115" s="15"/>
      <c r="GOL115" s="15"/>
      <c r="GOM115" s="15"/>
      <c r="GON115" s="15"/>
      <c r="GOO115" s="15"/>
      <c r="GOP115" s="15"/>
      <c r="GOQ115" s="15"/>
      <c r="GOR115" s="15"/>
      <c r="GOS115" s="15"/>
      <c r="GOT115" s="15"/>
      <c r="GOU115" s="15"/>
      <c r="GOV115" s="15"/>
      <c r="GOW115" s="15"/>
      <c r="GOX115" s="15"/>
      <c r="GOY115" s="15"/>
      <c r="GOZ115" s="14"/>
      <c r="GPA115" s="15"/>
      <c r="GPB115" s="15"/>
      <c r="GPC115" s="15"/>
      <c r="GPD115" s="15"/>
      <c r="GPE115" s="15"/>
      <c r="GPF115" s="15"/>
      <c r="GPG115" s="15"/>
      <c r="GPH115" s="15"/>
      <c r="GPI115" s="15"/>
      <c r="GPJ115" s="15"/>
      <c r="GPK115" s="15"/>
      <c r="GPL115" s="15"/>
      <c r="GPM115" s="15"/>
      <c r="GPN115" s="15"/>
      <c r="GPO115" s="15"/>
      <c r="GPP115" s="15"/>
      <c r="GPQ115" s="15"/>
      <c r="GPR115" s="15"/>
      <c r="GPS115" s="15"/>
      <c r="GPT115" s="15"/>
      <c r="GPU115" s="15"/>
      <c r="GPV115" s="14"/>
      <c r="GPW115" s="15"/>
      <c r="GPX115" s="15"/>
      <c r="GPY115" s="15"/>
      <c r="GPZ115" s="15"/>
      <c r="GQA115" s="15"/>
      <c r="GQB115" s="15"/>
      <c r="GQC115" s="15"/>
      <c r="GQD115" s="15"/>
      <c r="GQE115" s="15"/>
      <c r="GQF115" s="15"/>
      <c r="GQG115" s="15"/>
      <c r="GQH115" s="15"/>
      <c r="GQI115" s="15"/>
      <c r="GQJ115" s="15"/>
      <c r="GQK115" s="15"/>
      <c r="GQL115" s="15"/>
      <c r="GQM115" s="15"/>
      <c r="GQN115" s="15"/>
      <c r="GQO115" s="15"/>
      <c r="GQP115" s="15"/>
      <c r="GQQ115" s="15"/>
      <c r="GQR115" s="14"/>
      <c r="GQS115" s="15"/>
      <c r="GQT115" s="15"/>
      <c r="GQU115" s="15"/>
      <c r="GQV115" s="15"/>
      <c r="GQW115" s="15"/>
      <c r="GQX115" s="15"/>
      <c r="GQY115" s="15"/>
      <c r="GQZ115" s="15"/>
      <c r="GRA115" s="15"/>
      <c r="GRB115" s="15"/>
      <c r="GRC115" s="15"/>
      <c r="GRD115" s="15"/>
      <c r="GRE115" s="15"/>
      <c r="GRF115" s="15"/>
      <c r="GRG115" s="15"/>
      <c r="GRH115" s="15"/>
      <c r="GRI115" s="15"/>
      <c r="GRJ115" s="15"/>
      <c r="GRK115" s="15"/>
      <c r="GRL115" s="15"/>
      <c r="GRM115" s="15"/>
      <c r="GRN115" s="14"/>
      <c r="GRO115" s="15"/>
      <c r="GRP115" s="15"/>
      <c r="GRQ115" s="15"/>
      <c r="GRR115" s="15"/>
      <c r="GRS115" s="15"/>
      <c r="GRT115" s="15"/>
      <c r="GRU115" s="15"/>
      <c r="GRV115" s="15"/>
      <c r="GRW115" s="15"/>
      <c r="GRX115" s="15"/>
      <c r="GRY115" s="15"/>
      <c r="GRZ115" s="15"/>
      <c r="GSA115" s="15"/>
      <c r="GSB115" s="15"/>
      <c r="GSC115" s="15"/>
      <c r="GSD115" s="15"/>
      <c r="GSE115" s="15"/>
      <c r="GSF115" s="15"/>
      <c r="GSG115" s="15"/>
      <c r="GSH115" s="15"/>
      <c r="GSI115" s="15"/>
      <c r="GSJ115" s="14"/>
      <c r="GSK115" s="15"/>
      <c r="GSL115" s="15"/>
      <c r="GSM115" s="15"/>
      <c r="GSN115" s="15"/>
      <c r="GSO115" s="15"/>
      <c r="GSP115" s="15"/>
      <c r="GSQ115" s="15"/>
      <c r="GSR115" s="15"/>
      <c r="GSS115" s="15"/>
      <c r="GST115" s="15"/>
      <c r="GSU115" s="15"/>
      <c r="GSV115" s="15"/>
      <c r="GSW115" s="15"/>
      <c r="GSX115" s="15"/>
      <c r="GSY115" s="15"/>
      <c r="GSZ115" s="15"/>
      <c r="GTA115" s="15"/>
      <c r="GTB115" s="15"/>
      <c r="GTC115" s="15"/>
      <c r="GTD115" s="15"/>
      <c r="GTE115" s="15"/>
      <c r="GTF115" s="14"/>
      <c r="GTG115" s="15"/>
      <c r="GTH115" s="15"/>
      <c r="GTI115" s="15"/>
      <c r="GTJ115" s="15"/>
      <c r="GTK115" s="15"/>
      <c r="GTL115" s="15"/>
      <c r="GTM115" s="15"/>
      <c r="GTN115" s="15"/>
      <c r="GTO115" s="15"/>
      <c r="GTP115" s="15"/>
      <c r="GTQ115" s="15"/>
      <c r="GTR115" s="15"/>
      <c r="GTS115" s="15"/>
      <c r="GTT115" s="15"/>
      <c r="GTU115" s="15"/>
      <c r="GTV115" s="15"/>
      <c r="GTW115" s="15"/>
      <c r="GTX115" s="15"/>
      <c r="GTY115" s="15"/>
      <c r="GTZ115" s="15"/>
      <c r="GUA115" s="15"/>
      <c r="GUB115" s="14"/>
      <c r="GUC115" s="15"/>
      <c r="GUD115" s="15"/>
      <c r="GUE115" s="15"/>
      <c r="GUF115" s="15"/>
      <c r="GUG115" s="15"/>
      <c r="GUH115" s="15"/>
      <c r="GUI115" s="15"/>
      <c r="GUJ115" s="15"/>
      <c r="GUK115" s="15"/>
      <c r="GUL115" s="15"/>
      <c r="GUM115" s="15"/>
      <c r="GUN115" s="15"/>
      <c r="GUO115" s="15"/>
      <c r="GUP115" s="15"/>
      <c r="GUQ115" s="15"/>
      <c r="GUR115" s="15"/>
      <c r="GUS115" s="15"/>
      <c r="GUT115" s="15"/>
      <c r="GUU115" s="15"/>
      <c r="GUV115" s="15"/>
      <c r="GUW115" s="15"/>
      <c r="GUX115" s="14"/>
      <c r="GUY115" s="15"/>
      <c r="GUZ115" s="15"/>
      <c r="GVA115" s="15"/>
      <c r="GVB115" s="15"/>
      <c r="GVC115" s="15"/>
      <c r="GVD115" s="15"/>
      <c r="GVE115" s="15"/>
      <c r="GVF115" s="15"/>
      <c r="GVG115" s="15"/>
      <c r="GVH115" s="15"/>
      <c r="GVI115" s="15"/>
      <c r="GVJ115" s="15"/>
      <c r="GVK115" s="15"/>
      <c r="GVL115" s="15"/>
      <c r="GVM115" s="15"/>
      <c r="GVN115" s="15"/>
      <c r="GVO115" s="15"/>
      <c r="GVP115" s="15"/>
      <c r="GVQ115" s="15"/>
      <c r="GVR115" s="15"/>
      <c r="GVS115" s="15"/>
      <c r="GVT115" s="14"/>
      <c r="GVU115" s="15"/>
      <c r="GVV115" s="15"/>
      <c r="GVW115" s="15"/>
      <c r="GVX115" s="15"/>
      <c r="GVY115" s="15"/>
      <c r="GVZ115" s="15"/>
      <c r="GWA115" s="15"/>
      <c r="GWB115" s="15"/>
      <c r="GWC115" s="15"/>
      <c r="GWD115" s="15"/>
      <c r="GWE115" s="15"/>
      <c r="GWF115" s="15"/>
      <c r="GWG115" s="15"/>
      <c r="GWH115" s="15"/>
      <c r="GWI115" s="15"/>
      <c r="GWJ115" s="15"/>
      <c r="GWK115" s="15"/>
      <c r="GWL115" s="15"/>
      <c r="GWM115" s="15"/>
      <c r="GWN115" s="15"/>
      <c r="GWO115" s="15"/>
      <c r="GWP115" s="14"/>
      <c r="GWQ115" s="15"/>
      <c r="GWR115" s="15"/>
      <c r="GWS115" s="15"/>
      <c r="GWT115" s="15"/>
      <c r="GWU115" s="15"/>
      <c r="GWV115" s="15"/>
      <c r="GWW115" s="15"/>
      <c r="GWX115" s="15"/>
      <c r="GWY115" s="15"/>
      <c r="GWZ115" s="15"/>
      <c r="GXA115" s="15"/>
      <c r="GXB115" s="15"/>
      <c r="GXC115" s="15"/>
      <c r="GXD115" s="15"/>
      <c r="GXE115" s="15"/>
      <c r="GXF115" s="15"/>
      <c r="GXG115" s="15"/>
      <c r="GXH115" s="15"/>
      <c r="GXI115" s="15"/>
      <c r="GXJ115" s="15"/>
      <c r="GXK115" s="15"/>
      <c r="GXL115" s="14"/>
      <c r="GXM115" s="15"/>
      <c r="GXN115" s="15"/>
      <c r="GXO115" s="15"/>
      <c r="GXP115" s="15"/>
      <c r="GXQ115" s="15"/>
      <c r="GXR115" s="15"/>
      <c r="GXS115" s="15"/>
      <c r="GXT115" s="15"/>
      <c r="GXU115" s="15"/>
      <c r="GXV115" s="15"/>
      <c r="GXW115" s="15"/>
      <c r="GXX115" s="15"/>
      <c r="GXY115" s="15"/>
      <c r="GXZ115" s="15"/>
      <c r="GYA115" s="15"/>
      <c r="GYB115" s="15"/>
      <c r="GYC115" s="15"/>
      <c r="GYD115" s="15"/>
      <c r="GYE115" s="15"/>
      <c r="GYF115" s="15"/>
      <c r="GYG115" s="15"/>
      <c r="GYH115" s="14"/>
      <c r="GYI115" s="15"/>
      <c r="GYJ115" s="15"/>
      <c r="GYK115" s="15"/>
      <c r="GYL115" s="15"/>
      <c r="GYM115" s="15"/>
      <c r="GYN115" s="15"/>
      <c r="GYO115" s="15"/>
      <c r="GYP115" s="15"/>
      <c r="GYQ115" s="15"/>
      <c r="GYR115" s="15"/>
      <c r="GYS115" s="15"/>
      <c r="GYT115" s="15"/>
      <c r="GYU115" s="15"/>
      <c r="GYV115" s="15"/>
      <c r="GYW115" s="15"/>
      <c r="GYX115" s="15"/>
      <c r="GYY115" s="15"/>
      <c r="GYZ115" s="15"/>
      <c r="GZA115" s="15"/>
      <c r="GZB115" s="15"/>
      <c r="GZC115" s="15"/>
      <c r="GZD115" s="14"/>
      <c r="GZE115" s="15"/>
      <c r="GZF115" s="15"/>
      <c r="GZG115" s="15"/>
      <c r="GZH115" s="15"/>
      <c r="GZI115" s="15"/>
      <c r="GZJ115" s="15"/>
      <c r="GZK115" s="15"/>
      <c r="GZL115" s="15"/>
      <c r="GZM115" s="15"/>
      <c r="GZN115" s="15"/>
      <c r="GZO115" s="15"/>
      <c r="GZP115" s="15"/>
      <c r="GZQ115" s="15"/>
      <c r="GZR115" s="15"/>
      <c r="GZS115" s="15"/>
      <c r="GZT115" s="15"/>
      <c r="GZU115" s="15"/>
      <c r="GZV115" s="15"/>
      <c r="GZW115" s="15"/>
      <c r="GZX115" s="15"/>
      <c r="GZY115" s="15"/>
      <c r="GZZ115" s="14"/>
      <c r="HAA115" s="15"/>
      <c r="HAB115" s="15"/>
      <c r="HAC115" s="15"/>
      <c r="HAD115" s="15"/>
      <c r="HAE115" s="15"/>
      <c r="HAF115" s="15"/>
      <c r="HAG115" s="15"/>
      <c r="HAH115" s="15"/>
      <c r="HAI115" s="15"/>
      <c r="HAJ115" s="15"/>
      <c r="HAK115" s="15"/>
      <c r="HAL115" s="15"/>
      <c r="HAM115" s="15"/>
      <c r="HAN115" s="15"/>
      <c r="HAO115" s="15"/>
      <c r="HAP115" s="15"/>
      <c r="HAQ115" s="15"/>
      <c r="HAR115" s="15"/>
      <c r="HAS115" s="15"/>
      <c r="HAT115" s="15"/>
      <c r="HAU115" s="15"/>
      <c r="HAV115" s="14"/>
      <c r="HAW115" s="15"/>
      <c r="HAX115" s="15"/>
      <c r="HAY115" s="15"/>
      <c r="HAZ115" s="15"/>
      <c r="HBA115" s="15"/>
      <c r="HBB115" s="15"/>
      <c r="HBC115" s="15"/>
      <c r="HBD115" s="15"/>
      <c r="HBE115" s="15"/>
      <c r="HBF115" s="15"/>
      <c r="HBG115" s="15"/>
      <c r="HBH115" s="15"/>
      <c r="HBI115" s="15"/>
      <c r="HBJ115" s="15"/>
      <c r="HBK115" s="15"/>
      <c r="HBL115" s="15"/>
      <c r="HBM115" s="15"/>
      <c r="HBN115" s="15"/>
      <c r="HBO115" s="15"/>
      <c r="HBP115" s="15"/>
      <c r="HBQ115" s="15"/>
      <c r="HBR115" s="14"/>
      <c r="HBS115" s="15"/>
      <c r="HBT115" s="15"/>
      <c r="HBU115" s="15"/>
      <c r="HBV115" s="15"/>
      <c r="HBW115" s="15"/>
      <c r="HBX115" s="15"/>
      <c r="HBY115" s="15"/>
      <c r="HBZ115" s="15"/>
      <c r="HCA115" s="15"/>
      <c r="HCB115" s="15"/>
      <c r="HCC115" s="15"/>
      <c r="HCD115" s="15"/>
      <c r="HCE115" s="15"/>
      <c r="HCF115" s="15"/>
      <c r="HCG115" s="15"/>
      <c r="HCH115" s="15"/>
      <c r="HCI115" s="15"/>
      <c r="HCJ115" s="15"/>
      <c r="HCK115" s="15"/>
      <c r="HCL115" s="15"/>
      <c r="HCM115" s="15"/>
      <c r="HCN115" s="14"/>
      <c r="HCO115" s="15"/>
      <c r="HCP115" s="15"/>
      <c r="HCQ115" s="15"/>
      <c r="HCR115" s="15"/>
      <c r="HCS115" s="15"/>
      <c r="HCT115" s="15"/>
      <c r="HCU115" s="15"/>
      <c r="HCV115" s="15"/>
      <c r="HCW115" s="15"/>
      <c r="HCX115" s="15"/>
      <c r="HCY115" s="15"/>
      <c r="HCZ115" s="15"/>
      <c r="HDA115" s="15"/>
      <c r="HDB115" s="15"/>
      <c r="HDC115" s="15"/>
      <c r="HDD115" s="15"/>
      <c r="HDE115" s="15"/>
      <c r="HDF115" s="15"/>
      <c r="HDG115" s="15"/>
      <c r="HDH115" s="15"/>
      <c r="HDI115" s="15"/>
      <c r="HDJ115" s="14"/>
      <c r="HDK115" s="15"/>
      <c r="HDL115" s="15"/>
      <c r="HDM115" s="15"/>
      <c r="HDN115" s="15"/>
      <c r="HDO115" s="15"/>
      <c r="HDP115" s="15"/>
      <c r="HDQ115" s="15"/>
      <c r="HDR115" s="15"/>
      <c r="HDS115" s="15"/>
      <c r="HDT115" s="15"/>
      <c r="HDU115" s="15"/>
      <c r="HDV115" s="15"/>
      <c r="HDW115" s="15"/>
      <c r="HDX115" s="15"/>
      <c r="HDY115" s="15"/>
      <c r="HDZ115" s="15"/>
      <c r="HEA115" s="15"/>
      <c r="HEB115" s="15"/>
      <c r="HEC115" s="15"/>
      <c r="HED115" s="15"/>
      <c r="HEE115" s="15"/>
      <c r="HEF115" s="14"/>
      <c r="HEG115" s="15"/>
      <c r="HEH115" s="15"/>
      <c r="HEI115" s="15"/>
      <c r="HEJ115" s="15"/>
      <c r="HEK115" s="15"/>
      <c r="HEL115" s="15"/>
      <c r="HEM115" s="15"/>
      <c r="HEN115" s="15"/>
      <c r="HEO115" s="15"/>
      <c r="HEP115" s="15"/>
      <c r="HEQ115" s="15"/>
      <c r="HER115" s="15"/>
      <c r="HES115" s="15"/>
      <c r="HET115" s="15"/>
      <c r="HEU115" s="15"/>
      <c r="HEV115" s="15"/>
      <c r="HEW115" s="15"/>
      <c r="HEX115" s="15"/>
      <c r="HEY115" s="15"/>
      <c r="HEZ115" s="15"/>
      <c r="HFA115" s="15"/>
      <c r="HFB115" s="14"/>
      <c r="HFC115" s="15"/>
      <c r="HFD115" s="15"/>
      <c r="HFE115" s="15"/>
      <c r="HFF115" s="15"/>
      <c r="HFG115" s="15"/>
      <c r="HFH115" s="15"/>
      <c r="HFI115" s="15"/>
      <c r="HFJ115" s="15"/>
      <c r="HFK115" s="15"/>
      <c r="HFL115" s="15"/>
      <c r="HFM115" s="15"/>
      <c r="HFN115" s="15"/>
      <c r="HFO115" s="15"/>
      <c r="HFP115" s="15"/>
      <c r="HFQ115" s="15"/>
      <c r="HFR115" s="15"/>
      <c r="HFS115" s="15"/>
      <c r="HFT115" s="15"/>
      <c r="HFU115" s="15"/>
      <c r="HFV115" s="15"/>
      <c r="HFW115" s="15"/>
      <c r="HFX115" s="14"/>
      <c r="HFY115" s="15"/>
      <c r="HFZ115" s="15"/>
      <c r="HGA115" s="15"/>
      <c r="HGB115" s="15"/>
      <c r="HGC115" s="15"/>
      <c r="HGD115" s="15"/>
      <c r="HGE115" s="15"/>
      <c r="HGF115" s="15"/>
      <c r="HGG115" s="15"/>
      <c r="HGH115" s="15"/>
      <c r="HGI115" s="15"/>
      <c r="HGJ115" s="15"/>
      <c r="HGK115" s="15"/>
      <c r="HGL115" s="15"/>
      <c r="HGM115" s="15"/>
      <c r="HGN115" s="15"/>
      <c r="HGO115" s="15"/>
      <c r="HGP115" s="15"/>
      <c r="HGQ115" s="15"/>
      <c r="HGR115" s="15"/>
      <c r="HGS115" s="15"/>
      <c r="HGT115" s="14"/>
      <c r="HGU115" s="15"/>
      <c r="HGV115" s="15"/>
      <c r="HGW115" s="15"/>
      <c r="HGX115" s="15"/>
      <c r="HGY115" s="15"/>
      <c r="HGZ115" s="15"/>
      <c r="HHA115" s="15"/>
      <c r="HHB115" s="15"/>
      <c r="HHC115" s="15"/>
      <c r="HHD115" s="15"/>
      <c r="HHE115" s="15"/>
      <c r="HHF115" s="15"/>
      <c r="HHG115" s="15"/>
      <c r="HHH115" s="15"/>
      <c r="HHI115" s="15"/>
      <c r="HHJ115" s="15"/>
      <c r="HHK115" s="15"/>
      <c r="HHL115" s="15"/>
      <c r="HHM115" s="15"/>
      <c r="HHN115" s="15"/>
      <c r="HHO115" s="15"/>
      <c r="HHP115" s="14"/>
      <c r="HHQ115" s="15"/>
      <c r="HHR115" s="15"/>
      <c r="HHS115" s="15"/>
      <c r="HHT115" s="15"/>
      <c r="HHU115" s="15"/>
      <c r="HHV115" s="15"/>
      <c r="HHW115" s="15"/>
      <c r="HHX115" s="15"/>
      <c r="HHY115" s="15"/>
      <c r="HHZ115" s="15"/>
      <c r="HIA115" s="15"/>
      <c r="HIB115" s="15"/>
      <c r="HIC115" s="15"/>
      <c r="HID115" s="15"/>
      <c r="HIE115" s="15"/>
      <c r="HIF115" s="15"/>
      <c r="HIG115" s="15"/>
      <c r="HIH115" s="15"/>
      <c r="HII115" s="15"/>
      <c r="HIJ115" s="15"/>
      <c r="HIK115" s="15"/>
      <c r="HIL115" s="14"/>
      <c r="HIM115" s="15"/>
      <c r="HIN115" s="15"/>
      <c r="HIO115" s="15"/>
      <c r="HIP115" s="15"/>
      <c r="HIQ115" s="15"/>
      <c r="HIR115" s="15"/>
      <c r="HIS115" s="15"/>
      <c r="HIT115" s="15"/>
      <c r="HIU115" s="15"/>
      <c r="HIV115" s="15"/>
      <c r="HIW115" s="15"/>
      <c r="HIX115" s="15"/>
      <c r="HIY115" s="15"/>
      <c r="HIZ115" s="15"/>
      <c r="HJA115" s="15"/>
      <c r="HJB115" s="15"/>
      <c r="HJC115" s="15"/>
      <c r="HJD115" s="15"/>
      <c r="HJE115" s="15"/>
      <c r="HJF115" s="15"/>
      <c r="HJG115" s="15"/>
      <c r="HJH115" s="14"/>
      <c r="HJI115" s="15"/>
      <c r="HJJ115" s="15"/>
      <c r="HJK115" s="15"/>
      <c r="HJL115" s="15"/>
      <c r="HJM115" s="15"/>
      <c r="HJN115" s="15"/>
      <c r="HJO115" s="15"/>
      <c r="HJP115" s="15"/>
      <c r="HJQ115" s="15"/>
      <c r="HJR115" s="15"/>
      <c r="HJS115" s="15"/>
      <c r="HJT115" s="15"/>
      <c r="HJU115" s="15"/>
      <c r="HJV115" s="15"/>
      <c r="HJW115" s="15"/>
      <c r="HJX115" s="15"/>
      <c r="HJY115" s="15"/>
      <c r="HJZ115" s="15"/>
      <c r="HKA115" s="15"/>
      <c r="HKB115" s="15"/>
      <c r="HKC115" s="15"/>
      <c r="HKD115" s="14"/>
      <c r="HKE115" s="15"/>
      <c r="HKF115" s="15"/>
      <c r="HKG115" s="15"/>
      <c r="HKH115" s="15"/>
      <c r="HKI115" s="15"/>
      <c r="HKJ115" s="15"/>
      <c r="HKK115" s="15"/>
      <c r="HKL115" s="15"/>
      <c r="HKM115" s="15"/>
      <c r="HKN115" s="15"/>
      <c r="HKO115" s="15"/>
      <c r="HKP115" s="15"/>
      <c r="HKQ115" s="15"/>
      <c r="HKR115" s="15"/>
      <c r="HKS115" s="15"/>
      <c r="HKT115" s="15"/>
      <c r="HKU115" s="15"/>
      <c r="HKV115" s="15"/>
      <c r="HKW115" s="15"/>
      <c r="HKX115" s="15"/>
      <c r="HKY115" s="15"/>
      <c r="HKZ115" s="14"/>
      <c r="HLA115" s="15"/>
      <c r="HLB115" s="15"/>
      <c r="HLC115" s="15"/>
      <c r="HLD115" s="15"/>
      <c r="HLE115" s="15"/>
      <c r="HLF115" s="15"/>
      <c r="HLG115" s="15"/>
      <c r="HLH115" s="15"/>
      <c r="HLI115" s="15"/>
      <c r="HLJ115" s="15"/>
      <c r="HLK115" s="15"/>
      <c r="HLL115" s="15"/>
      <c r="HLM115" s="15"/>
      <c r="HLN115" s="15"/>
      <c r="HLO115" s="15"/>
      <c r="HLP115" s="15"/>
      <c r="HLQ115" s="15"/>
      <c r="HLR115" s="15"/>
      <c r="HLS115" s="15"/>
      <c r="HLT115" s="15"/>
      <c r="HLU115" s="15"/>
      <c r="HLV115" s="14"/>
      <c r="HLW115" s="15"/>
      <c r="HLX115" s="15"/>
      <c r="HLY115" s="15"/>
      <c r="HLZ115" s="15"/>
      <c r="HMA115" s="15"/>
      <c r="HMB115" s="15"/>
      <c r="HMC115" s="15"/>
      <c r="HMD115" s="15"/>
      <c r="HME115" s="15"/>
      <c r="HMF115" s="15"/>
      <c r="HMG115" s="15"/>
      <c r="HMH115" s="15"/>
      <c r="HMI115" s="15"/>
      <c r="HMJ115" s="15"/>
      <c r="HMK115" s="15"/>
      <c r="HML115" s="15"/>
      <c r="HMM115" s="15"/>
      <c r="HMN115" s="15"/>
      <c r="HMO115" s="15"/>
      <c r="HMP115" s="15"/>
      <c r="HMQ115" s="15"/>
      <c r="HMR115" s="14"/>
      <c r="HMS115" s="15"/>
      <c r="HMT115" s="15"/>
      <c r="HMU115" s="15"/>
      <c r="HMV115" s="15"/>
      <c r="HMW115" s="15"/>
      <c r="HMX115" s="15"/>
      <c r="HMY115" s="15"/>
      <c r="HMZ115" s="15"/>
      <c r="HNA115" s="15"/>
      <c r="HNB115" s="15"/>
      <c r="HNC115" s="15"/>
      <c r="HND115" s="15"/>
      <c r="HNE115" s="15"/>
      <c r="HNF115" s="15"/>
      <c r="HNG115" s="15"/>
      <c r="HNH115" s="15"/>
      <c r="HNI115" s="15"/>
      <c r="HNJ115" s="15"/>
      <c r="HNK115" s="15"/>
      <c r="HNL115" s="15"/>
      <c r="HNM115" s="15"/>
      <c r="HNN115" s="14"/>
      <c r="HNO115" s="15"/>
      <c r="HNP115" s="15"/>
      <c r="HNQ115" s="15"/>
      <c r="HNR115" s="15"/>
      <c r="HNS115" s="15"/>
      <c r="HNT115" s="15"/>
      <c r="HNU115" s="15"/>
      <c r="HNV115" s="15"/>
      <c r="HNW115" s="15"/>
      <c r="HNX115" s="15"/>
      <c r="HNY115" s="15"/>
      <c r="HNZ115" s="15"/>
      <c r="HOA115" s="15"/>
      <c r="HOB115" s="15"/>
      <c r="HOC115" s="15"/>
      <c r="HOD115" s="15"/>
      <c r="HOE115" s="15"/>
      <c r="HOF115" s="15"/>
      <c r="HOG115" s="15"/>
      <c r="HOH115" s="15"/>
      <c r="HOI115" s="15"/>
      <c r="HOJ115" s="14"/>
      <c r="HOK115" s="15"/>
      <c r="HOL115" s="15"/>
      <c r="HOM115" s="15"/>
      <c r="HON115" s="15"/>
      <c r="HOO115" s="15"/>
      <c r="HOP115" s="15"/>
      <c r="HOQ115" s="15"/>
      <c r="HOR115" s="15"/>
      <c r="HOS115" s="15"/>
      <c r="HOT115" s="15"/>
      <c r="HOU115" s="15"/>
      <c r="HOV115" s="15"/>
      <c r="HOW115" s="15"/>
      <c r="HOX115" s="15"/>
      <c r="HOY115" s="15"/>
      <c r="HOZ115" s="15"/>
      <c r="HPA115" s="15"/>
      <c r="HPB115" s="15"/>
      <c r="HPC115" s="15"/>
      <c r="HPD115" s="15"/>
      <c r="HPE115" s="15"/>
      <c r="HPF115" s="14"/>
      <c r="HPG115" s="15"/>
      <c r="HPH115" s="15"/>
      <c r="HPI115" s="15"/>
      <c r="HPJ115" s="15"/>
      <c r="HPK115" s="15"/>
      <c r="HPL115" s="15"/>
      <c r="HPM115" s="15"/>
      <c r="HPN115" s="15"/>
      <c r="HPO115" s="15"/>
      <c r="HPP115" s="15"/>
      <c r="HPQ115" s="15"/>
      <c r="HPR115" s="15"/>
      <c r="HPS115" s="15"/>
      <c r="HPT115" s="15"/>
      <c r="HPU115" s="15"/>
      <c r="HPV115" s="15"/>
      <c r="HPW115" s="15"/>
      <c r="HPX115" s="15"/>
      <c r="HPY115" s="15"/>
      <c r="HPZ115" s="15"/>
      <c r="HQA115" s="15"/>
      <c r="HQB115" s="14"/>
      <c r="HQC115" s="15"/>
      <c r="HQD115" s="15"/>
      <c r="HQE115" s="15"/>
      <c r="HQF115" s="15"/>
      <c r="HQG115" s="15"/>
      <c r="HQH115" s="15"/>
      <c r="HQI115" s="15"/>
      <c r="HQJ115" s="15"/>
      <c r="HQK115" s="15"/>
      <c r="HQL115" s="15"/>
      <c r="HQM115" s="15"/>
      <c r="HQN115" s="15"/>
      <c r="HQO115" s="15"/>
      <c r="HQP115" s="15"/>
      <c r="HQQ115" s="15"/>
      <c r="HQR115" s="15"/>
      <c r="HQS115" s="15"/>
      <c r="HQT115" s="15"/>
      <c r="HQU115" s="15"/>
      <c r="HQV115" s="15"/>
      <c r="HQW115" s="15"/>
      <c r="HQX115" s="14"/>
      <c r="HQY115" s="15"/>
      <c r="HQZ115" s="15"/>
      <c r="HRA115" s="15"/>
      <c r="HRB115" s="15"/>
      <c r="HRC115" s="15"/>
      <c r="HRD115" s="15"/>
      <c r="HRE115" s="15"/>
      <c r="HRF115" s="15"/>
      <c r="HRG115" s="15"/>
      <c r="HRH115" s="15"/>
      <c r="HRI115" s="15"/>
      <c r="HRJ115" s="15"/>
      <c r="HRK115" s="15"/>
      <c r="HRL115" s="15"/>
      <c r="HRM115" s="15"/>
      <c r="HRN115" s="15"/>
      <c r="HRO115" s="15"/>
      <c r="HRP115" s="15"/>
      <c r="HRQ115" s="15"/>
      <c r="HRR115" s="15"/>
      <c r="HRS115" s="15"/>
      <c r="HRT115" s="14"/>
      <c r="HRU115" s="15"/>
      <c r="HRV115" s="15"/>
      <c r="HRW115" s="15"/>
      <c r="HRX115" s="15"/>
      <c r="HRY115" s="15"/>
      <c r="HRZ115" s="15"/>
      <c r="HSA115" s="15"/>
      <c r="HSB115" s="15"/>
      <c r="HSC115" s="15"/>
      <c r="HSD115" s="15"/>
      <c r="HSE115" s="15"/>
      <c r="HSF115" s="15"/>
      <c r="HSG115" s="15"/>
      <c r="HSH115" s="15"/>
      <c r="HSI115" s="15"/>
      <c r="HSJ115" s="15"/>
      <c r="HSK115" s="15"/>
      <c r="HSL115" s="15"/>
      <c r="HSM115" s="15"/>
      <c r="HSN115" s="15"/>
      <c r="HSO115" s="15"/>
      <c r="HSP115" s="14"/>
      <c r="HSQ115" s="15"/>
      <c r="HSR115" s="15"/>
      <c r="HSS115" s="15"/>
      <c r="HST115" s="15"/>
      <c r="HSU115" s="15"/>
      <c r="HSV115" s="15"/>
      <c r="HSW115" s="15"/>
      <c r="HSX115" s="15"/>
      <c r="HSY115" s="15"/>
      <c r="HSZ115" s="15"/>
      <c r="HTA115" s="15"/>
      <c r="HTB115" s="15"/>
      <c r="HTC115" s="15"/>
      <c r="HTD115" s="15"/>
      <c r="HTE115" s="15"/>
      <c r="HTF115" s="15"/>
      <c r="HTG115" s="15"/>
      <c r="HTH115" s="15"/>
      <c r="HTI115" s="15"/>
      <c r="HTJ115" s="15"/>
      <c r="HTK115" s="15"/>
      <c r="HTL115" s="14"/>
      <c r="HTM115" s="15"/>
      <c r="HTN115" s="15"/>
      <c r="HTO115" s="15"/>
      <c r="HTP115" s="15"/>
      <c r="HTQ115" s="15"/>
      <c r="HTR115" s="15"/>
      <c r="HTS115" s="15"/>
      <c r="HTT115" s="15"/>
      <c r="HTU115" s="15"/>
      <c r="HTV115" s="15"/>
      <c r="HTW115" s="15"/>
      <c r="HTX115" s="15"/>
      <c r="HTY115" s="15"/>
      <c r="HTZ115" s="15"/>
      <c r="HUA115" s="15"/>
      <c r="HUB115" s="15"/>
      <c r="HUC115" s="15"/>
      <c r="HUD115" s="15"/>
      <c r="HUE115" s="15"/>
      <c r="HUF115" s="15"/>
      <c r="HUG115" s="15"/>
      <c r="HUH115" s="14"/>
      <c r="HUI115" s="15"/>
      <c r="HUJ115" s="15"/>
      <c r="HUK115" s="15"/>
      <c r="HUL115" s="15"/>
      <c r="HUM115" s="15"/>
      <c r="HUN115" s="15"/>
      <c r="HUO115" s="15"/>
      <c r="HUP115" s="15"/>
      <c r="HUQ115" s="15"/>
      <c r="HUR115" s="15"/>
      <c r="HUS115" s="15"/>
      <c r="HUT115" s="15"/>
      <c r="HUU115" s="15"/>
      <c r="HUV115" s="15"/>
      <c r="HUW115" s="15"/>
      <c r="HUX115" s="15"/>
      <c r="HUY115" s="15"/>
      <c r="HUZ115" s="15"/>
      <c r="HVA115" s="15"/>
      <c r="HVB115" s="15"/>
      <c r="HVC115" s="15"/>
      <c r="HVD115" s="14"/>
      <c r="HVE115" s="15"/>
      <c r="HVF115" s="15"/>
      <c r="HVG115" s="15"/>
      <c r="HVH115" s="15"/>
      <c r="HVI115" s="15"/>
      <c r="HVJ115" s="15"/>
      <c r="HVK115" s="15"/>
      <c r="HVL115" s="15"/>
      <c r="HVM115" s="15"/>
      <c r="HVN115" s="15"/>
      <c r="HVO115" s="15"/>
      <c r="HVP115" s="15"/>
      <c r="HVQ115" s="15"/>
      <c r="HVR115" s="15"/>
      <c r="HVS115" s="15"/>
      <c r="HVT115" s="15"/>
      <c r="HVU115" s="15"/>
      <c r="HVV115" s="15"/>
      <c r="HVW115" s="15"/>
      <c r="HVX115" s="15"/>
      <c r="HVY115" s="15"/>
      <c r="HVZ115" s="14"/>
      <c r="HWA115" s="15"/>
      <c r="HWB115" s="15"/>
      <c r="HWC115" s="15"/>
      <c r="HWD115" s="15"/>
      <c r="HWE115" s="15"/>
      <c r="HWF115" s="15"/>
      <c r="HWG115" s="15"/>
      <c r="HWH115" s="15"/>
      <c r="HWI115" s="15"/>
      <c r="HWJ115" s="15"/>
      <c r="HWK115" s="15"/>
      <c r="HWL115" s="15"/>
      <c r="HWM115" s="15"/>
      <c r="HWN115" s="15"/>
      <c r="HWO115" s="15"/>
      <c r="HWP115" s="15"/>
      <c r="HWQ115" s="15"/>
      <c r="HWR115" s="15"/>
      <c r="HWS115" s="15"/>
      <c r="HWT115" s="15"/>
      <c r="HWU115" s="15"/>
      <c r="HWV115" s="14"/>
      <c r="HWW115" s="15"/>
      <c r="HWX115" s="15"/>
      <c r="HWY115" s="15"/>
      <c r="HWZ115" s="15"/>
      <c r="HXA115" s="15"/>
      <c r="HXB115" s="15"/>
      <c r="HXC115" s="15"/>
      <c r="HXD115" s="15"/>
      <c r="HXE115" s="15"/>
      <c r="HXF115" s="15"/>
      <c r="HXG115" s="15"/>
      <c r="HXH115" s="15"/>
      <c r="HXI115" s="15"/>
      <c r="HXJ115" s="15"/>
      <c r="HXK115" s="15"/>
      <c r="HXL115" s="15"/>
      <c r="HXM115" s="15"/>
      <c r="HXN115" s="15"/>
      <c r="HXO115" s="15"/>
      <c r="HXP115" s="15"/>
      <c r="HXQ115" s="15"/>
      <c r="HXR115" s="14"/>
      <c r="HXS115" s="15"/>
      <c r="HXT115" s="15"/>
      <c r="HXU115" s="15"/>
      <c r="HXV115" s="15"/>
      <c r="HXW115" s="15"/>
      <c r="HXX115" s="15"/>
      <c r="HXY115" s="15"/>
      <c r="HXZ115" s="15"/>
      <c r="HYA115" s="15"/>
      <c r="HYB115" s="15"/>
      <c r="HYC115" s="15"/>
      <c r="HYD115" s="15"/>
      <c r="HYE115" s="15"/>
      <c r="HYF115" s="15"/>
      <c r="HYG115" s="15"/>
      <c r="HYH115" s="15"/>
      <c r="HYI115" s="15"/>
      <c r="HYJ115" s="15"/>
      <c r="HYK115" s="15"/>
      <c r="HYL115" s="15"/>
      <c r="HYM115" s="15"/>
      <c r="HYN115" s="14"/>
      <c r="HYO115" s="15"/>
      <c r="HYP115" s="15"/>
      <c r="HYQ115" s="15"/>
      <c r="HYR115" s="15"/>
      <c r="HYS115" s="15"/>
      <c r="HYT115" s="15"/>
      <c r="HYU115" s="15"/>
      <c r="HYV115" s="15"/>
      <c r="HYW115" s="15"/>
      <c r="HYX115" s="15"/>
      <c r="HYY115" s="15"/>
      <c r="HYZ115" s="15"/>
      <c r="HZA115" s="15"/>
      <c r="HZB115" s="15"/>
      <c r="HZC115" s="15"/>
      <c r="HZD115" s="15"/>
      <c r="HZE115" s="15"/>
      <c r="HZF115" s="15"/>
      <c r="HZG115" s="15"/>
      <c r="HZH115" s="15"/>
      <c r="HZI115" s="15"/>
      <c r="HZJ115" s="14"/>
      <c r="HZK115" s="15"/>
      <c r="HZL115" s="15"/>
      <c r="HZM115" s="15"/>
      <c r="HZN115" s="15"/>
      <c r="HZO115" s="15"/>
      <c r="HZP115" s="15"/>
      <c r="HZQ115" s="15"/>
      <c r="HZR115" s="15"/>
      <c r="HZS115" s="15"/>
      <c r="HZT115" s="15"/>
      <c r="HZU115" s="15"/>
      <c r="HZV115" s="15"/>
      <c r="HZW115" s="15"/>
      <c r="HZX115" s="15"/>
      <c r="HZY115" s="15"/>
      <c r="HZZ115" s="15"/>
      <c r="IAA115" s="15"/>
      <c r="IAB115" s="15"/>
      <c r="IAC115" s="15"/>
      <c r="IAD115" s="15"/>
      <c r="IAE115" s="15"/>
      <c r="IAF115" s="14"/>
      <c r="IAG115" s="15"/>
      <c r="IAH115" s="15"/>
      <c r="IAI115" s="15"/>
      <c r="IAJ115" s="15"/>
      <c r="IAK115" s="15"/>
      <c r="IAL115" s="15"/>
      <c r="IAM115" s="15"/>
      <c r="IAN115" s="15"/>
      <c r="IAO115" s="15"/>
      <c r="IAP115" s="15"/>
      <c r="IAQ115" s="15"/>
      <c r="IAR115" s="15"/>
      <c r="IAS115" s="15"/>
      <c r="IAT115" s="15"/>
      <c r="IAU115" s="15"/>
      <c r="IAV115" s="15"/>
      <c r="IAW115" s="15"/>
      <c r="IAX115" s="15"/>
      <c r="IAY115" s="15"/>
      <c r="IAZ115" s="15"/>
      <c r="IBA115" s="15"/>
      <c r="IBB115" s="14"/>
      <c r="IBC115" s="15"/>
      <c r="IBD115" s="15"/>
      <c r="IBE115" s="15"/>
      <c r="IBF115" s="15"/>
      <c r="IBG115" s="15"/>
      <c r="IBH115" s="15"/>
      <c r="IBI115" s="15"/>
      <c r="IBJ115" s="15"/>
      <c r="IBK115" s="15"/>
      <c r="IBL115" s="15"/>
      <c r="IBM115" s="15"/>
      <c r="IBN115" s="15"/>
      <c r="IBO115" s="15"/>
      <c r="IBP115" s="15"/>
      <c r="IBQ115" s="15"/>
      <c r="IBR115" s="15"/>
      <c r="IBS115" s="15"/>
      <c r="IBT115" s="15"/>
      <c r="IBU115" s="15"/>
      <c r="IBV115" s="15"/>
      <c r="IBW115" s="15"/>
      <c r="IBX115" s="14"/>
      <c r="IBY115" s="15"/>
      <c r="IBZ115" s="15"/>
      <c r="ICA115" s="15"/>
      <c r="ICB115" s="15"/>
      <c r="ICC115" s="15"/>
      <c r="ICD115" s="15"/>
      <c r="ICE115" s="15"/>
      <c r="ICF115" s="15"/>
      <c r="ICG115" s="15"/>
      <c r="ICH115" s="15"/>
      <c r="ICI115" s="15"/>
      <c r="ICJ115" s="15"/>
      <c r="ICK115" s="15"/>
      <c r="ICL115" s="15"/>
      <c r="ICM115" s="15"/>
      <c r="ICN115" s="15"/>
      <c r="ICO115" s="15"/>
      <c r="ICP115" s="15"/>
      <c r="ICQ115" s="15"/>
      <c r="ICR115" s="15"/>
      <c r="ICS115" s="15"/>
      <c r="ICT115" s="14"/>
      <c r="ICU115" s="15"/>
      <c r="ICV115" s="15"/>
      <c r="ICW115" s="15"/>
      <c r="ICX115" s="15"/>
      <c r="ICY115" s="15"/>
      <c r="ICZ115" s="15"/>
      <c r="IDA115" s="15"/>
      <c r="IDB115" s="15"/>
      <c r="IDC115" s="15"/>
      <c r="IDD115" s="15"/>
      <c r="IDE115" s="15"/>
      <c r="IDF115" s="15"/>
      <c r="IDG115" s="15"/>
      <c r="IDH115" s="15"/>
      <c r="IDI115" s="15"/>
      <c r="IDJ115" s="15"/>
      <c r="IDK115" s="15"/>
      <c r="IDL115" s="15"/>
      <c r="IDM115" s="15"/>
      <c r="IDN115" s="15"/>
      <c r="IDO115" s="15"/>
      <c r="IDP115" s="14"/>
      <c r="IDQ115" s="15"/>
      <c r="IDR115" s="15"/>
      <c r="IDS115" s="15"/>
      <c r="IDT115" s="15"/>
      <c r="IDU115" s="15"/>
      <c r="IDV115" s="15"/>
      <c r="IDW115" s="15"/>
      <c r="IDX115" s="15"/>
      <c r="IDY115" s="15"/>
      <c r="IDZ115" s="15"/>
      <c r="IEA115" s="15"/>
      <c r="IEB115" s="15"/>
      <c r="IEC115" s="15"/>
      <c r="IED115" s="15"/>
      <c r="IEE115" s="15"/>
      <c r="IEF115" s="15"/>
      <c r="IEG115" s="15"/>
      <c r="IEH115" s="15"/>
      <c r="IEI115" s="15"/>
      <c r="IEJ115" s="15"/>
      <c r="IEK115" s="15"/>
      <c r="IEL115" s="14"/>
      <c r="IEM115" s="15"/>
      <c r="IEN115" s="15"/>
      <c r="IEO115" s="15"/>
      <c r="IEP115" s="15"/>
      <c r="IEQ115" s="15"/>
      <c r="IER115" s="15"/>
      <c r="IES115" s="15"/>
      <c r="IET115" s="15"/>
      <c r="IEU115" s="15"/>
      <c r="IEV115" s="15"/>
      <c r="IEW115" s="15"/>
      <c r="IEX115" s="15"/>
      <c r="IEY115" s="15"/>
      <c r="IEZ115" s="15"/>
      <c r="IFA115" s="15"/>
      <c r="IFB115" s="15"/>
      <c r="IFC115" s="15"/>
      <c r="IFD115" s="15"/>
      <c r="IFE115" s="15"/>
      <c r="IFF115" s="15"/>
      <c r="IFG115" s="15"/>
      <c r="IFH115" s="14"/>
      <c r="IFI115" s="15"/>
      <c r="IFJ115" s="15"/>
      <c r="IFK115" s="15"/>
      <c r="IFL115" s="15"/>
      <c r="IFM115" s="15"/>
      <c r="IFN115" s="15"/>
      <c r="IFO115" s="15"/>
      <c r="IFP115" s="15"/>
      <c r="IFQ115" s="15"/>
      <c r="IFR115" s="15"/>
      <c r="IFS115" s="15"/>
      <c r="IFT115" s="15"/>
      <c r="IFU115" s="15"/>
      <c r="IFV115" s="15"/>
      <c r="IFW115" s="15"/>
      <c r="IFX115" s="15"/>
      <c r="IFY115" s="15"/>
      <c r="IFZ115" s="15"/>
      <c r="IGA115" s="15"/>
      <c r="IGB115" s="15"/>
      <c r="IGC115" s="15"/>
      <c r="IGD115" s="14"/>
      <c r="IGE115" s="15"/>
      <c r="IGF115" s="15"/>
      <c r="IGG115" s="15"/>
      <c r="IGH115" s="15"/>
      <c r="IGI115" s="15"/>
      <c r="IGJ115" s="15"/>
      <c r="IGK115" s="15"/>
      <c r="IGL115" s="15"/>
      <c r="IGM115" s="15"/>
      <c r="IGN115" s="15"/>
      <c r="IGO115" s="15"/>
      <c r="IGP115" s="15"/>
      <c r="IGQ115" s="15"/>
      <c r="IGR115" s="15"/>
      <c r="IGS115" s="15"/>
      <c r="IGT115" s="15"/>
      <c r="IGU115" s="15"/>
      <c r="IGV115" s="15"/>
      <c r="IGW115" s="15"/>
      <c r="IGX115" s="15"/>
      <c r="IGY115" s="15"/>
      <c r="IGZ115" s="14"/>
      <c r="IHA115" s="15"/>
      <c r="IHB115" s="15"/>
      <c r="IHC115" s="15"/>
      <c r="IHD115" s="15"/>
      <c r="IHE115" s="15"/>
      <c r="IHF115" s="15"/>
      <c r="IHG115" s="15"/>
      <c r="IHH115" s="15"/>
      <c r="IHI115" s="15"/>
      <c r="IHJ115" s="15"/>
      <c r="IHK115" s="15"/>
      <c r="IHL115" s="15"/>
      <c r="IHM115" s="15"/>
      <c r="IHN115" s="15"/>
      <c r="IHO115" s="15"/>
      <c r="IHP115" s="15"/>
      <c r="IHQ115" s="15"/>
      <c r="IHR115" s="15"/>
      <c r="IHS115" s="15"/>
      <c r="IHT115" s="15"/>
      <c r="IHU115" s="15"/>
      <c r="IHV115" s="14"/>
      <c r="IHW115" s="15"/>
      <c r="IHX115" s="15"/>
      <c r="IHY115" s="15"/>
      <c r="IHZ115" s="15"/>
      <c r="IIA115" s="15"/>
      <c r="IIB115" s="15"/>
      <c r="IIC115" s="15"/>
      <c r="IID115" s="15"/>
      <c r="IIE115" s="15"/>
      <c r="IIF115" s="15"/>
      <c r="IIG115" s="15"/>
      <c r="IIH115" s="15"/>
      <c r="III115" s="15"/>
      <c r="IIJ115" s="15"/>
      <c r="IIK115" s="15"/>
      <c r="IIL115" s="15"/>
      <c r="IIM115" s="15"/>
      <c r="IIN115" s="15"/>
      <c r="IIO115" s="15"/>
      <c r="IIP115" s="15"/>
      <c r="IIQ115" s="15"/>
      <c r="IIR115" s="14"/>
      <c r="IIS115" s="15"/>
      <c r="IIT115" s="15"/>
      <c r="IIU115" s="15"/>
      <c r="IIV115" s="15"/>
      <c r="IIW115" s="15"/>
      <c r="IIX115" s="15"/>
      <c r="IIY115" s="15"/>
      <c r="IIZ115" s="15"/>
      <c r="IJA115" s="15"/>
      <c r="IJB115" s="15"/>
      <c r="IJC115" s="15"/>
      <c r="IJD115" s="15"/>
      <c r="IJE115" s="15"/>
      <c r="IJF115" s="15"/>
      <c r="IJG115" s="15"/>
      <c r="IJH115" s="15"/>
      <c r="IJI115" s="15"/>
      <c r="IJJ115" s="15"/>
      <c r="IJK115" s="15"/>
      <c r="IJL115" s="15"/>
      <c r="IJM115" s="15"/>
      <c r="IJN115" s="14"/>
      <c r="IJO115" s="15"/>
      <c r="IJP115" s="15"/>
      <c r="IJQ115" s="15"/>
      <c r="IJR115" s="15"/>
      <c r="IJS115" s="15"/>
      <c r="IJT115" s="15"/>
      <c r="IJU115" s="15"/>
      <c r="IJV115" s="15"/>
      <c r="IJW115" s="15"/>
      <c r="IJX115" s="15"/>
      <c r="IJY115" s="15"/>
      <c r="IJZ115" s="15"/>
      <c r="IKA115" s="15"/>
      <c r="IKB115" s="15"/>
      <c r="IKC115" s="15"/>
      <c r="IKD115" s="15"/>
      <c r="IKE115" s="15"/>
      <c r="IKF115" s="15"/>
      <c r="IKG115" s="15"/>
      <c r="IKH115" s="15"/>
      <c r="IKI115" s="15"/>
      <c r="IKJ115" s="14"/>
      <c r="IKK115" s="15"/>
      <c r="IKL115" s="15"/>
      <c r="IKM115" s="15"/>
      <c r="IKN115" s="15"/>
      <c r="IKO115" s="15"/>
      <c r="IKP115" s="15"/>
      <c r="IKQ115" s="15"/>
      <c r="IKR115" s="15"/>
      <c r="IKS115" s="15"/>
      <c r="IKT115" s="15"/>
      <c r="IKU115" s="15"/>
      <c r="IKV115" s="15"/>
      <c r="IKW115" s="15"/>
      <c r="IKX115" s="15"/>
      <c r="IKY115" s="15"/>
      <c r="IKZ115" s="15"/>
      <c r="ILA115" s="15"/>
      <c r="ILB115" s="15"/>
      <c r="ILC115" s="15"/>
      <c r="ILD115" s="15"/>
      <c r="ILE115" s="15"/>
      <c r="ILF115" s="14"/>
      <c r="ILG115" s="15"/>
      <c r="ILH115" s="15"/>
      <c r="ILI115" s="15"/>
      <c r="ILJ115" s="15"/>
      <c r="ILK115" s="15"/>
      <c r="ILL115" s="15"/>
      <c r="ILM115" s="15"/>
      <c r="ILN115" s="15"/>
      <c r="ILO115" s="15"/>
      <c r="ILP115" s="15"/>
      <c r="ILQ115" s="15"/>
      <c r="ILR115" s="15"/>
      <c r="ILS115" s="15"/>
      <c r="ILT115" s="15"/>
      <c r="ILU115" s="15"/>
      <c r="ILV115" s="15"/>
      <c r="ILW115" s="15"/>
      <c r="ILX115" s="15"/>
      <c r="ILY115" s="15"/>
      <c r="ILZ115" s="15"/>
      <c r="IMA115" s="15"/>
      <c r="IMB115" s="14"/>
      <c r="IMC115" s="15"/>
      <c r="IMD115" s="15"/>
      <c r="IME115" s="15"/>
      <c r="IMF115" s="15"/>
      <c r="IMG115" s="15"/>
      <c r="IMH115" s="15"/>
      <c r="IMI115" s="15"/>
      <c r="IMJ115" s="15"/>
      <c r="IMK115" s="15"/>
      <c r="IML115" s="15"/>
      <c r="IMM115" s="15"/>
      <c r="IMN115" s="15"/>
      <c r="IMO115" s="15"/>
      <c r="IMP115" s="15"/>
      <c r="IMQ115" s="15"/>
      <c r="IMR115" s="15"/>
      <c r="IMS115" s="15"/>
      <c r="IMT115" s="15"/>
      <c r="IMU115" s="15"/>
      <c r="IMV115" s="15"/>
      <c r="IMW115" s="15"/>
      <c r="IMX115" s="14"/>
      <c r="IMY115" s="15"/>
      <c r="IMZ115" s="15"/>
      <c r="INA115" s="15"/>
      <c r="INB115" s="15"/>
      <c r="INC115" s="15"/>
      <c r="IND115" s="15"/>
      <c r="INE115" s="15"/>
      <c r="INF115" s="15"/>
      <c r="ING115" s="15"/>
      <c r="INH115" s="15"/>
      <c r="INI115" s="15"/>
      <c r="INJ115" s="15"/>
      <c r="INK115" s="15"/>
      <c r="INL115" s="15"/>
      <c r="INM115" s="15"/>
      <c r="INN115" s="15"/>
      <c r="INO115" s="15"/>
      <c r="INP115" s="15"/>
      <c r="INQ115" s="15"/>
      <c r="INR115" s="15"/>
      <c r="INS115" s="15"/>
      <c r="INT115" s="14"/>
      <c r="INU115" s="15"/>
      <c r="INV115" s="15"/>
      <c r="INW115" s="15"/>
      <c r="INX115" s="15"/>
      <c r="INY115" s="15"/>
      <c r="INZ115" s="15"/>
      <c r="IOA115" s="15"/>
      <c r="IOB115" s="15"/>
      <c r="IOC115" s="15"/>
      <c r="IOD115" s="15"/>
      <c r="IOE115" s="15"/>
      <c r="IOF115" s="15"/>
      <c r="IOG115" s="15"/>
      <c r="IOH115" s="15"/>
      <c r="IOI115" s="15"/>
      <c r="IOJ115" s="15"/>
      <c r="IOK115" s="15"/>
      <c r="IOL115" s="15"/>
      <c r="IOM115" s="15"/>
      <c r="ION115" s="15"/>
      <c r="IOO115" s="15"/>
      <c r="IOP115" s="14"/>
      <c r="IOQ115" s="15"/>
      <c r="IOR115" s="15"/>
      <c r="IOS115" s="15"/>
      <c r="IOT115" s="15"/>
      <c r="IOU115" s="15"/>
      <c r="IOV115" s="15"/>
      <c r="IOW115" s="15"/>
      <c r="IOX115" s="15"/>
      <c r="IOY115" s="15"/>
      <c r="IOZ115" s="15"/>
      <c r="IPA115" s="15"/>
      <c r="IPB115" s="15"/>
      <c r="IPC115" s="15"/>
      <c r="IPD115" s="15"/>
      <c r="IPE115" s="15"/>
      <c r="IPF115" s="15"/>
      <c r="IPG115" s="15"/>
      <c r="IPH115" s="15"/>
      <c r="IPI115" s="15"/>
      <c r="IPJ115" s="15"/>
      <c r="IPK115" s="15"/>
      <c r="IPL115" s="14"/>
      <c r="IPM115" s="15"/>
      <c r="IPN115" s="15"/>
      <c r="IPO115" s="15"/>
      <c r="IPP115" s="15"/>
      <c r="IPQ115" s="15"/>
      <c r="IPR115" s="15"/>
      <c r="IPS115" s="15"/>
      <c r="IPT115" s="15"/>
      <c r="IPU115" s="15"/>
      <c r="IPV115" s="15"/>
      <c r="IPW115" s="15"/>
      <c r="IPX115" s="15"/>
      <c r="IPY115" s="15"/>
      <c r="IPZ115" s="15"/>
      <c r="IQA115" s="15"/>
      <c r="IQB115" s="15"/>
      <c r="IQC115" s="15"/>
      <c r="IQD115" s="15"/>
      <c r="IQE115" s="15"/>
      <c r="IQF115" s="15"/>
      <c r="IQG115" s="15"/>
      <c r="IQH115" s="14"/>
      <c r="IQI115" s="15"/>
      <c r="IQJ115" s="15"/>
      <c r="IQK115" s="15"/>
      <c r="IQL115" s="15"/>
      <c r="IQM115" s="15"/>
      <c r="IQN115" s="15"/>
      <c r="IQO115" s="15"/>
      <c r="IQP115" s="15"/>
      <c r="IQQ115" s="15"/>
      <c r="IQR115" s="15"/>
      <c r="IQS115" s="15"/>
      <c r="IQT115" s="15"/>
      <c r="IQU115" s="15"/>
      <c r="IQV115" s="15"/>
      <c r="IQW115" s="15"/>
      <c r="IQX115" s="15"/>
      <c r="IQY115" s="15"/>
      <c r="IQZ115" s="15"/>
      <c r="IRA115" s="15"/>
      <c r="IRB115" s="15"/>
      <c r="IRC115" s="15"/>
      <c r="IRD115" s="14"/>
      <c r="IRE115" s="15"/>
      <c r="IRF115" s="15"/>
      <c r="IRG115" s="15"/>
      <c r="IRH115" s="15"/>
      <c r="IRI115" s="15"/>
      <c r="IRJ115" s="15"/>
      <c r="IRK115" s="15"/>
      <c r="IRL115" s="15"/>
      <c r="IRM115" s="15"/>
      <c r="IRN115" s="15"/>
      <c r="IRO115" s="15"/>
      <c r="IRP115" s="15"/>
      <c r="IRQ115" s="15"/>
      <c r="IRR115" s="15"/>
      <c r="IRS115" s="15"/>
      <c r="IRT115" s="15"/>
      <c r="IRU115" s="15"/>
      <c r="IRV115" s="15"/>
      <c r="IRW115" s="15"/>
      <c r="IRX115" s="15"/>
      <c r="IRY115" s="15"/>
      <c r="IRZ115" s="14"/>
      <c r="ISA115" s="15"/>
      <c r="ISB115" s="15"/>
      <c r="ISC115" s="15"/>
      <c r="ISD115" s="15"/>
      <c r="ISE115" s="15"/>
      <c r="ISF115" s="15"/>
      <c r="ISG115" s="15"/>
      <c r="ISH115" s="15"/>
      <c r="ISI115" s="15"/>
      <c r="ISJ115" s="15"/>
      <c r="ISK115" s="15"/>
      <c r="ISL115" s="15"/>
      <c r="ISM115" s="15"/>
      <c r="ISN115" s="15"/>
      <c r="ISO115" s="15"/>
      <c r="ISP115" s="15"/>
      <c r="ISQ115" s="15"/>
      <c r="ISR115" s="15"/>
      <c r="ISS115" s="15"/>
      <c r="IST115" s="15"/>
      <c r="ISU115" s="15"/>
      <c r="ISV115" s="14"/>
      <c r="ISW115" s="15"/>
      <c r="ISX115" s="15"/>
      <c r="ISY115" s="15"/>
      <c r="ISZ115" s="15"/>
      <c r="ITA115" s="15"/>
      <c r="ITB115" s="15"/>
      <c r="ITC115" s="15"/>
      <c r="ITD115" s="15"/>
      <c r="ITE115" s="15"/>
      <c r="ITF115" s="15"/>
      <c r="ITG115" s="15"/>
      <c r="ITH115" s="15"/>
      <c r="ITI115" s="15"/>
      <c r="ITJ115" s="15"/>
      <c r="ITK115" s="15"/>
      <c r="ITL115" s="15"/>
      <c r="ITM115" s="15"/>
      <c r="ITN115" s="15"/>
      <c r="ITO115" s="15"/>
      <c r="ITP115" s="15"/>
      <c r="ITQ115" s="15"/>
      <c r="ITR115" s="14"/>
      <c r="ITS115" s="15"/>
      <c r="ITT115" s="15"/>
      <c r="ITU115" s="15"/>
      <c r="ITV115" s="15"/>
      <c r="ITW115" s="15"/>
      <c r="ITX115" s="15"/>
      <c r="ITY115" s="15"/>
      <c r="ITZ115" s="15"/>
      <c r="IUA115" s="15"/>
      <c r="IUB115" s="15"/>
      <c r="IUC115" s="15"/>
      <c r="IUD115" s="15"/>
      <c r="IUE115" s="15"/>
      <c r="IUF115" s="15"/>
      <c r="IUG115" s="15"/>
      <c r="IUH115" s="15"/>
      <c r="IUI115" s="15"/>
      <c r="IUJ115" s="15"/>
      <c r="IUK115" s="15"/>
      <c r="IUL115" s="15"/>
      <c r="IUM115" s="15"/>
      <c r="IUN115" s="14"/>
      <c r="IUO115" s="15"/>
      <c r="IUP115" s="15"/>
      <c r="IUQ115" s="15"/>
      <c r="IUR115" s="15"/>
      <c r="IUS115" s="15"/>
      <c r="IUT115" s="15"/>
      <c r="IUU115" s="15"/>
      <c r="IUV115" s="15"/>
      <c r="IUW115" s="15"/>
      <c r="IUX115" s="15"/>
      <c r="IUY115" s="15"/>
      <c r="IUZ115" s="15"/>
      <c r="IVA115" s="15"/>
      <c r="IVB115" s="15"/>
      <c r="IVC115" s="15"/>
      <c r="IVD115" s="15"/>
      <c r="IVE115" s="15"/>
      <c r="IVF115" s="15"/>
      <c r="IVG115" s="15"/>
      <c r="IVH115" s="15"/>
      <c r="IVI115" s="15"/>
      <c r="IVJ115" s="14"/>
      <c r="IVK115" s="15"/>
      <c r="IVL115" s="15"/>
      <c r="IVM115" s="15"/>
      <c r="IVN115" s="15"/>
      <c r="IVO115" s="15"/>
      <c r="IVP115" s="15"/>
      <c r="IVQ115" s="15"/>
      <c r="IVR115" s="15"/>
      <c r="IVS115" s="15"/>
      <c r="IVT115" s="15"/>
      <c r="IVU115" s="15"/>
      <c r="IVV115" s="15"/>
      <c r="IVW115" s="15"/>
      <c r="IVX115" s="15"/>
      <c r="IVY115" s="15"/>
      <c r="IVZ115" s="15"/>
      <c r="IWA115" s="15"/>
      <c r="IWB115" s="15"/>
      <c r="IWC115" s="15"/>
      <c r="IWD115" s="15"/>
      <c r="IWE115" s="15"/>
      <c r="IWF115" s="14"/>
      <c r="IWG115" s="15"/>
      <c r="IWH115" s="15"/>
      <c r="IWI115" s="15"/>
      <c r="IWJ115" s="15"/>
      <c r="IWK115" s="15"/>
      <c r="IWL115" s="15"/>
      <c r="IWM115" s="15"/>
      <c r="IWN115" s="15"/>
      <c r="IWO115" s="15"/>
      <c r="IWP115" s="15"/>
      <c r="IWQ115" s="15"/>
      <c r="IWR115" s="15"/>
      <c r="IWS115" s="15"/>
      <c r="IWT115" s="15"/>
      <c r="IWU115" s="15"/>
      <c r="IWV115" s="15"/>
      <c r="IWW115" s="15"/>
      <c r="IWX115" s="15"/>
      <c r="IWY115" s="15"/>
      <c r="IWZ115" s="15"/>
      <c r="IXA115" s="15"/>
      <c r="IXB115" s="14"/>
      <c r="IXC115" s="15"/>
      <c r="IXD115" s="15"/>
      <c r="IXE115" s="15"/>
      <c r="IXF115" s="15"/>
      <c r="IXG115" s="15"/>
      <c r="IXH115" s="15"/>
      <c r="IXI115" s="15"/>
      <c r="IXJ115" s="15"/>
      <c r="IXK115" s="15"/>
      <c r="IXL115" s="15"/>
      <c r="IXM115" s="15"/>
      <c r="IXN115" s="15"/>
      <c r="IXO115" s="15"/>
      <c r="IXP115" s="15"/>
      <c r="IXQ115" s="15"/>
      <c r="IXR115" s="15"/>
      <c r="IXS115" s="15"/>
      <c r="IXT115" s="15"/>
      <c r="IXU115" s="15"/>
      <c r="IXV115" s="15"/>
      <c r="IXW115" s="15"/>
      <c r="IXX115" s="14"/>
      <c r="IXY115" s="15"/>
      <c r="IXZ115" s="15"/>
      <c r="IYA115" s="15"/>
      <c r="IYB115" s="15"/>
      <c r="IYC115" s="15"/>
      <c r="IYD115" s="15"/>
      <c r="IYE115" s="15"/>
      <c r="IYF115" s="15"/>
      <c r="IYG115" s="15"/>
      <c r="IYH115" s="15"/>
      <c r="IYI115" s="15"/>
      <c r="IYJ115" s="15"/>
      <c r="IYK115" s="15"/>
      <c r="IYL115" s="15"/>
      <c r="IYM115" s="15"/>
      <c r="IYN115" s="15"/>
      <c r="IYO115" s="15"/>
      <c r="IYP115" s="15"/>
      <c r="IYQ115" s="15"/>
      <c r="IYR115" s="15"/>
      <c r="IYS115" s="15"/>
      <c r="IYT115" s="14"/>
      <c r="IYU115" s="15"/>
      <c r="IYV115" s="15"/>
      <c r="IYW115" s="15"/>
      <c r="IYX115" s="15"/>
      <c r="IYY115" s="15"/>
      <c r="IYZ115" s="15"/>
      <c r="IZA115" s="15"/>
      <c r="IZB115" s="15"/>
      <c r="IZC115" s="15"/>
      <c r="IZD115" s="15"/>
      <c r="IZE115" s="15"/>
      <c r="IZF115" s="15"/>
      <c r="IZG115" s="15"/>
      <c r="IZH115" s="15"/>
      <c r="IZI115" s="15"/>
      <c r="IZJ115" s="15"/>
      <c r="IZK115" s="15"/>
      <c r="IZL115" s="15"/>
      <c r="IZM115" s="15"/>
      <c r="IZN115" s="15"/>
      <c r="IZO115" s="15"/>
      <c r="IZP115" s="14"/>
      <c r="IZQ115" s="15"/>
      <c r="IZR115" s="15"/>
      <c r="IZS115" s="15"/>
      <c r="IZT115" s="15"/>
      <c r="IZU115" s="15"/>
      <c r="IZV115" s="15"/>
      <c r="IZW115" s="15"/>
      <c r="IZX115" s="15"/>
      <c r="IZY115" s="15"/>
      <c r="IZZ115" s="15"/>
      <c r="JAA115" s="15"/>
      <c r="JAB115" s="15"/>
      <c r="JAC115" s="15"/>
      <c r="JAD115" s="15"/>
      <c r="JAE115" s="15"/>
      <c r="JAF115" s="15"/>
      <c r="JAG115" s="15"/>
      <c r="JAH115" s="15"/>
      <c r="JAI115" s="15"/>
      <c r="JAJ115" s="15"/>
      <c r="JAK115" s="15"/>
      <c r="JAL115" s="14"/>
      <c r="JAM115" s="15"/>
      <c r="JAN115" s="15"/>
      <c r="JAO115" s="15"/>
      <c r="JAP115" s="15"/>
      <c r="JAQ115" s="15"/>
      <c r="JAR115" s="15"/>
      <c r="JAS115" s="15"/>
      <c r="JAT115" s="15"/>
      <c r="JAU115" s="15"/>
      <c r="JAV115" s="15"/>
      <c r="JAW115" s="15"/>
      <c r="JAX115" s="15"/>
      <c r="JAY115" s="15"/>
      <c r="JAZ115" s="15"/>
      <c r="JBA115" s="15"/>
      <c r="JBB115" s="15"/>
      <c r="JBC115" s="15"/>
      <c r="JBD115" s="15"/>
      <c r="JBE115" s="15"/>
      <c r="JBF115" s="15"/>
      <c r="JBG115" s="15"/>
      <c r="JBH115" s="14"/>
      <c r="JBI115" s="15"/>
      <c r="JBJ115" s="15"/>
      <c r="JBK115" s="15"/>
      <c r="JBL115" s="15"/>
      <c r="JBM115" s="15"/>
      <c r="JBN115" s="15"/>
      <c r="JBO115" s="15"/>
      <c r="JBP115" s="15"/>
      <c r="JBQ115" s="15"/>
      <c r="JBR115" s="15"/>
      <c r="JBS115" s="15"/>
      <c r="JBT115" s="15"/>
      <c r="JBU115" s="15"/>
      <c r="JBV115" s="15"/>
      <c r="JBW115" s="15"/>
      <c r="JBX115" s="15"/>
      <c r="JBY115" s="15"/>
      <c r="JBZ115" s="15"/>
      <c r="JCA115" s="15"/>
      <c r="JCB115" s="15"/>
      <c r="JCC115" s="15"/>
      <c r="JCD115" s="14"/>
      <c r="JCE115" s="15"/>
      <c r="JCF115" s="15"/>
      <c r="JCG115" s="15"/>
      <c r="JCH115" s="15"/>
      <c r="JCI115" s="15"/>
      <c r="JCJ115" s="15"/>
      <c r="JCK115" s="15"/>
      <c r="JCL115" s="15"/>
      <c r="JCM115" s="15"/>
      <c r="JCN115" s="15"/>
      <c r="JCO115" s="15"/>
      <c r="JCP115" s="15"/>
      <c r="JCQ115" s="15"/>
      <c r="JCR115" s="15"/>
      <c r="JCS115" s="15"/>
      <c r="JCT115" s="15"/>
      <c r="JCU115" s="15"/>
      <c r="JCV115" s="15"/>
      <c r="JCW115" s="15"/>
      <c r="JCX115" s="15"/>
      <c r="JCY115" s="15"/>
      <c r="JCZ115" s="14"/>
      <c r="JDA115" s="15"/>
      <c r="JDB115" s="15"/>
      <c r="JDC115" s="15"/>
      <c r="JDD115" s="15"/>
      <c r="JDE115" s="15"/>
      <c r="JDF115" s="15"/>
      <c r="JDG115" s="15"/>
      <c r="JDH115" s="15"/>
      <c r="JDI115" s="15"/>
      <c r="JDJ115" s="15"/>
      <c r="JDK115" s="15"/>
      <c r="JDL115" s="15"/>
      <c r="JDM115" s="15"/>
      <c r="JDN115" s="15"/>
      <c r="JDO115" s="15"/>
      <c r="JDP115" s="15"/>
      <c r="JDQ115" s="15"/>
      <c r="JDR115" s="15"/>
      <c r="JDS115" s="15"/>
      <c r="JDT115" s="15"/>
      <c r="JDU115" s="15"/>
      <c r="JDV115" s="14"/>
      <c r="JDW115" s="15"/>
      <c r="JDX115" s="15"/>
      <c r="JDY115" s="15"/>
      <c r="JDZ115" s="15"/>
      <c r="JEA115" s="15"/>
      <c r="JEB115" s="15"/>
      <c r="JEC115" s="15"/>
      <c r="JED115" s="15"/>
      <c r="JEE115" s="15"/>
      <c r="JEF115" s="15"/>
      <c r="JEG115" s="15"/>
      <c r="JEH115" s="15"/>
      <c r="JEI115" s="15"/>
      <c r="JEJ115" s="15"/>
      <c r="JEK115" s="15"/>
      <c r="JEL115" s="15"/>
      <c r="JEM115" s="15"/>
      <c r="JEN115" s="15"/>
      <c r="JEO115" s="15"/>
      <c r="JEP115" s="15"/>
      <c r="JEQ115" s="15"/>
      <c r="JER115" s="14"/>
      <c r="JES115" s="15"/>
      <c r="JET115" s="15"/>
      <c r="JEU115" s="15"/>
      <c r="JEV115" s="15"/>
      <c r="JEW115" s="15"/>
      <c r="JEX115" s="15"/>
      <c r="JEY115" s="15"/>
      <c r="JEZ115" s="15"/>
      <c r="JFA115" s="15"/>
      <c r="JFB115" s="15"/>
      <c r="JFC115" s="15"/>
      <c r="JFD115" s="15"/>
      <c r="JFE115" s="15"/>
      <c r="JFF115" s="15"/>
      <c r="JFG115" s="15"/>
      <c r="JFH115" s="15"/>
      <c r="JFI115" s="15"/>
      <c r="JFJ115" s="15"/>
      <c r="JFK115" s="15"/>
      <c r="JFL115" s="15"/>
      <c r="JFM115" s="15"/>
      <c r="JFN115" s="14"/>
      <c r="JFO115" s="15"/>
      <c r="JFP115" s="15"/>
      <c r="JFQ115" s="15"/>
      <c r="JFR115" s="15"/>
      <c r="JFS115" s="15"/>
      <c r="JFT115" s="15"/>
      <c r="JFU115" s="15"/>
      <c r="JFV115" s="15"/>
      <c r="JFW115" s="15"/>
      <c r="JFX115" s="15"/>
      <c r="JFY115" s="15"/>
      <c r="JFZ115" s="15"/>
      <c r="JGA115" s="15"/>
      <c r="JGB115" s="15"/>
      <c r="JGC115" s="15"/>
      <c r="JGD115" s="15"/>
      <c r="JGE115" s="15"/>
      <c r="JGF115" s="15"/>
      <c r="JGG115" s="15"/>
      <c r="JGH115" s="15"/>
      <c r="JGI115" s="15"/>
      <c r="JGJ115" s="14"/>
      <c r="JGK115" s="15"/>
      <c r="JGL115" s="15"/>
      <c r="JGM115" s="15"/>
      <c r="JGN115" s="15"/>
      <c r="JGO115" s="15"/>
      <c r="JGP115" s="15"/>
      <c r="JGQ115" s="15"/>
      <c r="JGR115" s="15"/>
      <c r="JGS115" s="15"/>
      <c r="JGT115" s="15"/>
      <c r="JGU115" s="15"/>
      <c r="JGV115" s="15"/>
      <c r="JGW115" s="15"/>
      <c r="JGX115" s="15"/>
      <c r="JGY115" s="15"/>
      <c r="JGZ115" s="15"/>
      <c r="JHA115" s="15"/>
      <c r="JHB115" s="15"/>
      <c r="JHC115" s="15"/>
      <c r="JHD115" s="15"/>
      <c r="JHE115" s="15"/>
      <c r="JHF115" s="14"/>
      <c r="JHG115" s="15"/>
      <c r="JHH115" s="15"/>
      <c r="JHI115" s="15"/>
      <c r="JHJ115" s="15"/>
      <c r="JHK115" s="15"/>
      <c r="JHL115" s="15"/>
      <c r="JHM115" s="15"/>
      <c r="JHN115" s="15"/>
      <c r="JHO115" s="15"/>
      <c r="JHP115" s="15"/>
      <c r="JHQ115" s="15"/>
      <c r="JHR115" s="15"/>
      <c r="JHS115" s="15"/>
      <c r="JHT115" s="15"/>
      <c r="JHU115" s="15"/>
      <c r="JHV115" s="15"/>
      <c r="JHW115" s="15"/>
      <c r="JHX115" s="15"/>
      <c r="JHY115" s="15"/>
      <c r="JHZ115" s="15"/>
      <c r="JIA115" s="15"/>
      <c r="JIB115" s="14"/>
      <c r="JIC115" s="15"/>
      <c r="JID115" s="15"/>
      <c r="JIE115" s="15"/>
      <c r="JIF115" s="15"/>
      <c r="JIG115" s="15"/>
      <c r="JIH115" s="15"/>
      <c r="JII115" s="15"/>
      <c r="JIJ115" s="15"/>
      <c r="JIK115" s="15"/>
      <c r="JIL115" s="15"/>
      <c r="JIM115" s="15"/>
      <c r="JIN115" s="15"/>
      <c r="JIO115" s="15"/>
      <c r="JIP115" s="15"/>
      <c r="JIQ115" s="15"/>
      <c r="JIR115" s="15"/>
      <c r="JIS115" s="15"/>
      <c r="JIT115" s="15"/>
      <c r="JIU115" s="15"/>
      <c r="JIV115" s="15"/>
      <c r="JIW115" s="15"/>
      <c r="JIX115" s="14"/>
      <c r="JIY115" s="15"/>
      <c r="JIZ115" s="15"/>
      <c r="JJA115" s="15"/>
      <c r="JJB115" s="15"/>
      <c r="JJC115" s="15"/>
      <c r="JJD115" s="15"/>
      <c r="JJE115" s="15"/>
      <c r="JJF115" s="15"/>
      <c r="JJG115" s="15"/>
      <c r="JJH115" s="15"/>
      <c r="JJI115" s="15"/>
      <c r="JJJ115" s="15"/>
      <c r="JJK115" s="15"/>
      <c r="JJL115" s="15"/>
      <c r="JJM115" s="15"/>
      <c r="JJN115" s="15"/>
      <c r="JJO115" s="15"/>
      <c r="JJP115" s="15"/>
      <c r="JJQ115" s="15"/>
      <c r="JJR115" s="15"/>
      <c r="JJS115" s="15"/>
      <c r="JJT115" s="14"/>
      <c r="JJU115" s="15"/>
      <c r="JJV115" s="15"/>
      <c r="JJW115" s="15"/>
      <c r="JJX115" s="15"/>
      <c r="JJY115" s="15"/>
      <c r="JJZ115" s="15"/>
      <c r="JKA115" s="15"/>
      <c r="JKB115" s="15"/>
      <c r="JKC115" s="15"/>
      <c r="JKD115" s="15"/>
      <c r="JKE115" s="15"/>
      <c r="JKF115" s="15"/>
      <c r="JKG115" s="15"/>
      <c r="JKH115" s="15"/>
      <c r="JKI115" s="15"/>
      <c r="JKJ115" s="15"/>
      <c r="JKK115" s="15"/>
      <c r="JKL115" s="15"/>
      <c r="JKM115" s="15"/>
      <c r="JKN115" s="15"/>
      <c r="JKO115" s="15"/>
      <c r="JKP115" s="14"/>
      <c r="JKQ115" s="15"/>
      <c r="JKR115" s="15"/>
      <c r="JKS115" s="15"/>
      <c r="JKT115" s="15"/>
      <c r="JKU115" s="15"/>
      <c r="JKV115" s="15"/>
      <c r="JKW115" s="15"/>
      <c r="JKX115" s="15"/>
      <c r="JKY115" s="15"/>
      <c r="JKZ115" s="15"/>
      <c r="JLA115" s="15"/>
      <c r="JLB115" s="15"/>
      <c r="JLC115" s="15"/>
      <c r="JLD115" s="15"/>
      <c r="JLE115" s="15"/>
      <c r="JLF115" s="15"/>
      <c r="JLG115" s="15"/>
      <c r="JLH115" s="15"/>
      <c r="JLI115" s="15"/>
      <c r="JLJ115" s="15"/>
      <c r="JLK115" s="15"/>
      <c r="JLL115" s="14"/>
      <c r="JLM115" s="15"/>
      <c r="JLN115" s="15"/>
      <c r="JLO115" s="15"/>
      <c r="JLP115" s="15"/>
      <c r="JLQ115" s="15"/>
      <c r="JLR115" s="15"/>
      <c r="JLS115" s="15"/>
      <c r="JLT115" s="15"/>
      <c r="JLU115" s="15"/>
      <c r="JLV115" s="15"/>
      <c r="JLW115" s="15"/>
      <c r="JLX115" s="15"/>
      <c r="JLY115" s="15"/>
      <c r="JLZ115" s="15"/>
      <c r="JMA115" s="15"/>
      <c r="JMB115" s="15"/>
      <c r="JMC115" s="15"/>
      <c r="JMD115" s="15"/>
      <c r="JME115" s="15"/>
      <c r="JMF115" s="15"/>
      <c r="JMG115" s="15"/>
      <c r="JMH115" s="14"/>
      <c r="JMI115" s="15"/>
      <c r="JMJ115" s="15"/>
      <c r="JMK115" s="15"/>
      <c r="JML115" s="15"/>
      <c r="JMM115" s="15"/>
      <c r="JMN115" s="15"/>
      <c r="JMO115" s="15"/>
      <c r="JMP115" s="15"/>
      <c r="JMQ115" s="15"/>
      <c r="JMR115" s="15"/>
      <c r="JMS115" s="15"/>
      <c r="JMT115" s="15"/>
      <c r="JMU115" s="15"/>
      <c r="JMV115" s="15"/>
      <c r="JMW115" s="15"/>
      <c r="JMX115" s="15"/>
      <c r="JMY115" s="15"/>
      <c r="JMZ115" s="15"/>
      <c r="JNA115" s="15"/>
      <c r="JNB115" s="15"/>
      <c r="JNC115" s="15"/>
      <c r="JND115" s="14"/>
      <c r="JNE115" s="15"/>
      <c r="JNF115" s="15"/>
      <c r="JNG115" s="15"/>
      <c r="JNH115" s="15"/>
      <c r="JNI115" s="15"/>
      <c r="JNJ115" s="15"/>
      <c r="JNK115" s="15"/>
      <c r="JNL115" s="15"/>
      <c r="JNM115" s="15"/>
      <c r="JNN115" s="15"/>
      <c r="JNO115" s="15"/>
      <c r="JNP115" s="15"/>
      <c r="JNQ115" s="15"/>
      <c r="JNR115" s="15"/>
      <c r="JNS115" s="15"/>
      <c r="JNT115" s="15"/>
      <c r="JNU115" s="15"/>
      <c r="JNV115" s="15"/>
      <c r="JNW115" s="15"/>
      <c r="JNX115" s="15"/>
      <c r="JNY115" s="15"/>
      <c r="JNZ115" s="14"/>
      <c r="JOA115" s="15"/>
      <c r="JOB115" s="15"/>
      <c r="JOC115" s="15"/>
      <c r="JOD115" s="15"/>
      <c r="JOE115" s="15"/>
      <c r="JOF115" s="15"/>
      <c r="JOG115" s="15"/>
      <c r="JOH115" s="15"/>
      <c r="JOI115" s="15"/>
      <c r="JOJ115" s="15"/>
      <c r="JOK115" s="15"/>
      <c r="JOL115" s="15"/>
      <c r="JOM115" s="15"/>
      <c r="JON115" s="15"/>
      <c r="JOO115" s="15"/>
      <c r="JOP115" s="15"/>
      <c r="JOQ115" s="15"/>
      <c r="JOR115" s="15"/>
      <c r="JOS115" s="15"/>
      <c r="JOT115" s="15"/>
      <c r="JOU115" s="15"/>
      <c r="JOV115" s="14"/>
      <c r="JOW115" s="15"/>
      <c r="JOX115" s="15"/>
      <c r="JOY115" s="15"/>
      <c r="JOZ115" s="15"/>
      <c r="JPA115" s="15"/>
      <c r="JPB115" s="15"/>
      <c r="JPC115" s="15"/>
      <c r="JPD115" s="15"/>
      <c r="JPE115" s="15"/>
      <c r="JPF115" s="15"/>
      <c r="JPG115" s="15"/>
      <c r="JPH115" s="15"/>
      <c r="JPI115" s="15"/>
      <c r="JPJ115" s="15"/>
      <c r="JPK115" s="15"/>
      <c r="JPL115" s="15"/>
      <c r="JPM115" s="15"/>
      <c r="JPN115" s="15"/>
      <c r="JPO115" s="15"/>
      <c r="JPP115" s="15"/>
      <c r="JPQ115" s="15"/>
      <c r="JPR115" s="14"/>
      <c r="JPS115" s="15"/>
      <c r="JPT115" s="15"/>
      <c r="JPU115" s="15"/>
      <c r="JPV115" s="15"/>
      <c r="JPW115" s="15"/>
      <c r="JPX115" s="15"/>
      <c r="JPY115" s="15"/>
      <c r="JPZ115" s="15"/>
      <c r="JQA115" s="15"/>
      <c r="JQB115" s="15"/>
      <c r="JQC115" s="15"/>
      <c r="JQD115" s="15"/>
      <c r="JQE115" s="15"/>
      <c r="JQF115" s="15"/>
      <c r="JQG115" s="15"/>
      <c r="JQH115" s="15"/>
      <c r="JQI115" s="15"/>
      <c r="JQJ115" s="15"/>
      <c r="JQK115" s="15"/>
      <c r="JQL115" s="15"/>
      <c r="JQM115" s="15"/>
      <c r="JQN115" s="14"/>
      <c r="JQO115" s="15"/>
      <c r="JQP115" s="15"/>
      <c r="JQQ115" s="15"/>
      <c r="JQR115" s="15"/>
      <c r="JQS115" s="15"/>
      <c r="JQT115" s="15"/>
      <c r="JQU115" s="15"/>
      <c r="JQV115" s="15"/>
      <c r="JQW115" s="15"/>
      <c r="JQX115" s="15"/>
      <c r="JQY115" s="15"/>
      <c r="JQZ115" s="15"/>
      <c r="JRA115" s="15"/>
      <c r="JRB115" s="15"/>
      <c r="JRC115" s="15"/>
      <c r="JRD115" s="15"/>
      <c r="JRE115" s="15"/>
      <c r="JRF115" s="15"/>
      <c r="JRG115" s="15"/>
      <c r="JRH115" s="15"/>
      <c r="JRI115" s="15"/>
      <c r="JRJ115" s="14"/>
      <c r="JRK115" s="15"/>
      <c r="JRL115" s="15"/>
      <c r="JRM115" s="15"/>
      <c r="JRN115" s="15"/>
      <c r="JRO115" s="15"/>
      <c r="JRP115" s="15"/>
      <c r="JRQ115" s="15"/>
      <c r="JRR115" s="15"/>
      <c r="JRS115" s="15"/>
      <c r="JRT115" s="15"/>
      <c r="JRU115" s="15"/>
      <c r="JRV115" s="15"/>
      <c r="JRW115" s="15"/>
      <c r="JRX115" s="15"/>
      <c r="JRY115" s="15"/>
      <c r="JRZ115" s="15"/>
      <c r="JSA115" s="15"/>
      <c r="JSB115" s="15"/>
      <c r="JSC115" s="15"/>
      <c r="JSD115" s="15"/>
      <c r="JSE115" s="15"/>
      <c r="JSF115" s="14"/>
      <c r="JSG115" s="15"/>
      <c r="JSH115" s="15"/>
      <c r="JSI115" s="15"/>
      <c r="JSJ115" s="15"/>
      <c r="JSK115" s="15"/>
      <c r="JSL115" s="15"/>
      <c r="JSM115" s="15"/>
      <c r="JSN115" s="15"/>
      <c r="JSO115" s="15"/>
      <c r="JSP115" s="15"/>
      <c r="JSQ115" s="15"/>
      <c r="JSR115" s="15"/>
      <c r="JSS115" s="15"/>
      <c r="JST115" s="15"/>
      <c r="JSU115" s="15"/>
      <c r="JSV115" s="15"/>
      <c r="JSW115" s="15"/>
      <c r="JSX115" s="15"/>
      <c r="JSY115" s="15"/>
      <c r="JSZ115" s="15"/>
      <c r="JTA115" s="15"/>
      <c r="JTB115" s="14"/>
      <c r="JTC115" s="15"/>
      <c r="JTD115" s="15"/>
      <c r="JTE115" s="15"/>
      <c r="JTF115" s="15"/>
      <c r="JTG115" s="15"/>
      <c r="JTH115" s="15"/>
      <c r="JTI115" s="15"/>
      <c r="JTJ115" s="15"/>
      <c r="JTK115" s="15"/>
      <c r="JTL115" s="15"/>
      <c r="JTM115" s="15"/>
      <c r="JTN115" s="15"/>
      <c r="JTO115" s="15"/>
      <c r="JTP115" s="15"/>
      <c r="JTQ115" s="15"/>
      <c r="JTR115" s="15"/>
      <c r="JTS115" s="15"/>
      <c r="JTT115" s="15"/>
      <c r="JTU115" s="15"/>
      <c r="JTV115" s="15"/>
      <c r="JTW115" s="15"/>
      <c r="JTX115" s="14"/>
      <c r="JTY115" s="15"/>
      <c r="JTZ115" s="15"/>
      <c r="JUA115" s="15"/>
      <c r="JUB115" s="15"/>
      <c r="JUC115" s="15"/>
      <c r="JUD115" s="15"/>
      <c r="JUE115" s="15"/>
      <c r="JUF115" s="15"/>
      <c r="JUG115" s="15"/>
      <c r="JUH115" s="15"/>
      <c r="JUI115" s="15"/>
      <c r="JUJ115" s="15"/>
      <c r="JUK115" s="15"/>
      <c r="JUL115" s="15"/>
      <c r="JUM115" s="15"/>
      <c r="JUN115" s="15"/>
      <c r="JUO115" s="15"/>
      <c r="JUP115" s="15"/>
      <c r="JUQ115" s="15"/>
      <c r="JUR115" s="15"/>
      <c r="JUS115" s="15"/>
      <c r="JUT115" s="14"/>
      <c r="JUU115" s="15"/>
      <c r="JUV115" s="15"/>
      <c r="JUW115" s="15"/>
      <c r="JUX115" s="15"/>
      <c r="JUY115" s="15"/>
      <c r="JUZ115" s="15"/>
      <c r="JVA115" s="15"/>
      <c r="JVB115" s="15"/>
      <c r="JVC115" s="15"/>
      <c r="JVD115" s="15"/>
      <c r="JVE115" s="15"/>
      <c r="JVF115" s="15"/>
      <c r="JVG115" s="15"/>
      <c r="JVH115" s="15"/>
      <c r="JVI115" s="15"/>
      <c r="JVJ115" s="15"/>
      <c r="JVK115" s="15"/>
      <c r="JVL115" s="15"/>
      <c r="JVM115" s="15"/>
      <c r="JVN115" s="15"/>
      <c r="JVO115" s="15"/>
      <c r="JVP115" s="14"/>
      <c r="JVQ115" s="15"/>
      <c r="JVR115" s="15"/>
      <c r="JVS115" s="15"/>
      <c r="JVT115" s="15"/>
      <c r="JVU115" s="15"/>
      <c r="JVV115" s="15"/>
      <c r="JVW115" s="15"/>
      <c r="JVX115" s="15"/>
      <c r="JVY115" s="15"/>
      <c r="JVZ115" s="15"/>
      <c r="JWA115" s="15"/>
      <c r="JWB115" s="15"/>
      <c r="JWC115" s="15"/>
      <c r="JWD115" s="15"/>
      <c r="JWE115" s="15"/>
      <c r="JWF115" s="15"/>
      <c r="JWG115" s="15"/>
      <c r="JWH115" s="15"/>
      <c r="JWI115" s="15"/>
      <c r="JWJ115" s="15"/>
      <c r="JWK115" s="15"/>
      <c r="JWL115" s="14"/>
      <c r="JWM115" s="15"/>
      <c r="JWN115" s="15"/>
      <c r="JWO115" s="15"/>
      <c r="JWP115" s="15"/>
      <c r="JWQ115" s="15"/>
      <c r="JWR115" s="15"/>
      <c r="JWS115" s="15"/>
      <c r="JWT115" s="15"/>
      <c r="JWU115" s="15"/>
      <c r="JWV115" s="15"/>
      <c r="JWW115" s="15"/>
      <c r="JWX115" s="15"/>
      <c r="JWY115" s="15"/>
      <c r="JWZ115" s="15"/>
      <c r="JXA115" s="15"/>
      <c r="JXB115" s="15"/>
      <c r="JXC115" s="15"/>
      <c r="JXD115" s="15"/>
      <c r="JXE115" s="15"/>
      <c r="JXF115" s="15"/>
      <c r="JXG115" s="15"/>
      <c r="JXH115" s="14"/>
      <c r="JXI115" s="15"/>
      <c r="JXJ115" s="15"/>
      <c r="JXK115" s="15"/>
      <c r="JXL115" s="15"/>
      <c r="JXM115" s="15"/>
      <c r="JXN115" s="15"/>
      <c r="JXO115" s="15"/>
      <c r="JXP115" s="15"/>
      <c r="JXQ115" s="15"/>
      <c r="JXR115" s="15"/>
      <c r="JXS115" s="15"/>
      <c r="JXT115" s="15"/>
      <c r="JXU115" s="15"/>
      <c r="JXV115" s="15"/>
      <c r="JXW115" s="15"/>
      <c r="JXX115" s="15"/>
      <c r="JXY115" s="15"/>
      <c r="JXZ115" s="15"/>
      <c r="JYA115" s="15"/>
      <c r="JYB115" s="15"/>
      <c r="JYC115" s="15"/>
      <c r="JYD115" s="14"/>
      <c r="JYE115" s="15"/>
      <c r="JYF115" s="15"/>
      <c r="JYG115" s="15"/>
      <c r="JYH115" s="15"/>
      <c r="JYI115" s="15"/>
      <c r="JYJ115" s="15"/>
      <c r="JYK115" s="15"/>
      <c r="JYL115" s="15"/>
      <c r="JYM115" s="15"/>
      <c r="JYN115" s="15"/>
      <c r="JYO115" s="15"/>
      <c r="JYP115" s="15"/>
      <c r="JYQ115" s="15"/>
      <c r="JYR115" s="15"/>
      <c r="JYS115" s="15"/>
      <c r="JYT115" s="15"/>
      <c r="JYU115" s="15"/>
      <c r="JYV115" s="15"/>
      <c r="JYW115" s="15"/>
      <c r="JYX115" s="15"/>
      <c r="JYY115" s="15"/>
      <c r="JYZ115" s="14"/>
      <c r="JZA115" s="15"/>
      <c r="JZB115" s="15"/>
      <c r="JZC115" s="15"/>
      <c r="JZD115" s="15"/>
      <c r="JZE115" s="15"/>
      <c r="JZF115" s="15"/>
      <c r="JZG115" s="15"/>
      <c r="JZH115" s="15"/>
      <c r="JZI115" s="15"/>
      <c r="JZJ115" s="15"/>
      <c r="JZK115" s="15"/>
      <c r="JZL115" s="15"/>
      <c r="JZM115" s="15"/>
      <c r="JZN115" s="15"/>
      <c r="JZO115" s="15"/>
      <c r="JZP115" s="15"/>
      <c r="JZQ115" s="15"/>
      <c r="JZR115" s="15"/>
      <c r="JZS115" s="15"/>
      <c r="JZT115" s="15"/>
      <c r="JZU115" s="15"/>
      <c r="JZV115" s="14"/>
      <c r="JZW115" s="15"/>
      <c r="JZX115" s="15"/>
      <c r="JZY115" s="15"/>
      <c r="JZZ115" s="15"/>
      <c r="KAA115" s="15"/>
      <c r="KAB115" s="15"/>
      <c r="KAC115" s="15"/>
      <c r="KAD115" s="15"/>
      <c r="KAE115" s="15"/>
      <c r="KAF115" s="15"/>
      <c r="KAG115" s="15"/>
      <c r="KAH115" s="15"/>
      <c r="KAI115" s="15"/>
      <c r="KAJ115" s="15"/>
      <c r="KAK115" s="15"/>
      <c r="KAL115" s="15"/>
      <c r="KAM115" s="15"/>
      <c r="KAN115" s="15"/>
      <c r="KAO115" s="15"/>
      <c r="KAP115" s="15"/>
      <c r="KAQ115" s="15"/>
      <c r="KAR115" s="14"/>
      <c r="KAS115" s="15"/>
      <c r="KAT115" s="15"/>
      <c r="KAU115" s="15"/>
      <c r="KAV115" s="15"/>
      <c r="KAW115" s="15"/>
      <c r="KAX115" s="15"/>
      <c r="KAY115" s="15"/>
      <c r="KAZ115" s="15"/>
      <c r="KBA115" s="15"/>
      <c r="KBB115" s="15"/>
      <c r="KBC115" s="15"/>
      <c r="KBD115" s="15"/>
      <c r="KBE115" s="15"/>
      <c r="KBF115" s="15"/>
      <c r="KBG115" s="15"/>
      <c r="KBH115" s="15"/>
      <c r="KBI115" s="15"/>
      <c r="KBJ115" s="15"/>
      <c r="KBK115" s="15"/>
      <c r="KBL115" s="15"/>
      <c r="KBM115" s="15"/>
      <c r="KBN115" s="14"/>
      <c r="KBO115" s="15"/>
      <c r="KBP115" s="15"/>
      <c r="KBQ115" s="15"/>
      <c r="KBR115" s="15"/>
      <c r="KBS115" s="15"/>
      <c r="KBT115" s="15"/>
      <c r="KBU115" s="15"/>
      <c r="KBV115" s="15"/>
      <c r="KBW115" s="15"/>
      <c r="KBX115" s="15"/>
      <c r="KBY115" s="15"/>
      <c r="KBZ115" s="15"/>
      <c r="KCA115" s="15"/>
      <c r="KCB115" s="15"/>
      <c r="KCC115" s="15"/>
      <c r="KCD115" s="15"/>
      <c r="KCE115" s="15"/>
      <c r="KCF115" s="15"/>
      <c r="KCG115" s="15"/>
      <c r="KCH115" s="15"/>
      <c r="KCI115" s="15"/>
      <c r="KCJ115" s="14"/>
      <c r="KCK115" s="15"/>
      <c r="KCL115" s="15"/>
      <c r="KCM115" s="15"/>
      <c r="KCN115" s="15"/>
      <c r="KCO115" s="15"/>
      <c r="KCP115" s="15"/>
      <c r="KCQ115" s="15"/>
      <c r="KCR115" s="15"/>
      <c r="KCS115" s="15"/>
      <c r="KCT115" s="15"/>
      <c r="KCU115" s="15"/>
      <c r="KCV115" s="15"/>
      <c r="KCW115" s="15"/>
      <c r="KCX115" s="15"/>
      <c r="KCY115" s="15"/>
      <c r="KCZ115" s="15"/>
      <c r="KDA115" s="15"/>
      <c r="KDB115" s="15"/>
      <c r="KDC115" s="15"/>
      <c r="KDD115" s="15"/>
      <c r="KDE115" s="15"/>
      <c r="KDF115" s="14"/>
      <c r="KDG115" s="15"/>
      <c r="KDH115" s="15"/>
      <c r="KDI115" s="15"/>
      <c r="KDJ115" s="15"/>
      <c r="KDK115" s="15"/>
      <c r="KDL115" s="15"/>
      <c r="KDM115" s="15"/>
      <c r="KDN115" s="15"/>
      <c r="KDO115" s="15"/>
      <c r="KDP115" s="15"/>
      <c r="KDQ115" s="15"/>
      <c r="KDR115" s="15"/>
      <c r="KDS115" s="15"/>
      <c r="KDT115" s="15"/>
      <c r="KDU115" s="15"/>
      <c r="KDV115" s="15"/>
      <c r="KDW115" s="15"/>
      <c r="KDX115" s="15"/>
      <c r="KDY115" s="15"/>
      <c r="KDZ115" s="15"/>
      <c r="KEA115" s="15"/>
      <c r="KEB115" s="14"/>
      <c r="KEC115" s="15"/>
      <c r="KED115" s="15"/>
      <c r="KEE115" s="15"/>
      <c r="KEF115" s="15"/>
      <c r="KEG115" s="15"/>
      <c r="KEH115" s="15"/>
      <c r="KEI115" s="15"/>
      <c r="KEJ115" s="15"/>
      <c r="KEK115" s="15"/>
      <c r="KEL115" s="15"/>
      <c r="KEM115" s="15"/>
      <c r="KEN115" s="15"/>
      <c r="KEO115" s="15"/>
      <c r="KEP115" s="15"/>
      <c r="KEQ115" s="15"/>
      <c r="KER115" s="15"/>
      <c r="KES115" s="15"/>
      <c r="KET115" s="15"/>
      <c r="KEU115" s="15"/>
      <c r="KEV115" s="15"/>
      <c r="KEW115" s="15"/>
      <c r="KEX115" s="14"/>
      <c r="KEY115" s="15"/>
      <c r="KEZ115" s="15"/>
      <c r="KFA115" s="15"/>
      <c r="KFB115" s="15"/>
      <c r="KFC115" s="15"/>
      <c r="KFD115" s="15"/>
      <c r="KFE115" s="15"/>
      <c r="KFF115" s="15"/>
      <c r="KFG115" s="15"/>
      <c r="KFH115" s="15"/>
      <c r="KFI115" s="15"/>
      <c r="KFJ115" s="15"/>
      <c r="KFK115" s="15"/>
      <c r="KFL115" s="15"/>
      <c r="KFM115" s="15"/>
      <c r="KFN115" s="15"/>
      <c r="KFO115" s="15"/>
      <c r="KFP115" s="15"/>
      <c r="KFQ115" s="15"/>
      <c r="KFR115" s="15"/>
      <c r="KFS115" s="15"/>
      <c r="KFT115" s="14"/>
      <c r="KFU115" s="15"/>
      <c r="KFV115" s="15"/>
      <c r="KFW115" s="15"/>
      <c r="KFX115" s="15"/>
      <c r="KFY115" s="15"/>
      <c r="KFZ115" s="15"/>
      <c r="KGA115" s="15"/>
      <c r="KGB115" s="15"/>
      <c r="KGC115" s="15"/>
      <c r="KGD115" s="15"/>
      <c r="KGE115" s="15"/>
      <c r="KGF115" s="15"/>
      <c r="KGG115" s="15"/>
      <c r="KGH115" s="15"/>
      <c r="KGI115" s="15"/>
      <c r="KGJ115" s="15"/>
      <c r="KGK115" s="15"/>
      <c r="KGL115" s="15"/>
      <c r="KGM115" s="15"/>
      <c r="KGN115" s="15"/>
      <c r="KGO115" s="15"/>
      <c r="KGP115" s="14"/>
      <c r="KGQ115" s="15"/>
      <c r="KGR115" s="15"/>
      <c r="KGS115" s="15"/>
      <c r="KGT115" s="15"/>
      <c r="KGU115" s="15"/>
      <c r="KGV115" s="15"/>
      <c r="KGW115" s="15"/>
      <c r="KGX115" s="15"/>
      <c r="KGY115" s="15"/>
      <c r="KGZ115" s="15"/>
      <c r="KHA115" s="15"/>
      <c r="KHB115" s="15"/>
      <c r="KHC115" s="15"/>
      <c r="KHD115" s="15"/>
      <c r="KHE115" s="15"/>
      <c r="KHF115" s="15"/>
      <c r="KHG115" s="15"/>
      <c r="KHH115" s="15"/>
      <c r="KHI115" s="15"/>
      <c r="KHJ115" s="15"/>
      <c r="KHK115" s="15"/>
      <c r="KHL115" s="14"/>
      <c r="KHM115" s="15"/>
      <c r="KHN115" s="15"/>
      <c r="KHO115" s="15"/>
      <c r="KHP115" s="15"/>
      <c r="KHQ115" s="15"/>
      <c r="KHR115" s="15"/>
      <c r="KHS115" s="15"/>
      <c r="KHT115" s="15"/>
      <c r="KHU115" s="15"/>
      <c r="KHV115" s="15"/>
      <c r="KHW115" s="15"/>
      <c r="KHX115" s="15"/>
      <c r="KHY115" s="15"/>
      <c r="KHZ115" s="15"/>
      <c r="KIA115" s="15"/>
      <c r="KIB115" s="15"/>
      <c r="KIC115" s="15"/>
      <c r="KID115" s="15"/>
      <c r="KIE115" s="15"/>
      <c r="KIF115" s="15"/>
      <c r="KIG115" s="15"/>
      <c r="KIH115" s="14"/>
      <c r="KII115" s="15"/>
      <c r="KIJ115" s="15"/>
      <c r="KIK115" s="15"/>
      <c r="KIL115" s="15"/>
      <c r="KIM115" s="15"/>
      <c r="KIN115" s="15"/>
      <c r="KIO115" s="15"/>
      <c r="KIP115" s="15"/>
      <c r="KIQ115" s="15"/>
      <c r="KIR115" s="15"/>
      <c r="KIS115" s="15"/>
      <c r="KIT115" s="15"/>
      <c r="KIU115" s="15"/>
      <c r="KIV115" s="15"/>
      <c r="KIW115" s="15"/>
      <c r="KIX115" s="15"/>
      <c r="KIY115" s="15"/>
      <c r="KIZ115" s="15"/>
      <c r="KJA115" s="15"/>
      <c r="KJB115" s="15"/>
      <c r="KJC115" s="15"/>
      <c r="KJD115" s="14"/>
      <c r="KJE115" s="15"/>
      <c r="KJF115" s="15"/>
      <c r="KJG115" s="15"/>
      <c r="KJH115" s="15"/>
      <c r="KJI115" s="15"/>
      <c r="KJJ115" s="15"/>
      <c r="KJK115" s="15"/>
      <c r="KJL115" s="15"/>
      <c r="KJM115" s="15"/>
      <c r="KJN115" s="15"/>
      <c r="KJO115" s="15"/>
      <c r="KJP115" s="15"/>
      <c r="KJQ115" s="15"/>
      <c r="KJR115" s="15"/>
      <c r="KJS115" s="15"/>
      <c r="KJT115" s="15"/>
      <c r="KJU115" s="15"/>
      <c r="KJV115" s="15"/>
      <c r="KJW115" s="15"/>
      <c r="KJX115" s="15"/>
      <c r="KJY115" s="15"/>
      <c r="KJZ115" s="14"/>
      <c r="KKA115" s="15"/>
      <c r="KKB115" s="15"/>
      <c r="KKC115" s="15"/>
      <c r="KKD115" s="15"/>
      <c r="KKE115" s="15"/>
      <c r="KKF115" s="15"/>
      <c r="KKG115" s="15"/>
      <c r="KKH115" s="15"/>
      <c r="KKI115" s="15"/>
      <c r="KKJ115" s="15"/>
      <c r="KKK115" s="15"/>
      <c r="KKL115" s="15"/>
      <c r="KKM115" s="15"/>
      <c r="KKN115" s="15"/>
      <c r="KKO115" s="15"/>
      <c r="KKP115" s="15"/>
      <c r="KKQ115" s="15"/>
      <c r="KKR115" s="15"/>
      <c r="KKS115" s="15"/>
      <c r="KKT115" s="15"/>
      <c r="KKU115" s="15"/>
      <c r="KKV115" s="14"/>
      <c r="KKW115" s="15"/>
      <c r="KKX115" s="15"/>
      <c r="KKY115" s="15"/>
      <c r="KKZ115" s="15"/>
      <c r="KLA115" s="15"/>
      <c r="KLB115" s="15"/>
      <c r="KLC115" s="15"/>
      <c r="KLD115" s="15"/>
      <c r="KLE115" s="15"/>
      <c r="KLF115" s="15"/>
      <c r="KLG115" s="15"/>
      <c r="KLH115" s="15"/>
      <c r="KLI115" s="15"/>
      <c r="KLJ115" s="15"/>
      <c r="KLK115" s="15"/>
      <c r="KLL115" s="15"/>
      <c r="KLM115" s="15"/>
      <c r="KLN115" s="15"/>
      <c r="KLO115" s="15"/>
      <c r="KLP115" s="15"/>
      <c r="KLQ115" s="15"/>
      <c r="KLR115" s="14"/>
      <c r="KLS115" s="15"/>
      <c r="KLT115" s="15"/>
      <c r="KLU115" s="15"/>
      <c r="KLV115" s="15"/>
      <c r="KLW115" s="15"/>
      <c r="KLX115" s="15"/>
      <c r="KLY115" s="15"/>
      <c r="KLZ115" s="15"/>
      <c r="KMA115" s="15"/>
      <c r="KMB115" s="15"/>
      <c r="KMC115" s="15"/>
      <c r="KMD115" s="15"/>
      <c r="KME115" s="15"/>
      <c r="KMF115" s="15"/>
      <c r="KMG115" s="15"/>
      <c r="KMH115" s="15"/>
      <c r="KMI115" s="15"/>
      <c r="KMJ115" s="15"/>
      <c r="KMK115" s="15"/>
      <c r="KML115" s="15"/>
      <c r="KMM115" s="15"/>
      <c r="KMN115" s="14"/>
      <c r="KMO115" s="15"/>
      <c r="KMP115" s="15"/>
      <c r="KMQ115" s="15"/>
      <c r="KMR115" s="15"/>
      <c r="KMS115" s="15"/>
      <c r="KMT115" s="15"/>
      <c r="KMU115" s="15"/>
      <c r="KMV115" s="15"/>
      <c r="KMW115" s="15"/>
      <c r="KMX115" s="15"/>
      <c r="KMY115" s="15"/>
      <c r="KMZ115" s="15"/>
      <c r="KNA115" s="15"/>
      <c r="KNB115" s="15"/>
      <c r="KNC115" s="15"/>
      <c r="KND115" s="15"/>
      <c r="KNE115" s="15"/>
      <c r="KNF115" s="15"/>
      <c r="KNG115" s="15"/>
      <c r="KNH115" s="15"/>
      <c r="KNI115" s="15"/>
      <c r="KNJ115" s="14"/>
      <c r="KNK115" s="15"/>
      <c r="KNL115" s="15"/>
      <c r="KNM115" s="15"/>
      <c r="KNN115" s="15"/>
      <c r="KNO115" s="15"/>
      <c r="KNP115" s="15"/>
      <c r="KNQ115" s="15"/>
      <c r="KNR115" s="15"/>
      <c r="KNS115" s="15"/>
      <c r="KNT115" s="15"/>
      <c r="KNU115" s="15"/>
      <c r="KNV115" s="15"/>
      <c r="KNW115" s="15"/>
      <c r="KNX115" s="15"/>
      <c r="KNY115" s="15"/>
      <c r="KNZ115" s="15"/>
      <c r="KOA115" s="15"/>
      <c r="KOB115" s="15"/>
      <c r="KOC115" s="15"/>
      <c r="KOD115" s="15"/>
      <c r="KOE115" s="15"/>
      <c r="KOF115" s="14"/>
      <c r="KOG115" s="15"/>
      <c r="KOH115" s="15"/>
      <c r="KOI115" s="15"/>
      <c r="KOJ115" s="15"/>
      <c r="KOK115" s="15"/>
      <c r="KOL115" s="15"/>
      <c r="KOM115" s="15"/>
      <c r="KON115" s="15"/>
      <c r="KOO115" s="15"/>
      <c r="KOP115" s="15"/>
      <c r="KOQ115" s="15"/>
      <c r="KOR115" s="15"/>
      <c r="KOS115" s="15"/>
      <c r="KOT115" s="15"/>
      <c r="KOU115" s="15"/>
      <c r="KOV115" s="15"/>
      <c r="KOW115" s="15"/>
      <c r="KOX115" s="15"/>
      <c r="KOY115" s="15"/>
      <c r="KOZ115" s="15"/>
      <c r="KPA115" s="15"/>
      <c r="KPB115" s="14"/>
      <c r="KPC115" s="15"/>
      <c r="KPD115" s="15"/>
      <c r="KPE115" s="15"/>
      <c r="KPF115" s="15"/>
      <c r="KPG115" s="15"/>
      <c r="KPH115" s="15"/>
      <c r="KPI115" s="15"/>
      <c r="KPJ115" s="15"/>
      <c r="KPK115" s="15"/>
      <c r="KPL115" s="15"/>
      <c r="KPM115" s="15"/>
      <c r="KPN115" s="15"/>
      <c r="KPO115" s="15"/>
      <c r="KPP115" s="15"/>
      <c r="KPQ115" s="15"/>
      <c r="KPR115" s="15"/>
      <c r="KPS115" s="15"/>
      <c r="KPT115" s="15"/>
      <c r="KPU115" s="15"/>
      <c r="KPV115" s="15"/>
      <c r="KPW115" s="15"/>
      <c r="KPX115" s="14"/>
      <c r="KPY115" s="15"/>
      <c r="KPZ115" s="15"/>
      <c r="KQA115" s="15"/>
      <c r="KQB115" s="15"/>
      <c r="KQC115" s="15"/>
      <c r="KQD115" s="15"/>
      <c r="KQE115" s="15"/>
      <c r="KQF115" s="15"/>
      <c r="KQG115" s="15"/>
      <c r="KQH115" s="15"/>
      <c r="KQI115" s="15"/>
      <c r="KQJ115" s="15"/>
      <c r="KQK115" s="15"/>
      <c r="KQL115" s="15"/>
      <c r="KQM115" s="15"/>
      <c r="KQN115" s="15"/>
      <c r="KQO115" s="15"/>
      <c r="KQP115" s="15"/>
      <c r="KQQ115" s="15"/>
      <c r="KQR115" s="15"/>
      <c r="KQS115" s="15"/>
      <c r="KQT115" s="14"/>
      <c r="KQU115" s="15"/>
      <c r="KQV115" s="15"/>
      <c r="KQW115" s="15"/>
      <c r="KQX115" s="15"/>
      <c r="KQY115" s="15"/>
      <c r="KQZ115" s="15"/>
      <c r="KRA115" s="15"/>
      <c r="KRB115" s="15"/>
      <c r="KRC115" s="15"/>
      <c r="KRD115" s="15"/>
      <c r="KRE115" s="15"/>
      <c r="KRF115" s="15"/>
      <c r="KRG115" s="15"/>
      <c r="KRH115" s="15"/>
      <c r="KRI115" s="15"/>
      <c r="KRJ115" s="15"/>
      <c r="KRK115" s="15"/>
      <c r="KRL115" s="15"/>
      <c r="KRM115" s="15"/>
      <c r="KRN115" s="15"/>
      <c r="KRO115" s="15"/>
      <c r="KRP115" s="14"/>
      <c r="KRQ115" s="15"/>
      <c r="KRR115" s="15"/>
      <c r="KRS115" s="15"/>
      <c r="KRT115" s="15"/>
      <c r="KRU115" s="15"/>
      <c r="KRV115" s="15"/>
      <c r="KRW115" s="15"/>
      <c r="KRX115" s="15"/>
      <c r="KRY115" s="15"/>
      <c r="KRZ115" s="15"/>
      <c r="KSA115" s="15"/>
      <c r="KSB115" s="15"/>
      <c r="KSC115" s="15"/>
      <c r="KSD115" s="15"/>
      <c r="KSE115" s="15"/>
      <c r="KSF115" s="15"/>
      <c r="KSG115" s="15"/>
      <c r="KSH115" s="15"/>
      <c r="KSI115" s="15"/>
      <c r="KSJ115" s="15"/>
      <c r="KSK115" s="15"/>
      <c r="KSL115" s="14"/>
      <c r="KSM115" s="15"/>
      <c r="KSN115" s="15"/>
      <c r="KSO115" s="15"/>
      <c r="KSP115" s="15"/>
      <c r="KSQ115" s="15"/>
      <c r="KSR115" s="15"/>
      <c r="KSS115" s="15"/>
      <c r="KST115" s="15"/>
      <c r="KSU115" s="15"/>
      <c r="KSV115" s="15"/>
      <c r="KSW115" s="15"/>
      <c r="KSX115" s="15"/>
      <c r="KSY115" s="15"/>
      <c r="KSZ115" s="15"/>
      <c r="KTA115" s="15"/>
      <c r="KTB115" s="15"/>
      <c r="KTC115" s="15"/>
      <c r="KTD115" s="15"/>
      <c r="KTE115" s="15"/>
      <c r="KTF115" s="15"/>
      <c r="KTG115" s="15"/>
      <c r="KTH115" s="14"/>
      <c r="KTI115" s="15"/>
      <c r="KTJ115" s="15"/>
      <c r="KTK115" s="15"/>
      <c r="KTL115" s="15"/>
      <c r="KTM115" s="15"/>
      <c r="KTN115" s="15"/>
      <c r="KTO115" s="15"/>
      <c r="KTP115" s="15"/>
      <c r="KTQ115" s="15"/>
      <c r="KTR115" s="15"/>
      <c r="KTS115" s="15"/>
      <c r="KTT115" s="15"/>
      <c r="KTU115" s="15"/>
      <c r="KTV115" s="15"/>
      <c r="KTW115" s="15"/>
      <c r="KTX115" s="15"/>
      <c r="KTY115" s="15"/>
      <c r="KTZ115" s="15"/>
      <c r="KUA115" s="15"/>
      <c r="KUB115" s="15"/>
      <c r="KUC115" s="15"/>
      <c r="KUD115" s="14"/>
      <c r="KUE115" s="15"/>
      <c r="KUF115" s="15"/>
      <c r="KUG115" s="15"/>
      <c r="KUH115" s="15"/>
      <c r="KUI115" s="15"/>
      <c r="KUJ115" s="15"/>
      <c r="KUK115" s="15"/>
      <c r="KUL115" s="15"/>
      <c r="KUM115" s="15"/>
      <c r="KUN115" s="15"/>
      <c r="KUO115" s="15"/>
      <c r="KUP115" s="15"/>
      <c r="KUQ115" s="15"/>
      <c r="KUR115" s="15"/>
      <c r="KUS115" s="15"/>
      <c r="KUT115" s="15"/>
      <c r="KUU115" s="15"/>
      <c r="KUV115" s="15"/>
      <c r="KUW115" s="15"/>
      <c r="KUX115" s="15"/>
      <c r="KUY115" s="15"/>
      <c r="KUZ115" s="14"/>
      <c r="KVA115" s="15"/>
      <c r="KVB115" s="15"/>
      <c r="KVC115" s="15"/>
      <c r="KVD115" s="15"/>
      <c r="KVE115" s="15"/>
      <c r="KVF115" s="15"/>
      <c r="KVG115" s="15"/>
      <c r="KVH115" s="15"/>
      <c r="KVI115" s="15"/>
      <c r="KVJ115" s="15"/>
      <c r="KVK115" s="15"/>
      <c r="KVL115" s="15"/>
      <c r="KVM115" s="15"/>
      <c r="KVN115" s="15"/>
      <c r="KVO115" s="15"/>
      <c r="KVP115" s="15"/>
      <c r="KVQ115" s="15"/>
      <c r="KVR115" s="15"/>
      <c r="KVS115" s="15"/>
      <c r="KVT115" s="15"/>
      <c r="KVU115" s="15"/>
      <c r="KVV115" s="14"/>
      <c r="KVW115" s="15"/>
      <c r="KVX115" s="15"/>
      <c r="KVY115" s="15"/>
      <c r="KVZ115" s="15"/>
      <c r="KWA115" s="15"/>
      <c r="KWB115" s="15"/>
      <c r="KWC115" s="15"/>
      <c r="KWD115" s="15"/>
      <c r="KWE115" s="15"/>
      <c r="KWF115" s="15"/>
      <c r="KWG115" s="15"/>
      <c r="KWH115" s="15"/>
      <c r="KWI115" s="15"/>
      <c r="KWJ115" s="15"/>
      <c r="KWK115" s="15"/>
      <c r="KWL115" s="15"/>
      <c r="KWM115" s="15"/>
      <c r="KWN115" s="15"/>
      <c r="KWO115" s="15"/>
      <c r="KWP115" s="15"/>
      <c r="KWQ115" s="15"/>
      <c r="KWR115" s="14"/>
      <c r="KWS115" s="15"/>
      <c r="KWT115" s="15"/>
      <c r="KWU115" s="15"/>
      <c r="KWV115" s="15"/>
      <c r="KWW115" s="15"/>
      <c r="KWX115" s="15"/>
      <c r="KWY115" s="15"/>
      <c r="KWZ115" s="15"/>
      <c r="KXA115" s="15"/>
      <c r="KXB115" s="15"/>
      <c r="KXC115" s="15"/>
      <c r="KXD115" s="15"/>
      <c r="KXE115" s="15"/>
      <c r="KXF115" s="15"/>
      <c r="KXG115" s="15"/>
      <c r="KXH115" s="15"/>
      <c r="KXI115" s="15"/>
      <c r="KXJ115" s="15"/>
      <c r="KXK115" s="15"/>
      <c r="KXL115" s="15"/>
      <c r="KXM115" s="15"/>
      <c r="KXN115" s="14"/>
      <c r="KXO115" s="15"/>
      <c r="KXP115" s="15"/>
      <c r="KXQ115" s="15"/>
      <c r="KXR115" s="15"/>
      <c r="KXS115" s="15"/>
      <c r="KXT115" s="15"/>
      <c r="KXU115" s="15"/>
      <c r="KXV115" s="15"/>
      <c r="KXW115" s="15"/>
      <c r="KXX115" s="15"/>
      <c r="KXY115" s="15"/>
      <c r="KXZ115" s="15"/>
      <c r="KYA115" s="15"/>
      <c r="KYB115" s="15"/>
      <c r="KYC115" s="15"/>
      <c r="KYD115" s="15"/>
      <c r="KYE115" s="15"/>
      <c r="KYF115" s="15"/>
      <c r="KYG115" s="15"/>
      <c r="KYH115" s="15"/>
      <c r="KYI115" s="15"/>
      <c r="KYJ115" s="14"/>
      <c r="KYK115" s="15"/>
      <c r="KYL115" s="15"/>
      <c r="KYM115" s="15"/>
      <c r="KYN115" s="15"/>
      <c r="KYO115" s="15"/>
      <c r="KYP115" s="15"/>
      <c r="KYQ115" s="15"/>
      <c r="KYR115" s="15"/>
      <c r="KYS115" s="15"/>
      <c r="KYT115" s="15"/>
      <c r="KYU115" s="15"/>
      <c r="KYV115" s="15"/>
      <c r="KYW115" s="15"/>
      <c r="KYX115" s="15"/>
      <c r="KYY115" s="15"/>
      <c r="KYZ115" s="15"/>
      <c r="KZA115" s="15"/>
      <c r="KZB115" s="15"/>
      <c r="KZC115" s="15"/>
      <c r="KZD115" s="15"/>
      <c r="KZE115" s="15"/>
      <c r="KZF115" s="14"/>
      <c r="KZG115" s="15"/>
      <c r="KZH115" s="15"/>
      <c r="KZI115" s="15"/>
      <c r="KZJ115" s="15"/>
      <c r="KZK115" s="15"/>
      <c r="KZL115" s="15"/>
      <c r="KZM115" s="15"/>
      <c r="KZN115" s="15"/>
      <c r="KZO115" s="15"/>
      <c r="KZP115" s="15"/>
      <c r="KZQ115" s="15"/>
      <c r="KZR115" s="15"/>
      <c r="KZS115" s="15"/>
      <c r="KZT115" s="15"/>
      <c r="KZU115" s="15"/>
      <c r="KZV115" s="15"/>
      <c r="KZW115" s="15"/>
      <c r="KZX115" s="15"/>
      <c r="KZY115" s="15"/>
      <c r="KZZ115" s="15"/>
      <c r="LAA115" s="15"/>
      <c r="LAB115" s="14"/>
      <c r="LAC115" s="15"/>
      <c r="LAD115" s="15"/>
      <c r="LAE115" s="15"/>
      <c r="LAF115" s="15"/>
      <c r="LAG115" s="15"/>
      <c r="LAH115" s="15"/>
      <c r="LAI115" s="15"/>
      <c r="LAJ115" s="15"/>
      <c r="LAK115" s="15"/>
      <c r="LAL115" s="15"/>
      <c r="LAM115" s="15"/>
      <c r="LAN115" s="15"/>
      <c r="LAO115" s="15"/>
      <c r="LAP115" s="15"/>
      <c r="LAQ115" s="15"/>
      <c r="LAR115" s="15"/>
      <c r="LAS115" s="15"/>
      <c r="LAT115" s="15"/>
      <c r="LAU115" s="15"/>
      <c r="LAV115" s="15"/>
      <c r="LAW115" s="15"/>
      <c r="LAX115" s="14"/>
      <c r="LAY115" s="15"/>
      <c r="LAZ115" s="15"/>
      <c r="LBA115" s="15"/>
      <c r="LBB115" s="15"/>
      <c r="LBC115" s="15"/>
      <c r="LBD115" s="15"/>
      <c r="LBE115" s="15"/>
      <c r="LBF115" s="15"/>
      <c r="LBG115" s="15"/>
      <c r="LBH115" s="15"/>
      <c r="LBI115" s="15"/>
      <c r="LBJ115" s="15"/>
      <c r="LBK115" s="15"/>
      <c r="LBL115" s="15"/>
      <c r="LBM115" s="15"/>
      <c r="LBN115" s="15"/>
      <c r="LBO115" s="15"/>
      <c r="LBP115" s="15"/>
      <c r="LBQ115" s="15"/>
      <c r="LBR115" s="15"/>
      <c r="LBS115" s="15"/>
      <c r="LBT115" s="14"/>
      <c r="LBU115" s="15"/>
      <c r="LBV115" s="15"/>
      <c r="LBW115" s="15"/>
      <c r="LBX115" s="15"/>
      <c r="LBY115" s="15"/>
      <c r="LBZ115" s="15"/>
      <c r="LCA115" s="15"/>
      <c r="LCB115" s="15"/>
      <c r="LCC115" s="15"/>
      <c r="LCD115" s="15"/>
      <c r="LCE115" s="15"/>
      <c r="LCF115" s="15"/>
      <c r="LCG115" s="15"/>
      <c r="LCH115" s="15"/>
      <c r="LCI115" s="15"/>
      <c r="LCJ115" s="15"/>
      <c r="LCK115" s="15"/>
      <c r="LCL115" s="15"/>
      <c r="LCM115" s="15"/>
      <c r="LCN115" s="15"/>
      <c r="LCO115" s="15"/>
      <c r="LCP115" s="14"/>
      <c r="LCQ115" s="15"/>
      <c r="LCR115" s="15"/>
      <c r="LCS115" s="15"/>
      <c r="LCT115" s="15"/>
      <c r="LCU115" s="15"/>
      <c r="LCV115" s="15"/>
      <c r="LCW115" s="15"/>
      <c r="LCX115" s="15"/>
      <c r="LCY115" s="15"/>
      <c r="LCZ115" s="15"/>
      <c r="LDA115" s="15"/>
      <c r="LDB115" s="15"/>
      <c r="LDC115" s="15"/>
      <c r="LDD115" s="15"/>
      <c r="LDE115" s="15"/>
      <c r="LDF115" s="15"/>
      <c r="LDG115" s="15"/>
      <c r="LDH115" s="15"/>
      <c r="LDI115" s="15"/>
      <c r="LDJ115" s="15"/>
      <c r="LDK115" s="15"/>
      <c r="LDL115" s="14"/>
      <c r="LDM115" s="15"/>
      <c r="LDN115" s="15"/>
      <c r="LDO115" s="15"/>
      <c r="LDP115" s="15"/>
      <c r="LDQ115" s="15"/>
      <c r="LDR115" s="15"/>
      <c r="LDS115" s="15"/>
      <c r="LDT115" s="15"/>
      <c r="LDU115" s="15"/>
      <c r="LDV115" s="15"/>
      <c r="LDW115" s="15"/>
      <c r="LDX115" s="15"/>
      <c r="LDY115" s="15"/>
      <c r="LDZ115" s="15"/>
      <c r="LEA115" s="15"/>
      <c r="LEB115" s="15"/>
      <c r="LEC115" s="15"/>
      <c r="LED115" s="15"/>
      <c r="LEE115" s="15"/>
      <c r="LEF115" s="15"/>
      <c r="LEG115" s="15"/>
      <c r="LEH115" s="14"/>
      <c r="LEI115" s="15"/>
      <c r="LEJ115" s="15"/>
      <c r="LEK115" s="15"/>
      <c r="LEL115" s="15"/>
      <c r="LEM115" s="15"/>
      <c r="LEN115" s="15"/>
      <c r="LEO115" s="15"/>
      <c r="LEP115" s="15"/>
      <c r="LEQ115" s="15"/>
      <c r="LER115" s="15"/>
      <c r="LES115" s="15"/>
      <c r="LET115" s="15"/>
      <c r="LEU115" s="15"/>
      <c r="LEV115" s="15"/>
      <c r="LEW115" s="15"/>
      <c r="LEX115" s="15"/>
      <c r="LEY115" s="15"/>
      <c r="LEZ115" s="15"/>
      <c r="LFA115" s="15"/>
      <c r="LFB115" s="15"/>
      <c r="LFC115" s="15"/>
      <c r="LFD115" s="14"/>
      <c r="LFE115" s="15"/>
      <c r="LFF115" s="15"/>
      <c r="LFG115" s="15"/>
      <c r="LFH115" s="15"/>
      <c r="LFI115" s="15"/>
      <c r="LFJ115" s="15"/>
      <c r="LFK115" s="15"/>
      <c r="LFL115" s="15"/>
      <c r="LFM115" s="15"/>
      <c r="LFN115" s="15"/>
      <c r="LFO115" s="15"/>
      <c r="LFP115" s="15"/>
      <c r="LFQ115" s="15"/>
      <c r="LFR115" s="15"/>
      <c r="LFS115" s="15"/>
      <c r="LFT115" s="15"/>
      <c r="LFU115" s="15"/>
      <c r="LFV115" s="15"/>
      <c r="LFW115" s="15"/>
      <c r="LFX115" s="15"/>
      <c r="LFY115" s="15"/>
      <c r="LFZ115" s="14"/>
      <c r="LGA115" s="15"/>
      <c r="LGB115" s="15"/>
      <c r="LGC115" s="15"/>
      <c r="LGD115" s="15"/>
      <c r="LGE115" s="15"/>
      <c r="LGF115" s="15"/>
      <c r="LGG115" s="15"/>
      <c r="LGH115" s="15"/>
      <c r="LGI115" s="15"/>
      <c r="LGJ115" s="15"/>
      <c r="LGK115" s="15"/>
      <c r="LGL115" s="15"/>
      <c r="LGM115" s="15"/>
      <c r="LGN115" s="15"/>
      <c r="LGO115" s="15"/>
      <c r="LGP115" s="15"/>
      <c r="LGQ115" s="15"/>
      <c r="LGR115" s="15"/>
      <c r="LGS115" s="15"/>
      <c r="LGT115" s="15"/>
      <c r="LGU115" s="15"/>
      <c r="LGV115" s="14"/>
      <c r="LGW115" s="15"/>
      <c r="LGX115" s="15"/>
      <c r="LGY115" s="15"/>
      <c r="LGZ115" s="15"/>
      <c r="LHA115" s="15"/>
      <c r="LHB115" s="15"/>
      <c r="LHC115" s="15"/>
      <c r="LHD115" s="15"/>
      <c r="LHE115" s="15"/>
      <c r="LHF115" s="15"/>
      <c r="LHG115" s="15"/>
      <c r="LHH115" s="15"/>
      <c r="LHI115" s="15"/>
      <c r="LHJ115" s="15"/>
      <c r="LHK115" s="15"/>
      <c r="LHL115" s="15"/>
      <c r="LHM115" s="15"/>
      <c r="LHN115" s="15"/>
      <c r="LHO115" s="15"/>
      <c r="LHP115" s="15"/>
      <c r="LHQ115" s="15"/>
      <c r="LHR115" s="14"/>
      <c r="LHS115" s="15"/>
      <c r="LHT115" s="15"/>
      <c r="LHU115" s="15"/>
      <c r="LHV115" s="15"/>
      <c r="LHW115" s="15"/>
      <c r="LHX115" s="15"/>
      <c r="LHY115" s="15"/>
      <c r="LHZ115" s="15"/>
      <c r="LIA115" s="15"/>
      <c r="LIB115" s="15"/>
      <c r="LIC115" s="15"/>
      <c r="LID115" s="15"/>
      <c r="LIE115" s="15"/>
      <c r="LIF115" s="15"/>
      <c r="LIG115" s="15"/>
      <c r="LIH115" s="15"/>
      <c r="LII115" s="15"/>
      <c r="LIJ115" s="15"/>
      <c r="LIK115" s="15"/>
      <c r="LIL115" s="15"/>
      <c r="LIM115" s="15"/>
      <c r="LIN115" s="14"/>
      <c r="LIO115" s="15"/>
      <c r="LIP115" s="15"/>
      <c r="LIQ115" s="15"/>
      <c r="LIR115" s="15"/>
      <c r="LIS115" s="15"/>
      <c r="LIT115" s="15"/>
      <c r="LIU115" s="15"/>
      <c r="LIV115" s="15"/>
      <c r="LIW115" s="15"/>
      <c r="LIX115" s="15"/>
      <c r="LIY115" s="15"/>
      <c r="LIZ115" s="15"/>
      <c r="LJA115" s="15"/>
      <c r="LJB115" s="15"/>
      <c r="LJC115" s="15"/>
      <c r="LJD115" s="15"/>
      <c r="LJE115" s="15"/>
      <c r="LJF115" s="15"/>
      <c r="LJG115" s="15"/>
      <c r="LJH115" s="15"/>
      <c r="LJI115" s="15"/>
      <c r="LJJ115" s="14"/>
      <c r="LJK115" s="15"/>
      <c r="LJL115" s="15"/>
      <c r="LJM115" s="15"/>
      <c r="LJN115" s="15"/>
      <c r="LJO115" s="15"/>
      <c r="LJP115" s="15"/>
      <c r="LJQ115" s="15"/>
      <c r="LJR115" s="15"/>
      <c r="LJS115" s="15"/>
      <c r="LJT115" s="15"/>
      <c r="LJU115" s="15"/>
      <c r="LJV115" s="15"/>
      <c r="LJW115" s="15"/>
      <c r="LJX115" s="15"/>
      <c r="LJY115" s="15"/>
      <c r="LJZ115" s="15"/>
      <c r="LKA115" s="15"/>
      <c r="LKB115" s="15"/>
      <c r="LKC115" s="15"/>
      <c r="LKD115" s="15"/>
      <c r="LKE115" s="15"/>
      <c r="LKF115" s="14"/>
      <c r="LKG115" s="15"/>
      <c r="LKH115" s="15"/>
      <c r="LKI115" s="15"/>
      <c r="LKJ115" s="15"/>
      <c r="LKK115" s="15"/>
      <c r="LKL115" s="15"/>
      <c r="LKM115" s="15"/>
      <c r="LKN115" s="15"/>
      <c r="LKO115" s="15"/>
      <c r="LKP115" s="15"/>
      <c r="LKQ115" s="15"/>
      <c r="LKR115" s="15"/>
      <c r="LKS115" s="15"/>
      <c r="LKT115" s="15"/>
      <c r="LKU115" s="15"/>
      <c r="LKV115" s="15"/>
      <c r="LKW115" s="15"/>
      <c r="LKX115" s="15"/>
      <c r="LKY115" s="15"/>
      <c r="LKZ115" s="15"/>
      <c r="LLA115" s="15"/>
      <c r="LLB115" s="14"/>
      <c r="LLC115" s="15"/>
      <c r="LLD115" s="15"/>
      <c r="LLE115" s="15"/>
      <c r="LLF115" s="15"/>
      <c r="LLG115" s="15"/>
      <c r="LLH115" s="15"/>
      <c r="LLI115" s="15"/>
      <c r="LLJ115" s="15"/>
      <c r="LLK115" s="15"/>
      <c r="LLL115" s="15"/>
      <c r="LLM115" s="15"/>
      <c r="LLN115" s="15"/>
      <c r="LLO115" s="15"/>
      <c r="LLP115" s="15"/>
      <c r="LLQ115" s="15"/>
      <c r="LLR115" s="15"/>
      <c r="LLS115" s="15"/>
      <c r="LLT115" s="15"/>
      <c r="LLU115" s="15"/>
      <c r="LLV115" s="15"/>
      <c r="LLW115" s="15"/>
      <c r="LLX115" s="14"/>
      <c r="LLY115" s="15"/>
      <c r="LLZ115" s="15"/>
      <c r="LMA115" s="15"/>
      <c r="LMB115" s="15"/>
      <c r="LMC115" s="15"/>
      <c r="LMD115" s="15"/>
      <c r="LME115" s="15"/>
      <c r="LMF115" s="15"/>
      <c r="LMG115" s="15"/>
      <c r="LMH115" s="15"/>
      <c r="LMI115" s="15"/>
      <c r="LMJ115" s="15"/>
      <c r="LMK115" s="15"/>
      <c r="LML115" s="15"/>
      <c r="LMM115" s="15"/>
      <c r="LMN115" s="15"/>
      <c r="LMO115" s="15"/>
      <c r="LMP115" s="15"/>
      <c r="LMQ115" s="15"/>
      <c r="LMR115" s="15"/>
      <c r="LMS115" s="15"/>
      <c r="LMT115" s="14"/>
      <c r="LMU115" s="15"/>
      <c r="LMV115" s="15"/>
      <c r="LMW115" s="15"/>
      <c r="LMX115" s="15"/>
      <c r="LMY115" s="15"/>
      <c r="LMZ115" s="15"/>
      <c r="LNA115" s="15"/>
      <c r="LNB115" s="15"/>
      <c r="LNC115" s="15"/>
      <c r="LND115" s="15"/>
      <c r="LNE115" s="15"/>
      <c r="LNF115" s="15"/>
      <c r="LNG115" s="15"/>
      <c r="LNH115" s="15"/>
      <c r="LNI115" s="15"/>
      <c r="LNJ115" s="15"/>
      <c r="LNK115" s="15"/>
      <c r="LNL115" s="15"/>
      <c r="LNM115" s="15"/>
      <c r="LNN115" s="15"/>
      <c r="LNO115" s="15"/>
      <c r="LNP115" s="14"/>
      <c r="LNQ115" s="15"/>
      <c r="LNR115" s="15"/>
      <c r="LNS115" s="15"/>
      <c r="LNT115" s="15"/>
      <c r="LNU115" s="15"/>
      <c r="LNV115" s="15"/>
      <c r="LNW115" s="15"/>
      <c r="LNX115" s="15"/>
      <c r="LNY115" s="15"/>
      <c r="LNZ115" s="15"/>
      <c r="LOA115" s="15"/>
      <c r="LOB115" s="15"/>
      <c r="LOC115" s="15"/>
      <c r="LOD115" s="15"/>
      <c r="LOE115" s="15"/>
      <c r="LOF115" s="15"/>
      <c r="LOG115" s="15"/>
      <c r="LOH115" s="15"/>
      <c r="LOI115" s="15"/>
      <c r="LOJ115" s="15"/>
      <c r="LOK115" s="15"/>
      <c r="LOL115" s="14"/>
      <c r="LOM115" s="15"/>
      <c r="LON115" s="15"/>
      <c r="LOO115" s="15"/>
      <c r="LOP115" s="15"/>
      <c r="LOQ115" s="15"/>
      <c r="LOR115" s="15"/>
      <c r="LOS115" s="15"/>
      <c r="LOT115" s="15"/>
      <c r="LOU115" s="15"/>
      <c r="LOV115" s="15"/>
      <c r="LOW115" s="15"/>
      <c r="LOX115" s="15"/>
      <c r="LOY115" s="15"/>
      <c r="LOZ115" s="15"/>
      <c r="LPA115" s="15"/>
      <c r="LPB115" s="15"/>
      <c r="LPC115" s="15"/>
      <c r="LPD115" s="15"/>
      <c r="LPE115" s="15"/>
      <c r="LPF115" s="15"/>
      <c r="LPG115" s="15"/>
      <c r="LPH115" s="14"/>
      <c r="LPI115" s="15"/>
      <c r="LPJ115" s="15"/>
      <c r="LPK115" s="15"/>
      <c r="LPL115" s="15"/>
      <c r="LPM115" s="15"/>
      <c r="LPN115" s="15"/>
      <c r="LPO115" s="15"/>
      <c r="LPP115" s="15"/>
      <c r="LPQ115" s="15"/>
      <c r="LPR115" s="15"/>
      <c r="LPS115" s="15"/>
      <c r="LPT115" s="15"/>
      <c r="LPU115" s="15"/>
      <c r="LPV115" s="15"/>
      <c r="LPW115" s="15"/>
      <c r="LPX115" s="15"/>
      <c r="LPY115" s="15"/>
      <c r="LPZ115" s="15"/>
      <c r="LQA115" s="15"/>
      <c r="LQB115" s="15"/>
      <c r="LQC115" s="15"/>
      <c r="LQD115" s="14"/>
      <c r="LQE115" s="15"/>
      <c r="LQF115" s="15"/>
      <c r="LQG115" s="15"/>
      <c r="LQH115" s="15"/>
      <c r="LQI115" s="15"/>
      <c r="LQJ115" s="15"/>
      <c r="LQK115" s="15"/>
      <c r="LQL115" s="15"/>
      <c r="LQM115" s="15"/>
      <c r="LQN115" s="15"/>
      <c r="LQO115" s="15"/>
      <c r="LQP115" s="15"/>
      <c r="LQQ115" s="15"/>
      <c r="LQR115" s="15"/>
      <c r="LQS115" s="15"/>
      <c r="LQT115" s="15"/>
      <c r="LQU115" s="15"/>
      <c r="LQV115" s="15"/>
      <c r="LQW115" s="15"/>
      <c r="LQX115" s="15"/>
      <c r="LQY115" s="15"/>
      <c r="LQZ115" s="14"/>
      <c r="LRA115" s="15"/>
      <c r="LRB115" s="15"/>
      <c r="LRC115" s="15"/>
      <c r="LRD115" s="15"/>
      <c r="LRE115" s="15"/>
      <c r="LRF115" s="15"/>
      <c r="LRG115" s="15"/>
      <c r="LRH115" s="15"/>
      <c r="LRI115" s="15"/>
      <c r="LRJ115" s="15"/>
      <c r="LRK115" s="15"/>
      <c r="LRL115" s="15"/>
      <c r="LRM115" s="15"/>
      <c r="LRN115" s="15"/>
      <c r="LRO115" s="15"/>
      <c r="LRP115" s="15"/>
      <c r="LRQ115" s="15"/>
      <c r="LRR115" s="15"/>
      <c r="LRS115" s="15"/>
      <c r="LRT115" s="15"/>
      <c r="LRU115" s="15"/>
      <c r="LRV115" s="14"/>
      <c r="LRW115" s="15"/>
      <c r="LRX115" s="15"/>
      <c r="LRY115" s="15"/>
      <c r="LRZ115" s="15"/>
      <c r="LSA115" s="15"/>
      <c r="LSB115" s="15"/>
      <c r="LSC115" s="15"/>
      <c r="LSD115" s="15"/>
      <c r="LSE115" s="15"/>
      <c r="LSF115" s="15"/>
      <c r="LSG115" s="15"/>
      <c r="LSH115" s="15"/>
      <c r="LSI115" s="15"/>
      <c r="LSJ115" s="15"/>
      <c r="LSK115" s="15"/>
      <c r="LSL115" s="15"/>
      <c r="LSM115" s="15"/>
      <c r="LSN115" s="15"/>
      <c r="LSO115" s="15"/>
      <c r="LSP115" s="15"/>
      <c r="LSQ115" s="15"/>
      <c r="LSR115" s="14"/>
      <c r="LSS115" s="15"/>
      <c r="LST115" s="15"/>
      <c r="LSU115" s="15"/>
      <c r="LSV115" s="15"/>
      <c r="LSW115" s="15"/>
      <c r="LSX115" s="15"/>
      <c r="LSY115" s="15"/>
      <c r="LSZ115" s="15"/>
      <c r="LTA115" s="15"/>
      <c r="LTB115" s="15"/>
      <c r="LTC115" s="15"/>
      <c r="LTD115" s="15"/>
      <c r="LTE115" s="15"/>
      <c r="LTF115" s="15"/>
      <c r="LTG115" s="15"/>
      <c r="LTH115" s="15"/>
      <c r="LTI115" s="15"/>
      <c r="LTJ115" s="15"/>
      <c r="LTK115" s="15"/>
      <c r="LTL115" s="15"/>
      <c r="LTM115" s="15"/>
      <c r="LTN115" s="14"/>
      <c r="LTO115" s="15"/>
      <c r="LTP115" s="15"/>
      <c r="LTQ115" s="15"/>
      <c r="LTR115" s="15"/>
      <c r="LTS115" s="15"/>
      <c r="LTT115" s="15"/>
      <c r="LTU115" s="15"/>
      <c r="LTV115" s="15"/>
      <c r="LTW115" s="15"/>
      <c r="LTX115" s="15"/>
      <c r="LTY115" s="15"/>
      <c r="LTZ115" s="15"/>
      <c r="LUA115" s="15"/>
      <c r="LUB115" s="15"/>
      <c r="LUC115" s="15"/>
      <c r="LUD115" s="15"/>
      <c r="LUE115" s="15"/>
      <c r="LUF115" s="15"/>
      <c r="LUG115" s="15"/>
      <c r="LUH115" s="15"/>
      <c r="LUI115" s="15"/>
      <c r="LUJ115" s="14"/>
      <c r="LUK115" s="15"/>
      <c r="LUL115" s="15"/>
      <c r="LUM115" s="15"/>
      <c r="LUN115" s="15"/>
      <c r="LUO115" s="15"/>
      <c r="LUP115" s="15"/>
      <c r="LUQ115" s="15"/>
      <c r="LUR115" s="15"/>
      <c r="LUS115" s="15"/>
      <c r="LUT115" s="15"/>
      <c r="LUU115" s="15"/>
      <c r="LUV115" s="15"/>
      <c r="LUW115" s="15"/>
      <c r="LUX115" s="15"/>
      <c r="LUY115" s="15"/>
      <c r="LUZ115" s="15"/>
      <c r="LVA115" s="15"/>
      <c r="LVB115" s="15"/>
      <c r="LVC115" s="15"/>
      <c r="LVD115" s="15"/>
      <c r="LVE115" s="15"/>
      <c r="LVF115" s="14"/>
      <c r="LVG115" s="15"/>
      <c r="LVH115" s="15"/>
      <c r="LVI115" s="15"/>
      <c r="LVJ115" s="15"/>
      <c r="LVK115" s="15"/>
      <c r="LVL115" s="15"/>
      <c r="LVM115" s="15"/>
      <c r="LVN115" s="15"/>
      <c r="LVO115" s="15"/>
      <c r="LVP115" s="15"/>
      <c r="LVQ115" s="15"/>
      <c r="LVR115" s="15"/>
      <c r="LVS115" s="15"/>
      <c r="LVT115" s="15"/>
      <c r="LVU115" s="15"/>
      <c r="LVV115" s="15"/>
      <c r="LVW115" s="15"/>
      <c r="LVX115" s="15"/>
      <c r="LVY115" s="15"/>
      <c r="LVZ115" s="15"/>
      <c r="LWA115" s="15"/>
      <c r="LWB115" s="14"/>
      <c r="LWC115" s="15"/>
      <c r="LWD115" s="15"/>
      <c r="LWE115" s="15"/>
      <c r="LWF115" s="15"/>
      <c r="LWG115" s="15"/>
      <c r="LWH115" s="15"/>
      <c r="LWI115" s="15"/>
      <c r="LWJ115" s="15"/>
      <c r="LWK115" s="15"/>
      <c r="LWL115" s="15"/>
      <c r="LWM115" s="15"/>
      <c r="LWN115" s="15"/>
      <c r="LWO115" s="15"/>
      <c r="LWP115" s="15"/>
      <c r="LWQ115" s="15"/>
      <c r="LWR115" s="15"/>
      <c r="LWS115" s="15"/>
      <c r="LWT115" s="15"/>
      <c r="LWU115" s="15"/>
      <c r="LWV115" s="15"/>
      <c r="LWW115" s="15"/>
      <c r="LWX115" s="14"/>
      <c r="LWY115" s="15"/>
      <c r="LWZ115" s="15"/>
      <c r="LXA115" s="15"/>
      <c r="LXB115" s="15"/>
      <c r="LXC115" s="15"/>
      <c r="LXD115" s="15"/>
      <c r="LXE115" s="15"/>
      <c r="LXF115" s="15"/>
      <c r="LXG115" s="15"/>
      <c r="LXH115" s="15"/>
      <c r="LXI115" s="15"/>
      <c r="LXJ115" s="15"/>
      <c r="LXK115" s="15"/>
      <c r="LXL115" s="15"/>
      <c r="LXM115" s="15"/>
      <c r="LXN115" s="15"/>
      <c r="LXO115" s="15"/>
      <c r="LXP115" s="15"/>
      <c r="LXQ115" s="15"/>
      <c r="LXR115" s="15"/>
      <c r="LXS115" s="15"/>
      <c r="LXT115" s="14"/>
      <c r="LXU115" s="15"/>
      <c r="LXV115" s="15"/>
      <c r="LXW115" s="15"/>
      <c r="LXX115" s="15"/>
      <c r="LXY115" s="15"/>
      <c r="LXZ115" s="15"/>
      <c r="LYA115" s="15"/>
      <c r="LYB115" s="15"/>
      <c r="LYC115" s="15"/>
      <c r="LYD115" s="15"/>
      <c r="LYE115" s="15"/>
      <c r="LYF115" s="15"/>
      <c r="LYG115" s="15"/>
      <c r="LYH115" s="15"/>
      <c r="LYI115" s="15"/>
      <c r="LYJ115" s="15"/>
      <c r="LYK115" s="15"/>
      <c r="LYL115" s="15"/>
      <c r="LYM115" s="15"/>
      <c r="LYN115" s="15"/>
      <c r="LYO115" s="15"/>
      <c r="LYP115" s="14"/>
      <c r="LYQ115" s="15"/>
      <c r="LYR115" s="15"/>
      <c r="LYS115" s="15"/>
      <c r="LYT115" s="15"/>
      <c r="LYU115" s="15"/>
      <c r="LYV115" s="15"/>
      <c r="LYW115" s="15"/>
      <c r="LYX115" s="15"/>
      <c r="LYY115" s="15"/>
      <c r="LYZ115" s="15"/>
      <c r="LZA115" s="15"/>
      <c r="LZB115" s="15"/>
      <c r="LZC115" s="15"/>
      <c r="LZD115" s="15"/>
      <c r="LZE115" s="15"/>
      <c r="LZF115" s="15"/>
      <c r="LZG115" s="15"/>
      <c r="LZH115" s="15"/>
      <c r="LZI115" s="15"/>
      <c r="LZJ115" s="15"/>
      <c r="LZK115" s="15"/>
      <c r="LZL115" s="14"/>
      <c r="LZM115" s="15"/>
      <c r="LZN115" s="15"/>
      <c r="LZO115" s="15"/>
      <c r="LZP115" s="15"/>
      <c r="LZQ115" s="15"/>
      <c r="LZR115" s="15"/>
      <c r="LZS115" s="15"/>
      <c r="LZT115" s="15"/>
      <c r="LZU115" s="15"/>
      <c r="LZV115" s="15"/>
      <c r="LZW115" s="15"/>
      <c r="LZX115" s="15"/>
      <c r="LZY115" s="15"/>
      <c r="LZZ115" s="15"/>
      <c r="MAA115" s="15"/>
      <c r="MAB115" s="15"/>
      <c r="MAC115" s="15"/>
      <c r="MAD115" s="15"/>
      <c r="MAE115" s="15"/>
      <c r="MAF115" s="15"/>
      <c r="MAG115" s="15"/>
      <c r="MAH115" s="14"/>
      <c r="MAI115" s="15"/>
      <c r="MAJ115" s="15"/>
      <c r="MAK115" s="15"/>
      <c r="MAL115" s="15"/>
      <c r="MAM115" s="15"/>
      <c r="MAN115" s="15"/>
      <c r="MAO115" s="15"/>
      <c r="MAP115" s="15"/>
      <c r="MAQ115" s="15"/>
      <c r="MAR115" s="15"/>
      <c r="MAS115" s="15"/>
      <c r="MAT115" s="15"/>
      <c r="MAU115" s="15"/>
      <c r="MAV115" s="15"/>
      <c r="MAW115" s="15"/>
      <c r="MAX115" s="15"/>
      <c r="MAY115" s="15"/>
      <c r="MAZ115" s="15"/>
      <c r="MBA115" s="15"/>
      <c r="MBB115" s="15"/>
      <c r="MBC115" s="15"/>
      <c r="MBD115" s="14"/>
      <c r="MBE115" s="15"/>
      <c r="MBF115" s="15"/>
      <c r="MBG115" s="15"/>
      <c r="MBH115" s="15"/>
      <c r="MBI115" s="15"/>
      <c r="MBJ115" s="15"/>
      <c r="MBK115" s="15"/>
      <c r="MBL115" s="15"/>
      <c r="MBM115" s="15"/>
      <c r="MBN115" s="15"/>
      <c r="MBO115" s="15"/>
      <c r="MBP115" s="15"/>
      <c r="MBQ115" s="15"/>
      <c r="MBR115" s="15"/>
      <c r="MBS115" s="15"/>
      <c r="MBT115" s="15"/>
      <c r="MBU115" s="15"/>
      <c r="MBV115" s="15"/>
      <c r="MBW115" s="15"/>
      <c r="MBX115" s="15"/>
      <c r="MBY115" s="15"/>
      <c r="MBZ115" s="14"/>
      <c r="MCA115" s="15"/>
      <c r="MCB115" s="15"/>
      <c r="MCC115" s="15"/>
      <c r="MCD115" s="15"/>
      <c r="MCE115" s="15"/>
      <c r="MCF115" s="15"/>
      <c r="MCG115" s="15"/>
      <c r="MCH115" s="15"/>
      <c r="MCI115" s="15"/>
      <c r="MCJ115" s="15"/>
      <c r="MCK115" s="15"/>
      <c r="MCL115" s="15"/>
      <c r="MCM115" s="15"/>
      <c r="MCN115" s="15"/>
      <c r="MCO115" s="15"/>
      <c r="MCP115" s="15"/>
      <c r="MCQ115" s="15"/>
      <c r="MCR115" s="15"/>
      <c r="MCS115" s="15"/>
      <c r="MCT115" s="15"/>
      <c r="MCU115" s="15"/>
      <c r="MCV115" s="14"/>
      <c r="MCW115" s="15"/>
      <c r="MCX115" s="15"/>
      <c r="MCY115" s="15"/>
      <c r="MCZ115" s="15"/>
      <c r="MDA115" s="15"/>
      <c r="MDB115" s="15"/>
      <c r="MDC115" s="15"/>
      <c r="MDD115" s="15"/>
      <c r="MDE115" s="15"/>
      <c r="MDF115" s="15"/>
      <c r="MDG115" s="15"/>
      <c r="MDH115" s="15"/>
      <c r="MDI115" s="15"/>
      <c r="MDJ115" s="15"/>
      <c r="MDK115" s="15"/>
      <c r="MDL115" s="15"/>
      <c r="MDM115" s="15"/>
      <c r="MDN115" s="15"/>
      <c r="MDO115" s="15"/>
      <c r="MDP115" s="15"/>
      <c r="MDQ115" s="15"/>
      <c r="MDR115" s="14"/>
      <c r="MDS115" s="15"/>
      <c r="MDT115" s="15"/>
      <c r="MDU115" s="15"/>
      <c r="MDV115" s="15"/>
      <c r="MDW115" s="15"/>
      <c r="MDX115" s="15"/>
      <c r="MDY115" s="15"/>
      <c r="MDZ115" s="15"/>
      <c r="MEA115" s="15"/>
      <c r="MEB115" s="15"/>
      <c r="MEC115" s="15"/>
      <c r="MED115" s="15"/>
      <c r="MEE115" s="15"/>
      <c r="MEF115" s="15"/>
      <c r="MEG115" s="15"/>
      <c r="MEH115" s="15"/>
      <c r="MEI115" s="15"/>
      <c r="MEJ115" s="15"/>
      <c r="MEK115" s="15"/>
      <c r="MEL115" s="15"/>
      <c r="MEM115" s="15"/>
      <c r="MEN115" s="14"/>
      <c r="MEO115" s="15"/>
      <c r="MEP115" s="15"/>
      <c r="MEQ115" s="15"/>
      <c r="MER115" s="15"/>
      <c r="MES115" s="15"/>
      <c r="MET115" s="15"/>
      <c r="MEU115" s="15"/>
      <c r="MEV115" s="15"/>
      <c r="MEW115" s="15"/>
      <c r="MEX115" s="15"/>
      <c r="MEY115" s="15"/>
      <c r="MEZ115" s="15"/>
      <c r="MFA115" s="15"/>
      <c r="MFB115" s="15"/>
      <c r="MFC115" s="15"/>
      <c r="MFD115" s="15"/>
      <c r="MFE115" s="15"/>
      <c r="MFF115" s="15"/>
      <c r="MFG115" s="15"/>
      <c r="MFH115" s="15"/>
      <c r="MFI115" s="15"/>
      <c r="MFJ115" s="14"/>
      <c r="MFK115" s="15"/>
      <c r="MFL115" s="15"/>
      <c r="MFM115" s="15"/>
      <c r="MFN115" s="15"/>
      <c r="MFO115" s="15"/>
      <c r="MFP115" s="15"/>
      <c r="MFQ115" s="15"/>
      <c r="MFR115" s="15"/>
      <c r="MFS115" s="15"/>
      <c r="MFT115" s="15"/>
      <c r="MFU115" s="15"/>
      <c r="MFV115" s="15"/>
      <c r="MFW115" s="15"/>
      <c r="MFX115" s="15"/>
      <c r="MFY115" s="15"/>
      <c r="MFZ115" s="15"/>
      <c r="MGA115" s="15"/>
      <c r="MGB115" s="15"/>
      <c r="MGC115" s="15"/>
      <c r="MGD115" s="15"/>
      <c r="MGE115" s="15"/>
      <c r="MGF115" s="14"/>
      <c r="MGG115" s="15"/>
      <c r="MGH115" s="15"/>
      <c r="MGI115" s="15"/>
      <c r="MGJ115" s="15"/>
      <c r="MGK115" s="15"/>
      <c r="MGL115" s="15"/>
      <c r="MGM115" s="15"/>
      <c r="MGN115" s="15"/>
      <c r="MGO115" s="15"/>
      <c r="MGP115" s="15"/>
      <c r="MGQ115" s="15"/>
      <c r="MGR115" s="15"/>
      <c r="MGS115" s="15"/>
      <c r="MGT115" s="15"/>
      <c r="MGU115" s="15"/>
      <c r="MGV115" s="15"/>
      <c r="MGW115" s="15"/>
      <c r="MGX115" s="15"/>
      <c r="MGY115" s="15"/>
      <c r="MGZ115" s="15"/>
      <c r="MHA115" s="15"/>
      <c r="MHB115" s="14"/>
      <c r="MHC115" s="15"/>
      <c r="MHD115" s="15"/>
      <c r="MHE115" s="15"/>
      <c r="MHF115" s="15"/>
      <c r="MHG115" s="15"/>
      <c r="MHH115" s="15"/>
      <c r="MHI115" s="15"/>
      <c r="MHJ115" s="15"/>
      <c r="MHK115" s="15"/>
      <c r="MHL115" s="15"/>
      <c r="MHM115" s="15"/>
      <c r="MHN115" s="15"/>
      <c r="MHO115" s="15"/>
      <c r="MHP115" s="15"/>
      <c r="MHQ115" s="15"/>
      <c r="MHR115" s="15"/>
      <c r="MHS115" s="15"/>
      <c r="MHT115" s="15"/>
      <c r="MHU115" s="15"/>
      <c r="MHV115" s="15"/>
      <c r="MHW115" s="15"/>
      <c r="MHX115" s="14"/>
      <c r="MHY115" s="15"/>
      <c r="MHZ115" s="15"/>
      <c r="MIA115" s="15"/>
      <c r="MIB115" s="15"/>
      <c r="MIC115" s="15"/>
      <c r="MID115" s="15"/>
      <c r="MIE115" s="15"/>
      <c r="MIF115" s="15"/>
      <c r="MIG115" s="15"/>
      <c r="MIH115" s="15"/>
      <c r="MII115" s="15"/>
      <c r="MIJ115" s="15"/>
      <c r="MIK115" s="15"/>
      <c r="MIL115" s="15"/>
      <c r="MIM115" s="15"/>
      <c r="MIN115" s="15"/>
      <c r="MIO115" s="15"/>
      <c r="MIP115" s="15"/>
      <c r="MIQ115" s="15"/>
      <c r="MIR115" s="15"/>
      <c r="MIS115" s="15"/>
      <c r="MIT115" s="14"/>
      <c r="MIU115" s="15"/>
      <c r="MIV115" s="15"/>
      <c r="MIW115" s="15"/>
      <c r="MIX115" s="15"/>
      <c r="MIY115" s="15"/>
      <c r="MIZ115" s="15"/>
      <c r="MJA115" s="15"/>
      <c r="MJB115" s="15"/>
      <c r="MJC115" s="15"/>
      <c r="MJD115" s="15"/>
      <c r="MJE115" s="15"/>
      <c r="MJF115" s="15"/>
      <c r="MJG115" s="15"/>
      <c r="MJH115" s="15"/>
      <c r="MJI115" s="15"/>
      <c r="MJJ115" s="15"/>
      <c r="MJK115" s="15"/>
      <c r="MJL115" s="15"/>
      <c r="MJM115" s="15"/>
      <c r="MJN115" s="15"/>
      <c r="MJO115" s="15"/>
      <c r="MJP115" s="14"/>
      <c r="MJQ115" s="15"/>
      <c r="MJR115" s="15"/>
      <c r="MJS115" s="15"/>
      <c r="MJT115" s="15"/>
      <c r="MJU115" s="15"/>
      <c r="MJV115" s="15"/>
      <c r="MJW115" s="15"/>
      <c r="MJX115" s="15"/>
      <c r="MJY115" s="15"/>
      <c r="MJZ115" s="15"/>
      <c r="MKA115" s="15"/>
      <c r="MKB115" s="15"/>
      <c r="MKC115" s="15"/>
      <c r="MKD115" s="15"/>
      <c r="MKE115" s="15"/>
      <c r="MKF115" s="15"/>
      <c r="MKG115" s="15"/>
      <c r="MKH115" s="15"/>
      <c r="MKI115" s="15"/>
      <c r="MKJ115" s="15"/>
      <c r="MKK115" s="15"/>
      <c r="MKL115" s="14"/>
      <c r="MKM115" s="15"/>
      <c r="MKN115" s="15"/>
      <c r="MKO115" s="15"/>
      <c r="MKP115" s="15"/>
      <c r="MKQ115" s="15"/>
      <c r="MKR115" s="15"/>
      <c r="MKS115" s="15"/>
      <c r="MKT115" s="15"/>
      <c r="MKU115" s="15"/>
      <c r="MKV115" s="15"/>
      <c r="MKW115" s="15"/>
      <c r="MKX115" s="15"/>
      <c r="MKY115" s="15"/>
      <c r="MKZ115" s="15"/>
      <c r="MLA115" s="15"/>
      <c r="MLB115" s="15"/>
      <c r="MLC115" s="15"/>
      <c r="MLD115" s="15"/>
      <c r="MLE115" s="15"/>
      <c r="MLF115" s="15"/>
      <c r="MLG115" s="15"/>
      <c r="MLH115" s="14"/>
      <c r="MLI115" s="15"/>
      <c r="MLJ115" s="15"/>
      <c r="MLK115" s="15"/>
      <c r="MLL115" s="15"/>
      <c r="MLM115" s="15"/>
      <c r="MLN115" s="15"/>
      <c r="MLO115" s="15"/>
      <c r="MLP115" s="15"/>
      <c r="MLQ115" s="15"/>
      <c r="MLR115" s="15"/>
      <c r="MLS115" s="15"/>
      <c r="MLT115" s="15"/>
      <c r="MLU115" s="15"/>
      <c r="MLV115" s="15"/>
      <c r="MLW115" s="15"/>
      <c r="MLX115" s="15"/>
      <c r="MLY115" s="15"/>
      <c r="MLZ115" s="15"/>
      <c r="MMA115" s="15"/>
      <c r="MMB115" s="15"/>
      <c r="MMC115" s="15"/>
      <c r="MMD115" s="14"/>
      <c r="MME115" s="15"/>
      <c r="MMF115" s="15"/>
      <c r="MMG115" s="15"/>
      <c r="MMH115" s="15"/>
      <c r="MMI115" s="15"/>
      <c r="MMJ115" s="15"/>
      <c r="MMK115" s="15"/>
      <c r="MML115" s="15"/>
      <c r="MMM115" s="15"/>
      <c r="MMN115" s="15"/>
      <c r="MMO115" s="15"/>
      <c r="MMP115" s="15"/>
      <c r="MMQ115" s="15"/>
      <c r="MMR115" s="15"/>
      <c r="MMS115" s="15"/>
      <c r="MMT115" s="15"/>
      <c r="MMU115" s="15"/>
      <c r="MMV115" s="15"/>
      <c r="MMW115" s="15"/>
      <c r="MMX115" s="15"/>
      <c r="MMY115" s="15"/>
      <c r="MMZ115" s="14"/>
      <c r="MNA115" s="15"/>
      <c r="MNB115" s="15"/>
      <c r="MNC115" s="15"/>
      <c r="MND115" s="15"/>
      <c r="MNE115" s="15"/>
      <c r="MNF115" s="15"/>
      <c r="MNG115" s="15"/>
      <c r="MNH115" s="15"/>
      <c r="MNI115" s="15"/>
      <c r="MNJ115" s="15"/>
      <c r="MNK115" s="15"/>
      <c r="MNL115" s="15"/>
      <c r="MNM115" s="15"/>
      <c r="MNN115" s="15"/>
      <c r="MNO115" s="15"/>
      <c r="MNP115" s="15"/>
      <c r="MNQ115" s="15"/>
      <c r="MNR115" s="15"/>
      <c r="MNS115" s="15"/>
      <c r="MNT115" s="15"/>
      <c r="MNU115" s="15"/>
      <c r="MNV115" s="14"/>
      <c r="MNW115" s="15"/>
      <c r="MNX115" s="15"/>
      <c r="MNY115" s="15"/>
      <c r="MNZ115" s="15"/>
      <c r="MOA115" s="15"/>
      <c r="MOB115" s="15"/>
      <c r="MOC115" s="15"/>
      <c r="MOD115" s="15"/>
      <c r="MOE115" s="15"/>
      <c r="MOF115" s="15"/>
      <c r="MOG115" s="15"/>
      <c r="MOH115" s="15"/>
      <c r="MOI115" s="15"/>
      <c r="MOJ115" s="15"/>
      <c r="MOK115" s="15"/>
      <c r="MOL115" s="15"/>
      <c r="MOM115" s="15"/>
      <c r="MON115" s="15"/>
      <c r="MOO115" s="15"/>
      <c r="MOP115" s="15"/>
      <c r="MOQ115" s="15"/>
      <c r="MOR115" s="14"/>
      <c r="MOS115" s="15"/>
      <c r="MOT115" s="15"/>
      <c r="MOU115" s="15"/>
      <c r="MOV115" s="15"/>
      <c r="MOW115" s="15"/>
      <c r="MOX115" s="15"/>
      <c r="MOY115" s="15"/>
      <c r="MOZ115" s="15"/>
      <c r="MPA115" s="15"/>
      <c r="MPB115" s="15"/>
      <c r="MPC115" s="15"/>
      <c r="MPD115" s="15"/>
      <c r="MPE115" s="15"/>
      <c r="MPF115" s="15"/>
      <c r="MPG115" s="15"/>
      <c r="MPH115" s="15"/>
      <c r="MPI115" s="15"/>
      <c r="MPJ115" s="15"/>
      <c r="MPK115" s="15"/>
      <c r="MPL115" s="15"/>
      <c r="MPM115" s="15"/>
      <c r="MPN115" s="14"/>
      <c r="MPO115" s="15"/>
      <c r="MPP115" s="15"/>
      <c r="MPQ115" s="15"/>
      <c r="MPR115" s="15"/>
      <c r="MPS115" s="15"/>
      <c r="MPT115" s="15"/>
      <c r="MPU115" s="15"/>
      <c r="MPV115" s="15"/>
      <c r="MPW115" s="15"/>
      <c r="MPX115" s="15"/>
      <c r="MPY115" s="15"/>
      <c r="MPZ115" s="15"/>
      <c r="MQA115" s="15"/>
      <c r="MQB115" s="15"/>
      <c r="MQC115" s="15"/>
      <c r="MQD115" s="15"/>
      <c r="MQE115" s="15"/>
      <c r="MQF115" s="15"/>
      <c r="MQG115" s="15"/>
      <c r="MQH115" s="15"/>
      <c r="MQI115" s="15"/>
      <c r="MQJ115" s="14"/>
      <c r="MQK115" s="15"/>
      <c r="MQL115" s="15"/>
      <c r="MQM115" s="15"/>
      <c r="MQN115" s="15"/>
      <c r="MQO115" s="15"/>
      <c r="MQP115" s="15"/>
      <c r="MQQ115" s="15"/>
      <c r="MQR115" s="15"/>
      <c r="MQS115" s="15"/>
      <c r="MQT115" s="15"/>
      <c r="MQU115" s="15"/>
      <c r="MQV115" s="15"/>
      <c r="MQW115" s="15"/>
      <c r="MQX115" s="15"/>
      <c r="MQY115" s="15"/>
      <c r="MQZ115" s="15"/>
      <c r="MRA115" s="15"/>
      <c r="MRB115" s="15"/>
      <c r="MRC115" s="15"/>
      <c r="MRD115" s="15"/>
      <c r="MRE115" s="15"/>
      <c r="MRF115" s="14"/>
      <c r="MRG115" s="15"/>
      <c r="MRH115" s="15"/>
      <c r="MRI115" s="15"/>
      <c r="MRJ115" s="15"/>
      <c r="MRK115" s="15"/>
      <c r="MRL115" s="15"/>
      <c r="MRM115" s="15"/>
      <c r="MRN115" s="15"/>
      <c r="MRO115" s="15"/>
      <c r="MRP115" s="15"/>
      <c r="MRQ115" s="15"/>
      <c r="MRR115" s="15"/>
      <c r="MRS115" s="15"/>
      <c r="MRT115" s="15"/>
      <c r="MRU115" s="15"/>
      <c r="MRV115" s="15"/>
      <c r="MRW115" s="15"/>
      <c r="MRX115" s="15"/>
      <c r="MRY115" s="15"/>
      <c r="MRZ115" s="15"/>
      <c r="MSA115" s="15"/>
      <c r="MSB115" s="14"/>
      <c r="MSC115" s="15"/>
      <c r="MSD115" s="15"/>
      <c r="MSE115" s="15"/>
      <c r="MSF115" s="15"/>
      <c r="MSG115" s="15"/>
      <c r="MSH115" s="15"/>
      <c r="MSI115" s="15"/>
      <c r="MSJ115" s="15"/>
      <c r="MSK115" s="15"/>
      <c r="MSL115" s="15"/>
      <c r="MSM115" s="15"/>
      <c r="MSN115" s="15"/>
      <c r="MSO115" s="15"/>
      <c r="MSP115" s="15"/>
      <c r="MSQ115" s="15"/>
      <c r="MSR115" s="15"/>
      <c r="MSS115" s="15"/>
      <c r="MST115" s="15"/>
      <c r="MSU115" s="15"/>
      <c r="MSV115" s="15"/>
      <c r="MSW115" s="15"/>
      <c r="MSX115" s="14"/>
      <c r="MSY115" s="15"/>
      <c r="MSZ115" s="15"/>
      <c r="MTA115" s="15"/>
      <c r="MTB115" s="15"/>
      <c r="MTC115" s="15"/>
      <c r="MTD115" s="15"/>
      <c r="MTE115" s="15"/>
      <c r="MTF115" s="15"/>
      <c r="MTG115" s="15"/>
      <c r="MTH115" s="15"/>
      <c r="MTI115" s="15"/>
      <c r="MTJ115" s="15"/>
      <c r="MTK115" s="15"/>
      <c r="MTL115" s="15"/>
      <c r="MTM115" s="15"/>
      <c r="MTN115" s="15"/>
      <c r="MTO115" s="15"/>
      <c r="MTP115" s="15"/>
      <c r="MTQ115" s="15"/>
      <c r="MTR115" s="15"/>
      <c r="MTS115" s="15"/>
      <c r="MTT115" s="14"/>
      <c r="MTU115" s="15"/>
      <c r="MTV115" s="15"/>
      <c r="MTW115" s="15"/>
      <c r="MTX115" s="15"/>
      <c r="MTY115" s="15"/>
      <c r="MTZ115" s="15"/>
      <c r="MUA115" s="15"/>
      <c r="MUB115" s="15"/>
      <c r="MUC115" s="15"/>
      <c r="MUD115" s="15"/>
      <c r="MUE115" s="15"/>
      <c r="MUF115" s="15"/>
      <c r="MUG115" s="15"/>
      <c r="MUH115" s="15"/>
      <c r="MUI115" s="15"/>
      <c r="MUJ115" s="15"/>
      <c r="MUK115" s="15"/>
      <c r="MUL115" s="15"/>
      <c r="MUM115" s="15"/>
      <c r="MUN115" s="15"/>
      <c r="MUO115" s="15"/>
      <c r="MUP115" s="14"/>
      <c r="MUQ115" s="15"/>
      <c r="MUR115" s="15"/>
      <c r="MUS115" s="15"/>
      <c r="MUT115" s="15"/>
      <c r="MUU115" s="15"/>
      <c r="MUV115" s="15"/>
      <c r="MUW115" s="15"/>
      <c r="MUX115" s="15"/>
      <c r="MUY115" s="15"/>
      <c r="MUZ115" s="15"/>
      <c r="MVA115" s="15"/>
      <c r="MVB115" s="15"/>
      <c r="MVC115" s="15"/>
      <c r="MVD115" s="15"/>
      <c r="MVE115" s="15"/>
      <c r="MVF115" s="15"/>
      <c r="MVG115" s="15"/>
      <c r="MVH115" s="15"/>
      <c r="MVI115" s="15"/>
      <c r="MVJ115" s="15"/>
      <c r="MVK115" s="15"/>
      <c r="MVL115" s="14"/>
      <c r="MVM115" s="15"/>
      <c r="MVN115" s="15"/>
      <c r="MVO115" s="15"/>
      <c r="MVP115" s="15"/>
      <c r="MVQ115" s="15"/>
      <c r="MVR115" s="15"/>
      <c r="MVS115" s="15"/>
      <c r="MVT115" s="15"/>
      <c r="MVU115" s="15"/>
      <c r="MVV115" s="15"/>
      <c r="MVW115" s="15"/>
      <c r="MVX115" s="15"/>
      <c r="MVY115" s="15"/>
      <c r="MVZ115" s="15"/>
      <c r="MWA115" s="15"/>
      <c r="MWB115" s="15"/>
      <c r="MWC115" s="15"/>
      <c r="MWD115" s="15"/>
      <c r="MWE115" s="15"/>
      <c r="MWF115" s="15"/>
      <c r="MWG115" s="15"/>
      <c r="MWH115" s="14"/>
      <c r="MWI115" s="15"/>
      <c r="MWJ115" s="15"/>
      <c r="MWK115" s="15"/>
      <c r="MWL115" s="15"/>
      <c r="MWM115" s="15"/>
      <c r="MWN115" s="15"/>
      <c r="MWO115" s="15"/>
      <c r="MWP115" s="15"/>
      <c r="MWQ115" s="15"/>
      <c r="MWR115" s="15"/>
      <c r="MWS115" s="15"/>
      <c r="MWT115" s="15"/>
      <c r="MWU115" s="15"/>
      <c r="MWV115" s="15"/>
      <c r="MWW115" s="15"/>
      <c r="MWX115" s="15"/>
      <c r="MWY115" s="15"/>
      <c r="MWZ115" s="15"/>
      <c r="MXA115" s="15"/>
      <c r="MXB115" s="15"/>
      <c r="MXC115" s="15"/>
      <c r="MXD115" s="14"/>
      <c r="MXE115" s="15"/>
      <c r="MXF115" s="15"/>
      <c r="MXG115" s="15"/>
      <c r="MXH115" s="15"/>
      <c r="MXI115" s="15"/>
      <c r="MXJ115" s="15"/>
      <c r="MXK115" s="15"/>
      <c r="MXL115" s="15"/>
      <c r="MXM115" s="15"/>
      <c r="MXN115" s="15"/>
      <c r="MXO115" s="15"/>
      <c r="MXP115" s="15"/>
      <c r="MXQ115" s="15"/>
      <c r="MXR115" s="15"/>
      <c r="MXS115" s="15"/>
      <c r="MXT115" s="15"/>
      <c r="MXU115" s="15"/>
      <c r="MXV115" s="15"/>
      <c r="MXW115" s="15"/>
      <c r="MXX115" s="15"/>
      <c r="MXY115" s="15"/>
      <c r="MXZ115" s="14"/>
      <c r="MYA115" s="15"/>
      <c r="MYB115" s="15"/>
      <c r="MYC115" s="15"/>
      <c r="MYD115" s="15"/>
      <c r="MYE115" s="15"/>
      <c r="MYF115" s="15"/>
      <c r="MYG115" s="15"/>
      <c r="MYH115" s="15"/>
      <c r="MYI115" s="15"/>
      <c r="MYJ115" s="15"/>
      <c r="MYK115" s="15"/>
      <c r="MYL115" s="15"/>
      <c r="MYM115" s="15"/>
      <c r="MYN115" s="15"/>
      <c r="MYO115" s="15"/>
      <c r="MYP115" s="15"/>
      <c r="MYQ115" s="15"/>
      <c r="MYR115" s="15"/>
      <c r="MYS115" s="15"/>
      <c r="MYT115" s="15"/>
      <c r="MYU115" s="15"/>
      <c r="MYV115" s="14"/>
      <c r="MYW115" s="15"/>
      <c r="MYX115" s="15"/>
      <c r="MYY115" s="15"/>
      <c r="MYZ115" s="15"/>
      <c r="MZA115" s="15"/>
      <c r="MZB115" s="15"/>
      <c r="MZC115" s="15"/>
      <c r="MZD115" s="15"/>
      <c r="MZE115" s="15"/>
      <c r="MZF115" s="15"/>
      <c r="MZG115" s="15"/>
      <c r="MZH115" s="15"/>
      <c r="MZI115" s="15"/>
      <c r="MZJ115" s="15"/>
      <c r="MZK115" s="15"/>
      <c r="MZL115" s="15"/>
      <c r="MZM115" s="15"/>
      <c r="MZN115" s="15"/>
      <c r="MZO115" s="15"/>
      <c r="MZP115" s="15"/>
      <c r="MZQ115" s="15"/>
      <c r="MZR115" s="14"/>
      <c r="MZS115" s="15"/>
      <c r="MZT115" s="15"/>
      <c r="MZU115" s="15"/>
      <c r="MZV115" s="15"/>
      <c r="MZW115" s="15"/>
      <c r="MZX115" s="15"/>
      <c r="MZY115" s="15"/>
      <c r="MZZ115" s="15"/>
      <c r="NAA115" s="15"/>
      <c r="NAB115" s="15"/>
      <c r="NAC115" s="15"/>
      <c r="NAD115" s="15"/>
      <c r="NAE115" s="15"/>
      <c r="NAF115" s="15"/>
      <c r="NAG115" s="15"/>
      <c r="NAH115" s="15"/>
      <c r="NAI115" s="15"/>
      <c r="NAJ115" s="15"/>
      <c r="NAK115" s="15"/>
      <c r="NAL115" s="15"/>
      <c r="NAM115" s="15"/>
      <c r="NAN115" s="14"/>
      <c r="NAO115" s="15"/>
      <c r="NAP115" s="15"/>
      <c r="NAQ115" s="15"/>
      <c r="NAR115" s="15"/>
      <c r="NAS115" s="15"/>
      <c r="NAT115" s="15"/>
      <c r="NAU115" s="15"/>
      <c r="NAV115" s="15"/>
      <c r="NAW115" s="15"/>
      <c r="NAX115" s="15"/>
      <c r="NAY115" s="15"/>
      <c r="NAZ115" s="15"/>
      <c r="NBA115" s="15"/>
      <c r="NBB115" s="15"/>
      <c r="NBC115" s="15"/>
      <c r="NBD115" s="15"/>
      <c r="NBE115" s="15"/>
      <c r="NBF115" s="15"/>
      <c r="NBG115" s="15"/>
      <c r="NBH115" s="15"/>
      <c r="NBI115" s="15"/>
      <c r="NBJ115" s="14"/>
      <c r="NBK115" s="15"/>
      <c r="NBL115" s="15"/>
      <c r="NBM115" s="15"/>
      <c r="NBN115" s="15"/>
      <c r="NBO115" s="15"/>
      <c r="NBP115" s="15"/>
      <c r="NBQ115" s="15"/>
      <c r="NBR115" s="15"/>
      <c r="NBS115" s="15"/>
      <c r="NBT115" s="15"/>
      <c r="NBU115" s="15"/>
      <c r="NBV115" s="15"/>
      <c r="NBW115" s="15"/>
      <c r="NBX115" s="15"/>
      <c r="NBY115" s="15"/>
      <c r="NBZ115" s="15"/>
      <c r="NCA115" s="15"/>
      <c r="NCB115" s="15"/>
      <c r="NCC115" s="15"/>
      <c r="NCD115" s="15"/>
      <c r="NCE115" s="15"/>
      <c r="NCF115" s="14"/>
      <c r="NCG115" s="15"/>
      <c r="NCH115" s="15"/>
      <c r="NCI115" s="15"/>
      <c r="NCJ115" s="15"/>
      <c r="NCK115" s="15"/>
      <c r="NCL115" s="15"/>
      <c r="NCM115" s="15"/>
      <c r="NCN115" s="15"/>
      <c r="NCO115" s="15"/>
      <c r="NCP115" s="15"/>
      <c r="NCQ115" s="15"/>
      <c r="NCR115" s="15"/>
      <c r="NCS115" s="15"/>
      <c r="NCT115" s="15"/>
      <c r="NCU115" s="15"/>
      <c r="NCV115" s="15"/>
      <c r="NCW115" s="15"/>
      <c r="NCX115" s="15"/>
      <c r="NCY115" s="15"/>
      <c r="NCZ115" s="15"/>
      <c r="NDA115" s="15"/>
      <c r="NDB115" s="14"/>
      <c r="NDC115" s="15"/>
      <c r="NDD115" s="15"/>
      <c r="NDE115" s="15"/>
      <c r="NDF115" s="15"/>
      <c r="NDG115" s="15"/>
      <c r="NDH115" s="15"/>
      <c r="NDI115" s="15"/>
      <c r="NDJ115" s="15"/>
      <c r="NDK115" s="15"/>
      <c r="NDL115" s="15"/>
      <c r="NDM115" s="15"/>
      <c r="NDN115" s="15"/>
      <c r="NDO115" s="15"/>
      <c r="NDP115" s="15"/>
      <c r="NDQ115" s="15"/>
      <c r="NDR115" s="15"/>
      <c r="NDS115" s="15"/>
      <c r="NDT115" s="15"/>
      <c r="NDU115" s="15"/>
      <c r="NDV115" s="15"/>
      <c r="NDW115" s="15"/>
      <c r="NDX115" s="14"/>
      <c r="NDY115" s="15"/>
      <c r="NDZ115" s="15"/>
      <c r="NEA115" s="15"/>
      <c r="NEB115" s="15"/>
      <c r="NEC115" s="15"/>
      <c r="NED115" s="15"/>
      <c r="NEE115" s="15"/>
      <c r="NEF115" s="15"/>
      <c r="NEG115" s="15"/>
      <c r="NEH115" s="15"/>
      <c r="NEI115" s="15"/>
      <c r="NEJ115" s="15"/>
      <c r="NEK115" s="15"/>
      <c r="NEL115" s="15"/>
      <c r="NEM115" s="15"/>
      <c r="NEN115" s="15"/>
      <c r="NEO115" s="15"/>
      <c r="NEP115" s="15"/>
      <c r="NEQ115" s="15"/>
      <c r="NER115" s="15"/>
      <c r="NES115" s="15"/>
      <c r="NET115" s="14"/>
      <c r="NEU115" s="15"/>
      <c r="NEV115" s="15"/>
      <c r="NEW115" s="15"/>
      <c r="NEX115" s="15"/>
      <c r="NEY115" s="15"/>
      <c r="NEZ115" s="15"/>
      <c r="NFA115" s="15"/>
      <c r="NFB115" s="15"/>
      <c r="NFC115" s="15"/>
      <c r="NFD115" s="15"/>
      <c r="NFE115" s="15"/>
      <c r="NFF115" s="15"/>
      <c r="NFG115" s="15"/>
      <c r="NFH115" s="15"/>
      <c r="NFI115" s="15"/>
      <c r="NFJ115" s="15"/>
      <c r="NFK115" s="15"/>
      <c r="NFL115" s="15"/>
      <c r="NFM115" s="15"/>
      <c r="NFN115" s="15"/>
      <c r="NFO115" s="15"/>
      <c r="NFP115" s="14"/>
      <c r="NFQ115" s="15"/>
      <c r="NFR115" s="15"/>
      <c r="NFS115" s="15"/>
      <c r="NFT115" s="15"/>
      <c r="NFU115" s="15"/>
      <c r="NFV115" s="15"/>
      <c r="NFW115" s="15"/>
      <c r="NFX115" s="15"/>
      <c r="NFY115" s="15"/>
      <c r="NFZ115" s="15"/>
      <c r="NGA115" s="15"/>
      <c r="NGB115" s="15"/>
      <c r="NGC115" s="15"/>
      <c r="NGD115" s="15"/>
      <c r="NGE115" s="15"/>
      <c r="NGF115" s="15"/>
      <c r="NGG115" s="15"/>
      <c r="NGH115" s="15"/>
      <c r="NGI115" s="15"/>
      <c r="NGJ115" s="15"/>
      <c r="NGK115" s="15"/>
      <c r="NGL115" s="14"/>
      <c r="NGM115" s="15"/>
      <c r="NGN115" s="15"/>
      <c r="NGO115" s="15"/>
      <c r="NGP115" s="15"/>
      <c r="NGQ115" s="15"/>
      <c r="NGR115" s="15"/>
      <c r="NGS115" s="15"/>
      <c r="NGT115" s="15"/>
      <c r="NGU115" s="15"/>
      <c r="NGV115" s="15"/>
      <c r="NGW115" s="15"/>
      <c r="NGX115" s="15"/>
      <c r="NGY115" s="15"/>
      <c r="NGZ115" s="15"/>
      <c r="NHA115" s="15"/>
      <c r="NHB115" s="15"/>
      <c r="NHC115" s="15"/>
      <c r="NHD115" s="15"/>
      <c r="NHE115" s="15"/>
      <c r="NHF115" s="15"/>
      <c r="NHG115" s="15"/>
      <c r="NHH115" s="14"/>
      <c r="NHI115" s="15"/>
      <c r="NHJ115" s="15"/>
      <c r="NHK115" s="15"/>
      <c r="NHL115" s="15"/>
      <c r="NHM115" s="15"/>
      <c r="NHN115" s="15"/>
      <c r="NHO115" s="15"/>
      <c r="NHP115" s="15"/>
      <c r="NHQ115" s="15"/>
      <c r="NHR115" s="15"/>
      <c r="NHS115" s="15"/>
      <c r="NHT115" s="15"/>
      <c r="NHU115" s="15"/>
      <c r="NHV115" s="15"/>
      <c r="NHW115" s="15"/>
      <c r="NHX115" s="15"/>
      <c r="NHY115" s="15"/>
      <c r="NHZ115" s="15"/>
      <c r="NIA115" s="15"/>
      <c r="NIB115" s="15"/>
      <c r="NIC115" s="15"/>
      <c r="NID115" s="14"/>
      <c r="NIE115" s="15"/>
      <c r="NIF115" s="15"/>
      <c r="NIG115" s="15"/>
      <c r="NIH115" s="15"/>
      <c r="NII115" s="15"/>
      <c r="NIJ115" s="15"/>
      <c r="NIK115" s="15"/>
      <c r="NIL115" s="15"/>
      <c r="NIM115" s="15"/>
      <c r="NIN115" s="15"/>
      <c r="NIO115" s="15"/>
      <c r="NIP115" s="15"/>
      <c r="NIQ115" s="15"/>
      <c r="NIR115" s="15"/>
      <c r="NIS115" s="15"/>
      <c r="NIT115" s="15"/>
      <c r="NIU115" s="15"/>
      <c r="NIV115" s="15"/>
      <c r="NIW115" s="15"/>
      <c r="NIX115" s="15"/>
      <c r="NIY115" s="15"/>
      <c r="NIZ115" s="14"/>
      <c r="NJA115" s="15"/>
      <c r="NJB115" s="15"/>
      <c r="NJC115" s="15"/>
      <c r="NJD115" s="15"/>
      <c r="NJE115" s="15"/>
      <c r="NJF115" s="15"/>
      <c r="NJG115" s="15"/>
      <c r="NJH115" s="15"/>
      <c r="NJI115" s="15"/>
      <c r="NJJ115" s="15"/>
      <c r="NJK115" s="15"/>
      <c r="NJL115" s="15"/>
      <c r="NJM115" s="15"/>
      <c r="NJN115" s="15"/>
      <c r="NJO115" s="15"/>
      <c r="NJP115" s="15"/>
      <c r="NJQ115" s="15"/>
      <c r="NJR115" s="15"/>
      <c r="NJS115" s="15"/>
      <c r="NJT115" s="15"/>
      <c r="NJU115" s="15"/>
      <c r="NJV115" s="14"/>
      <c r="NJW115" s="15"/>
      <c r="NJX115" s="15"/>
      <c r="NJY115" s="15"/>
      <c r="NJZ115" s="15"/>
      <c r="NKA115" s="15"/>
      <c r="NKB115" s="15"/>
      <c r="NKC115" s="15"/>
      <c r="NKD115" s="15"/>
      <c r="NKE115" s="15"/>
      <c r="NKF115" s="15"/>
      <c r="NKG115" s="15"/>
      <c r="NKH115" s="15"/>
      <c r="NKI115" s="15"/>
      <c r="NKJ115" s="15"/>
      <c r="NKK115" s="15"/>
      <c r="NKL115" s="15"/>
      <c r="NKM115" s="15"/>
      <c r="NKN115" s="15"/>
      <c r="NKO115" s="15"/>
      <c r="NKP115" s="15"/>
      <c r="NKQ115" s="15"/>
      <c r="NKR115" s="14"/>
      <c r="NKS115" s="15"/>
      <c r="NKT115" s="15"/>
      <c r="NKU115" s="15"/>
      <c r="NKV115" s="15"/>
      <c r="NKW115" s="15"/>
      <c r="NKX115" s="15"/>
      <c r="NKY115" s="15"/>
      <c r="NKZ115" s="15"/>
      <c r="NLA115" s="15"/>
      <c r="NLB115" s="15"/>
      <c r="NLC115" s="15"/>
      <c r="NLD115" s="15"/>
      <c r="NLE115" s="15"/>
      <c r="NLF115" s="15"/>
      <c r="NLG115" s="15"/>
      <c r="NLH115" s="15"/>
      <c r="NLI115" s="15"/>
      <c r="NLJ115" s="15"/>
      <c r="NLK115" s="15"/>
      <c r="NLL115" s="15"/>
      <c r="NLM115" s="15"/>
      <c r="NLN115" s="14"/>
      <c r="NLO115" s="15"/>
      <c r="NLP115" s="15"/>
      <c r="NLQ115" s="15"/>
      <c r="NLR115" s="15"/>
      <c r="NLS115" s="15"/>
      <c r="NLT115" s="15"/>
      <c r="NLU115" s="15"/>
      <c r="NLV115" s="15"/>
      <c r="NLW115" s="15"/>
      <c r="NLX115" s="15"/>
      <c r="NLY115" s="15"/>
      <c r="NLZ115" s="15"/>
      <c r="NMA115" s="15"/>
      <c r="NMB115" s="15"/>
      <c r="NMC115" s="15"/>
      <c r="NMD115" s="15"/>
      <c r="NME115" s="15"/>
      <c r="NMF115" s="15"/>
      <c r="NMG115" s="15"/>
      <c r="NMH115" s="15"/>
      <c r="NMI115" s="15"/>
      <c r="NMJ115" s="14"/>
      <c r="NMK115" s="15"/>
      <c r="NML115" s="15"/>
      <c r="NMM115" s="15"/>
      <c r="NMN115" s="15"/>
      <c r="NMO115" s="15"/>
      <c r="NMP115" s="15"/>
      <c r="NMQ115" s="15"/>
      <c r="NMR115" s="15"/>
      <c r="NMS115" s="15"/>
      <c r="NMT115" s="15"/>
      <c r="NMU115" s="15"/>
      <c r="NMV115" s="15"/>
      <c r="NMW115" s="15"/>
      <c r="NMX115" s="15"/>
      <c r="NMY115" s="15"/>
      <c r="NMZ115" s="15"/>
      <c r="NNA115" s="15"/>
      <c r="NNB115" s="15"/>
      <c r="NNC115" s="15"/>
      <c r="NND115" s="15"/>
      <c r="NNE115" s="15"/>
      <c r="NNF115" s="14"/>
      <c r="NNG115" s="15"/>
      <c r="NNH115" s="15"/>
      <c r="NNI115" s="15"/>
      <c r="NNJ115" s="15"/>
      <c r="NNK115" s="15"/>
      <c r="NNL115" s="15"/>
      <c r="NNM115" s="15"/>
      <c r="NNN115" s="15"/>
      <c r="NNO115" s="15"/>
      <c r="NNP115" s="15"/>
      <c r="NNQ115" s="15"/>
      <c r="NNR115" s="15"/>
      <c r="NNS115" s="15"/>
      <c r="NNT115" s="15"/>
      <c r="NNU115" s="15"/>
      <c r="NNV115" s="15"/>
      <c r="NNW115" s="15"/>
      <c r="NNX115" s="15"/>
      <c r="NNY115" s="15"/>
      <c r="NNZ115" s="15"/>
      <c r="NOA115" s="15"/>
      <c r="NOB115" s="14"/>
      <c r="NOC115" s="15"/>
      <c r="NOD115" s="15"/>
      <c r="NOE115" s="15"/>
      <c r="NOF115" s="15"/>
      <c r="NOG115" s="15"/>
      <c r="NOH115" s="15"/>
      <c r="NOI115" s="15"/>
      <c r="NOJ115" s="15"/>
      <c r="NOK115" s="15"/>
      <c r="NOL115" s="15"/>
      <c r="NOM115" s="15"/>
      <c r="NON115" s="15"/>
      <c r="NOO115" s="15"/>
      <c r="NOP115" s="15"/>
      <c r="NOQ115" s="15"/>
      <c r="NOR115" s="15"/>
      <c r="NOS115" s="15"/>
      <c r="NOT115" s="15"/>
      <c r="NOU115" s="15"/>
      <c r="NOV115" s="15"/>
      <c r="NOW115" s="15"/>
      <c r="NOX115" s="14"/>
      <c r="NOY115" s="15"/>
      <c r="NOZ115" s="15"/>
      <c r="NPA115" s="15"/>
      <c r="NPB115" s="15"/>
      <c r="NPC115" s="15"/>
      <c r="NPD115" s="15"/>
      <c r="NPE115" s="15"/>
      <c r="NPF115" s="15"/>
      <c r="NPG115" s="15"/>
      <c r="NPH115" s="15"/>
      <c r="NPI115" s="15"/>
      <c r="NPJ115" s="15"/>
      <c r="NPK115" s="15"/>
      <c r="NPL115" s="15"/>
      <c r="NPM115" s="15"/>
      <c r="NPN115" s="15"/>
      <c r="NPO115" s="15"/>
      <c r="NPP115" s="15"/>
      <c r="NPQ115" s="15"/>
      <c r="NPR115" s="15"/>
      <c r="NPS115" s="15"/>
      <c r="NPT115" s="14"/>
      <c r="NPU115" s="15"/>
      <c r="NPV115" s="15"/>
      <c r="NPW115" s="15"/>
      <c r="NPX115" s="15"/>
      <c r="NPY115" s="15"/>
      <c r="NPZ115" s="15"/>
      <c r="NQA115" s="15"/>
      <c r="NQB115" s="15"/>
      <c r="NQC115" s="15"/>
      <c r="NQD115" s="15"/>
      <c r="NQE115" s="15"/>
      <c r="NQF115" s="15"/>
      <c r="NQG115" s="15"/>
      <c r="NQH115" s="15"/>
      <c r="NQI115" s="15"/>
      <c r="NQJ115" s="15"/>
      <c r="NQK115" s="15"/>
      <c r="NQL115" s="15"/>
      <c r="NQM115" s="15"/>
      <c r="NQN115" s="15"/>
      <c r="NQO115" s="15"/>
      <c r="NQP115" s="14"/>
      <c r="NQQ115" s="15"/>
      <c r="NQR115" s="15"/>
      <c r="NQS115" s="15"/>
      <c r="NQT115" s="15"/>
      <c r="NQU115" s="15"/>
      <c r="NQV115" s="15"/>
      <c r="NQW115" s="15"/>
      <c r="NQX115" s="15"/>
      <c r="NQY115" s="15"/>
      <c r="NQZ115" s="15"/>
      <c r="NRA115" s="15"/>
      <c r="NRB115" s="15"/>
      <c r="NRC115" s="15"/>
      <c r="NRD115" s="15"/>
      <c r="NRE115" s="15"/>
      <c r="NRF115" s="15"/>
      <c r="NRG115" s="15"/>
      <c r="NRH115" s="15"/>
      <c r="NRI115" s="15"/>
      <c r="NRJ115" s="15"/>
      <c r="NRK115" s="15"/>
      <c r="NRL115" s="14"/>
      <c r="NRM115" s="15"/>
      <c r="NRN115" s="15"/>
      <c r="NRO115" s="15"/>
      <c r="NRP115" s="15"/>
      <c r="NRQ115" s="15"/>
      <c r="NRR115" s="15"/>
      <c r="NRS115" s="15"/>
      <c r="NRT115" s="15"/>
      <c r="NRU115" s="15"/>
      <c r="NRV115" s="15"/>
      <c r="NRW115" s="15"/>
      <c r="NRX115" s="15"/>
      <c r="NRY115" s="15"/>
      <c r="NRZ115" s="15"/>
      <c r="NSA115" s="15"/>
      <c r="NSB115" s="15"/>
      <c r="NSC115" s="15"/>
      <c r="NSD115" s="15"/>
      <c r="NSE115" s="15"/>
      <c r="NSF115" s="15"/>
      <c r="NSG115" s="15"/>
      <c r="NSH115" s="14"/>
      <c r="NSI115" s="15"/>
      <c r="NSJ115" s="15"/>
      <c r="NSK115" s="15"/>
      <c r="NSL115" s="15"/>
      <c r="NSM115" s="15"/>
      <c r="NSN115" s="15"/>
      <c r="NSO115" s="15"/>
      <c r="NSP115" s="15"/>
      <c r="NSQ115" s="15"/>
      <c r="NSR115" s="15"/>
      <c r="NSS115" s="15"/>
      <c r="NST115" s="15"/>
      <c r="NSU115" s="15"/>
      <c r="NSV115" s="15"/>
      <c r="NSW115" s="15"/>
      <c r="NSX115" s="15"/>
      <c r="NSY115" s="15"/>
      <c r="NSZ115" s="15"/>
      <c r="NTA115" s="15"/>
      <c r="NTB115" s="15"/>
      <c r="NTC115" s="15"/>
      <c r="NTD115" s="14"/>
      <c r="NTE115" s="15"/>
      <c r="NTF115" s="15"/>
      <c r="NTG115" s="15"/>
      <c r="NTH115" s="15"/>
      <c r="NTI115" s="15"/>
      <c r="NTJ115" s="15"/>
      <c r="NTK115" s="15"/>
      <c r="NTL115" s="15"/>
      <c r="NTM115" s="15"/>
      <c r="NTN115" s="15"/>
      <c r="NTO115" s="15"/>
      <c r="NTP115" s="15"/>
      <c r="NTQ115" s="15"/>
      <c r="NTR115" s="15"/>
      <c r="NTS115" s="15"/>
      <c r="NTT115" s="15"/>
      <c r="NTU115" s="15"/>
      <c r="NTV115" s="15"/>
      <c r="NTW115" s="15"/>
      <c r="NTX115" s="15"/>
      <c r="NTY115" s="15"/>
      <c r="NTZ115" s="14"/>
      <c r="NUA115" s="15"/>
      <c r="NUB115" s="15"/>
      <c r="NUC115" s="15"/>
      <c r="NUD115" s="15"/>
      <c r="NUE115" s="15"/>
      <c r="NUF115" s="15"/>
      <c r="NUG115" s="15"/>
      <c r="NUH115" s="15"/>
      <c r="NUI115" s="15"/>
      <c r="NUJ115" s="15"/>
      <c r="NUK115" s="15"/>
      <c r="NUL115" s="15"/>
      <c r="NUM115" s="15"/>
      <c r="NUN115" s="15"/>
      <c r="NUO115" s="15"/>
      <c r="NUP115" s="15"/>
      <c r="NUQ115" s="15"/>
      <c r="NUR115" s="15"/>
      <c r="NUS115" s="15"/>
      <c r="NUT115" s="15"/>
      <c r="NUU115" s="15"/>
      <c r="NUV115" s="14"/>
      <c r="NUW115" s="15"/>
      <c r="NUX115" s="15"/>
      <c r="NUY115" s="15"/>
      <c r="NUZ115" s="15"/>
      <c r="NVA115" s="15"/>
      <c r="NVB115" s="15"/>
      <c r="NVC115" s="15"/>
      <c r="NVD115" s="15"/>
      <c r="NVE115" s="15"/>
      <c r="NVF115" s="15"/>
      <c r="NVG115" s="15"/>
      <c r="NVH115" s="15"/>
      <c r="NVI115" s="15"/>
      <c r="NVJ115" s="15"/>
      <c r="NVK115" s="15"/>
      <c r="NVL115" s="15"/>
      <c r="NVM115" s="15"/>
      <c r="NVN115" s="15"/>
      <c r="NVO115" s="15"/>
      <c r="NVP115" s="15"/>
      <c r="NVQ115" s="15"/>
      <c r="NVR115" s="14"/>
      <c r="NVS115" s="15"/>
      <c r="NVT115" s="15"/>
      <c r="NVU115" s="15"/>
      <c r="NVV115" s="15"/>
      <c r="NVW115" s="15"/>
      <c r="NVX115" s="15"/>
      <c r="NVY115" s="15"/>
      <c r="NVZ115" s="15"/>
      <c r="NWA115" s="15"/>
      <c r="NWB115" s="15"/>
      <c r="NWC115" s="15"/>
      <c r="NWD115" s="15"/>
      <c r="NWE115" s="15"/>
      <c r="NWF115" s="15"/>
      <c r="NWG115" s="15"/>
      <c r="NWH115" s="15"/>
      <c r="NWI115" s="15"/>
      <c r="NWJ115" s="15"/>
      <c r="NWK115" s="15"/>
      <c r="NWL115" s="15"/>
      <c r="NWM115" s="15"/>
      <c r="NWN115" s="14"/>
      <c r="NWO115" s="15"/>
      <c r="NWP115" s="15"/>
      <c r="NWQ115" s="15"/>
      <c r="NWR115" s="15"/>
      <c r="NWS115" s="15"/>
      <c r="NWT115" s="15"/>
      <c r="NWU115" s="15"/>
      <c r="NWV115" s="15"/>
      <c r="NWW115" s="15"/>
      <c r="NWX115" s="15"/>
      <c r="NWY115" s="15"/>
      <c r="NWZ115" s="15"/>
      <c r="NXA115" s="15"/>
      <c r="NXB115" s="15"/>
      <c r="NXC115" s="15"/>
      <c r="NXD115" s="15"/>
      <c r="NXE115" s="15"/>
      <c r="NXF115" s="15"/>
      <c r="NXG115" s="15"/>
      <c r="NXH115" s="15"/>
      <c r="NXI115" s="15"/>
      <c r="NXJ115" s="14"/>
      <c r="NXK115" s="15"/>
      <c r="NXL115" s="15"/>
      <c r="NXM115" s="15"/>
      <c r="NXN115" s="15"/>
      <c r="NXO115" s="15"/>
      <c r="NXP115" s="15"/>
      <c r="NXQ115" s="15"/>
      <c r="NXR115" s="15"/>
      <c r="NXS115" s="15"/>
      <c r="NXT115" s="15"/>
      <c r="NXU115" s="15"/>
      <c r="NXV115" s="15"/>
      <c r="NXW115" s="15"/>
      <c r="NXX115" s="15"/>
      <c r="NXY115" s="15"/>
      <c r="NXZ115" s="15"/>
      <c r="NYA115" s="15"/>
      <c r="NYB115" s="15"/>
      <c r="NYC115" s="15"/>
      <c r="NYD115" s="15"/>
      <c r="NYE115" s="15"/>
      <c r="NYF115" s="14"/>
      <c r="NYG115" s="15"/>
      <c r="NYH115" s="15"/>
      <c r="NYI115" s="15"/>
      <c r="NYJ115" s="15"/>
      <c r="NYK115" s="15"/>
      <c r="NYL115" s="15"/>
      <c r="NYM115" s="15"/>
      <c r="NYN115" s="15"/>
      <c r="NYO115" s="15"/>
      <c r="NYP115" s="15"/>
      <c r="NYQ115" s="15"/>
      <c r="NYR115" s="15"/>
      <c r="NYS115" s="15"/>
      <c r="NYT115" s="15"/>
      <c r="NYU115" s="15"/>
      <c r="NYV115" s="15"/>
      <c r="NYW115" s="15"/>
      <c r="NYX115" s="15"/>
      <c r="NYY115" s="15"/>
      <c r="NYZ115" s="15"/>
      <c r="NZA115" s="15"/>
      <c r="NZB115" s="14"/>
      <c r="NZC115" s="15"/>
      <c r="NZD115" s="15"/>
      <c r="NZE115" s="15"/>
      <c r="NZF115" s="15"/>
      <c r="NZG115" s="15"/>
      <c r="NZH115" s="15"/>
      <c r="NZI115" s="15"/>
      <c r="NZJ115" s="15"/>
      <c r="NZK115" s="15"/>
      <c r="NZL115" s="15"/>
      <c r="NZM115" s="15"/>
      <c r="NZN115" s="15"/>
      <c r="NZO115" s="15"/>
      <c r="NZP115" s="15"/>
      <c r="NZQ115" s="15"/>
      <c r="NZR115" s="15"/>
      <c r="NZS115" s="15"/>
      <c r="NZT115" s="15"/>
      <c r="NZU115" s="15"/>
      <c r="NZV115" s="15"/>
      <c r="NZW115" s="15"/>
      <c r="NZX115" s="14"/>
      <c r="NZY115" s="15"/>
      <c r="NZZ115" s="15"/>
      <c r="OAA115" s="15"/>
      <c r="OAB115" s="15"/>
      <c r="OAC115" s="15"/>
      <c r="OAD115" s="15"/>
      <c r="OAE115" s="15"/>
      <c r="OAF115" s="15"/>
      <c r="OAG115" s="15"/>
      <c r="OAH115" s="15"/>
      <c r="OAI115" s="15"/>
      <c r="OAJ115" s="15"/>
      <c r="OAK115" s="15"/>
      <c r="OAL115" s="15"/>
      <c r="OAM115" s="15"/>
      <c r="OAN115" s="15"/>
      <c r="OAO115" s="15"/>
      <c r="OAP115" s="15"/>
      <c r="OAQ115" s="15"/>
      <c r="OAR115" s="15"/>
      <c r="OAS115" s="15"/>
      <c r="OAT115" s="14"/>
      <c r="OAU115" s="15"/>
      <c r="OAV115" s="15"/>
      <c r="OAW115" s="15"/>
      <c r="OAX115" s="15"/>
      <c r="OAY115" s="15"/>
      <c r="OAZ115" s="15"/>
      <c r="OBA115" s="15"/>
      <c r="OBB115" s="15"/>
      <c r="OBC115" s="15"/>
      <c r="OBD115" s="15"/>
      <c r="OBE115" s="15"/>
      <c r="OBF115" s="15"/>
      <c r="OBG115" s="15"/>
      <c r="OBH115" s="15"/>
      <c r="OBI115" s="15"/>
      <c r="OBJ115" s="15"/>
      <c r="OBK115" s="15"/>
      <c r="OBL115" s="15"/>
      <c r="OBM115" s="15"/>
      <c r="OBN115" s="15"/>
      <c r="OBO115" s="15"/>
      <c r="OBP115" s="14"/>
      <c r="OBQ115" s="15"/>
      <c r="OBR115" s="15"/>
      <c r="OBS115" s="15"/>
      <c r="OBT115" s="15"/>
      <c r="OBU115" s="15"/>
      <c r="OBV115" s="15"/>
      <c r="OBW115" s="15"/>
      <c r="OBX115" s="15"/>
      <c r="OBY115" s="15"/>
      <c r="OBZ115" s="15"/>
      <c r="OCA115" s="15"/>
      <c r="OCB115" s="15"/>
      <c r="OCC115" s="15"/>
      <c r="OCD115" s="15"/>
      <c r="OCE115" s="15"/>
      <c r="OCF115" s="15"/>
      <c r="OCG115" s="15"/>
      <c r="OCH115" s="15"/>
      <c r="OCI115" s="15"/>
      <c r="OCJ115" s="15"/>
      <c r="OCK115" s="15"/>
      <c r="OCL115" s="14"/>
      <c r="OCM115" s="15"/>
      <c r="OCN115" s="15"/>
      <c r="OCO115" s="15"/>
      <c r="OCP115" s="15"/>
      <c r="OCQ115" s="15"/>
      <c r="OCR115" s="15"/>
      <c r="OCS115" s="15"/>
      <c r="OCT115" s="15"/>
      <c r="OCU115" s="15"/>
      <c r="OCV115" s="15"/>
      <c r="OCW115" s="15"/>
      <c r="OCX115" s="15"/>
      <c r="OCY115" s="15"/>
      <c r="OCZ115" s="15"/>
      <c r="ODA115" s="15"/>
      <c r="ODB115" s="15"/>
      <c r="ODC115" s="15"/>
      <c r="ODD115" s="15"/>
      <c r="ODE115" s="15"/>
      <c r="ODF115" s="15"/>
      <c r="ODG115" s="15"/>
      <c r="ODH115" s="14"/>
      <c r="ODI115" s="15"/>
      <c r="ODJ115" s="15"/>
      <c r="ODK115" s="15"/>
      <c r="ODL115" s="15"/>
      <c r="ODM115" s="15"/>
      <c r="ODN115" s="15"/>
      <c r="ODO115" s="15"/>
      <c r="ODP115" s="15"/>
      <c r="ODQ115" s="15"/>
      <c r="ODR115" s="15"/>
      <c r="ODS115" s="15"/>
      <c r="ODT115" s="15"/>
      <c r="ODU115" s="15"/>
      <c r="ODV115" s="15"/>
      <c r="ODW115" s="15"/>
      <c r="ODX115" s="15"/>
      <c r="ODY115" s="15"/>
      <c r="ODZ115" s="15"/>
      <c r="OEA115" s="15"/>
      <c r="OEB115" s="15"/>
      <c r="OEC115" s="15"/>
      <c r="OED115" s="14"/>
      <c r="OEE115" s="15"/>
      <c r="OEF115" s="15"/>
      <c r="OEG115" s="15"/>
      <c r="OEH115" s="15"/>
      <c r="OEI115" s="15"/>
      <c r="OEJ115" s="15"/>
      <c r="OEK115" s="15"/>
      <c r="OEL115" s="15"/>
      <c r="OEM115" s="15"/>
      <c r="OEN115" s="15"/>
      <c r="OEO115" s="15"/>
      <c r="OEP115" s="15"/>
      <c r="OEQ115" s="15"/>
      <c r="OER115" s="15"/>
      <c r="OES115" s="15"/>
      <c r="OET115" s="15"/>
      <c r="OEU115" s="15"/>
      <c r="OEV115" s="15"/>
      <c r="OEW115" s="15"/>
      <c r="OEX115" s="15"/>
      <c r="OEY115" s="15"/>
      <c r="OEZ115" s="14"/>
      <c r="OFA115" s="15"/>
      <c r="OFB115" s="15"/>
      <c r="OFC115" s="15"/>
      <c r="OFD115" s="15"/>
      <c r="OFE115" s="15"/>
      <c r="OFF115" s="15"/>
      <c r="OFG115" s="15"/>
      <c r="OFH115" s="15"/>
      <c r="OFI115" s="15"/>
      <c r="OFJ115" s="15"/>
      <c r="OFK115" s="15"/>
      <c r="OFL115" s="15"/>
      <c r="OFM115" s="15"/>
      <c r="OFN115" s="15"/>
      <c r="OFO115" s="15"/>
      <c r="OFP115" s="15"/>
      <c r="OFQ115" s="15"/>
      <c r="OFR115" s="15"/>
      <c r="OFS115" s="15"/>
      <c r="OFT115" s="15"/>
      <c r="OFU115" s="15"/>
      <c r="OFV115" s="14"/>
      <c r="OFW115" s="15"/>
      <c r="OFX115" s="15"/>
      <c r="OFY115" s="15"/>
      <c r="OFZ115" s="15"/>
      <c r="OGA115" s="15"/>
      <c r="OGB115" s="15"/>
      <c r="OGC115" s="15"/>
      <c r="OGD115" s="15"/>
      <c r="OGE115" s="15"/>
      <c r="OGF115" s="15"/>
      <c r="OGG115" s="15"/>
      <c r="OGH115" s="15"/>
      <c r="OGI115" s="15"/>
      <c r="OGJ115" s="15"/>
      <c r="OGK115" s="15"/>
      <c r="OGL115" s="15"/>
      <c r="OGM115" s="15"/>
      <c r="OGN115" s="15"/>
      <c r="OGO115" s="15"/>
      <c r="OGP115" s="15"/>
      <c r="OGQ115" s="15"/>
      <c r="OGR115" s="14"/>
      <c r="OGS115" s="15"/>
      <c r="OGT115" s="15"/>
      <c r="OGU115" s="15"/>
      <c r="OGV115" s="15"/>
      <c r="OGW115" s="15"/>
      <c r="OGX115" s="15"/>
      <c r="OGY115" s="15"/>
      <c r="OGZ115" s="15"/>
      <c r="OHA115" s="15"/>
      <c r="OHB115" s="15"/>
      <c r="OHC115" s="15"/>
      <c r="OHD115" s="15"/>
      <c r="OHE115" s="15"/>
      <c r="OHF115" s="15"/>
      <c r="OHG115" s="15"/>
      <c r="OHH115" s="15"/>
      <c r="OHI115" s="15"/>
      <c r="OHJ115" s="15"/>
      <c r="OHK115" s="15"/>
      <c r="OHL115" s="15"/>
      <c r="OHM115" s="15"/>
      <c r="OHN115" s="14"/>
      <c r="OHO115" s="15"/>
      <c r="OHP115" s="15"/>
      <c r="OHQ115" s="15"/>
      <c r="OHR115" s="15"/>
      <c r="OHS115" s="15"/>
      <c r="OHT115" s="15"/>
      <c r="OHU115" s="15"/>
      <c r="OHV115" s="15"/>
      <c r="OHW115" s="15"/>
      <c r="OHX115" s="15"/>
      <c r="OHY115" s="15"/>
      <c r="OHZ115" s="15"/>
      <c r="OIA115" s="15"/>
      <c r="OIB115" s="15"/>
      <c r="OIC115" s="15"/>
      <c r="OID115" s="15"/>
      <c r="OIE115" s="15"/>
      <c r="OIF115" s="15"/>
      <c r="OIG115" s="15"/>
      <c r="OIH115" s="15"/>
      <c r="OII115" s="15"/>
      <c r="OIJ115" s="14"/>
      <c r="OIK115" s="15"/>
      <c r="OIL115" s="15"/>
      <c r="OIM115" s="15"/>
      <c r="OIN115" s="15"/>
      <c r="OIO115" s="15"/>
      <c r="OIP115" s="15"/>
      <c r="OIQ115" s="15"/>
      <c r="OIR115" s="15"/>
      <c r="OIS115" s="15"/>
      <c r="OIT115" s="15"/>
      <c r="OIU115" s="15"/>
      <c r="OIV115" s="15"/>
      <c r="OIW115" s="15"/>
      <c r="OIX115" s="15"/>
      <c r="OIY115" s="15"/>
      <c r="OIZ115" s="15"/>
      <c r="OJA115" s="15"/>
      <c r="OJB115" s="15"/>
      <c r="OJC115" s="15"/>
      <c r="OJD115" s="15"/>
      <c r="OJE115" s="15"/>
      <c r="OJF115" s="14"/>
      <c r="OJG115" s="15"/>
      <c r="OJH115" s="15"/>
      <c r="OJI115" s="15"/>
      <c r="OJJ115" s="15"/>
      <c r="OJK115" s="15"/>
      <c r="OJL115" s="15"/>
      <c r="OJM115" s="15"/>
      <c r="OJN115" s="15"/>
      <c r="OJO115" s="15"/>
      <c r="OJP115" s="15"/>
      <c r="OJQ115" s="15"/>
      <c r="OJR115" s="15"/>
      <c r="OJS115" s="15"/>
      <c r="OJT115" s="15"/>
      <c r="OJU115" s="15"/>
      <c r="OJV115" s="15"/>
      <c r="OJW115" s="15"/>
      <c r="OJX115" s="15"/>
      <c r="OJY115" s="15"/>
      <c r="OJZ115" s="15"/>
      <c r="OKA115" s="15"/>
      <c r="OKB115" s="14"/>
      <c r="OKC115" s="15"/>
      <c r="OKD115" s="15"/>
      <c r="OKE115" s="15"/>
      <c r="OKF115" s="15"/>
      <c r="OKG115" s="15"/>
      <c r="OKH115" s="15"/>
      <c r="OKI115" s="15"/>
      <c r="OKJ115" s="15"/>
      <c r="OKK115" s="15"/>
      <c r="OKL115" s="15"/>
      <c r="OKM115" s="15"/>
      <c r="OKN115" s="15"/>
      <c r="OKO115" s="15"/>
      <c r="OKP115" s="15"/>
      <c r="OKQ115" s="15"/>
      <c r="OKR115" s="15"/>
      <c r="OKS115" s="15"/>
      <c r="OKT115" s="15"/>
      <c r="OKU115" s="15"/>
      <c r="OKV115" s="15"/>
      <c r="OKW115" s="15"/>
      <c r="OKX115" s="14"/>
      <c r="OKY115" s="15"/>
      <c r="OKZ115" s="15"/>
      <c r="OLA115" s="15"/>
      <c r="OLB115" s="15"/>
      <c r="OLC115" s="15"/>
      <c r="OLD115" s="15"/>
      <c r="OLE115" s="15"/>
      <c r="OLF115" s="15"/>
      <c r="OLG115" s="15"/>
      <c r="OLH115" s="15"/>
      <c r="OLI115" s="15"/>
      <c r="OLJ115" s="15"/>
      <c r="OLK115" s="15"/>
      <c r="OLL115" s="15"/>
      <c r="OLM115" s="15"/>
      <c r="OLN115" s="15"/>
      <c r="OLO115" s="15"/>
      <c r="OLP115" s="15"/>
      <c r="OLQ115" s="15"/>
      <c r="OLR115" s="15"/>
      <c r="OLS115" s="15"/>
      <c r="OLT115" s="14"/>
      <c r="OLU115" s="15"/>
      <c r="OLV115" s="15"/>
      <c r="OLW115" s="15"/>
      <c r="OLX115" s="15"/>
      <c r="OLY115" s="15"/>
      <c r="OLZ115" s="15"/>
      <c r="OMA115" s="15"/>
      <c r="OMB115" s="15"/>
      <c r="OMC115" s="15"/>
      <c r="OMD115" s="15"/>
      <c r="OME115" s="15"/>
      <c r="OMF115" s="15"/>
      <c r="OMG115" s="15"/>
      <c r="OMH115" s="15"/>
      <c r="OMI115" s="15"/>
      <c r="OMJ115" s="15"/>
      <c r="OMK115" s="15"/>
      <c r="OML115" s="15"/>
      <c r="OMM115" s="15"/>
      <c r="OMN115" s="15"/>
      <c r="OMO115" s="15"/>
      <c r="OMP115" s="14"/>
      <c r="OMQ115" s="15"/>
      <c r="OMR115" s="15"/>
      <c r="OMS115" s="15"/>
      <c r="OMT115" s="15"/>
      <c r="OMU115" s="15"/>
      <c r="OMV115" s="15"/>
      <c r="OMW115" s="15"/>
      <c r="OMX115" s="15"/>
      <c r="OMY115" s="15"/>
      <c r="OMZ115" s="15"/>
      <c r="ONA115" s="15"/>
      <c r="ONB115" s="15"/>
      <c r="ONC115" s="15"/>
      <c r="OND115" s="15"/>
      <c r="ONE115" s="15"/>
      <c r="ONF115" s="15"/>
      <c r="ONG115" s="15"/>
      <c r="ONH115" s="15"/>
      <c r="ONI115" s="15"/>
      <c r="ONJ115" s="15"/>
      <c r="ONK115" s="15"/>
      <c r="ONL115" s="14"/>
      <c r="ONM115" s="15"/>
      <c r="ONN115" s="15"/>
      <c r="ONO115" s="15"/>
      <c r="ONP115" s="15"/>
      <c r="ONQ115" s="15"/>
      <c r="ONR115" s="15"/>
      <c r="ONS115" s="15"/>
      <c r="ONT115" s="15"/>
      <c r="ONU115" s="15"/>
      <c r="ONV115" s="15"/>
      <c r="ONW115" s="15"/>
      <c r="ONX115" s="15"/>
      <c r="ONY115" s="15"/>
      <c r="ONZ115" s="15"/>
      <c r="OOA115" s="15"/>
      <c r="OOB115" s="15"/>
      <c r="OOC115" s="15"/>
      <c r="OOD115" s="15"/>
      <c r="OOE115" s="15"/>
      <c r="OOF115" s="15"/>
      <c r="OOG115" s="15"/>
      <c r="OOH115" s="14"/>
      <c r="OOI115" s="15"/>
      <c r="OOJ115" s="15"/>
      <c r="OOK115" s="15"/>
      <c r="OOL115" s="15"/>
      <c r="OOM115" s="15"/>
      <c r="OON115" s="15"/>
      <c r="OOO115" s="15"/>
      <c r="OOP115" s="15"/>
      <c r="OOQ115" s="15"/>
      <c r="OOR115" s="15"/>
      <c r="OOS115" s="15"/>
      <c r="OOT115" s="15"/>
      <c r="OOU115" s="15"/>
      <c r="OOV115" s="15"/>
      <c r="OOW115" s="15"/>
      <c r="OOX115" s="15"/>
      <c r="OOY115" s="15"/>
      <c r="OOZ115" s="15"/>
      <c r="OPA115" s="15"/>
      <c r="OPB115" s="15"/>
      <c r="OPC115" s="15"/>
      <c r="OPD115" s="14"/>
      <c r="OPE115" s="15"/>
      <c r="OPF115" s="15"/>
      <c r="OPG115" s="15"/>
      <c r="OPH115" s="15"/>
      <c r="OPI115" s="15"/>
      <c r="OPJ115" s="15"/>
      <c r="OPK115" s="15"/>
      <c r="OPL115" s="15"/>
      <c r="OPM115" s="15"/>
      <c r="OPN115" s="15"/>
      <c r="OPO115" s="15"/>
      <c r="OPP115" s="15"/>
      <c r="OPQ115" s="15"/>
      <c r="OPR115" s="15"/>
      <c r="OPS115" s="15"/>
      <c r="OPT115" s="15"/>
      <c r="OPU115" s="15"/>
      <c r="OPV115" s="15"/>
      <c r="OPW115" s="15"/>
      <c r="OPX115" s="15"/>
      <c r="OPY115" s="15"/>
      <c r="OPZ115" s="14"/>
      <c r="OQA115" s="15"/>
      <c r="OQB115" s="15"/>
      <c r="OQC115" s="15"/>
      <c r="OQD115" s="15"/>
      <c r="OQE115" s="15"/>
      <c r="OQF115" s="15"/>
      <c r="OQG115" s="15"/>
      <c r="OQH115" s="15"/>
      <c r="OQI115" s="15"/>
      <c r="OQJ115" s="15"/>
      <c r="OQK115" s="15"/>
      <c r="OQL115" s="15"/>
      <c r="OQM115" s="15"/>
      <c r="OQN115" s="15"/>
      <c r="OQO115" s="15"/>
      <c r="OQP115" s="15"/>
      <c r="OQQ115" s="15"/>
      <c r="OQR115" s="15"/>
      <c r="OQS115" s="15"/>
      <c r="OQT115" s="15"/>
      <c r="OQU115" s="15"/>
      <c r="OQV115" s="14"/>
      <c r="OQW115" s="15"/>
      <c r="OQX115" s="15"/>
      <c r="OQY115" s="15"/>
      <c r="OQZ115" s="15"/>
      <c r="ORA115" s="15"/>
      <c r="ORB115" s="15"/>
      <c r="ORC115" s="15"/>
      <c r="ORD115" s="15"/>
      <c r="ORE115" s="15"/>
      <c r="ORF115" s="15"/>
      <c r="ORG115" s="15"/>
      <c r="ORH115" s="15"/>
      <c r="ORI115" s="15"/>
      <c r="ORJ115" s="15"/>
      <c r="ORK115" s="15"/>
      <c r="ORL115" s="15"/>
      <c r="ORM115" s="15"/>
      <c r="ORN115" s="15"/>
      <c r="ORO115" s="15"/>
      <c r="ORP115" s="15"/>
      <c r="ORQ115" s="15"/>
      <c r="ORR115" s="14"/>
      <c r="ORS115" s="15"/>
      <c r="ORT115" s="15"/>
      <c r="ORU115" s="15"/>
      <c r="ORV115" s="15"/>
      <c r="ORW115" s="15"/>
      <c r="ORX115" s="15"/>
      <c r="ORY115" s="15"/>
      <c r="ORZ115" s="15"/>
      <c r="OSA115" s="15"/>
      <c r="OSB115" s="15"/>
      <c r="OSC115" s="15"/>
      <c r="OSD115" s="15"/>
      <c r="OSE115" s="15"/>
      <c r="OSF115" s="15"/>
      <c r="OSG115" s="15"/>
      <c r="OSH115" s="15"/>
      <c r="OSI115" s="15"/>
      <c r="OSJ115" s="15"/>
      <c r="OSK115" s="15"/>
      <c r="OSL115" s="15"/>
      <c r="OSM115" s="15"/>
      <c r="OSN115" s="14"/>
      <c r="OSO115" s="15"/>
      <c r="OSP115" s="15"/>
      <c r="OSQ115" s="15"/>
      <c r="OSR115" s="15"/>
      <c r="OSS115" s="15"/>
      <c r="OST115" s="15"/>
      <c r="OSU115" s="15"/>
      <c r="OSV115" s="15"/>
      <c r="OSW115" s="15"/>
      <c r="OSX115" s="15"/>
      <c r="OSY115" s="15"/>
      <c r="OSZ115" s="15"/>
      <c r="OTA115" s="15"/>
      <c r="OTB115" s="15"/>
      <c r="OTC115" s="15"/>
      <c r="OTD115" s="15"/>
      <c r="OTE115" s="15"/>
      <c r="OTF115" s="15"/>
      <c r="OTG115" s="15"/>
      <c r="OTH115" s="15"/>
      <c r="OTI115" s="15"/>
      <c r="OTJ115" s="14"/>
      <c r="OTK115" s="15"/>
      <c r="OTL115" s="15"/>
      <c r="OTM115" s="15"/>
      <c r="OTN115" s="15"/>
      <c r="OTO115" s="15"/>
      <c r="OTP115" s="15"/>
      <c r="OTQ115" s="15"/>
      <c r="OTR115" s="15"/>
      <c r="OTS115" s="15"/>
      <c r="OTT115" s="15"/>
      <c r="OTU115" s="15"/>
      <c r="OTV115" s="15"/>
      <c r="OTW115" s="15"/>
      <c r="OTX115" s="15"/>
      <c r="OTY115" s="15"/>
      <c r="OTZ115" s="15"/>
      <c r="OUA115" s="15"/>
      <c r="OUB115" s="15"/>
      <c r="OUC115" s="15"/>
      <c r="OUD115" s="15"/>
      <c r="OUE115" s="15"/>
      <c r="OUF115" s="14"/>
      <c r="OUG115" s="15"/>
      <c r="OUH115" s="15"/>
      <c r="OUI115" s="15"/>
      <c r="OUJ115" s="15"/>
      <c r="OUK115" s="15"/>
      <c r="OUL115" s="15"/>
      <c r="OUM115" s="15"/>
      <c r="OUN115" s="15"/>
      <c r="OUO115" s="15"/>
      <c r="OUP115" s="15"/>
      <c r="OUQ115" s="15"/>
      <c r="OUR115" s="15"/>
      <c r="OUS115" s="15"/>
      <c r="OUT115" s="15"/>
      <c r="OUU115" s="15"/>
      <c r="OUV115" s="15"/>
      <c r="OUW115" s="15"/>
      <c r="OUX115" s="15"/>
      <c r="OUY115" s="15"/>
      <c r="OUZ115" s="15"/>
      <c r="OVA115" s="15"/>
      <c r="OVB115" s="14"/>
      <c r="OVC115" s="15"/>
      <c r="OVD115" s="15"/>
      <c r="OVE115" s="15"/>
      <c r="OVF115" s="15"/>
      <c r="OVG115" s="15"/>
      <c r="OVH115" s="15"/>
      <c r="OVI115" s="15"/>
      <c r="OVJ115" s="15"/>
      <c r="OVK115" s="15"/>
      <c r="OVL115" s="15"/>
      <c r="OVM115" s="15"/>
      <c r="OVN115" s="15"/>
      <c r="OVO115" s="15"/>
      <c r="OVP115" s="15"/>
      <c r="OVQ115" s="15"/>
      <c r="OVR115" s="15"/>
      <c r="OVS115" s="15"/>
      <c r="OVT115" s="15"/>
      <c r="OVU115" s="15"/>
      <c r="OVV115" s="15"/>
      <c r="OVW115" s="15"/>
      <c r="OVX115" s="14"/>
      <c r="OVY115" s="15"/>
      <c r="OVZ115" s="15"/>
      <c r="OWA115" s="15"/>
      <c r="OWB115" s="15"/>
      <c r="OWC115" s="15"/>
      <c r="OWD115" s="15"/>
      <c r="OWE115" s="15"/>
      <c r="OWF115" s="15"/>
      <c r="OWG115" s="15"/>
      <c r="OWH115" s="15"/>
      <c r="OWI115" s="15"/>
      <c r="OWJ115" s="15"/>
      <c r="OWK115" s="15"/>
      <c r="OWL115" s="15"/>
      <c r="OWM115" s="15"/>
      <c r="OWN115" s="15"/>
      <c r="OWO115" s="15"/>
      <c r="OWP115" s="15"/>
      <c r="OWQ115" s="15"/>
      <c r="OWR115" s="15"/>
      <c r="OWS115" s="15"/>
      <c r="OWT115" s="14"/>
      <c r="OWU115" s="15"/>
      <c r="OWV115" s="15"/>
      <c r="OWW115" s="15"/>
      <c r="OWX115" s="15"/>
      <c r="OWY115" s="15"/>
      <c r="OWZ115" s="15"/>
      <c r="OXA115" s="15"/>
      <c r="OXB115" s="15"/>
      <c r="OXC115" s="15"/>
      <c r="OXD115" s="15"/>
      <c r="OXE115" s="15"/>
      <c r="OXF115" s="15"/>
      <c r="OXG115" s="15"/>
      <c r="OXH115" s="15"/>
      <c r="OXI115" s="15"/>
      <c r="OXJ115" s="15"/>
      <c r="OXK115" s="15"/>
      <c r="OXL115" s="15"/>
      <c r="OXM115" s="15"/>
      <c r="OXN115" s="15"/>
      <c r="OXO115" s="15"/>
      <c r="OXP115" s="14"/>
      <c r="OXQ115" s="15"/>
      <c r="OXR115" s="15"/>
      <c r="OXS115" s="15"/>
      <c r="OXT115" s="15"/>
      <c r="OXU115" s="15"/>
      <c r="OXV115" s="15"/>
      <c r="OXW115" s="15"/>
      <c r="OXX115" s="15"/>
      <c r="OXY115" s="15"/>
      <c r="OXZ115" s="15"/>
      <c r="OYA115" s="15"/>
      <c r="OYB115" s="15"/>
      <c r="OYC115" s="15"/>
      <c r="OYD115" s="15"/>
      <c r="OYE115" s="15"/>
      <c r="OYF115" s="15"/>
      <c r="OYG115" s="15"/>
      <c r="OYH115" s="15"/>
      <c r="OYI115" s="15"/>
      <c r="OYJ115" s="15"/>
      <c r="OYK115" s="15"/>
      <c r="OYL115" s="14"/>
      <c r="OYM115" s="15"/>
      <c r="OYN115" s="15"/>
      <c r="OYO115" s="15"/>
      <c r="OYP115" s="15"/>
      <c r="OYQ115" s="15"/>
      <c r="OYR115" s="15"/>
      <c r="OYS115" s="15"/>
      <c r="OYT115" s="15"/>
      <c r="OYU115" s="15"/>
      <c r="OYV115" s="15"/>
      <c r="OYW115" s="15"/>
      <c r="OYX115" s="15"/>
      <c r="OYY115" s="15"/>
      <c r="OYZ115" s="15"/>
      <c r="OZA115" s="15"/>
      <c r="OZB115" s="15"/>
      <c r="OZC115" s="15"/>
      <c r="OZD115" s="15"/>
      <c r="OZE115" s="15"/>
      <c r="OZF115" s="15"/>
      <c r="OZG115" s="15"/>
      <c r="OZH115" s="14"/>
      <c r="OZI115" s="15"/>
      <c r="OZJ115" s="15"/>
      <c r="OZK115" s="15"/>
      <c r="OZL115" s="15"/>
      <c r="OZM115" s="15"/>
      <c r="OZN115" s="15"/>
      <c r="OZO115" s="15"/>
      <c r="OZP115" s="15"/>
      <c r="OZQ115" s="15"/>
      <c r="OZR115" s="15"/>
      <c r="OZS115" s="15"/>
      <c r="OZT115" s="15"/>
      <c r="OZU115" s="15"/>
      <c r="OZV115" s="15"/>
      <c r="OZW115" s="15"/>
      <c r="OZX115" s="15"/>
      <c r="OZY115" s="15"/>
      <c r="OZZ115" s="15"/>
      <c r="PAA115" s="15"/>
      <c r="PAB115" s="15"/>
      <c r="PAC115" s="15"/>
      <c r="PAD115" s="14"/>
      <c r="PAE115" s="15"/>
      <c r="PAF115" s="15"/>
      <c r="PAG115" s="15"/>
      <c r="PAH115" s="15"/>
      <c r="PAI115" s="15"/>
      <c r="PAJ115" s="15"/>
      <c r="PAK115" s="15"/>
      <c r="PAL115" s="15"/>
      <c r="PAM115" s="15"/>
      <c r="PAN115" s="15"/>
      <c r="PAO115" s="15"/>
      <c r="PAP115" s="15"/>
      <c r="PAQ115" s="15"/>
      <c r="PAR115" s="15"/>
      <c r="PAS115" s="15"/>
      <c r="PAT115" s="15"/>
      <c r="PAU115" s="15"/>
      <c r="PAV115" s="15"/>
      <c r="PAW115" s="15"/>
      <c r="PAX115" s="15"/>
      <c r="PAY115" s="15"/>
      <c r="PAZ115" s="14"/>
      <c r="PBA115" s="15"/>
      <c r="PBB115" s="15"/>
      <c r="PBC115" s="15"/>
      <c r="PBD115" s="15"/>
      <c r="PBE115" s="15"/>
      <c r="PBF115" s="15"/>
      <c r="PBG115" s="15"/>
      <c r="PBH115" s="15"/>
      <c r="PBI115" s="15"/>
      <c r="PBJ115" s="15"/>
      <c r="PBK115" s="15"/>
      <c r="PBL115" s="15"/>
      <c r="PBM115" s="15"/>
      <c r="PBN115" s="15"/>
      <c r="PBO115" s="15"/>
      <c r="PBP115" s="15"/>
      <c r="PBQ115" s="15"/>
      <c r="PBR115" s="15"/>
      <c r="PBS115" s="15"/>
      <c r="PBT115" s="15"/>
      <c r="PBU115" s="15"/>
      <c r="PBV115" s="14"/>
      <c r="PBW115" s="15"/>
      <c r="PBX115" s="15"/>
      <c r="PBY115" s="15"/>
      <c r="PBZ115" s="15"/>
      <c r="PCA115" s="15"/>
      <c r="PCB115" s="15"/>
      <c r="PCC115" s="15"/>
      <c r="PCD115" s="15"/>
      <c r="PCE115" s="15"/>
      <c r="PCF115" s="15"/>
      <c r="PCG115" s="15"/>
      <c r="PCH115" s="15"/>
      <c r="PCI115" s="15"/>
      <c r="PCJ115" s="15"/>
      <c r="PCK115" s="15"/>
      <c r="PCL115" s="15"/>
      <c r="PCM115" s="15"/>
      <c r="PCN115" s="15"/>
      <c r="PCO115" s="15"/>
      <c r="PCP115" s="15"/>
      <c r="PCQ115" s="15"/>
      <c r="PCR115" s="14"/>
      <c r="PCS115" s="15"/>
      <c r="PCT115" s="15"/>
      <c r="PCU115" s="15"/>
      <c r="PCV115" s="15"/>
      <c r="PCW115" s="15"/>
      <c r="PCX115" s="15"/>
      <c r="PCY115" s="15"/>
      <c r="PCZ115" s="15"/>
      <c r="PDA115" s="15"/>
      <c r="PDB115" s="15"/>
      <c r="PDC115" s="15"/>
      <c r="PDD115" s="15"/>
      <c r="PDE115" s="15"/>
      <c r="PDF115" s="15"/>
      <c r="PDG115" s="15"/>
      <c r="PDH115" s="15"/>
      <c r="PDI115" s="15"/>
      <c r="PDJ115" s="15"/>
      <c r="PDK115" s="15"/>
      <c r="PDL115" s="15"/>
      <c r="PDM115" s="15"/>
      <c r="PDN115" s="14"/>
      <c r="PDO115" s="15"/>
      <c r="PDP115" s="15"/>
      <c r="PDQ115" s="15"/>
      <c r="PDR115" s="15"/>
      <c r="PDS115" s="15"/>
      <c r="PDT115" s="15"/>
      <c r="PDU115" s="15"/>
      <c r="PDV115" s="15"/>
      <c r="PDW115" s="15"/>
      <c r="PDX115" s="15"/>
      <c r="PDY115" s="15"/>
      <c r="PDZ115" s="15"/>
      <c r="PEA115" s="15"/>
      <c r="PEB115" s="15"/>
      <c r="PEC115" s="15"/>
      <c r="PED115" s="15"/>
      <c r="PEE115" s="15"/>
      <c r="PEF115" s="15"/>
      <c r="PEG115" s="15"/>
      <c r="PEH115" s="15"/>
      <c r="PEI115" s="15"/>
      <c r="PEJ115" s="14"/>
      <c r="PEK115" s="15"/>
      <c r="PEL115" s="15"/>
      <c r="PEM115" s="15"/>
      <c r="PEN115" s="15"/>
      <c r="PEO115" s="15"/>
      <c r="PEP115" s="15"/>
      <c r="PEQ115" s="15"/>
      <c r="PER115" s="15"/>
      <c r="PES115" s="15"/>
      <c r="PET115" s="15"/>
      <c r="PEU115" s="15"/>
      <c r="PEV115" s="15"/>
      <c r="PEW115" s="15"/>
      <c r="PEX115" s="15"/>
      <c r="PEY115" s="15"/>
      <c r="PEZ115" s="15"/>
      <c r="PFA115" s="15"/>
      <c r="PFB115" s="15"/>
      <c r="PFC115" s="15"/>
      <c r="PFD115" s="15"/>
      <c r="PFE115" s="15"/>
      <c r="PFF115" s="14"/>
      <c r="PFG115" s="15"/>
      <c r="PFH115" s="15"/>
      <c r="PFI115" s="15"/>
      <c r="PFJ115" s="15"/>
      <c r="PFK115" s="15"/>
      <c r="PFL115" s="15"/>
      <c r="PFM115" s="15"/>
      <c r="PFN115" s="15"/>
      <c r="PFO115" s="15"/>
      <c r="PFP115" s="15"/>
      <c r="PFQ115" s="15"/>
      <c r="PFR115" s="15"/>
      <c r="PFS115" s="15"/>
      <c r="PFT115" s="15"/>
      <c r="PFU115" s="15"/>
      <c r="PFV115" s="15"/>
      <c r="PFW115" s="15"/>
      <c r="PFX115" s="15"/>
      <c r="PFY115" s="15"/>
      <c r="PFZ115" s="15"/>
      <c r="PGA115" s="15"/>
      <c r="PGB115" s="14"/>
      <c r="PGC115" s="15"/>
      <c r="PGD115" s="15"/>
      <c r="PGE115" s="15"/>
      <c r="PGF115" s="15"/>
      <c r="PGG115" s="15"/>
      <c r="PGH115" s="15"/>
      <c r="PGI115" s="15"/>
      <c r="PGJ115" s="15"/>
      <c r="PGK115" s="15"/>
      <c r="PGL115" s="15"/>
      <c r="PGM115" s="15"/>
      <c r="PGN115" s="15"/>
      <c r="PGO115" s="15"/>
      <c r="PGP115" s="15"/>
      <c r="PGQ115" s="15"/>
      <c r="PGR115" s="15"/>
      <c r="PGS115" s="15"/>
      <c r="PGT115" s="15"/>
      <c r="PGU115" s="15"/>
      <c r="PGV115" s="15"/>
      <c r="PGW115" s="15"/>
      <c r="PGX115" s="14"/>
      <c r="PGY115" s="15"/>
      <c r="PGZ115" s="15"/>
      <c r="PHA115" s="15"/>
      <c r="PHB115" s="15"/>
      <c r="PHC115" s="15"/>
      <c r="PHD115" s="15"/>
      <c r="PHE115" s="15"/>
      <c r="PHF115" s="15"/>
      <c r="PHG115" s="15"/>
      <c r="PHH115" s="15"/>
      <c r="PHI115" s="15"/>
      <c r="PHJ115" s="15"/>
      <c r="PHK115" s="15"/>
      <c r="PHL115" s="15"/>
      <c r="PHM115" s="15"/>
      <c r="PHN115" s="15"/>
      <c r="PHO115" s="15"/>
      <c r="PHP115" s="15"/>
      <c r="PHQ115" s="15"/>
      <c r="PHR115" s="15"/>
      <c r="PHS115" s="15"/>
      <c r="PHT115" s="14"/>
      <c r="PHU115" s="15"/>
      <c r="PHV115" s="15"/>
      <c r="PHW115" s="15"/>
      <c r="PHX115" s="15"/>
      <c r="PHY115" s="15"/>
      <c r="PHZ115" s="15"/>
      <c r="PIA115" s="15"/>
      <c r="PIB115" s="15"/>
      <c r="PIC115" s="15"/>
      <c r="PID115" s="15"/>
      <c r="PIE115" s="15"/>
      <c r="PIF115" s="15"/>
      <c r="PIG115" s="15"/>
      <c r="PIH115" s="15"/>
      <c r="PII115" s="15"/>
      <c r="PIJ115" s="15"/>
      <c r="PIK115" s="15"/>
      <c r="PIL115" s="15"/>
      <c r="PIM115" s="15"/>
      <c r="PIN115" s="15"/>
      <c r="PIO115" s="15"/>
      <c r="PIP115" s="14"/>
      <c r="PIQ115" s="15"/>
      <c r="PIR115" s="15"/>
      <c r="PIS115" s="15"/>
      <c r="PIT115" s="15"/>
      <c r="PIU115" s="15"/>
      <c r="PIV115" s="15"/>
      <c r="PIW115" s="15"/>
      <c r="PIX115" s="15"/>
      <c r="PIY115" s="15"/>
      <c r="PIZ115" s="15"/>
      <c r="PJA115" s="15"/>
      <c r="PJB115" s="15"/>
      <c r="PJC115" s="15"/>
      <c r="PJD115" s="15"/>
      <c r="PJE115" s="15"/>
      <c r="PJF115" s="15"/>
      <c r="PJG115" s="15"/>
      <c r="PJH115" s="15"/>
      <c r="PJI115" s="15"/>
      <c r="PJJ115" s="15"/>
      <c r="PJK115" s="15"/>
      <c r="PJL115" s="14"/>
      <c r="PJM115" s="15"/>
      <c r="PJN115" s="15"/>
      <c r="PJO115" s="15"/>
      <c r="PJP115" s="15"/>
      <c r="PJQ115" s="15"/>
      <c r="PJR115" s="15"/>
      <c r="PJS115" s="15"/>
      <c r="PJT115" s="15"/>
      <c r="PJU115" s="15"/>
      <c r="PJV115" s="15"/>
      <c r="PJW115" s="15"/>
      <c r="PJX115" s="15"/>
      <c r="PJY115" s="15"/>
      <c r="PJZ115" s="15"/>
      <c r="PKA115" s="15"/>
      <c r="PKB115" s="15"/>
      <c r="PKC115" s="15"/>
      <c r="PKD115" s="15"/>
      <c r="PKE115" s="15"/>
      <c r="PKF115" s="15"/>
      <c r="PKG115" s="15"/>
      <c r="PKH115" s="14"/>
      <c r="PKI115" s="15"/>
      <c r="PKJ115" s="15"/>
      <c r="PKK115" s="15"/>
      <c r="PKL115" s="15"/>
      <c r="PKM115" s="15"/>
      <c r="PKN115" s="15"/>
      <c r="PKO115" s="15"/>
      <c r="PKP115" s="15"/>
      <c r="PKQ115" s="15"/>
      <c r="PKR115" s="15"/>
      <c r="PKS115" s="15"/>
      <c r="PKT115" s="15"/>
      <c r="PKU115" s="15"/>
      <c r="PKV115" s="15"/>
      <c r="PKW115" s="15"/>
      <c r="PKX115" s="15"/>
      <c r="PKY115" s="15"/>
      <c r="PKZ115" s="15"/>
      <c r="PLA115" s="15"/>
      <c r="PLB115" s="15"/>
      <c r="PLC115" s="15"/>
      <c r="PLD115" s="14"/>
      <c r="PLE115" s="15"/>
      <c r="PLF115" s="15"/>
      <c r="PLG115" s="15"/>
      <c r="PLH115" s="15"/>
      <c r="PLI115" s="15"/>
      <c r="PLJ115" s="15"/>
      <c r="PLK115" s="15"/>
      <c r="PLL115" s="15"/>
      <c r="PLM115" s="15"/>
      <c r="PLN115" s="15"/>
      <c r="PLO115" s="15"/>
      <c r="PLP115" s="15"/>
      <c r="PLQ115" s="15"/>
      <c r="PLR115" s="15"/>
      <c r="PLS115" s="15"/>
      <c r="PLT115" s="15"/>
      <c r="PLU115" s="15"/>
      <c r="PLV115" s="15"/>
      <c r="PLW115" s="15"/>
      <c r="PLX115" s="15"/>
      <c r="PLY115" s="15"/>
      <c r="PLZ115" s="14"/>
      <c r="PMA115" s="15"/>
      <c r="PMB115" s="15"/>
      <c r="PMC115" s="15"/>
      <c r="PMD115" s="15"/>
      <c r="PME115" s="15"/>
      <c r="PMF115" s="15"/>
      <c r="PMG115" s="15"/>
      <c r="PMH115" s="15"/>
      <c r="PMI115" s="15"/>
      <c r="PMJ115" s="15"/>
      <c r="PMK115" s="15"/>
      <c r="PML115" s="15"/>
      <c r="PMM115" s="15"/>
      <c r="PMN115" s="15"/>
      <c r="PMO115" s="15"/>
      <c r="PMP115" s="15"/>
      <c r="PMQ115" s="15"/>
      <c r="PMR115" s="15"/>
      <c r="PMS115" s="15"/>
      <c r="PMT115" s="15"/>
      <c r="PMU115" s="15"/>
      <c r="PMV115" s="14"/>
      <c r="PMW115" s="15"/>
      <c r="PMX115" s="15"/>
      <c r="PMY115" s="15"/>
      <c r="PMZ115" s="15"/>
      <c r="PNA115" s="15"/>
      <c r="PNB115" s="15"/>
      <c r="PNC115" s="15"/>
      <c r="PND115" s="15"/>
      <c r="PNE115" s="15"/>
      <c r="PNF115" s="15"/>
      <c r="PNG115" s="15"/>
      <c r="PNH115" s="15"/>
      <c r="PNI115" s="15"/>
      <c r="PNJ115" s="15"/>
      <c r="PNK115" s="15"/>
      <c r="PNL115" s="15"/>
      <c r="PNM115" s="15"/>
      <c r="PNN115" s="15"/>
      <c r="PNO115" s="15"/>
      <c r="PNP115" s="15"/>
      <c r="PNQ115" s="15"/>
      <c r="PNR115" s="14"/>
      <c r="PNS115" s="15"/>
      <c r="PNT115" s="15"/>
      <c r="PNU115" s="15"/>
      <c r="PNV115" s="15"/>
      <c r="PNW115" s="15"/>
      <c r="PNX115" s="15"/>
      <c r="PNY115" s="15"/>
      <c r="PNZ115" s="15"/>
      <c r="POA115" s="15"/>
      <c r="POB115" s="15"/>
      <c r="POC115" s="15"/>
      <c r="POD115" s="15"/>
      <c r="POE115" s="15"/>
      <c r="POF115" s="15"/>
      <c r="POG115" s="15"/>
      <c r="POH115" s="15"/>
      <c r="POI115" s="15"/>
      <c r="POJ115" s="15"/>
      <c r="POK115" s="15"/>
      <c r="POL115" s="15"/>
      <c r="POM115" s="15"/>
      <c r="PON115" s="14"/>
      <c r="POO115" s="15"/>
      <c r="POP115" s="15"/>
      <c r="POQ115" s="15"/>
      <c r="POR115" s="15"/>
      <c r="POS115" s="15"/>
      <c r="POT115" s="15"/>
      <c r="POU115" s="15"/>
      <c r="POV115" s="15"/>
      <c r="POW115" s="15"/>
      <c r="POX115" s="15"/>
      <c r="POY115" s="15"/>
      <c r="POZ115" s="15"/>
      <c r="PPA115" s="15"/>
      <c r="PPB115" s="15"/>
      <c r="PPC115" s="15"/>
      <c r="PPD115" s="15"/>
      <c r="PPE115" s="15"/>
      <c r="PPF115" s="15"/>
      <c r="PPG115" s="15"/>
      <c r="PPH115" s="15"/>
      <c r="PPI115" s="15"/>
      <c r="PPJ115" s="14"/>
      <c r="PPK115" s="15"/>
      <c r="PPL115" s="15"/>
      <c r="PPM115" s="15"/>
      <c r="PPN115" s="15"/>
      <c r="PPO115" s="15"/>
      <c r="PPP115" s="15"/>
      <c r="PPQ115" s="15"/>
      <c r="PPR115" s="15"/>
      <c r="PPS115" s="15"/>
      <c r="PPT115" s="15"/>
      <c r="PPU115" s="15"/>
      <c r="PPV115" s="15"/>
      <c r="PPW115" s="15"/>
      <c r="PPX115" s="15"/>
      <c r="PPY115" s="15"/>
      <c r="PPZ115" s="15"/>
      <c r="PQA115" s="15"/>
      <c r="PQB115" s="15"/>
      <c r="PQC115" s="15"/>
      <c r="PQD115" s="15"/>
      <c r="PQE115" s="15"/>
      <c r="PQF115" s="14"/>
      <c r="PQG115" s="15"/>
      <c r="PQH115" s="15"/>
      <c r="PQI115" s="15"/>
      <c r="PQJ115" s="15"/>
      <c r="PQK115" s="15"/>
      <c r="PQL115" s="15"/>
      <c r="PQM115" s="15"/>
      <c r="PQN115" s="15"/>
      <c r="PQO115" s="15"/>
      <c r="PQP115" s="15"/>
      <c r="PQQ115" s="15"/>
      <c r="PQR115" s="15"/>
      <c r="PQS115" s="15"/>
      <c r="PQT115" s="15"/>
      <c r="PQU115" s="15"/>
      <c r="PQV115" s="15"/>
      <c r="PQW115" s="15"/>
      <c r="PQX115" s="15"/>
      <c r="PQY115" s="15"/>
      <c r="PQZ115" s="15"/>
      <c r="PRA115" s="15"/>
      <c r="PRB115" s="14"/>
      <c r="PRC115" s="15"/>
      <c r="PRD115" s="15"/>
      <c r="PRE115" s="15"/>
      <c r="PRF115" s="15"/>
      <c r="PRG115" s="15"/>
      <c r="PRH115" s="15"/>
      <c r="PRI115" s="15"/>
      <c r="PRJ115" s="15"/>
      <c r="PRK115" s="15"/>
      <c r="PRL115" s="15"/>
      <c r="PRM115" s="15"/>
      <c r="PRN115" s="15"/>
      <c r="PRO115" s="15"/>
      <c r="PRP115" s="15"/>
      <c r="PRQ115" s="15"/>
      <c r="PRR115" s="15"/>
      <c r="PRS115" s="15"/>
      <c r="PRT115" s="15"/>
      <c r="PRU115" s="15"/>
      <c r="PRV115" s="15"/>
      <c r="PRW115" s="15"/>
      <c r="PRX115" s="14"/>
      <c r="PRY115" s="15"/>
      <c r="PRZ115" s="15"/>
      <c r="PSA115" s="15"/>
      <c r="PSB115" s="15"/>
      <c r="PSC115" s="15"/>
      <c r="PSD115" s="15"/>
      <c r="PSE115" s="15"/>
      <c r="PSF115" s="15"/>
      <c r="PSG115" s="15"/>
      <c r="PSH115" s="15"/>
      <c r="PSI115" s="15"/>
      <c r="PSJ115" s="15"/>
      <c r="PSK115" s="15"/>
      <c r="PSL115" s="15"/>
      <c r="PSM115" s="15"/>
      <c r="PSN115" s="15"/>
      <c r="PSO115" s="15"/>
      <c r="PSP115" s="15"/>
      <c r="PSQ115" s="15"/>
      <c r="PSR115" s="15"/>
      <c r="PSS115" s="15"/>
      <c r="PST115" s="14"/>
      <c r="PSU115" s="15"/>
      <c r="PSV115" s="15"/>
      <c r="PSW115" s="15"/>
      <c r="PSX115" s="15"/>
      <c r="PSY115" s="15"/>
      <c r="PSZ115" s="15"/>
      <c r="PTA115" s="15"/>
      <c r="PTB115" s="15"/>
      <c r="PTC115" s="15"/>
      <c r="PTD115" s="15"/>
      <c r="PTE115" s="15"/>
      <c r="PTF115" s="15"/>
      <c r="PTG115" s="15"/>
      <c r="PTH115" s="15"/>
      <c r="PTI115" s="15"/>
      <c r="PTJ115" s="15"/>
      <c r="PTK115" s="15"/>
      <c r="PTL115" s="15"/>
      <c r="PTM115" s="15"/>
      <c r="PTN115" s="15"/>
      <c r="PTO115" s="15"/>
      <c r="PTP115" s="14"/>
      <c r="PTQ115" s="15"/>
      <c r="PTR115" s="15"/>
      <c r="PTS115" s="15"/>
      <c r="PTT115" s="15"/>
      <c r="PTU115" s="15"/>
      <c r="PTV115" s="15"/>
      <c r="PTW115" s="15"/>
      <c r="PTX115" s="15"/>
      <c r="PTY115" s="15"/>
      <c r="PTZ115" s="15"/>
      <c r="PUA115" s="15"/>
      <c r="PUB115" s="15"/>
      <c r="PUC115" s="15"/>
      <c r="PUD115" s="15"/>
      <c r="PUE115" s="15"/>
      <c r="PUF115" s="15"/>
      <c r="PUG115" s="15"/>
      <c r="PUH115" s="15"/>
      <c r="PUI115" s="15"/>
      <c r="PUJ115" s="15"/>
      <c r="PUK115" s="15"/>
      <c r="PUL115" s="14"/>
      <c r="PUM115" s="15"/>
      <c r="PUN115" s="15"/>
      <c r="PUO115" s="15"/>
      <c r="PUP115" s="15"/>
      <c r="PUQ115" s="15"/>
      <c r="PUR115" s="15"/>
      <c r="PUS115" s="15"/>
      <c r="PUT115" s="15"/>
      <c r="PUU115" s="15"/>
      <c r="PUV115" s="15"/>
      <c r="PUW115" s="15"/>
      <c r="PUX115" s="15"/>
      <c r="PUY115" s="15"/>
      <c r="PUZ115" s="15"/>
      <c r="PVA115" s="15"/>
      <c r="PVB115" s="15"/>
      <c r="PVC115" s="15"/>
      <c r="PVD115" s="15"/>
      <c r="PVE115" s="15"/>
      <c r="PVF115" s="15"/>
      <c r="PVG115" s="15"/>
      <c r="PVH115" s="14"/>
      <c r="PVI115" s="15"/>
      <c r="PVJ115" s="15"/>
      <c r="PVK115" s="15"/>
      <c r="PVL115" s="15"/>
      <c r="PVM115" s="15"/>
      <c r="PVN115" s="15"/>
      <c r="PVO115" s="15"/>
      <c r="PVP115" s="15"/>
      <c r="PVQ115" s="15"/>
      <c r="PVR115" s="15"/>
      <c r="PVS115" s="15"/>
      <c r="PVT115" s="15"/>
      <c r="PVU115" s="15"/>
      <c r="PVV115" s="15"/>
      <c r="PVW115" s="15"/>
      <c r="PVX115" s="15"/>
      <c r="PVY115" s="15"/>
      <c r="PVZ115" s="15"/>
      <c r="PWA115" s="15"/>
      <c r="PWB115" s="15"/>
      <c r="PWC115" s="15"/>
      <c r="PWD115" s="14"/>
      <c r="PWE115" s="15"/>
      <c r="PWF115" s="15"/>
      <c r="PWG115" s="15"/>
      <c r="PWH115" s="15"/>
      <c r="PWI115" s="15"/>
      <c r="PWJ115" s="15"/>
      <c r="PWK115" s="15"/>
      <c r="PWL115" s="15"/>
      <c r="PWM115" s="15"/>
      <c r="PWN115" s="15"/>
      <c r="PWO115" s="15"/>
      <c r="PWP115" s="15"/>
      <c r="PWQ115" s="15"/>
      <c r="PWR115" s="15"/>
      <c r="PWS115" s="15"/>
      <c r="PWT115" s="15"/>
      <c r="PWU115" s="15"/>
      <c r="PWV115" s="15"/>
      <c r="PWW115" s="15"/>
      <c r="PWX115" s="15"/>
      <c r="PWY115" s="15"/>
      <c r="PWZ115" s="14"/>
      <c r="PXA115" s="15"/>
      <c r="PXB115" s="15"/>
      <c r="PXC115" s="15"/>
      <c r="PXD115" s="15"/>
      <c r="PXE115" s="15"/>
      <c r="PXF115" s="15"/>
      <c r="PXG115" s="15"/>
      <c r="PXH115" s="15"/>
      <c r="PXI115" s="15"/>
      <c r="PXJ115" s="15"/>
      <c r="PXK115" s="15"/>
      <c r="PXL115" s="15"/>
      <c r="PXM115" s="15"/>
      <c r="PXN115" s="15"/>
      <c r="PXO115" s="15"/>
      <c r="PXP115" s="15"/>
      <c r="PXQ115" s="15"/>
      <c r="PXR115" s="15"/>
      <c r="PXS115" s="15"/>
      <c r="PXT115" s="15"/>
      <c r="PXU115" s="15"/>
      <c r="PXV115" s="14"/>
      <c r="PXW115" s="15"/>
      <c r="PXX115" s="15"/>
      <c r="PXY115" s="15"/>
      <c r="PXZ115" s="15"/>
      <c r="PYA115" s="15"/>
      <c r="PYB115" s="15"/>
      <c r="PYC115" s="15"/>
      <c r="PYD115" s="15"/>
      <c r="PYE115" s="15"/>
      <c r="PYF115" s="15"/>
      <c r="PYG115" s="15"/>
      <c r="PYH115" s="15"/>
      <c r="PYI115" s="15"/>
      <c r="PYJ115" s="15"/>
      <c r="PYK115" s="15"/>
      <c r="PYL115" s="15"/>
      <c r="PYM115" s="15"/>
      <c r="PYN115" s="15"/>
      <c r="PYO115" s="15"/>
      <c r="PYP115" s="15"/>
      <c r="PYQ115" s="15"/>
      <c r="PYR115" s="14"/>
      <c r="PYS115" s="15"/>
      <c r="PYT115" s="15"/>
      <c r="PYU115" s="15"/>
      <c r="PYV115" s="15"/>
      <c r="PYW115" s="15"/>
      <c r="PYX115" s="15"/>
      <c r="PYY115" s="15"/>
      <c r="PYZ115" s="15"/>
      <c r="PZA115" s="15"/>
      <c r="PZB115" s="15"/>
      <c r="PZC115" s="15"/>
      <c r="PZD115" s="15"/>
      <c r="PZE115" s="15"/>
      <c r="PZF115" s="15"/>
      <c r="PZG115" s="15"/>
      <c r="PZH115" s="15"/>
      <c r="PZI115" s="15"/>
      <c r="PZJ115" s="15"/>
      <c r="PZK115" s="15"/>
      <c r="PZL115" s="15"/>
      <c r="PZM115" s="15"/>
      <c r="PZN115" s="14"/>
      <c r="PZO115" s="15"/>
      <c r="PZP115" s="15"/>
      <c r="PZQ115" s="15"/>
      <c r="PZR115" s="15"/>
      <c r="PZS115" s="15"/>
      <c r="PZT115" s="15"/>
      <c r="PZU115" s="15"/>
      <c r="PZV115" s="15"/>
      <c r="PZW115" s="15"/>
      <c r="PZX115" s="15"/>
      <c r="PZY115" s="15"/>
      <c r="PZZ115" s="15"/>
      <c r="QAA115" s="15"/>
      <c r="QAB115" s="15"/>
      <c r="QAC115" s="15"/>
      <c r="QAD115" s="15"/>
      <c r="QAE115" s="15"/>
      <c r="QAF115" s="15"/>
      <c r="QAG115" s="15"/>
      <c r="QAH115" s="15"/>
      <c r="QAI115" s="15"/>
      <c r="QAJ115" s="14"/>
      <c r="QAK115" s="15"/>
      <c r="QAL115" s="15"/>
      <c r="QAM115" s="15"/>
      <c r="QAN115" s="15"/>
      <c r="QAO115" s="15"/>
      <c r="QAP115" s="15"/>
      <c r="QAQ115" s="15"/>
      <c r="QAR115" s="15"/>
      <c r="QAS115" s="15"/>
      <c r="QAT115" s="15"/>
      <c r="QAU115" s="15"/>
      <c r="QAV115" s="15"/>
      <c r="QAW115" s="15"/>
      <c r="QAX115" s="15"/>
      <c r="QAY115" s="15"/>
      <c r="QAZ115" s="15"/>
      <c r="QBA115" s="15"/>
      <c r="QBB115" s="15"/>
      <c r="QBC115" s="15"/>
      <c r="QBD115" s="15"/>
      <c r="QBE115" s="15"/>
      <c r="QBF115" s="14"/>
      <c r="QBG115" s="15"/>
      <c r="QBH115" s="15"/>
      <c r="QBI115" s="15"/>
      <c r="QBJ115" s="15"/>
      <c r="QBK115" s="15"/>
      <c r="QBL115" s="15"/>
      <c r="QBM115" s="15"/>
      <c r="QBN115" s="15"/>
      <c r="QBO115" s="15"/>
      <c r="QBP115" s="15"/>
      <c r="QBQ115" s="15"/>
      <c r="QBR115" s="15"/>
      <c r="QBS115" s="15"/>
      <c r="QBT115" s="15"/>
      <c r="QBU115" s="15"/>
      <c r="QBV115" s="15"/>
      <c r="QBW115" s="15"/>
      <c r="QBX115" s="15"/>
      <c r="QBY115" s="15"/>
      <c r="QBZ115" s="15"/>
      <c r="QCA115" s="15"/>
      <c r="QCB115" s="14"/>
      <c r="QCC115" s="15"/>
      <c r="QCD115" s="15"/>
      <c r="QCE115" s="15"/>
      <c r="QCF115" s="15"/>
      <c r="QCG115" s="15"/>
      <c r="QCH115" s="15"/>
      <c r="QCI115" s="15"/>
      <c r="QCJ115" s="15"/>
      <c r="QCK115" s="15"/>
      <c r="QCL115" s="15"/>
      <c r="QCM115" s="15"/>
      <c r="QCN115" s="15"/>
      <c r="QCO115" s="15"/>
      <c r="QCP115" s="15"/>
      <c r="QCQ115" s="15"/>
      <c r="QCR115" s="15"/>
      <c r="QCS115" s="15"/>
      <c r="QCT115" s="15"/>
      <c r="QCU115" s="15"/>
      <c r="QCV115" s="15"/>
      <c r="QCW115" s="15"/>
      <c r="QCX115" s="14"/>
      <c r="QCY115" s="15"/>
      <c r="QCZ115" s="15"/>
      <c r="QDA115" s="15"/>
      <c r="QDB115" s="15"/>
      <c r="QDC115" s="15"/>
      <c r="QDD115" s="15"/>
      <c r="QDE115" s="15"/>
      <c r="QDF115" s="15"/>
      <c r="QDG115" s="15"/>
      <c r="QDH115" s="15"/>
      <c r="QDI115" s="15"/>
      <c r="QDJ115" s="15"/>
      <c r="QDK115" s="15"/>
      <c r="QDL115" s="15"/>
      <c r="QDM115" s="15"/>
      <c r="QDN115" s="15"/>
      <c r="QDO115" s="15"/>
      <c r="QDP115" s="15"/>
      <c r="QDQ115" s="15"/>
      <c r="QDR115" s="15"/>
      <c r="QDS115" s="15"/>
      <c r="QDT115" s="14"/>
      <c r="QDU115" s="15"/>
      <c r="QDV115" s="15"/>
      <c r="QDW115" s="15"/>
      <c r="QDX115" s="15"/>
      <c r="QDY115" s="15"/>
      <c r="QDZ115" s="15"/>
      <c r="QEA115" s="15"/>
      <c r="QEB115" s="15"/>
      <c r="QEC115" s="15"/>
      <c r="QED115" s="15"/>
      <c r="QEE115" s="15"/>
      <c r="QEF115" s="15"/>
      <c r="QEG115" s="15"/>
      <c r="QEH115" s="15"/>
      <c r="QEI115" s="15"/>
      <c r="QEJ115" s="15"/>
      <c r="QEK115" s="15"/>
      <c r="QEL115" s="15"/>
      <c r="QEM115" s="15"/>
      <c r="QEN115" s="15"/>
      <c r="QEO115" s="15"/>
      <c r="QEP115" s="14"/>
      <c r="QEQ115" s="15"/>
      <c r="QER115" s="15"/>
      <c r="QES115" s="15"/>
      <c r="QET115" s="15"/>
      <c r="QEU115" s="15"/>
      <c r="QEV115" s="15"/>
      <c r="QEW115" s="15"/>
      <c r="QEX115" s="15"/>
      <c r="QEY115" s="15"/>
      <c r="QEZ115" s="15"/>
      <c r="QFA115" s="15"/>
      <c r="QFB115" s="15"/>
      <c r="QFC115" s="15"/>
      <c r="QFD115" s="15"/>
      <c r="QFE115" s="15"/>
      <c r="QFF115" s="15"/>
      <c r="QFG115" s="15"/>
      <c r="QFH115" s="15"/>
      <c r="QFI115" s="15"/>
      <c r="QFJ115" s="15"/>
      <c r="QFK115" s="15"/>
      <c r="QFL115" s="14"/>
      <c r="QFM115" s="15"/>
      <c r="QFN115" s="15"/>
      <c r="QFO115" s="15"/>
      <c r="QFP115" s="15"/>
      <c r="QFQ115" s="15"/>
      <c r="QFR115" s="15"/>
      <c r="QFS115" s="15"/>
      <c r="QFT115" s="15"/>
      <c r="QFU115" s="15"/>
      <c r="QFV115" s="15"/>
      <c r="QFW115" s="15"/>
      <c r="QFX115" s="15"/>
      <c r="QFY115" s="15"/>
      <c r="QFZ115" s="15"/>
      <c r="QGA115" s="15"/>
      <c r="QGB115" s="15"/>
      <c r="QGC115" s="15"/>
      <c r="QGD115" s="15"/>
      <c r="QGE115" s="15"/>
      <c r="QGF115" s="15"/>
      <c r="QGG115" s="15"/>
      <c r="QGH115" s="14"/>
      <c r="QGI115" s="15"/>
      <c r="QGJ115" s="15"/>
      <c r="QGK115" s="15"/>
      <c r="QGL115" s="15"/>
      <c r="QGM115" s="15"/>
      <c r="QGN115" s="15"/>
      <c r="QGO115" s="15"/>
      <c r="QGP115" s="15"/>
      <c r="QGQ115" s="15"/>
      <c r="QGR115" s="15"/>
      <c r="QGS115" s="15"/>
      <c r="QGT115" s="15"/>
      <c r="QGU115" s="15"/>
      <c r="QGV115" s="15"/>
      <c r="QGW115" s="15"/>
      <c r="QGX115" s="15"/>
      <c r="QGY115" s="15"/>
      <c r="QGZ115" s="15"/>
      <c r="QHA115" s="15"/>
      <c r="QHB115" s="15"/>
      <c r="QHC115" s="15"/>
      <c r="QHD115" s="14"/>
      <c r="QHE115" s="15"/>
      <c r="QHF115" s="15"/>
      <c r="QHG115" s="15"/>
      <c r="QHH115" s="15"/>
      <c r="QHI115" s="15"/>
      <c r="QHJ115" s="15"/>
      <c r="QHK115" s="15"/>
      <c r="QHL115" s="15"/>
      <c r="QHM115" s="15"/>
      <c r="QHN115" s="15"/>
      <c r="QHO115" s="15"/>
      <c r="QHP115" s="15"/>
      <c r="QHQ115" s="15"/>
      <c r="QHR115" s="15"/>
      <c r="QHS115" s="15"/>
      <c r="QHT115" s="15"/>
      <c r="QHU115" s="15"/>
      <c r="QHV115" s="15"/>
      <c r="QHW115" s="15"/>
      <c r="QHX115" s="15"/>
      <c r="QHY115" s="15"/>
      <c r="QHZ115" s="14"/>
      <c r="QIA115" s="15"/>
      <c r="QIB115" s="15"/>
      <c r="QIC115" s="15"/>
      <c r="QID115" s="15"/>
      <c r="QIE115" s="15"/>
      <c r="QIF115" s="15"/>
      <c r="QIG115" s="15"/>
      <c r="QIH115" s="15"/>
      <c r="QII115" s="15"/>
      <c r="QIJ115" s="15"/>
      <c r="QIK115" s="15"/>
      <c r="QIL115" s="15"/>
      <c r="QIM115" s="15"/>
      <c r="QIN115" s="15"/>
      <c r="QIO115" s="15"/>
      <c r="QIP115" s="15"/>
      <c r="QIQ115" s="15"/>
      <c r="QIR115" s="15"/>
      <c r="QIS115" s="15"/>
      <c r="QIT115" s="15"/>
      <c r="QIU115" s="15"/>
      <c r="QIV115" s="14"/>
      <c r="QIW115" s="15"/>
      <c r="QIX115" s="15"/>
      <c r="QIY115" s="15"/>
      <c r="QIZ115" s="15"/>
      <c r="QJA115" s="15"/>
      <c r="QJB115" s="15"/>
      <c r="QJC115" s="15"/>
      <c r="QJD115" s="15"/>
      <c r="QJE115" s="15"/>
      <c r="QJF115" s="15"/>
      <c r="QJG115" s="15"/>
      <c r="QJH115" s="15"/>
      <c r="QJI115" s="15"/>
      <c r="QJJ115" s="15"/>
      <c r="QJK115" s="15"/>
      <c r="QJL115" s="15"/>
      <c r="QJM115" s="15"/>
      <c r="QJN115" s="15"/>
      <c r="QJO115" s="15"/>
      <c r="QJP115" s="15"/>
      <c r="QJQ115" s="15"/>
      <c r="QJR115" s="14"/>
      <c r="QJS115" s="15"/>
      <c r="QJT115" s="15"/>
      <c r="QJU115" s="15"/>
      <c r="QJV115" s="15"/>
      <c r="QJW115" s="15"/>
      <c r="QJX115" s="15"/>
      <c r="QJY115" s="15"/>
      <c r="QJZ115" s="15"/>
      <c r="QKA115" s="15"/>
      <c r="QKB115" s="15"/>
      <c r="QKC115" s="15"/>
      <c r="QKD115" s="15"/>
      <c r="QKE115" s="15"/>
      <c r="QKF115" s="15"/>
      <c r="QKG115" s="15"/>
      <c r="QKH115" s="15"/>
      <c r="QKI115" s="15"/>
      <c r="QKJ115" s="15"/>
      <c r="QKK115" s="15"/>
      <c r="QKL115" s="15"/>
      <c r="QKM115" s="15"/>
      <c r="QKN115" s="14"/>
      <c r="QKO115" s="15"/>
      <c r="QKP115" s="15"/>
      <c r="QKQ115" s="15"/>
      <c r="QKR115" s="15"/>
      <c r="QKS115" s="15"/>
      <c r="QKT115" s="15"/>
      <c r="QKU115" s="15"/>
      <c r="QKV115" s="15"/>
      <c r="QKW115" s="15"/>
      <c r="QKX115" s="15"/>
      <c r="QKY115" s="15"/>
      <c r="QKZ115" s="15"/>
      <c r="QLA115" s="15"/>
      <c r="QLB115" s="15"/>
      <c r="QLC115" s="15"/>
      <c r="QLD115" s="15"/>
      <c r="QLE115" s="15"/>
      <c r="QLF115" s="15"/>
      <c r="QLG115" s="15"/>
      <c r="QLH115" s="15"/>
      <c r="QLI115" s="15"/>
      <c r="QLJ115" s="14"/>
      <c r="QLK115" s="15"/>
      <c r="QLL115" s="15"/>
      <c r="QLM115" s="15"/>
      <c r="QLN115" s="15"/>
      <c r="QLO115" s="15"/>
      <c r="QLP115" s="15"/>
      <c r="QLQ115" s="15"/>
      <c r="QLR115" s="15"/>
      <c r="QLS115" s="15"/>
      <c r="QLT115" s="15"/>
      <c r="QLU115" s="15"/>
      <c r="QLV115" s="15"/>
      <c r="QLW115" s="15"/>
      <c r="QLX115" s="15"/>
      <c r="QLY115" s="15"/>
      <c r="QLZ115" s="15"/>
      <c r="QMA115" s="15"/>
      <c r="QMB115" s="15"/>
      <c r="QMC115" s="15"/>
      <c r="QMD115" s="15"/>
      <c r="QME115" s="15"/>
      <c r="QMF115" s="14"/>
      <c r="QMG115" s="15"/>
      <c r="QMH115" s="15"/>
      <c r="QMI115" s="15"/>
      <c r="QMJ115" s="15"/>
      <c r="QMK115" s="15"/>
      <c r="QML115" s="15"/>
      <c r="QMM115" s="15"/>
      <c r="QMN115" s="15"/>
      <c r="QMO115" s="15"/>
      <c r="QMP115" s="15"/>
      <c r="QMQ115" s="15"/>
      <c r="QMR115" s="15"/>
      <c r="QMS115" s="15"/>
      <c r="QMT115" s="15"/>
      <c r="QMU115" s="15"/>
      <c r="QMV115" s="15"/>
      <c r="QMW115" s="15"/>
      <c r="QMX115" s="15"/>
      <c r="QMY115" s="15"/>
      <c r="QMZ115" s="15"/>
      <c r="QNA115" s="15"/>
      <c r="QNB115" s="14"/>
      <c r="QNC115" s="15"/>
      <c r="QND115" s="15"/>
      <c r="QNE115" s="15"/>
      <c r="QNF115" s="15"/>
      <c r="QNG115" s="15"/>
      <c r="QNH115" s="15"/>
      <c r="QNI115" s="15"/>
      <c r="QNJ115" s="15"/>
      <c r="QNK115" s="15"/>
      <c r="QNL115" s="15"/>
      <c r="QNM115" s="15"/>
      <c r="QNN115" s="15"/>
      <c r="QNO115" s="15"/>
      <c r="QNP115" s="15"/>
      <c r="QNQ115" s="15"/>
      <c r="QNR115" s="15"/>
      <c r="QNS115" s="15"/>
      <c r="QNT115" s="15"/>
      <c r="QNU115" s="15"/>
      <c r="QNV115" s="15"/>
      <c r="QNW115" s="15"/>
      <c r="QNX115" s="14"/>
      <c r="QNY115" s="15"/>
      <c r="QNZ115" s="15"/>
      <c r="QOA115" s="15"/>
      <c r="QOB115" s="15"/>
      <c r="QOC115" s="15"/>
      <c r="QOD115" s="15"/>
      <c r="QOE115" s="15"/>
      <c r="QOF115" s="15"/>
      <c r="QOG115" s="15"/>
      <c r="QOH115" s="15"/>
      <c r="QOI115" s="15"/>
      <c r="QOJ115" s="15"/>
      <c r="QOK115" s="15"/>
      <c r="QOL115" s="15"/>
      <c r="QOM115" s="15"/>
      <c r="QON115" s="15"/>
      <c r="QOO115" s="15"/>
      <c r="QOP115" s="15"/>
      <c r="QOQ115" s="15"/>
      <c r="QOR115" s="15"/>
      <c r="QOS115" s="15"/>
      <c r="QOT115" s="14"/>
      <c r="QOU115" s="15"/>
      <c r="QOV115" s="15"/>
      <c r="QOW115" s="15"/>
      <c r="QOX115" s="15"/>
      <c r="QOY115" s="15"/>
      <c r="QOZ115" s="15"/>
      <c r="QPA115" s="15"/>
      <c r="QPB115" s="15"/>
      <c r="QPC115" s="15"/>
      <c r="QPD115" s="15"/>
      <c r="QPE115" s="15"/>
      <c r="QPF115" s="15"/>
      <c r="QPG115" s="15"/>
      <c r="QPH115" s="15"/>
      <c r="QPI115" s="15"/>
      <c r="QPJ115" s="15"/>
      <c r="QPK115" s="15"/>
      <c r="QPL115" s="15"/>
      <c r="QPM115" s="15"/>
      <c r="QPN115" s="15"/>
      <c r="QPO115" s="15"/>
      <c r="QPP115" s="14"/>
      <c r="QPQ115" s="15"/>
      <c r="QPR115" s="15"/>
      <c r="QPS115" s="15"/>
      <c r="QPT115" s="15"/>
      <c r="QPU115" s="15"/>
      <c r="QPV115" s="15"/>
      <c r="QPW115" s="15"/>
      <c r="QPX115" s="15"/>
      <c r="QPY115" s="15"/>
      <c r="QPZ115" s="15"/>
      <c r="QQA115" s="15"/>
      <c r="QQB115" s="15"/>
      <c r="QQC115" s="15"/>
      <c r="QQD115" s="15"/>
      <c r="QQE115" s="15"/>
      <c r="QQF115" s="15"/>
      <c r="QQG115" s="15"/>
      <c r="QQH115" s="15"/>
      <c r="QQI115" s="15"/>
      <c r="QQJ115" s="15"/>
      <c r="QQK115" s="15"/>
      <c r="QQL115" s="14"/>
      <c r="QQM115" s="15"/>
      <c r="QQN115" s="15"/>
      <c r="QQO115" s="15"/>
      <c r="QQP115" s="15"/>
      <c r="QQQ115" s="15"/>
      <c r="QQR115" s="15"/>
      <c r="QQS115" s="15"/>
      <c r="QQT115" s="15"/>
      <c r="QQU115" s="15"/>
      <c r="QQV115" s="15"/>
      <c r="QQW115" s="15"/>
      <c r="QQX115" s="15"/>
      <c r="QQY115" s="15"/>
      <c r="QQZ115" s="15"/>
      <c r="QRA115" s="15"/>
      <c r="QRB115" s="15"/>
      <c r="QRC115" s="15"/>
      <c r="QRD115" s="15"/>
      <c r="QRE115" s="15"/>
      <c r="QRF115" s="15"/>
      <c r="QRG115" s="15"/>
      <c r="QRH115" s="14"/>
      <c r="QRI115" s="15"/>
      <c r="QRJ115" s="15"/>
      <c r="QRK115" s="15"/>
      <c r="QRL115" s="15"/>
      <c r="QRM115" s="15"/>
      <c r="QRN115" s="15"/>
      <c r="QRO115" s="15"/>
      <c r="QRP115" s="15"/>
      <c r="QRQ115" s="15"/>
      <c r="QRR115" s="15"/>
      <c r="QRS115" s="15"/>
      <c r="QRT115" s="15"/>
      <c r="QRU115" s="15"/>
      <c r="QRV115" s="15"/>
      <c r="QRW115" s="15"/>
      <c r="QRX115" s="15"/>
      <c r="QRY115" s="15"/>
      <c r="QRZ115" s="15"/>
      <c r="QSA115" s="15"/>
      <c r="QSB115" s="15"/>
      <c r="QSC115" s="15"/>
      <c r="QSD115" s="14"/>
      <c r="QSE115" s="15"/>
      <c r="QSF115" s="15"/>
      <c r="QSG115" s="15"/>
      <c r="QSH115" s="15"/>
      <c r="QSI115" s="15"/>
      <c r="QSJ115" s="15"/>
      <c r="QSK115" s="15"/>
      <c r="QSL115" s="15"/>
      <c r="QSM115" s="15"/>
      <c r="QSN115" s="15"/>
      <c r="QSO115" s="15"/>
      <c r="QSP115" s="15"/>
      <c r="QSQ115" s="15"/>
      <c r="QSR115" s="15"/>
      <c r="QSS115" s="15"/>
      <c r="QST115" s="15"/>
      <c r="QSU115" s="15"/>
      <c r="QSV115" s="15"/>
      <c r="QSW115" s="15"/>
      <c r="QSX115" s="15"/>
      <c r="QSY115" s="15"/>
      <c r="QSZ115" s="14"/>
      <c r="QTA115" s="15"/>
      <c r="QTB115" s="15"/>
      <c r="QTC115" s="15"/>
      <c r="QTD115" s="15"/>
      <c r="QTE115" s="15"/>
      <c r="QTF115" s="15"/>
      <c r="QTG115" s="15"/>
      <c r="QTH115" s="15"/>
      <c r="QTI115" s="15"/>
      <c r="QTJ115" s="15"/>
      <c r="QTK115" s="15"/>
      <c r="QTL115" s="15"/>
      <c r="QTM115" s="15"/>
      <c r="QTN115" s="15"/>
      <c r="QTO115" s="15"/>
      <c r="QTP115" s="15"/>
      <c r="QTQ115" s="15"/>
      <c r="QTR115" s="15"/>
      <c r="QTS115" s="15"/>
      <c r="QTT115" s="15"/>
      <c r="QTU115" s="15"/>
      <c r="QTV115" s="14"/>
      <c r="QTW115" s="15"/>
      <c r="QTX115" s="15"/>
      <c r="QTY115" s="15"/>
      <c r="QTZ115" s="15"/>
      <c r="QUA115" s="15"/>
      <c r="QUB115" s="15"/>
      <c r="QUC115" s="15"/>
      <c r="QUD115" s="15"/>
      <c r="QUE115" s="15"/>
      <c r="QUF115" s="15"/>
      <c r="QUG115" s="15"/>
      <c r="QUH115" s="15"/>
      <c r="QUI115" s="15"/>
      <c r="QUJ115" s="15"/>
      <c r="QUK115" s="15"/>
      <c r="QUL115" s="15"/>
      <c r="QUM115" s="15"/>
      <c r="QUN115" s="15"/>
      <c r="QUO115" s="15"/>
      <c r="QUP115" s="15"/>
      <c r="QUQ115" s="15"/>
      <c r="QUR115" s="14"/>
      <c r="QUS115" s="15"/>
      <c r="QUT115" s="15"/>
      <c r="QUU115" s="15"/>
      <c r="QUV115" s="15"/>
      <c r="QUW115" s="15"/>
      <c r="QUX115" s="15"/>
      <c r="QUY115" s="15"/>
      <c r="QUZ115" s="15"/>
      <c r="QVA115" s="15"/>
      <c r="QVB115" s="15"/>
      <c r="QVC115" s="15"/>
      <c r="QVD115" s="15"/>
      <c r="QVE115" s="15"/>
      <c r="QVF115" s="15"/>
      <c r="QVG115" s="15"/>
      <c r="QVH115" s="15"/>
      <c r="QVI115" s="15"/>
      <c r="QVJ115" s="15"/>
      <c r="QVK115" s="15"/>
      <c r="QVL115" s="15"/>
      <c r="QVM115" s="15"/>
      <c r="QVN115" s="14"/>
      <c r="QVO115" s="15"/>
      <c r="QVP115" s="15"/>
      <c r="QVQ115" s="15"/>
      <c r="QVR115" s="15"/>
      <c r="QVS115" s="15"/>
      <c r="QVT115" s="15"/>
      <c r="QVU115" s="15"/>
      <c r="QVV115" s="15"/>
      <c r="QVW115" s="15"/>
      <c r="QVX115" s="15"/>
      <c r="QVY115" s="15"/>
      <c r="QVZ115" s="15"/>
      <c r="QWA115" s="15"/>
      <c r="QWB115" s="15"/>
      <c r="QWC115" s="15"/>
      <c r="QWD115" s="15"/>
      <c r="QWE115" s="15"/>
      <c r="QWF115" s="15"/>
      <c r="QWG115" s="15"/>
      <c r="QWH115" s="15"/>
      <c r="QWI115" s="15"/>
      <c r="QWJ115" s="14"/>
      <c r="QWK115" s="15"/>
      <c r="QWL115" s="15"/>
      <c r="QWM115" s="15"/>
      <c r="QWN115" s="15"/>
      <c r="QWO115" s="15"/>
      <c r="QWP115" s="15"/>
      <c r="QWQ115" s="15"/>
      <c r="QWR115" s="15"/>
      <c r="QWS115" s="15"/>
      <c r="QWT115" s="15"/>
      <c r="QWU115" s="15"/>
      <c r="QWV115" s="15"/>
      <c r="QWW115" s="15"/>
      <c r="QWX115" s="15"/>
      <c r="QWY115" s="15"/>
      <c r="QWZ115" s="15"/>
      <c r="QXA115" s="15"/>
      <c r="QXB115" s="15"/>
      <c r="QXC115" s="15"/>
      <c r="QXD115" s="15"/>
      <c r="QXE115" s="15"/>
      <c r="QXF115" s="14"/>
      <c r="QXG115" s="15"/>
      <c r="QXH115" s="15"/>
      <c r="QXI115" s="15"/>
      <c r="QXJ115" s="15"/>
      <c r="QXK115" s="15"/>
      <c r="QXL115" s="15"/>
      <c r="QXM115" s="15"/>
      <c r="QXN115" s="15"/>
      <c r="QXO115" s="15"/>
      <c r="QXP115" s="15"/>
      <c r="QXQ115" s="15"/>
      <c r="QXR115" s="15"/>
      <c r="QXS115" s="15"/>
      <c r="QXT115" s="15"/>
      <c r="QXU115" s="15"/>
      <c r="QXV115" s="15"/>
      <c r="QXW115" s="15"/>
      <c r="QXX115" s="15"/>
      <c r="QXY115" s="15"/>
      <c r="QXZ115" s="15"/>
      <c r="QYA115" s="15"/>
      <c r="QYB115" s="14"/>
      <c r="QYC115" s="15"/>
      <c r="QYD115" s="15"/>
      <c r="QYE115" s="15"/>
      <c r="QYF115" s="15"/>
      <c r="QYG115" s="15"/>
      <c r="QYH115" s="15"/>
      <c r="QYI115" s="15"/>
      <c r="QYJ115" s="15"/>
      <c r="QYK115" s="15"/>
      <c r="QYL115" s="15"/>
      <c r="QYM115" s="15"/>
      <c r="QYN115" s="15"/>
      <c r="QYO115" s="15"/>
      <c r="QYP115" s="15"/>
      <c r="QYQ115" s="15"/>
      <c r="QYR115" s="15"/>
      <c r="QYS115" s="15"/>
      <c r="QYT115" s="15"/>
      <c r="QYU115" s="15"/>
      <c r="QYV115" s="15"/>
      <c r="QYW115" s="15"/>
      <c r="QYX115" s="14"/>
      <c r="QYY115" s="15"/>
      <c r="QYZ115" s="15"/>
      <c r="QZA115" s="15"/>
      <c r="QZB115" s="15"/>
      <c r="QZC115" s="15"/>
      <c r="QZD115" s="15"/>
      <c r="QZE115" s="15"/>
      <c r="QZF115" s="15"/>
      <c r="QZG115" s="15"/>
      <c r="QZH115" s="15"/>
      <c r="QZI115" s="15"/>
      <c r="QZJ115" s="15"/>
      <c r="QZK115" s="15"/>
      <c r="QZL115" s="15"/>
      <c r="QZM115" s="15"/>
      <c r="QZN115" s="15"/>
      <c r="QZO115" s="15"/>
      <c r="QZP115" s="15"/>
      <c r="QZQ115" s="15"/>
      <c r="QZR115" s="15"/>
      <c r="QZS115" s="15"/>
      <c r="QZT115" s="14"/>
      <c r="QZU115" s="15"/>
      <c r="QZV115" s="15"/>
      <c r="QZW115" s="15"/>
      <c r="QZX115" s="15"/>
      <c r="QZY115" s="15"/>
      <c r="QZZ115" s="15"/>
      <c r="RAA115" s="15"/>
      <c r="RAB115" s="15"/>
      <c r="RAC115" s="15"/>
      <c r="RAD115" s="15"/>
      <c r="RAE115" s="15"/>
      <c r="RAF115" s="15"/>
      <c r="RAG115" s="15"/>
      <c r="RAH115" s="15"/>
      <c r="RAI115" s="15"/>
      <c r="RAJ115" s="15"/>
      <c r="RAK115" s="15"/>
      <c r="RAL115" s="15"/>
      <c r="RAM115" s="15"/>
      <c r="RAN115" s="15"/>
      <c r="RAO115" s="15"/>
      <c r="RAP115" s="14"/>
      <c r="RAQ115" s="15"/>
      <c r="RAR115" s="15"/>
      <c r="RAS115" s="15"/>
      <c r="RAT115" s="15"/>
      <c r="RAU115" s="15"/>
      <c r="RAV115" s="15"/>
      <c r="RAW115" s="15"/>
      <c r="RAX115" s="15"/>
      <c r="RAY115" s="15"/>
      <c r="RAZ115" s="15"/>
      <c r="RBA115" s="15"/>
      <c r="RBB115" s="15"/>
      <c r="RBC115" s="15"/>
      <c r="RBD115" s="15"/>
      <c r="RBE115" s="15"/>
      <c r="RBF115" s="15"/>
      <c r="RBG115" s="15"/>
      <c r="RBH115" s="15"/>
      <c r="RBI115" s="15"/>
      <c r="RBJ115" s="15"/>
      <c r="RBK115" s="15"/>
      <c r="RBL115" s="14"/>
      <c r="RBM115" s="15"/>
      <c r="RBN115" s="15"/>
      <c r="RBO115" s="15"/>
      <c r="RBP115" s="15"/>
      <c r="RBQ115" s="15"/>
      <c r="RBR115" s="15"/>
      <c r="RBS115" s="15"/>
      <c r="RBT115" s="15"/>
      <c r="RBU115" s="15"/>
      <c r="RBV115" s="15"/>
      <c r="RBW115" s="15"/>
      <c r="RBX115" s="15"/>
      <c r="RBY115" s="15"/>
      <c r="RBZ115" s="15"/>
      <c r="RCA115" s="15"/>
      <c r="RCB115" s="15"/>
      <c r="RCC115" s="15"/>
      <c r="RCD115" s="15"/>
      <c r="RCE115" s="15"/>
      <c r="RCF115" s="15"/>
      <c r="RCG115" s="15"/>
      <c r="RCH115" s="14"/>
      <c r="RCI115" s="15"/>
      <c r="RCJ115" s="15"/>
      <c r="RCK115" s="15"/>
      <c r="RCL115" s="15"/>
      <c r="RCM115" s="15"/>
      <c r="RCN115" s="15"/>
      <c r="RCO115" s="15"/>
      <c r="RCP115" s="15"/>
      <c r="RCQ115" s="15"/>
      <c r="RCR115" s="15"/>
      <c r="RCS115" s="15"/>
      <c r="RCT115" s="15"/>
      <c r="RCU115" s="15"/>
      <c r="RCV115" s="15"/>
      <c r="RCW115" s="15"/>
      <c r="RCX115" s="15"/>
      <c r="RCY115" s="15"/>
      <c r="RCZ115" s="15"/>
      <c r="RDA115" s="15"/>
      <c r="RDB115" s="15"/>
      <c r="RDC115" s="15"/>
      <c r="RDD115" s="14"/>
      <c r="RDE115" s="15"/>
      <c r="RDF115" s="15"/>
      <c r="RDG115" s="15"/>
      <c r="RDH115" s="15"/>
      <c r="RDI115" s="15"/>
      <c r="RDJ115" s="15"/>
      <c r="RDK115" s="15"/>
      <c r="RDL115" s="15"/>
      <c r="RDM115" s="15"/>
      <c r="RDN115" s="15"/>
      <c r="RDO115" s="15"/>
      <c r="RDP115" s="15"/>
      <c r="RDQ115" s="15"/>
      <c r="RDR115" s="15"/>
      <c r="RDS115" s="15"/>
      <c r="RDT115" s="15"/>
      <c r="RDU115" s="15"/>
      <c r="RDV115" s="15"/>
      <c r="RDW115" s="15"/>
      <c r="RDX115" s="15"/>
      <c r="RDY115" s="15"/>
      <c r="RDZ115" s="14"/>
      <c r="REA115" s="15"/>
      <c r="REB115" s="15"/>
      <c r="REC115" s="15"/>
      <c r="RED115" s="15"/>
      <c r="REE115" s="15"/>
      <c r="REF115" s="15"/>
      <c r="REG115" s="15"/>
      <c r="REH115" s="15"/>
      <c r="REI115" s="15"/>
      <c r="REJ115" s="15"/>
      <c r="REK115" s="15"/>
      <c r="REL115" s="15"/>
      <c r="REM115" s="15"/>
      <c r="REN115" s="15"/>
      <c r="REO115" s="15"/>
      <c r="REP115" s="15"/>
      <c r="REQ115" s="15"/>
      <c r="RER115" s="15"/>
      <c r="RES115" s="15"/>
      <c r="RET115" s="15"/>
      <c r="REU115" s="15"/>
      <c r="REV115" s="14"/>
      <c r="REW115" s="15"/>
      <c r="REX115" s="15"/>
      <c r="REY115" s="15"/>
      <c r="REZ115" s="15"/>
      <c r="RFA115" s="15"/>
      <c r="RFB115" s="15"/>
      <c r="RFC115" s="15"/>
      <c r="RFD115" s="15"/>
      <c r="RFE115" s="15"/>
      <c r="RFF115" s="15"/>
      <c r="RFG115" s="15"/>
      <c r="RFH115" s="15"/>
      <c r="RFI115" s="15"/>
      <c r="RFJ115" s="15"/>
      <c r="RFK115" s="15"/>
      <c r="RFL115" s="15"/>
      <c r="RFM115" s="15"/>
      <c r="RFN115" s="15"/>
      <c r="RFO115" s="15"/>
      <c r="RFP115" s="15"/>
      <c r="RFQ115" s="15"/>
      <c r="RFR115" s="14"/>
      <c r="RFS115" s="15"/>
      <c r="RFT115" s="15"/>
      <c r="RFU115" s="15"/>
      <c r="RFV115" s="15"/>
      <c r="RFW115" s="15"/>
      <c r="RFX115" s="15"/>
      <c r="RFY115" s="15"/>
      <c r="RFZ115" s="15"/>
      <c r="RGA115" s="15"/>
      <c r="RGB115" s="15"/>
      <c r="RGC115" s="15"/>
      <c r="RGD115" s="15"/>
      <c r="RGE115" s="15"/>
      <c r="RGF115" s="15"/>
      <c r="RGG115" s="15"/>
      <c r="RGH115" s="15"/>
      <c r="RGI115" s="15"/>
      <c r="RGJ115" s="15"/>
      <c r="RGK115" s="15"/>
      <c r="RGL115" s="15"/>
      <c r="RGM115" s="15"/>
      <c r="RGN115" s="14"/>
      <c r="RGO115" s="15"/>
      <c r="RGP115" s="15"/>
      <c r="RGQ115" s="15"/>
      <c r="RGR115" s="15"/>
      <c r="RGS115" s="15"/>
      <c r="RGT115" s="15"/>
      <c r="RGU115" s="15"/>
      <c r="RGV115" s="15"/>
      <c r="RGW115" s="15"/>
      <c r="RGX115" s="15"/>
      <c r="RGY115" s="15"/>
      <c r="RGZ115" s="15"/>
      <c r="RHA115" s="15"/>
      <c r="RHB115" s="15"/>
      <c r="RHC115" s="15"/>
      <c r="RHD115" s="15"/>
      <c r="RHE115" s="15"/>
      <c r="RHF115" s="15"/>
      <c r="RHG115" s="15"/>
      <c r="RHH115" s="15"/>
      <c r="RHI115" s="15"/>
      <c r="RHJ115" s="14"/>
      <c r="RHK115" s="15"/>
      <c r="RHL115" s="15"/>
      <c r="RHM115" s="15"/>
      <c r="RHN115" s="15"/>
      <c r="RHO115" s="15"/>
      <c r="RHP115" s="15"/>
      <c r="RHQ115" s="15"/>
      <c r="RHR115" s="15"/>
      <c r="RHS115" s="15"/>
      <c r="RHT115" s="15"/>
      <c r="RHU115" s="15"/>
      <c r="RHV115" s="15"/>
      <c r="RHW115" s="15"/>
      <c r="RHX115" s="15"/>
      <c r="RHY115" s="15"/>
      <c r="RHZ115" s="15"/>
      <c r="RIA115" s="15"/>
      <c r="RIB115" s="15"/>
      <c r="RIC115" s="15"/>
      <c r="RID115" s="15"/>
      <c r="RIE115" s="15"/>
      <c r="RIF115" s="14"/>
      <c r="RIG115" s="15"/>
      <c r="RIH115" s="15"/>
      <c r="RII115" s="15"/>
      <c r="RIJ115" s="15"/>
      <c r="RIK115" s="15"/>
      <c r="RIL115" s="15"/>
      <c r="RIM115" s="15"/>
      <c r="RIN115" s="15"/>
      <c r="RIO115" s="15"/>
      <c r="RIP115" s="15"/>
      <c r="RIQ115" s="15"/>
      <c r="RIR115" s="15"/>
      <c r="RIS115" s="15"/>
      <c r="RIT115" s="15"/>
      <c r="RIU115" s="15"/>
      <c r="RIV115" s="15"/>
      <c r="RIW115" s="15"/>
      <c r="RIX115" s="15"/>
      <c r="RIY115" s="15"/>
      <c r="RIZ115" s="15"/>
      <c r="RJA115" s="15"/>
      <c r="RJB115" s="14"/>
      <c r="RJC115" s="15"/>
      <c r="RJD115" s="15"/>
      <c r="RJE115" s="15"/>
      <c r="RJF115" s="15"/>
      <c r="RJG115" s="15"/>
      <c r="RJH115" s="15"/>
      <c r="RJI115" s="15"/>
      <c r="RJJ115" s="15"/>
      <c r="RJK115" s="15"/>
      <c r="RJL115" s="15"/>
      <c r="RJM115" s="15"/>
      <c r="RJN115" s="15"/>
      <c r="RJO115" s="15"/>
      <c r="RJP115" s="15"/>
      <c r="RJQ115" s="15"/>
      <c r="RJR115" s="15"/>
      <c r="RJS115" s="15"/>
      <c r="RJT115" s="15"/>
      <c r="RJU115" s="15"/>
      <c r="RJV115" s="15"/>
      <c r="RJW115" s="15"/>
      <c r="RJX115" s="14"/>
      <c r="RJY115" s="15"/>
      <c r="RJZ115" s="15"/>
      <c r="RKA115" s="15"/>
      <c r="RKB115" s="15"/>
      <c r="RKC115" s="15"/>
      <c r="RKD115" s="15"/>
      <c r="RKE115" s="15"/>
      <c r="RKF115" s="15"/>
      <c r="RKG115" s="15"/>
      <c r="RKH115" s="15"/>
      <c r="RKI115" s="15"/>
      <c r="RKJ115" s="15"/>
      <c r="RKK115" s="15"/>
      <c r="RKL115" s="15"/>
      <c r="RKM115" s="15"/>
      <c r="RKN115" s="15"/>
      <c r="RKO115" s="15"/>
      <c r="RKP115" s="15"/>
      <c r="RKQ115" s="15"/>
      <c r="RKR115" s="15"/>
      <c r="RKS115" s="15"/>
      <c r="RKT115" s="14"/>
      <c r="RKU115" s="15"/>
      <c r="RKV115" s="15"/>
      <c r="RKW115" s="15"/>
      <c r="RKX115" s="15"/>
      <c r="RKY115" s="15"/>
      <c r="RKZ115" s="15"/>
      <c r="RLA115" s="15"/>
      <c r="RLB115" s="15"/>
      <c r="RLC115" s="15"/>
      <c r="RLD115" s="15"/>
      <c r="RLE115" s="15"/>
      <c r="RLF115" s="15"/>
      <c r="RLG115" s="15"/>
      <c r="RLH115" s="15"/>
      <c r="RLI115" s="15"/>
      <c r="RLJ115" s="15"/>
      <c r="RLK115" s="15"/>
      <c r="RLL115" s="15"/>
      <c r="RLM115" s="15"/>
      <c r="RLN115" s="15"/>
      <c r="RLO115" s="15"/>
      <c r="RLP115" s="14"/>
      <c r="RLQ115" s="15"/>
      <c r="RLR115" s="15"/>
      <c r="RLS115" s="15"/>
      <c r="RLT115" s="15"/>
      <c r="RLU115" s="15"/>
      <c r="RLV115" s="15"/>
      <c r="RLW115" s="15"/>
      <c r="RLX115" s="15"/>
      <c r="RLY115" s="15"/>
      <c r="RLZ115" s="15"/>
      <c r="RMA115" s="15"/>
      <c r="RMB115" s="15"/>
      <c r="RMC115" s="15"/>
      <c r="RMD115" s="15"/>
      <c r="RME115" s="15"/>
      <c r="RMF115" s="15"/>
      <c r="RMG115" s="15"/>
      <c r="RMH115" s="15"/>
      <c r="RMI115" s="15"/>
      <c r="RMJ115" s="15"/>
      <c r="RMK115" s="15"/>
      <c r="RML115" s="14"/>
      <c r="RMM115" s="15"/>
      <c r="RMN115" s="15"/>
      <c r="RMO115" s="15"/>
      <c r="RMP115" s="15"/>
      <c r="RMQ115" s="15"/>
      <c r="RMR115" s="15"/>
      <c r="RMS115" s="15"/>
      <c r="RMT115" s="15"/>
      <c r="RMU115" s="15"/>
      <c r="RMV115" s="15"/>
      <c r="RMW115" s="15"/>
      <c r="RMX115" s="15"/>
      <c r="RMY115" s="15"/>
      <c r="RMZ115" s="15"/>
      <c r="RNA115" s="15"/>
      <c r="RNB115" s="15"/>
      <c r="RNC115" s="15"/>
      <c r="RND115" s="15"/>
      <c r="RNE115" s="15"/>
      <c r="RNF115" s="15"/>
      <c r="RNG115" s="15"/>
      <c r="RNH115" s="14"/>
      <c r="RNI115" s="15"/>
      <c r="RNJ115" s="15"/>
      <c r="RNK115" s="15"/>
      <c r="RNL115" s="15"/>
      <c r="RNM115" s="15"/>
      <c r="RNN115" s="15"/>
      <c r="RNO115" s="15"/>
      <c r="RNP115" s="15"/>
      <c r="RNQ115" s="15"/>
      <c r="RNR115" s="15"/>
      <c r="RNS115" s="15"/>
      <c r="RNT115" s="15"/>
      <c r="RNU115" s="15"/>
      <c r="RNV115" s="15"/>
      <c r="RNW115" s="15"/>
      <c r="RNX115" s="15"/>
      <c r="RNY115" s="15"/>
      <c r="RNZ115" s="15"/>
      <c r="ROA115" s="15"/>
      <c r="ROB115" s="15"/>
      <c r="ROC115" s="15"/>
      <c r="ROD115" s="14"/>
      <c r="ROE115" s="15"/>
      <c r="ROF115" s="15"/>
      <c r="ROG115" s="15"/>
      <c r="ROH115" s="15"/>
      <c r="ROI115" s="15"/>
      <c r="ROJ115" s="15"/>
      <c r="ROK115" s="15"/>
      <c r="ROL115" s="15"/>
      <c r="ROM115" s="15"/>
      <c r="RON115" s="15"/>
      <c r="ROO115" s="15"/>
      <c r="ROP115" s="15"/>
      <c r="ROQ115" s="15"/>
      <c r="ROR115" s="15"/>
      <c r="ROS115" s="15"/>
      <c r="ROT115" s="15"/>
      <c r="ROU115" s="15"/>
      <c r="ROV115" s="15"/>
      <c r="ROW115" s="15"/>
      <c r="ROX115" s="15"/>
      <c r="ROY115" s="15"/>
      <c r="ROZ115" s="14"/>
      <c r="RPA115" s="15"/>
      <c r="RPB115" s="15"/>
      <c r="RPC115" s="15"/>
      <c r="RPD115" s="15"/>
      <c r="RPE115" s="15"/>
      <c r="RPF115" s="15"/>
      <c r="RPG115" s="15"/>
      <c r="RPH115" s="15"/>
      <c r="RPI115" s="15"/>
      <c r="RPJ115" s="15"/>
      <c r="RPK115" s="15"/>
      <c r="RPL115" s="15"/>
      <c r="RPM115" s="15"/>
      <c r="RPN115" s="15"/>
      <c r="RPO115" s="15"/>
      <c r="RPP115" s="15"/>
      <c r="RPQ115" s="15"/>
      <c r="RPR115" s="15"/>
      <c r="RPS115" s="15"/>
      <c r="RPT115" s="15"/>
      <c r="RPU115" s="15"/>
      <c r="RPV115" s="14"/>
      <c r="RPW115" s="15"/>
      <c r="RPX115" s="15"/>
      <c r="RPY115" s="15"/>
      <c r="RPZ115" s="15"/>
      <c r="RQA115" s="15"/>
      <c r="RQB115" s="15"/>
      <c r="RQC115" s="15"/>
      <c r="RQD115" s="15"/>
      <c r="RQE115" s="15"/>
      <c r="RQF115" s="15"/>
      <c r="RQG115" s="15"/>
      <c r="RQH115" s="15"/>
      <c r="RQI115" s="15"/>
      <c r="RQJ115" s="15"/>
      <c r="RQK115" s="15"/>
      <c r="RQL115" s="15"/>
      <c r="RQM115" s="15"/>
      <c r="RQN115" s="15"/>
      <c r="RQO115" s="15"/>
      <c r="RQP115" s="15"/>
      <c r="RQQ115" s="15"/>
      <c r="RQR115" s="14"/>
      <c r="RQS115" s="15"/>
      <c r="RQT115" s="15"/>
      <c r="RQU115" s="15"/>
      <c r="RQV115" s="15"/>
      <c r="RQW115" s="15"/>
      <c r="RQX115" s="15"/>
      <c r="RQY115" s="15"/>
      <c r="RQZ115" s="15"/>
      <c r="RRA115" s="15"/>
      <c r="RRB115" s="15"/>
      <c r="RRC115" s="15"/>
      <c r="RRD115" s="15"/>
      <c r="RRE115" s="15"/>
      <c r="RRF115" s="15"/>
      <c r="RRG115" s="15"/>
      <c r="RRH115" s="15"/>
      <c r="RRI115" s="15"/>
      <c r="RRJ115" s="15"/>
      <c r="RRK115" s="15"/>
      <c r="RRL115" s="15"/>
      <c r="RRM115" s="15"/>
      <c r="RRN115" s="14"/>
      <c r="RRO115" s="15"/>
      <c r="RRP115" s="15"/>
      <c r="RRQ115" s="15"/>
      <c r="RRR115" s="15"/>
      <c r="RRS115" s="15"/>
      <c r="RRT115" s="15"/>
      <c r="RRU115" s="15"/>
      <c r="RRV115" s="15"/>
      <c r="RRW115" s="15"/>
      <c r="RRX115" s="15"/>
      <c r="RRY115" s="15"/>
      <c r="RRZ115" s="15"/>
      <c r="RSA115" s="15"/>
      <c r="RSB115" s="15"/>
      <c r="RSC115" s="15"/>
      <c r="RSD115" s="15"/>
      <c r="RSE115" s="15"/>
      <c r="RSF115" s="15"/>
      <c r="RSG115" s="15"/>
      <c r="RSH115" s="15"/>
      <c r="RSI115" s="15"/>
      <c r="RSJ115" s="14"/>
      <c r="RSK115" s="15"/>
      <c r="RSL115" s="15"/>
      <c r="RSM115" s="15"/>
      <c r="RSN115" s="15"/>
      <c r="RSO115" s="15"/>
      <c r="RSP115" s="15"/>
      <c r="RSQ115" s="15"/>
      <c r="RSR115" s="15"/>
      <c r="RSS115" s="15"/>
      <c r="RST115" s="15"/>
      <c r="RSU115" s="15"/>
      <c r="RSV115" s="15"/>
      <c r="RSW115" s="15"/>
      <c r="RSX115" s="15"/>
      <c r="RSY115" s="15"/>
      <c r="RSZ115" s="15"/>
      <c r="RTA115" s="15"/>
      <c r="RTB115" s="15"/>
      <c r="RTC115" s="15"/>
      <c r="RTD115" s="15"/>
      <c r="RTE115" s="15"/>
      <c r="RTF115" s="14"/>
      <c r="RTG115" s="15"/>
      <c r="RTH115" s="15"/>
      <c r="RTI115" s="15"/>
      <c r="RTJ115" s="15"/>
      <c r="RTK115" s="15"/>
      <c r="RTL115" s="15"/>
      <c r="RTM115" s="15"/>
      <c r="RTN115" s="15"/>
      <c r="RTO115" s="15"/>
      <c r="RTP115" s="15"/>
      <c r="RTQ115" s="15"/>
      <c r="RTR115" s="15"/>
      <c r="RTS115" s="15"/>
      <c r="RTT115" s="15"/>
      <c r="RTU115" s="15"/>
      <c r="RTV115" s="15"/>
      <c r="RTW115" s="15"/>
      <c r="RTX115" s="15"/>
      <c r="RTY115" s="15"/>
      <c r="RTZ115" s="15"/>
      <c r="RUA115" s="15"/>
      <c r="RUB115" s="14"/>
      <c r="RUC115" s="15"/>
      <c r="RUD115" s="15"/>
      <c r="RUE115" s="15"/>
      <c r="RUF115" s="15"/>
      <c r="RUG115" s="15"/>
      <c r="RUH115" s="15"/>
      <c r="RUI115" s="15"/>
      <c r="RUJ115" s="15"/>
      <c r="RUK115" s="15"/>
      <c r="RUL115" s="15"/>
      <c r="RUM115" s="15"/>
      <c r="RUN115" s="15"/>
      <c r="RUO115" s="15"/>
      <c r="RUP115" s="15"/>
      <c r="RUQ115" s="15"/>
      <c r="RUR115" s="15"/>
      <c r="RUS115" s="15"/>
      <c r="RUT115" s="15"/>
      <c r="RUU115" s="15"/>
      <c r="RUV115" s="15"/>
      <c r="RUW115" s="15"/>
      <c r="RUX115" s="14"/>
      <c r="RUY115" s="15"/>
      <c r="RUZ115" s="15"/>
      <c r="RVA115" s="15"/>
      <c r="RVB115" s="15"/>
      <c r="RVC115" s="15"/>
      <c r="RVD115" s="15"/>
      <c r="RVE115" s="15"/>
      <c r="RVF115" s="15"/>
      <c r="RVG115" s="15"/>
      <c r="RVH115" s="15"/>
      <c r="RVI115" s="15"/>
      <c r="RVJ115" s="15"/>
      <c r="RVK115" s="15"/>
      <c r="RVL115" s="15"/>
      <c r="RVM115" s="15"/>
      <c r="RVN115" s="15"/>
      <c r="RVO115" s="15"/>
      <c r="RVP115" s="15"/>
      <c r="RVQ115" s="15"/>
      <c r="RVR115" s="15"/>
      <c r="RVS115" s="15"/>
      <c r="RVT115" s="14"/>
      <c r="RVU115" s="15"/>
      <c r="RVV115" s="15"/>
      <c r="RVW115" s="15"/>
      <c r="RVX115" s="15"/>
      <c r="RVY115" s="15"/>
      <c r="RVZ115" s="15"/>
      <c r="RWA115" s="15"/>
      <c r="RWB115" s="15"/>
      <c r="RWC115" s="15"/>
      <c r="RWD115" s="15"/>
      <c r="RWE115" s="15"/>
      <c r="RWF115" s="15"/>
      <c r="RWG115" s="15"/>
      <c r="RWH115" s="15"/>
      <c r="RWI115" s="15"/>
      <c r="RWJ115" s="15"/>
      <c r="RWK115" s="15"/>
      <c r="RWL115" s="15"/>
      <c r="RWM115" s="15"/>
      <c r="RWN115" s="15"/>
      <c r="RWO115" s="15"/>
      <c r="RWP115" s="14"/>
      <c r="RWQ115" s="15"/>
      <c r="RWR115" s="15"/>
      <c r="RWS115" s="15"/>
      <c r="RWT115" s="15"/>
      <c r="RWU115" s="15"/>
      <c r="RWV115" s="15"/>
      <c r="RWW115" s="15"/>
      <c r="RWX115" s="15"/>
      <c r="RWY115" s="15"/>
      <c r="RWZ115" s="15"/>
      <c r="RXA115" s="15"/>
      <c r="RXB115" s="15"/>
      <c r="RXC115" s="15"/>
      <c r="RXD115" s="15"/>
      <c r="RXE115" s="15"/>
      <c r="RXF115" s="15"/>
      <c r="RXG115" s="15"/>
      <c r="RXH115" s="15"/>
      <c r="RXI115" s="15"/>
      <c r="RXJ115" s="15"/>
      <c r="RXK115" s="15"/>
      <c r="RXL115" s="14"/>
      <c r="RXM115" s="15"/>
      <c r="RXN115" s="15"/>
      <c r="RXO115" s="15"/>
      <c r="RXP115" s="15"/>
      <c r="RXQ115" s="15"/>
      <c r="RXR115" s="15"/>
      <c r="RXS115" s="15"/>
      <c r="RXT115" s="15"/>
      <c r="RXU115" s="15"/>
      <c r="RXV115" s="15"/>
      <c r="RXW115" s="15"/>
      <c r="RXX115" s="15"/>
      <c r="RXY115" s="15"/>
      <c r="RXZ115" s="15"/>
      <c r="RYA115" s="15"/>
      <c r="RYB115" s="15"/>
      <c r="RYC115" s="15"/>
      <c r="RYD115" s="15"/>
      <c r="RYE115" s="15"/>
      <c r="RYF115" s="15"/>
      <c r="RYG115" s="15"/>
      <c r="RYH115" s="14"/>
      <c r="RYI115" s="15"/>
      <c r="RYJ115" s="15"/>
      <c r="RYK115" s="15"/>
      <c r="RYL115" s="15"/>
      <c r="RYM115" s="15"/>
      <c r="RYN115" s="15"/>
      <c r="RYO115" s="15"/>
      <c r="RYP115" s="15"/>
      <c r="RYQ115" s="15"/>
      <c r="RYR115" s="15"/>
      <c r="RYS115" s="15"/>
      <c r="RYT115" s="15"/>
      <c r="RYU115" s="15"/>
      <c r="RYV115" s="15"/>
      <c r="RYW115" s="15"/>
      <c r="RYX115" s="15"/>
      <c r="RYY115" s="15"/>
      <c r="RYZ115" s="15"/>
      <c r="RZA115" s="15"/>
      <c r="RZB115" s="15"/>
      <c r="RZC115" s="15"/>
      <c r="RZD115" s="14"/>
      <c r="RZE115" s="15"/>
      <c r="RZF115" s="15"/>
      <c r="RZG115" s="15"/>
      <c r="RZH115" s="15"/>
      <c r="RZI115" s="15"/>
      <c r="RZJ115" s="15"/>
      <c r="RZK115" s="15"/>
      <c r="RZL115" s="15"/>
      <c r="RZM115" s="15"/>
      <c r="RZN115" s="15"/>
      <c r="RZO115" s="15"/>
      <c r="RZP115" s="15"/>
      <c r="RZQ115" s="15"/>
      <c r="RZR115" s="15"/>
      <c r="RZS115" s="15"/>
      <c r="RZT115" s="15"/>
      <c r="RZU115" s="15"/>
      <c r="RZV115" s="15"/>
      <c r="RZW115" s="15"/>
      <c r="RZX115" s="15"/>
      <c r="RZY115" s="15"/>
      <c r="RZZ115" s="14"/>
      <c r="SAA115" s="15"/>
      <c r="SAB115" s="15"/>
      <c r="SAC115" s="15"/>
      <c r="SAD115" s="15"/>
      <c r="SAE115" s="15"/>
      <c r="SAF115" s="15"/>
      <c r="SAG115" s="15"/>
      <c r="SAH115" s="15"/>
      <c r="SAI115" s="15"/>
      <c r="SAJ115" s="15"/>
      <c r="SAK115" s="15"/>
      <c r="SAL115" s="15"/>
      <c r="SAM115" s="15"/>
      <c r="SAN115" s="15"/>
      <c r="SAO115" s="15"/>
      <c r="SAP115" s="15"/>
      <c r="SAQ115" s="15"/>
      <c r="SAR115" s="15"/>
      <c r="SAS115" s="15"/>
      <c r="SAT115" s="15"/>
      <c r="SAU115" s="15"/>
      <c r="SAV115" s="14"/>
      <c r="SAW115" s="15"/>
      <c r="SAX115" s="15"/>
      <c r="SAY115" s="15"/>
      <c r="SAZ115" s="15"/>
      <c r="SBA115" s="15"/>
      <c r="SBB115" s="15"/>
      <c r="SBC115" s="15"/>
      <c r="SBD115" s="15"/>
      <c r="SBE115" s="15"/>
      <c r="SBF115" s="15"/>
      <c r="SBG115" s="15"/>
      <c r="SBH115" s="15"/>
      <c r="SBI115" s="15"/>
      <c r="SBJ115" s="15"/>
      <c r="SBK115" s="15"/>
      <c r="SBL115" s="15"/>
      <c r="SBM115" s="15"/>
      <c r="SBN115" s="15"/>
      <c r="SBO115" s="15"/>
      <c r="SBP115" s="15"/>
      <c r="SBQ115" s="15"/>
      <c r="SBR115" s="14"/>
      <c r="SBS115" s="15"/>
      <c r="SBT115" s="15"/>
      <c r="SBU115" s="15"/>
      <c r="SBV115" s="15"/>
      <c r="SBW115" s="15"/>
      <c r="SBX115" s="15"/>
      <c r="SBY115" s="15"/>
      <c r="SBZ115" s="15"/>
      <c r="SCA115" s="15"/>
      <c r="SCB115" s="15"/>
      <c r="SCC115" s="15"/>
      <c r="SCD115" s="15"/>
      <c r="SCE115" s="15"/>
      <c r="SCF115" s="15"/>
      <c r="SCG115" s="15"/>
      <c r="SCH115" s="15"/>
      <c r="SCI115" s="15"/>
      <c r="SCJ115" s="15"/>
      <c r="SCK115" s="15"/>
      <c r="SCL115" s="15"/>
      <c r="SCM115" s="15"/>
      <c r="SCN115" s="14"/>
      <c r="SCO115" s="15"/>
      <c r="SCP115" s="15"/>
      <c r="SCQ115" s="15"/>
      <c r="SCR115" s="15"/>
      <c r="SCS115" s="15"/>
      <c r="SCT115" s="15"/>
      <c r="SCU115" s="15"/>
      <c r="SCV115" s="15"/>
      <c r="SCW115" s="15"/>
      <c r="SCX115" s="15"/>
      <c r="SCY115" s="15"/>
      <c r="SCZ115" s="15"/>
      <c r="SDA115" s="15"/>
      <c r="SDB115" s="15"/>
      <c r="SDC115" s="15"/>
      <c r="SDD115" s="15"/>
      <c r="SDE115" s="15"/>
      <c r="SDF115" s="15"/>
      <c r="SDG115" s="15"/>
      <c r="SDH115" s="15"/>
      <c r="SDI115" s="15"/>
      <c r="SDJ115" s="14"/>
      <c r="SDK115" s="15"/>
      <c r="SDL115" s="15"/>
      <c r="SDM115" s="15"/>
      <c r="SDN115" s="15"/>
      <c r="SDO115" s="15"/>
      <c r="SDP115" s="15"/>
      <c r="SDQ115" s="15"/>
      <c r="SDR115" s="15"/>
      <c r="SDS115" s="15"/>
      <c r="SDT115" s="15"/>
      <c r="SDU115" s="15"/>
      <c r="SDV115" s="15"/>
      <c r="SDW115" s="15"/>
      <c r="SDX115" s="15"/>
      <c r="SDY115" s="15"/>
      <c r="SDZ115" s="15"/>
      <c r="SEA115" s="15"/>
      <c r="SEB115" s="15"/>
      <c r="SEC115" s="15"/>
      <c r="SED115" s="15"/>
      <c r="SEE115" s="15"/>
      <c r="SEF115" s="14"/>
      <c r="SEG115" s="15"/>
      <c r="SEH115" s="15"/>
      <c r="SEI115" s="15"/>
      <c r="SEJ115" s="15"/>
      <c r="SEK115" s="15"/>
      <c r="SEL115" s="15"/>
      <c r="SEM115" s="15"/>
      <c r="SEN115" s="15"/>
      <c r="SEO115" s="15"/>
      <c r="SEP115" s="15"/>
      <c r="SEQ115" s="15"/>
      <c r="SER115" s="15"/>
      <c r="SES115" s="15"/>
      <c r="SET115" s="15"/>
      <c r="SEU115" s="15"/>
      <c r="SEV115" s="15"/>
      <c r="SEW115" s="15"/>
      <c r="SEX115" s="15"/>
      <c r="SEY115" s="15"/>
      <c r="SEZ115" s="15"/>
      <c r="SFA115" s="15"/>
      <c r="SFB115" s="14"/>
      <c r="SFC115" s="15"/>
      <c r="SFD115" s="15"/>
      <c r="SFE115" s="15"/>
      <c r="SFF115" s="15"/>
      <c r="SFG115" s="15"/>
      <c r="SFH115" s="15"/>
      <c r="SFI115" s="15"/>
      <c r="SFJ115" s="15"/>
      <c r="SFK115" s="15"/>
      <c r="SFL115" s="15"/>
      <c r="SFM115" s="15"/>
      <c r="SFN115" s="15"/>
      <c r="SFO115" s="15"/>
      <c r="SFP115" s="15"/>
      <c r="SFQ115" s="15"/>
      <c r="SFR115" s="15"/>
      <c r="SFS115" s="15"/>
      <c r="SFT115" s="15"/>
      <c r="SFU115" s="15"/>
      <c r="SFV115" s="15"/>
      <c r="SFW115" s="15"/>
      <c r="SFX115" s="14"/>
      <c r="SFY115" s="15"/>
      <c r="SFZ115" s="15"/>
      <c r="SGA115" s="15"/>
      <c r="SGB115" s="15"/>
      <c r="SGC115" s="15"/>
      <c r="SGD115" s="15"/>
      <c r="SGE115" s="15"/>
      <c r="SGF115" s="15"/>
      <c r="SGG115" s="15"/>
      <c r="SGH115" s="15"/>
      <c r="SGI115" s="15"/>
      <c r="SGJ115" s="15"/>
      <c r="SGK115" s="15"/>
      <c r="SGL115" s="15"/>
      <c r="SGM115" s="15"/>
      <c r="SGN115" s="15"/>
      <c r="SGO115" s="15"/>
      <c r="SGP115" s="15"/>
      <c r="SGQ115" s="15"/>
      <c r="SGR115" s="15"/>
      <c r="SGS115" s="15"/>
      <c r="SGT115" s="14"/>
      <c r="SGU115" s="15"/>
      <c r="SGV115" s="15"/>
      <c r="SGW115" s="15"/>
      <c r="SGX115" s="15"/>
      <c r="SGY115" s="15"/>
      <c r="SGZ115" s="15"/>
      <c r="SHA115" s="15"/>
      <c r="SHB115" s="15"/>
      <c r="SHC115" s="15"/>
      <c r="SHD115" s="15"/>
      <c r="SHE115" s="15"/>
      <c r="SHF115" s="15"/>
      <c r="SHG115" s="15"/>
      <c r="SHH115" s="15"/>
      <c r="SHI115" s="15"/>
      <c r="SHJ115" s="15"/>
      <c r="SHK115" s="15"/>
      <c r="SHL115" s="15"/>
      <c r="SHM115" s="15"/>
      <c r="SHN115" s="15"/>
      <c r="SHO115" s="15"/>
      <c r="SHP115" s="14"/>
      <c r="SHQ115" s="15"/>
      <c r="SHR115" s="15"/>
      <c r="SHS115" s="15"/>
      <c r="SHT115" s="15"/>
      <c r="SHU115" s="15"/>
      <c r="SHV115" s="15"/>
      <c r="SHW115" s="15"/>
      <c r="SHX115" s="15"/>
      <c r="SHY115" s="15"/>
      <c r="SHZ115" s="15"/>
      <c r="SIA115" s="15"/>
      <c r="SIB115" s="15"/>
      <c r="SIC115" s="15"/>
      <c r="SID115" s="15"/>
      <c r="SIE115" s="15"/>
      <c r="SIF115" s="15"/>
      <c r="SIG115" s="15"/>
      <c r="SIH115" s="15"/>
      <c r="SII115" s="15"/>
      <c r="SIJ115" s="15"/>
      <c r="SIK115" s="15"/>
      <c r="SIL115" s="14"/>
      <c r="SIM115" s="15"/>
      <c r="SIN115" s="15"/>
      <c r="SIO115" s="15"/>
      <c r="SIP115" s="15"/>
      <c r="SIQ115" s="15"/>
      <c r="SIR115" s="15"/>
      <c r="SIS115" s="15"/>
      <c r="SIT115" s="15"/>
      <c r="SIU115" s="15"/>
      <c r="SIV115" s="15"/>
      <c r="SIW115" s="15"/>
      <c r="SIX115" s="15"/>
      <c r="SIY115" s="15"/>
      <c r="SIZ115" s="15"/>
      <c r="SJA115" s="15"/>
      <c r="SJB115" s="15"/>
      <c r="SJC115" s="15"/>
      <c r="SJD115" s="15"/>
      <c r="SJE115" s="15"/>
      <c r="SJF115" s="15"/>
      <c r="SJG115" s="15"/>
      <c r="SJH115" s="14"/>
      <c r="SJI115" s="15"/>
      <c r="SJJ115" s="15"/>
      <c r="SJK115" s="15"/>
      <c r="SJL115" s="15"/>
      <c r="SJM115" s="15"/>
      <c r="SJN115" s="15"/>
      <c r="SJO115" s="15"/>
      <c r="SJP115" s="15"/>
      <c r="SJQ115" s="15"/>
      <c r="SJR115" s="15"/>
      <c r="SJS115" s="15"/>
      <c r="SJT115" s="15"/>
      <c r="SJU115" s="15"/>
      <c r="SJV115" s="15"/>
      <c r="SJW115" s="15"/>
      <c r="SJX115" s="15"/>
      <c r="SJY115" s="15"/>
      <c r="SJZ115" s="15"/>
      <c r="SKA115" s="15"/>
      <c r="SKB115" s="15"/>
      <c r="SKC115" s="15"/>
      <c r="SKD115" s="14"/>
      <c r="SKE115" s="15"/>
      <c r="SKF115" s="15"/>
      <c r="SKG115" s="15"/>
      <c r="SKH115" s="15"/>
      <c r="SKI115" s="15"/>
      <c r="SKJ115" s="15"/>
      <c r="SKK115" s="15"/>
      <c r="SKL115" s="15"/>
      <c r="SKM115" s="15"/>
      <c r="SKN115" s="15"/>
      <c r="SKO115" s="15"/>
      <c r="SKP115" s="15"/>
      <c r="SKQ115" s="15"/>
      <c r="SKR115" s="15"/>
      <c r="SKS115" s="15"/>
      <c r="SKT115" s="15"/>
      <c r="SKU115" s="15"/>
      <c r="SKV115" s="15"/>
      <c r="SKW115" s="15"/>
      <c r="SKX115" s="15"/>
      <c r="SKY115" s="15"/>
      <c r="SKZ115" s="14"/>
      <c r="SLA115" s="15"/>
      <c r="SLB115" s="15"/>
      <c r="SLC115" s="15"/>
      <c r="SLD115" s="15"/>
      <c r="SLE115" s="15"/>
      <c r="SLF115" s="15"/>
      <c r="SLG115" s="15"/>
      <c r="SLH115" s="15"/>
      <c r="SLI115" s="15"/>
      <c r="SLJ115" s="15"/>
      <c r="SLK115" s="15"/>
      <c r="SLL115" s="15"/>
      <c r="SLM115" s="15"/>
      <c r="SLN115" s="15"/>
      <c r="SLO115" s="15"/>
      <c r="SLP115" s="15"/>
      <c r="SLQ115" s="15"/>
      <c r="SLR115" s="15"/>
      <c r="SLS115" s="15"/>
      <c r="SLT115" s="15"/>
      <c r="SLU115" s="15"/>
      <c r="SLV115" s="14"/>
      <c r="SLW115" s="15"/>
      <c r="SLX115" s="15"/>
      <c r="SLY115" s="15"/>
      <c r="SLZ115" s="15"/>
      <c r="SMA115" s="15"/>
      <c r="SMB115" s="15"/>
      <c r="SMC115" s="15"/>
      <c r="SMD115" s="15"/>
      <c r="SME115" s="15"/>
      <c r="SMF115" s="15"/>
      <c r="SMG115" s="15"/>
      <c r="SMH115" s="15"/>
      <c r="SMI115" s="15"/>
      <c r="SMJ115" s="15"/>
      <c r="SMK115" s="15"/>
      <c r="SML115" s="15"/>
      <c r="SMM115" s="15"/>
      <c r="SMN115" s="15"/>
      <c r="SMO115" s="15"/>
      <c r="SMP115" s="15"/>
      <c r="SMQ115" s="15"/>
      <c r="SMR115" s="14"/>
      <c r="SMS115" s="15"/>
      <c r="SMT115" s="15"/>
      <c r="SMU115" s="15"/>
      <c r="SMV115" s="15"/>
      <c r="SMW115" s="15"/>
      <c r="SMX115" s="15"/>
      <c r="SMY115" s="15"/>
      <c r="SMZ115" s="15"/>
      <c r="SNA115" s="15"/>
      <c r="SNB115" s="15"/>
      <c r="SNC115" s="15"/>
      <c r="SND115" s="15"/>
      <c r="SNE115" s="15"/>
      <c r="SNF115" s="15"/>
      <c r="SNG115" s="15"/>
      <c r="SNH115" s="15"/>
      <c r="SNI115" s="15"/>
      <c r="SNJ115" s="15"/>
      <c r="SNK115" s="15"/>
      <c r="SNL115" s="15"/>
      <c r="SNM115" s="15"/>
      <c r="SNN115" s="14"/>
      <c r="SNO115" s="15"/>
      <c r="SNP115" s="15"/>
      <c r="SNQ115" s="15"/>
      <c r="SNR115" s="15"/>
      <c r="SNS115" s="15"/>
      <c r="SNT115" s="15"/>
      <c r="SNU115" s="15"/>
      <c r="SNV115" s="15"/>
      <c r="SNW115" s="15"/>
      <c r="SNX115" s="15"/>
      <c r="SNY115" s="15"/>
      <c r="SNZ115" s="15"/>
      <c r="SOA115" s="15"/>
      <c r="SOB115" s="15"/>
      <c r="SOC115" s="15"/>
      <c r="SOD115" s="15"/>
      <c r="SOE115" s="15"/>
      <c r="SOF115" s="15"/>
      <c r="SOG115" s="15"/>
      <c r="SOH115" s="15"/>
      <c r="SOI115" s="15"/>
      <c r="SOJ115" s="14"/>
      <c r="SOK115" s="15"/>
      <c r="SOL115" s="15"/>
      <c r="SOM115" s="15"/>
      <c r="SON115" s="15"/>
      <c r="SOO115" s="15"/>
      <c r="SOP115" s="15"/>
      <c r="SOQ115" s="15"/>
      <c r="SOR115" s="15"/>
      <c r="SOS115" s="15"/>
      <c r="SOT115" s="15"/>
      <c r="SOU115" s="15"/>
      <c r="SOV115" s="15"/>
      <c r="SOW115" s="15"/>
      <c r="SOX115" s="15"/>
      <c r="SOY115" s="15"/>
      <c r="SOZ115" s="15"/>
      <c r="SPA115" s="15"/>
      <c r="SPB115" s="15"/>
      <c r="SPC115" s="15"/>
      <c r="SPD115" s="15"/>
      <c r="SPE115" s="15"/>
      <c r="SPF115" s="14"/>
      <c r="SPG115" s="15"/>
      <c r="SPH115" s="15"/>
      <c r="SPI115" s="15"/>
      <c r="SPJ115" s="15"/>
      <c r="SPK115" s="15"/>
      <c r="SPL115" s="15"/>
      <c r="SPM115" s="15"/>
      <c r="SPN115" s="15"/>
      <c r="SPO115" s="15"/>
      <c r="SPP115" s="15"/>
      <c r="SPQ115" s="15"/>
      <c r="SPR115" s="15"/>
      <c r="SPS115" s="15"/>
      <c r="SPT115" s="15"/>
      <c r="SPU115" s="15"/>
      <c r="SPV115" s="15"/>
      <c r="SPW115" s="15"/>
      <c r="SPX115" s="15"/>
      <c r="SPY115" s="15"/>
      <c r="SPZ115" s="15"/>
      <c r="SQA115" s="15"/>
      <c r="SQB115" s="14"/>
      <c r="SQC115" s="15"/>
      <c r="SQD115" s="15"/>
      <c r="SQE115" s="15"/>
      <c r="SQF115" s="15"/>
      <c r="SQG115" s="15"/>
      <c r="SQH115" s="15"/>
      <c r="SQI115" s="15"/>
      <c r="SQJ115" s="15"/>
      <c r="SQK115" s="15"/>
      <c r="SQL115" s="15"/>
      <c r="SQM115" s="15"/>
      <c r="SQN115" s="15"/>
      <c r="SQO115" s="15"/>
      <c r="SQP115" s="15"/>
      <c r="SQQ115" s="15"/>
      <c r="SQR115" s="15"/>
      <c r="SQS115" s="15"/>
      <c r="SQT115" s="15"/>
      <c r="SQU115" s="15"/>
      <c r="SQV115" s="15"/>
      <c r="SQW115" s="15"/>
      <c r="SQX115" s="14"/>
      <c r="SQY115" s="15"/>
      <c r="SQZ115" s="15"/>
      <c r="SRA115" s="15"/>
      <c r="SRB115" s="15"/>
      <c r="SRC115" s="15"/>
      <c r="SRD115" s="15"/>
      <c r="SRE115" s="15"/>
      <c r="SRF115" s="15"/>
      <c r="SRG115" s="15"/>
      <c r="SRH115" s="15"/>
      <c r="SRI115" s="15"/>
      <c r="SRJ115" s="15"/>
      <c r="SRK115" s="15"/>
      <c r="SRL115" s="15"/>
      <c r="SRM115" s="15"/>
      <c r="SRN115" s="15"/>
      <c r="SRO115" s="15"/>
      <c r="SRP115" s="15"/>
      <c r="SRQ115" s="15"/>
      <c r="SRR115" s="15"/>
      <c r="SRS115" s="15"/>
      <c r="SRT115" s="14"/>
      <c r="SRU115" s="15"/>
      <c r="SRV115" s="15"/>
      <c r="SRW115" s="15"/>
      <c r="SRX115" s="15"/>
      <c r="SRY115" s="15"/>
      <c r="SRZ115" s="15"/>
      <c r="SSA115" s="15"/>
      <c r="SSB115" s="15"/>
      <c r="SSC115" s="15"/>
      <c r="SSD115" s="15"/>
      <c r="SSE115" s="15"/>
      <c r="SSF115" s="15"/>
      <c r="SSG115" s="15"/>
      <c r="SSH115" s="15"/>
      <c r="SSI115" s="15"/>
      <c r="SSJ115" s="15"/>
      <c r="SSK115" s="15"/>
      <c r="SSL115" s="15"/>
      <c r="SSM115" s="15"/>
      <c r="SSN115" s="15"/>
      <c r="SSO115" s="15"/>
      <c r="SSP115" s="14"/>
      <c r="SSQ115" s="15"/>
      <c r="SSR115" s="15"/>
      <c r="SSS115" s="15"/>
      <c r="SST115" s="15"/>
      <c r="SSU115" s="15"/>
      <c r="SSV115" s="15"/>
      <c r="SSW115" s="15"/>
      <c r="SSX115" s="15"/>
      <c r="SSY115" s="15"/>
      <c r="SSZ115" s="15"/>
      <c r="STA115" s="15"/>
      <c r="STB115" s="15"/>
      <c r="STC115" s="15"/>
      <c r="STD115" s="15"/>
      <c r="STE115" s="15"/>
      <c r="STF115" s="15"/>
      <c r="STG115" s="15"/>
      <c r="STH115" s="15"/>
      <c r="STI115" s="15"/>
      <c r="STJ115" s="15"/>
      <c r="STK115" s="15"/>
      <c r="STL115" s="14"/>
      <c r="STM115" s="15"/>
      <c r="STN115" s="15"/>
      <c r="STO115" s="15"/>
      <c r="STP115" s="15"/>
      <c r="STQ115" s="15"/>
      <c r="STR115" s="15"/>
      <c r="STS115" s="15"/>
      <c r="STT115" s="15"/>
      <c r="STU115" s="15"/>
      <c r="STV115" s="15"/>
      <c r="STW115" s="15"/>
      <c r="STX115" s="15"/>
      <c r="STY115" s="15"/>
      <c r="STZ115" s="15"/>
      <c r="SUA115" s="15"/>
      <c r="SUB115" s="15"/>
      <c r="SUC115" s="15"/>
      <c r="SUD115" s="15"/>
      <c r="SUE115" s="15"/>
      <c r="SUF115" s="15"/>
      <c r="SUG115" s="15"/>
      <c r="SUH115" s="14"/>
      <c r="SUI115" s="15"/>
      <c r="SUJ115" s="15"/>
      <c r="SUK115" s="15"/>
      <c r="SUL115" s="15"/>
      <c r="SUM115" s="15"/>
      <c r="SUN115" s="15"/>
      <c r="SUO115" s="15"/>
      <c r="SUP115" s="15"/>
      <c r="SUQ115" s="15"/>
      <c r="SUR115" s="15"/>
      <c r="SUS115" s="15"/>
      <c r="SUT115" s="15"/>
      <c r="SUU115" s="15"/>
      <c r="SUV115" s="15"/>
      <c r="SUW115" s="15"/>
      <c r="SUX115" s="15"/>
      <c r="SUY115" s="15"/>
      <c r="SUZ115" s="15"/>
      <c r="SVA115" s="15"/>
      <c r="SVB115" s="15"/>
      <c r="SVC115" s="15"/>
      <c r="SVD115" s="14"/>
      <c r="SVE115" s="15"/>
      <c r="SVF115" s="15"/>
      <c r="SVG115" s="15"/>
      <c r="SVH115" s="15"/>
      <c r="SVI115" s="15"/>
      <c r="SVJ115" s="15"/>
      <c r="SVK115" s="15"/>
      <c r="SVL115" s="15"/>
      <c r="SVM115" s="15"/>
      <c r="SVN115" s="15"/>
      <c r="SVO115" s="15"/>
      <c r="SVP115" s="15"/>
      <c r="SVQ115" s="15"/>
      <c r="SVR115" s="15"/>
      <c r="SVS115" s="15"/>
      <c r="SVT115" s="15"/>
      <c r="SVU115" s="15"/>
      <c r="SVV115" s="15"/>
      <c r="SVW115" s="15"/>
      <c r="SVX115" s="15"/>
      <c r="SVY115" s="15"/>
      <c r="SVZ115" s="14"/>
      <c r="SWA115" s="15"/>
      <c r="SWB115" s="15"/>
      <c r="SWC115" s="15"/>
      <c r="SWD115" s="15"/>
      <c r="SWE115" s="15"/>
      <c r="SWF115" s="15"/>
      <c r="SWG115" s="15"/>
      <c r="SWH115" s="15"/>
      <c r="SWI115" s="15"/>
      <c r="SWJ115" s="15"/>
      <c r="SWK115" s="15"/>
      <c r="SWL115" s="15"/>
      <c r="SWM115" s="15"/>
      <c r="SWN115" s="15"/>
      <c r="SWO115" s="15"/>
      <c r="SWP115" s="15"/>
      <c r="SWQ115" s="15"/>
      <c r="SWR115" s="15"/>
      <c r="SWS115" s="15"/>
      <c r="SWT115" s="15"/>
      <c r="SWU115" s="15"/>
      <c r="SWV115" s="14"/>
      <c r="SWW115" s="15"/>
      <c r="SWX115" s="15"/>
      <c r="SWY115" s="15"/>
      <c r="SWZ115" s="15"/>
      <c r="SXA115" s="15"/>
      <c r="SXB115" s="15"/>
      <c r="SXC115" s="15"/>
      <c r="SXD115" s="15"/>
      <c r="SXE115" s="15"/>
      <c r="SXF115" s="15"/>
      <c r="SXG115" s="15"/>
      <c r="SXH115" s="15"/>
      <c r="SXI115" s="15"/>
      <c r="SXJ115" s="15"/>
      <c r="SXK115" s="15"/>
      <c r="SXL115" s="15"/>
      <c r="SXM115" s="15"/>
      <c r="SXN115" s="15"/>
      <c r="SXO115" s="15"/>
      <c r="SXP115" s="15"/>
      <c r="SXQ115" s="15"/>
      <c r="SXR115" s="14"/>
      <c r="SXS115" s="15"/>
      <c r="SXT115" s="15"/>
      <c r="SXU115" s="15"/>
      <c r="SXV115" s="15"/>
      <c r="SXW115" s="15"/>
      <c r="SXX115" s="15"/>
      <c r="SXY115" s="15"/>
      <c r="SXZ115" s="15"/>
      <c r="SYA115" s="15"/>
      <c r="SYB115" s="15"/>
      <c r="SYC115" s="15"/>
      <c r="SYD115" s="15"/>
      <c r="SYE115" s="15"/>
      <c r="SYF115" s="15"/>
      <c r="SYG115" s="15"/>
      <c r="SYH115" s="15"/>
      <c r="SYI115" s="15"/>
      <c r="SYJ115" s="15"/>
      <c r="SYK115" s="15"/>
      <c r="SYL115" s="15"/>
      <c r="SYM115" s="15"/>
      <c r="SYN115" s="14"/>
      <c r="SYO115" s="15"/>
      <c r="SYP115" s="15"/>
      <c r="SYQ115" s="15"/>
      <c r="SYR115" s="15"/>
      <c r="SYS115" s="15"/>
      <c r="SYT115" s="15"/>
      <c r="SYU115" s="15"/>
      <c r="SYV115" s="15"/>
      <c r="SYW115" s="15"/>
      <c r="SYX115" s="15"/>
      <c r="SYY115" s="15"/>
      <c r="SYZ115" s="15"/>
      <c r="SZA115" s="15"/>
      <c r="SZB115" s="15"/>
      <c r="SZC115" s="15"/>
      <c r="SZD115" s="15"/>
      <c r="SZE115" s="15"/>
      <c r="SZF115" s="15"/>
      <c r="SZG115" s="15"/>
      <c r="SZH115" s="15"/>
      <c r="SZI115" s="15"/>
      <c r="SZJ115" s="14"/>
      <c r="SZK115" s="15"/>
      <c r="SZL115" s="15"/>
      <c r="SZM115" s="15"/>
      <c r="SZN115" s="15"/>
      <c r="SZO115" s="15"/>
      <c r="SZP115" s="15"/>
      <c r="SZQ115" s="15"/>
      <c r="SZR115" s="15"/>
      <c r="SZS115" s="15"/>
      <c r="SZT115" s="15"/>
      <c r="SZU115" s="15"/>
      <c r="SZV115" s="15"/>
      <c r="SZW115" s="15"/>
      <c r="SZX115" s="15"/>
      <c r="SZY115" s="15"/>
      <c r="SZZ115" s="15"/>
      <c r="TAA115" s="15"/>
      <c r="TAB115" s="15"/>
      <c r="TAC115" s="15"/>
      <c r="TAD115" s="15"/>
      <c r="TAE115" s="15"/>
      <c r="TAF115" s="14"/>
      <c r="TAG115" s="15"/>
      <c r="TAH115" s="15"/>
      <c r="TAI115" s="15"/>
      <c r="TAJ115" s="15"/>
      <c r="TAK115" s="15"/>
      <c r="TAL115" s="15"/>
      <c r="TAM115" s="15"/>
      <c r="TAN115" s="15"/>
      <c r="TAO115" s="15"/>
      <c r="TAP115" s="15"/>
      <c r="TAQ115" s="15"/>
      <c r="TAR115" s="15"/>
      <c r="TAS115" s="15"/>
      <c r="TAT115" s="15"/>
      <c r="TAU115" s="15"/>
      <c r="TAV115" s="15"/>
      <c r="TAW115" s="15"/>
      <c r="TAX115" s="15"/>
      <c r="TAY115" s="15"/>
      <c r="TAZ115" s="15"/>
      <c r="TBA115" s="15"/>
      <c r="TBB115" s="14"/>
      <c r="TBC115" s="15"/>
      <c r="TBD115" s="15"/>
      <c r="TBE115" s="15"/>
      <c r="TBF115" s="15"/>
      <c r="TBG115" s="15"/>
      <c r="TBH115" s="15"/>
      <c r="TBI115" s="15"/>
      <c r="TBJ115" s="15"/>
      <c r="TBK115" s="15"/>
      <c r="TBL115" s="15"/>
      <c r="TBM115" s="15"/>
      <c r="TBN115" s="15"/>
      <c r="TBO115" s="15"/>
      <c r="TBP115" s="15"/>
      <c r="TBQ115" s="15"/>
      <c r="TBR115" s="15"/>
      <c r="TBS115" s="15"/>
      <c r="TBT115" s="15"/>
      <c r="TBU115" s="15"/>
      <c r="TBV115" s="15"/>
      <c r="TBW115" s="15"/>
      <c r="TBX115" s="14"/>
      <c r="TBY115" s="15"/>
      <c r="TBZ115" s="15"/>
      <c r="TCA115" s="15"/>
      <c r="TCB115" s="15"/>
      <c r="TCC115" s="15"/>
      <c r="TCD115" s="15"/>
      <c r="TCE115" s="15"/>
      <c r="TCF115" s="15"/>
      <c r="TCG115" s="15"/>
      <c r="TCH115" s="15"/>
      <c r="TCI115" s="15"/>
      <c r="TCJ115" s="15"/>
      <c r="TCK115" s="15"/>
      <c r="TCL115" s="15"/>
      <c r="TCM115" s="15"/>
      <c r="TCN115" s="15"/>
      <c r="TCO115" s="15"/>
      <c r="TCP115" s="15"/>
      <c r="TCQ115" s="15"/>
      <c r="TCR115" s="15"/>
      <c r="TCS115" s="15"/>
      <c r="TCT115" s="14"/>
      <c r="TCU115" s="15"/>
      <c r="TCV115" s="15"/>
      <c r="TCW115" s="15"/>
      <c r="TCX115" s="15"/>
      <c r="TCY115" s="15"/>
      <c r="TCZ115" s="15"/>
      <c r="TDA115" s="15"/>
      <c r="TDB115" s="15"/>
      <c r="TDC115" s="15"/>
      <c r="TDD115" s="15"/>
      <c r="TDE115" s="15"/>
      <c r="TDF115" s="15"/>
      <c r="TDG115" s="15"/>
      <c r="TDH115" s="15"/>
      <c r="TDI115" s="15"/>
      <c r="TDJ115" s="15"/>
      <c r="TDK115" s="15"/>
      <c r="TDL115" s="15"/>
      <c r="TDM115" s="15"/>
      <c r="TDN115" s="15"/>
      <c r="TDO115" s="15"/>
      <c r="TDP115" s="14"/>
      <c r="TDQ115" s="15"/>
      <c r="TDR115" s="15"/>
      <c r="TDS115" s="15"/>
      <c r="TDT115" s="15"/>
      <c r="TDU115" s="15"/>
      <c r="TDV115" s="15"/>
      <c r="TDW115" s="15"/>
      <c r="TDX115" s="15"/>
      <c r="TDY115" s="15"/>
      <c r="TDZ115" s="15"/>
      <c r="TEA115" s="15"/>
      <c r="TEB115" s="15"/>
      <c r="TEC115" s="15"/>
      <c r="TED115" s="15"/>
      <c r="TEE115" s="15"/>
      <c r="TEF115" s="15"/>
      <c r="TEG115" s="15"/>
      <c r="TEH115" s="15"/>
      <c r="TEI115" s="15"/>
      <c r="TEJ115" s="15"/>
      <c r="TEK115" s="15"/>
      <c r="TEL115" s="14"/>
      <c r="TEM115" s="15"/>
      <c r="TEN115" s="15"/>
      <c r="TEO115" s="15"/>
      <c r="TEP115" s="15"/>
      <c r="TEQ115" s="15"/>
      <c r="TER115" s="15"/>
      <c r="TES115" s="15"/>
      <c r="TET115" s="15"/>
      <c r="TEU115" s="15"/>
      <c r="TEV115" s="15"/>
      <c r="TEW115" s="15"/>
      <c r="TEX115" s="15"/>
      <c r="TEY115" s="15"/>
      <c r="TEZ115" s="15"/>
      <c r="TFA115" s="15"/>
      <c r="TFB115" s="15"/>
      <c r="TFC115" s="15"/>
      <c r="TFD115" s="15"/>
      <c r="TFE115" s="15"/>
      <c r="TFF115" s="15"/>
      <c r="TFG115" s="15"/>
      <c r="TFH115" s="14"/>
      <c r="TFI115" s="15"/>
      <c r="TFJ115" s="15"/>
      <c r="TFK115" s="15"/>
      <c r="TFL115" s="15"/>
      <c r="TFM115" s="15"/>
      <c r="TFN115" s="15"/>
      <c r="TFO115" s="15"/>
      <c r="TFP115" s="15"/>
      <c r="TFQ115" s="15"/>
      <c r="TFR115" s="15"/>
      <c r="TFS115" s="15"/>
      <c r="TFT115" s="15"/>
      <c r="TFU115" s="15"/>
      <c r="TFV115" s="15"/>
      <c r="TFW115" s="15"/>
      <c r="TFX115" s="15"/>
      <c r="TFY115" s="15"/>
      <c r="TFZ115" s="15"/>
      <c r="TGA115" s="15"/>
      <c r="TGB115" s="15"/>
      <c r="TGC115" s="15"/>
      <c r="TGD115" s="14"/>
      <c r="TGE115" s="15"/>
      <c r="TGF115" s="15"/>
      <c r="TGG115" s="15"/>
      <c r="TGH115" s="15"/>
      <c r="TGI115" s="15"/>
      <c r="TGJ115" s="15"/>
      <c r="TGK115" s="15"/>
      <c r="TGL115" s="15"/>
      <c r="TGM115" s="15"/>
      <c r="TGN115" s="15"/>
      <c r="TGO115" s="15"/>
      <c r="TGP115" s="15"/>
      <c r="TGQ115" s="15"/>
      <c r="TGR115" s="15"/>
      <c r="TGS115" s="15"/>
      <c r="TGT115" s="15"/>
      <c r="TGU115" s="15"/>
      <c r="TGV115" s="15"/>
      <c r="TGW115" s="15"/>
      <c r="TGX115" s="15"/>
      <c r="TGY115" s="15"/>
      <c r="TGZ115" s="14"/>
      <c r="THA115" s="15"/>
      <c r="THB115" s="15"/>
      <c r="THC115" s="15"/>
      <c r="THD115" s="15"/>
      <c r="THE115" s="15"/>
      <c r="THF115" s="15"/>
      <c r="THG115" s="15"/>
      <c r="THH115" s="15"/>
      <c r="THI115" s="15"/>
      <c r="THJ115" s="15"/>
      <c r="THK115" s="15"/>
      <c r="THL115" s="15"/>
      <c r="THM115" s="15"/>
      <c r="THN115" s="15"/>
      <c r="THO115" s="15"/>
      <c r="THP115" s="15"/>
      <c r="THQ115" s="15"/>
      <c r="THR115" s="15"/>
      <c r="THS115" s="15"/>
      <c r="THT115" s="15"/>
      <c r="THU115" s="15"/>
      <c r="THV115" s="14"/>
      <c r="THW115" s="15"/>
      <c r="THX115" s="15"/>
      <c r="THY115" s="15"/>
      <c r="THZ115" s="15"/>
      <c r="TIA115" s="15"/>
      <c r="TIB115" s="15"/>
      <c r="TIC115" s="15"/>
      <c r="TID115" s="15"/>
      <c r="TIE115" s="15"/>
      <c r="TIF115" s="15"/>
      <c r="TIG115" s="15"/>
      <c r="TIH115" s="15"/>
      <c r="TII115" s="15"/>
      <c r="TIJ115" s="15"/>
      <c r="TIK115" s="15"/>
      <c r="TIL115" s="15"/>
      <c r="TIM115" s="15"/>
      <c r="TIN115" s="15"/>
      <c r="TIO115" s="15"/>
      <c r="TIP115" s="15"/>
      <c r="TIQ115" s="15"/>
      <c r="TIR115" s="14"/>
      <c r="TIS115" s="15"/>
      <c r="TIT115" s="15"/>
      <c r="TIU115" s="15"/>
      <c r="TIV115" s="15"/>
      <c r="TIW115" s="15"/>
      <c r="TIX115" s="15"/>
      <c r="TIY115" s="15"/>
      <c r="TIZ115" s="15"/>
      <c r="TJA115" s="15"/>
      <c r="TJB115" s="15"/>
      <c r="TJC115" s="15"/>
      <c r="TJD115" s="15"/>
      <c r="TJE115" s="15"/>
      <c r="TJF115" s="15"/>
      <c r="TJG115" s="15"/>
      <c r="TJH115" s="15"/>
      <c r="TJI115" s="15"/>
      <c r="TJJ115" s="15"/>
      <c r="TJK115" s="15"/>
      <c r="TJL115" s="15"/>
      <c r="TJM115" s="15"/>
      <c r="TJN115" s="14"/>
      <c r="TJO115" s="15"/>
      <c r="TJP115" s="15"/>
      <c r="TJQ115" s="15"/>
      <c r="TJR115" s="15"/>
      <c r="TJS115" s="15"/>
      <c r="TJT115" s="15"/>
      <c r="TJU115" s="15"/>
      <c r="TJV115" s="15"/>
      <c r="TJW115" s="15"/>
      <c r="TJX115" s="15"/>
      <c r="TJY115" s="15"/>
      <c r="TJZ115" s="15"/>
      <c r="TKA115" s="15"/>
      <c r="TKB115" s="15"/>
      <c r="TKC115" s="15"/>
      <c r="TKD115" s="15"/>
      <c r="TKE115" s="15"/>
      <c r="TKF115" s="15"/>
      <c r="TKG115" s="15"/>
      <c r="TKH115" s="15"/>
      <c r="TKI115" s="15"/>
      <c r="TKJ115" s="14"/>
      <c r="TKK115" s="15"/>
      <c r="TKL115" s="15"/>
      <c r="TKM115" s="15"/>
      <c r="TKN115" s="15"/>
      <c r="TKO115" s="15"/>
      <c r="TKP115" s="15"/>
      <c r="TKQ115" s="15"/>
      <c r="TKR115" s="15"/>
      <c r="TKS115" s="15"/>
      <c r="TKT115" s="15"/>
      <c r="TKU115" s="15"/>
      <c r="TKV115" s="15"/>
      <c r="TKW115" s="15"/>
      <c r="TKX115" s="15"/>
      <c r="TKY115" s="15"/>
      <c r="TKZ115" s="15"/>
      <c r="TLA115" s="15"/>
      <c r="TLB115" s="15"/>
      <c r="TLC115" s="15"/>
      <c r="TLD115" s="15"/>
      <c r="TLE115" s="15"/>
      <c r="TLF115" s="14"/>
      <c r="TLG115" s="15"/>
      <c r="TLH115" s="15"/>
      <c r="TLI115" s="15"/>
      <c r="TLJ115" s="15"/>
      <c r="TLK115" s="15"/>
      <c r="TLL115" s="15"/>
      <c r="TLM115" s="15"/>
      <c r="TLN115" s="15"/>
      <c r="TLO115" s="15"/>
      <c r="TLP115" s="15"/>
      <c r="TLQ115" s="15"/>
      <c r="TLR115" s="15"/>
      <c r="TLS115" s="15"/>
      <c r="TLT115" s="15"/>
      <c r="TLU115" s="15"/>
      <c r="TLV115" s="15"/>
      <c r="TLW115" s="15"/>
      <c r="TLX115" s="15"/>
      <c r="TLY115" s="15"/>
      <c r="TLZ115" s="15"/>
      <c r="TMA115" s="15"/>
      <c r="TMB115" s="14"/>
      <c r="TMC115" s="15"/>
      <c r="TMD115" s="15"/>
      <c r="TME115" s="15"/>
      <c r="TMF115" s="15"/>
      <c r="TMG115" s="15"/>
      <c r="TMH115" s="15"/>
      <c r="TMI115" s="15"/>
      <c r="TMJ115" s="15"/>
      <c r="TMK115" s="15"/>
      <c r="TML115" s="15"/>
      <c r="TMM115" s="15"/>
      <c r="TMN115" s="15"/>
      <c r="TMO115" s="15"/>
      <c r="TMP115" s="15"/>
      <c r="TMQ115" s="15"/>
      <c r="TMR115" s="15"/>
      <c r="TMS115" s="15"/>
      <c r="TMT115" s="15"/>
      <c r="TMU115" s="15"/>
      <c r="TMV115" s="15"/>
      <c r="TMW115" s="15"/>
      <c r="TMX115" s="14"/>
      <c r="TMY115" s="15"/>
      <c r="TMZ115" s="15"/>
      <c r="TNA115" s="15"/>
      <c r="TNB115" s="15"/>
      <c r="TNC115" s="15"/>
      <c r="TND115" s="15"/>
      <c r="TNE115" s="15"/>
      <c r="TNF115" s="15"/>
      <c r="TNG115" s="15"/>
      <c r="TNH115" s="15"/>
      <c r="TNI115" s="15"/>
      <c r="TNJ115" s="15"/>
      <c r="TNK115" s="15"/>
      <c r="TNL115" s="15"/>
      <c r="TNM115" s="15"/>
      <c r="TNN115" s="15"/>
      <c r="TNO115" s="15"/>
      <c r="TNP115" s="15"/>
      <c r="TNQ115" s="15"/>
      <c r="TNR115" s="15"/>
      <c r="TNS115" s="15"/>
      <c r="TNT115" s="14"/>
      <c r="TNU115" s="15"/>
      <c r="TNV115" s="15"/>
      <c r="TNW115" s="15"/>
      <c r="TNX115" s="15"/>
      <c r="TNY115" s="15"/>
      <c r="TNZ115" s="15"/>
      <c r="TOA115" s="15"/>
      <c r="TOB115" s="15"/>
      <c r="TOC115" s="15"/>
      <c r="TOD115" s="15"/>
      <c r="TOE115" s="15"/>
      <c r="TOF115" s="15"/>
      <c r="TOG115" s="15"/>
      <c r="TOH115" s="15"/>
      <c r="TOI115" s="15"/>
      <c r="TOJ115" s="15"/>
      <c r="TOK115" s="15"/>
      <c r="TOL115" s="15"/>
      <c r="TOM115" s="15"/>
      <c r="TON115" s="15"/>
      <c r="TOO115" s="15"/>
      <c r="TOP115" s="14"/>
      <c r="TOQ115" s="15"/>
      <c r="TOR115" s="15"/>
      <c r="TOS115" s="15"/>
      <c r="TOT115" s="15"/>
      <c r="TOU115" s="15"/>
      <c r="TOV115" s="15"/>
      <c r="TOW115" s="15"/>
      <c r="TOX115" s="15"/>
      <c r="TOY115" s="15"/>
      <c r="TOZ115" s="15"/>
      <c r="TPA115" s="15"/>
      <c r="TPB115" s="15"/>
      <c r="TPC115" s="15"/>
      <c r="TPD115" s="15"/>
      <c r="TPE115" s="15"/>
      <c r="TPF115" s="15"/>
      <c r="TPG115" s="15"/>
      <c r="TPH115" s="15"/>
      <c r="TPI115" s="15"/>
      <c r="TPJ115" s="15"/>
      <c r="TPK115" s="15"/>
      <c r="TPL115" s="14"/>
      <c r="TPM115" s="15"/>
      <c r="TPN115" s="15"/>
      <c r="TPO115" s="15"/>
      <c r="TPP115" s="15"/>
      <c r="TPQ115" s="15"/>
      <c r="TPR115" s="15"/>
      <c r="TPS115" s="15"/>
      <c r="TPT115" s="15"/>
      <c r="TPU115" s="15"/>
      <c r="TPV115" s="15"/>
      <c r="TPW115" s="15"/>
      <c r="TPX115" s="15"/>
      <c r="TPY115" s="15"/>
      <c r="TPZ115" s="15"/>
      <c r="TQA115" s="15"/>
      <c r="TQB115" s="15"/>
      <c r="TQC115" s="15"/>
      <c r="TQD115" s="15"/>
      <c r="TQE115" s="15"/>
      <c r="TQF115" s="15"/>
      <c r="TQG115" s="15"/>
      <c r="TQH115" s="14"/>
      <c r="TQI115" s="15"/>
      <c r="TQJ115" s="15"/>
      <c r="TQK115" s="15"/>
      <c r="TQL115" s="15"/>
      <c r="TQM115" s="15"/>
      <c r="TQN115" s="15"/>
      <c r="TQO115" s="15"/>
      <c r="TQP115" s="15"/>
      <c r="TQQ115" s="15"/>
      <c r="TQR115" s="15"/>
      <c r="TQS115" s="15"/>
      <c r="TQT115" s="15"/>
      <c r="TQU115" s="15"/>
      <c r="TQV115" s="15"/>
      <c r="TQW115" s="15"/>
      <c r="TQX115" s="15"/>
      <c r="TQY115" s="15"/>
      <c r="TQZ115" s="15"/>
      <c r="TRA115" s="15"/>
      <c r="TRB115" s="15"/>
      <c r="TRC115" s="15"/>
      <c r="TRD115" s="14"/>
      <c r="TRE115" s="15"/>
      <c r="TRF115" s="15"/>
      <c r="TRG115" s="15"/>
      <c r="TRH115" s="15"/>
      <c r="TRI115" s="15"/>
      <c r="TRJ115" s="15"/>
      <c r="TRK115" s="15"/>
      <c r="TRL115" s="15"/>
      <c r="TRM115" s="15"/>
      <c r="TRN115" s="15"/>
      <c r="TRO115" s="15"/>
      <c r="TRP115" s="15"/>
      <c r="TRQ115" s="15"/>
      <c r="TRR115" s="15"/>
      <c r="TRS115" s="15"/>
      <c r="TRT115" s="15"/>
      <c r="TRU115" s="15"/>
      <c r="TRV115" s="15"/>
      <c r="TRW115" s="15"/>
      <c r="TRX115" s="15"/>
      <c r="TRY115" s="15"/>
      <c r="TRZ115" s="14"/>
      <c r="TSA115" s="15"/>
      <c r="TSB115" s="15"/>
      <c r="TSC115" s="15"/>
      <c r="TSD115" s="15"/>
      <c r="TSE115" s="15"/>
      <c r="TSF115" s="15"/>
      <c r="TSG115" s="15"/>
      <c r="TSH115" s="15"/>
      <c r="TSI115" s="15"/>
      <c r="TSJ115" s="15"/>
      <c r="TSK115" s="15"/>
      <c r="TSL115" s="15"/>
      <c r="TSM115" s="15"/>
      <c r="TSN115" s="15"/>
      <c r="TSO115" s="15"/>
      <c r="TSP115" s="15"/>
      <c r="TSQ115" s="15"/>
      <c r="TSR115" s="15"/>
      <c r="TSS115" s="15"/>
      <c r="TST115" s="15"/>
      <c r="TSU115" s="15"/>
      <c r="TSV115" s="14"/>
      <c r="TSW115" s="15"/>
      <c r="TSX115" s="15"/>
      <c r="TSY115" s="15"/>
      <c r="TSZ115" s="15"/>
      <c r="TTA115" s="15"/>
      <c r="TTB115" s="15"/>
      <c r="TTC115" s="15"/>
      <c r="TTD115" s="15"/>
      <c r="TTE115" s="15"/>
      <c r="TTF115" s="15"/>
      <c r="TTG115" s="15"/>
      <c r="TTH115" s="15"/>
      <c r="TTI115" s="15"/>
      <c r="TTJ115" s="15"/>
      <c r="TTK115" s="15"/>
      <c r="TTL115" s="15"/>
      <c r="TTM115" s="15"/>
      <c r="TTN115" s="15"/>
      <c r="TTO115" s="15"/>
      <c r="TTP115" s="15"/>
      <c r="TTQ115" s="15"/>
      <c r="TTR115" s="14"/>
      <c r="TTS115" s="15"/>
      <c r="TTT115" s="15"/>
      <c r="TTU115" s="15"/>
      <c r="TTV115" s="15"/>
      <c r="TTW115" s="15"/>
      <c r="TTX115" s="15"/>
      <c r="TTY115" s="15"/>
      <c r="TTZ115" s="15"/>
      <c r="TUA115" s="15"/>
      <c r="TUB115" s="15"/>
      <c r="TUC115" s="15"/>
      <c r="TUD115" s="15"/>
      <c r="TUE115" s="15"/>
      <c r="TUF115" s="15"/>
      <c r="TUG115" s="15"/>
      <c r="TUH115" s="15"/>
      <c r="TUI115" s="15"/>
      <c r="TUJ115" s="15"/>
      <c r="TUK115" s="15"/>
      <c r="TUL115" s="15"/>
      <c r="TUM115" s="15"/>
      <c r="TUN115" s="14"/>
      <c r="TUO115" s="15"/>
      <c r="TUP115" s="15"/>
      <c r="TUQ115" s="15"/>
      <c r="TUR115" s="15"/>
      <c r="TUS115" s="15"/>
      <c r="TUT115" s="15"/>
      <c r="TUU115" s="15"/>
      <c r="TUV115" s="15"/>
      <c r="TUW115" s="15"/>
      <c r="TUX115" s="15"/>
      <c r="TUY115" s="15"/>
      <c r="TUZ115" s="15"/>
      <c r="TVA115" s="15"/>
      <c r="TVB115" s="15"/>
      <c r="TVC115" s="15"/>
      <c r="TVD115" s="15"/>
      <c r="TVE115" s="15"/>
      <c r="TVF115" s="15"/>
      <c r="TVG115" s="15"/>
      <c r="TVH115" s="15"/>
      <c r="TVI115" s="15"/>
      <c r="TVJ115" s="14"/>
      <c r="TVK115" s="15"/>
      <c r="TVL115" s="15"/>
      <c r="TVM115" s="15"/>
      <c r="TVN115" s="15"/>
      <c r="TVO115" s="15"/>
      <c r="TVP115" s="15"/>
      <c r="TVQ115" s="15"/>
      <c r="TVR115" s="15"/>
      <c r="TVS115" s="15"/>
      <c r="TVT115" s="15"/>
      <c r="TVU115" s="15"/>
      <c r="TVV115" s="15"/>
      <c r="TVW115" s="15"/>
      <c r="TVX115" s="15"/>
      <c r="TVY115" s="15"/>
      <c r="TVZ115" s="15"/>
      <c r="TWA115" s="15"/>
      <c r="TWB115" s="15"/>
      <c r="TWC115" s="15"/>
      <c r="TWD115" s="15"/>
      <c r="TWE115" s="15"/>
      <c r="TWF115" s="14"/>
      <c r="TWG115" s="15"/>
      <c r="TWH115" s="15"/>
      <c r="TWI115" s="15"/>
      <c r="TWJ115" s="15"/>
      <c r="TWK115" s="15"/>
      <c r="TWL115" s="15"/>
      <c r="TWM115" s="15"/>
      <c r="TWN115" s="15"/>
      <c r="TWO115" s="15"/>
      <c r="TWP115" s="15"/>
      <c r="TWQ115" s="15"/>
      <c r="TWR115" s="15"/>
      <c r="TWS115" s="15"/>
      <c r="TWT115" s="15"/>
      <c r="TWU115" s="15"/>
      <c r="TWV115" s="15"/>
      <c r="TWW115" s="15"/>
      <c r="TWX115" s="15"/>
      <c r="TWY115" s="15"/>
      <c r="TWZ115" s="15"/>
      <c r="TXA115" s="15"/>
      <c r="TXB115" s="14"/>
      <c r="TXC115" s="15"/>
      <c r="TXD115" s="15"/>
      <c r="TXE115" s="15"/>
      <c r="TXF115" s="15"/>
      <c r="TXG115" s="15"/>
      <c r="TXH115" s="15"/>
      <c r="TXI115" s="15"/>
      <c r="TXJ115" s="15"/>
      <c r="TXK115" s="15"/>
      <c r="TXL115" s="15"/>
      <c r="TXM115" s="15"/>
      <c r="TXN115" s="15"/>
      <c r="TXO115" s="15"/>
      <c r="TXP115" s="15"/>
      <c r="TXQ115" s="15"/>
      <c r="TXR115" s="15"/>
      <c r="TXS115" s="15"/>
      <c r="TXT115" s="15"/>
      <c r="TXU115" s="15"/>
      <c r="TXV115" s="15"/>
      <c r="TXW115" s="15"/>
      <c r="TXX115" s="14"/>
      <c r="TXY115" s="15"/>
      <c r="TXZ115" s="15"/>
      <c r="TYA115" s="15"/>
      <c r="TYB115" s="15"/>
      <c r="TYC115" s="15"/>
      <c r="TYD115" s="15"/>
      <c r="TYE115" s="15"/>
      <c r="TYF115" s="15"/>
      <c r="TYG115" s="15"/>
      <c r="TYH115" s="15"/>
      <c r="TYI115" s="15"/>
      <c r="TYJ115" s="15"/>
      <c r="TYK115" s="15"/>
      <c r="TYL115" s="15"/>
      <c r="TYM115" s="15"/>
      <c r="TYN115" s="15"/>
      <c r="TYO115" s="15"/>
      <c r="TYP115" s="15"/>
      <c r="TYQ115" s="15"/>
      <c r="TYR115" s="15"/>
      <c r="TYS115" s="15"/>
      <c r="TYT115" s="14"/>
      <c r="TYU115" s="15"/>
      <c r="TYV115" s="15"/>
      <c r="TYW115" s="15"/>
      <c r="TYX115" s="15"/>
      <c r="TYY115" s="15"/>
      <c r="TYZ115" s="15"/>
      <c r="TZA115" s="15"/>
      <c r="TZB115" s="15"/>
      <c r="TZC115" s="15"/>
      <c r="TZD115" s="15"/>
      <c r="TZE115" s="15"/>
      <c r="TZF115" s="15"/>
      <c r="TZG115" s="15"/>
      <c r="TZH115" s="15"/>
      <c r="TZI115" s="15"/>
      <c r="TZJ115" s="15"/>
      <c r="TZK115" s="15"/>
      <c r="TZL115" s="15"/>
      <c r="TZM115" s="15"/>
      <c r="TZN115" s="15"/>
      <c r="TZO115" s="15"/>
      <c r="TZP115" s="14"/>
      <c r="TZQ115" s="15"/>
      <c r="TZR115" s="15"/>
      <c r="TZS115" s="15"/>
      <c r="TZT115" s="15"/>
      <c r="TZU115" s="15"/>
      <c r="TZV115" s="15"/>
      <c r="TZW115" s="15"/>
      <c r="TZX115" s="15"/>
      <c r="TZY115" s="15"/>
      <c r="TZZ115" s="15"/>
      <c r="UAA115" s="15"/>
      <c r="UAB115" s="15"/>
      <c r="UAC115" s="15"/>
      <c r="UAD115" s="15"/>
      <c r="UAE115" s="15"/>
      <c r="UAF115" s="15"/>
      <c r="UAG115" s="15"/>
      <c r="UAH115" s="15"/>
      <c r="UAI115" s="15"/>
      <c r="UAJ115" s="15"/>
      <c r="UAK115" s="15"/>
      <c r="UAL115" s="14"/>
      <c r="UAM115" s="15"/>
      <c r="UAN115" s="15"/>
      <c r="UAO115" s="15"/>
      <c r="UAP115" s="15"/>
      <c r="UAQ115" s="15"/>
      <c r="UAR115" s="15"/>
      <c r="UAS115" s="15"/>
      <c r="UAT115" s="15"/>
      <c r="UAU115" s="15"/>
      <c r="UAV115" s="15"/>
      <c r="UAW115" s="15"/>
      <c r="UAX115" s="15"/>
      <c r="UAY115" s="15"/>
      <c r="UAZ115" s="15"/>
      <c r="UBA115" s="15"/>
      <c r="UBB115" s="15"/>
      <c r="UBC115" s="15"/>
      <c r="UBD115" s="15"/>
      <c r="UBE115" s="15"/>
      <c r="UBF115" s="15"/>
      <c r="UBG115" s="15"/>
      <c r="UBH115" s="14"/>
      <c r="UBI115" s="15"/>
      <c r="UBJ115" s="15"/>
      <c r="UBK115" s="15"/>
      <c r="UBL115" s="15"/>
      <c r="UBM115" s="15"/>
      <c r="UBN115" s="15"/>
      <c r="UBO115" s="15"/>
      <c r="UBP115" s="15"/>
      <c r="UBQ115" s="15"/>
      <c r="UBR115" s="15"/>
      <c r="UBS115" s="15"/>
      <c r="UBT115" s="15"/>
      <c r="UBU115" s="15"/>
      <c r="UBV115" s="15"/>
      <c r="UBW115" s="15"/>
      <c r="UBX115" s="15"/>
      <c r="UBY115" s="15"/>
      <c r="UBZ115" s="15"/>
      <c r="UCA115" s="15"/>
      <c r="UCB115" s="15"/>
      <c r="UCC115" s="15"/>
      <c r="UCD115" s="14"/>
      <c r="UCE115" s="15"/>
      <c r="UCF115" s="15"/>
      <c r="UCG115" s="15"/>
      <c r="UCH115" s="15"/>
      <c r="UCI115" s="15"/>
      <c r="UCJ115" s="15"/>
      <c r="UCK115" s="15"/>
      <c r="UCL115" s="15"/>
      <c r="UCM115" s="15"/>
      <c r="UCN115" s="15"/>
      <c r="UCO115" s="15"/>
      <c r="UCP115" s="15"/>
      <c r="UCQ115" s="15"/>
      <c r="UCR115" s="15"/>
      <c r="UCS115" s="15"/>
      <c r="UCT115" s="15"/>
      <c r="UCU115" s="15"/>
      <c r="UCV115" s="15"/>
      <c r="UCW115" s="15"/>
      <c r="UCX115" s="15"/>
      <c r="UCY115" s="15"/>
      <c r="UCZ115" s="14"/>
      <c r="UDA115" s="15"/>
      <c r="UDB115" s="15"/>
      <c r="UDC115" s="15"/>
      <c r="UDD115" s="15"/>
      <c r="UDE115" s="15"/>
      <c r="UDF115" s="15"/>
      <c r="UDG115" s="15"/>
      <c r="UDH115" s="15"/>
      <c r="UDI115" s="15"/>
      <c r="UDJ115" s="15"/>
      <c r="UDK115" s="15"/>
      <c r="UDL115" s="15"/>
      <c r="UDM115" s="15"/>
      <c r="UDN115" s="15"/>
      <c r="UDO115" s="15"/>
      <c r="UDP115" s="15"/>
      <c r="UDQ115" s="15"/>
      <c r="UDR115" s="15"/>
      <c r="UDS115" s="15"/>
      <c r="UDT115" s="15"/>
      <c r="UDU115" s="15"/>
      <c r="UDV115" s="14"/>
      <c r="UDW115" s="15"/>
      <c r="UDX115" s="15"/>
      <c r="UDY115" s="15"/>
      <c r="UDZ115" s="15"/>
      <c r="UEA115" s="15"/>
      <c r="UEB115" s="15"/>
      <c r="UEC115" s="15"/>
      <c r="UED115" s="15"/>
      <c r="UEE115" s="15"/>
      <c r="UEF115" s="15"/>
      <c r="UEG115" s="15"/>
      <c r="UEH115" s="15"/>
      <c r="UEI115" s="15"/>
      <c r="UEJ115" s="15"/>
      <c r="UEK115" s="15"/>
      <c r="UEL115" s="15"/>
      <c r="UEM115" s="15"/>
      <c r="UEN115" s="15"/>
      <c r="UEO115" s="15"/>
      <c r="UEP115" s="15"/>
      <c r="UEQ115" s="15"/>
      <c r="UER115" s="14"/>
      <c r="UES115" s="15"/>
      <c r="UET115" s="15"/>
      <c r="UEU115" s="15"/>
      <c r="UEV115" s="15"/>
      <c r="UEW115" s="15"/>
      <c r="UEX115" s="15"/>
      <c r="UEY115" s="15"/>
      <c r="UEZ115" s="15"/>
      <c r="UFA115" s="15"/>
      <c r="UFB115" s="15"/>
      <c r="UFC115" s="15"/>
      <c r="UFD115" s="15"/>
      <c r="UFE115" s="15"/>
      <c r="UFF115" s="15"/>
      <c r="UFG115" s="15"/>
      <c r="UFH115" s="15"/>
      <c r="UFI115" s="15"/>
      <c r="UFJ115" s="15"/>
      <c r="UFK115" s="15"/>
      <c r="UFL115" s="15"/>
      <c r="UFM115" s="15"/>
      <c r="UFN115" s="14"/>
      <c r="UFO115" s="15"/>
      <c r="UFP115" s="15"/>
      <c r="UFQ115" s="15"/>
      <c r="UFR115" s="15"/>
      <c r="UFS115" s="15"/>
      <c r="UFT115" s="15"/>
      <c r="UFU115" s="15"/>
      <c r="UFV115" s="15"/>
      <c r="UFW115" s="15"/>
      <c r="UFX115" s="15"/>
      <c r="UFY115" s="15"/>
      <c r="UFZ115" s="15"/>
      <c r="UGA115" s="15"/>
      <c r="UGB115" s="15"/>
      <c r="UGC115" s="15"/>
      <c r="UGD115" s="15"/>
      <c r="UGE115" s="15"/>
      <c r="UGF115" s="15"/>
      <c r="UGG115" s="15"/>
      <c r="UGH115" s="15"/>
      <c r="UGI115" s="15"/>
      <c r="UGJ115" s="14"/>
      <c r="UGK115" s="15"/>
      <c r="UGL115" s="15"/>
      <c r="UGM115" s="15"/>
      <c r="UGN115" s="15"/>
      <c r="UGO115" s="15"/>
      <c r="UGP115" s="15"/>
      <c r="UGQ115" s="15"/>
      <c r="UGR115" s="15"/>
      <c r="UGS115" s="15"/>
      <c r="UGT115" s="15"/>
      <c r="UGU115" s="15"/>
      <c r="UGV115" s="15"/>
      <c r="UGW115" s="15"/>
      <c r="UGX115" s="15"/>
      <c r="UGY115" s="15"/>
      <c r="UGZ115" s="15"/>
      <c r="UHA115" s="15"/>
      <c r="UHB115" s="15"/>
      <c r="UHC115" s="15"/>
      <c r="UHD115" s="15"/>
      <c r="UHE115" s="15"/>
      <c r="UHF115" s="14"/>
      <c r="UHG115" s="15"/>
      <c r="UHH115" s="15"/>
      <c r="UHI115" s="15"/>
      <c r="UHJ115" s="15"/>
      <c r="UHK115" s="15"/>
      <c r="UHL115" s="15"/>
      <c r="UHM115" s="15"/>
      <c r="UHN115" s="15"/>
      <c r="UHO115" s="15"/>
      <c r="UHP115" s="15"/>
      <c r="UHQ115" s="15"/>
      <c r="UHR115" s="15"/>
      <c r="UHS115" s="15"/>
      <c r="UHT115" s="15"/>
      <c r="UHU115" s="15"/>
      <c r="UHV115" s="15"/>
      <c r="UHW115" s="15"/>
      <c r="UHX115" s="15"/>
      <c r="UHY115" s="15"/>
      <c r="UHZ115" s="15"/>
      <c r="UIA115" s="15"/>
      <c r="UIB115" s="14"/>
      <c r="UIC115" s="15"/>
      <c r="UID115" s="15"/>
      <c r="UIE115" s="15"/>
      <c r="UIF115" s="15"/>
      <c r="UIG115" s="15"/>
      <c r="UIH115" s="15"/>
      <c r="UII115" s="15"/>
      <c r="UIJ115" s="15"/>
      <c r="UIK115" s="15"/>
      <c r="UIL115" s="15"/>
      <c r="UIM115" s="15"/>
      <c r="UIN115" s="15"/>
      <c r="UIO115" s="15"/>
      <c r="UIP115" s="15"/>
      <c r="UIQ115" s="15"/>
      <c r="UIR115" s="15"/>
      <c r="UIS115" s="15"/>
      <c r="UIT115" s="15"/>
      <c r="UIU115" s="15"/>
      <c r="UIV115" s="15"/>
      <c r="UIW115" s="15"/>
      <c r="UIX115" s="14"/>
      <c r="UIY115" s="15"/>
      <c r="UIZ115" s="15"/>
      <c r="UJA115" s="15"/>
      <c r="UJB115" s="15"/>
      <c r="UJC115" s="15"/>
      <c r="UJD115" s="15"/>
      <c r="UJE115" s="15"/>
      <c r="UJF115" s="15"/>
      <c r="UJG115" s="15"/>
      <c r="UJH115" s="15"/>
      <c r="UJI115" s="15"/>
      <c r="UJJ115" s="15"/>
      <c r="UJK115" s="15"/>
      <c r="UJL115" s="15"/>
      <c r="UJM115" s="15"/>
      <c r="UJN115" s="15"/>
      <c r="UJO115" s="15"/>
      <c r="UJP115" s="15"/>
      <c r="UJQ115" s="15"/>
      <c r="UJR115" s="15"/>
      <c r="UJS115" s="15"/>
      <c r="UJT115" s="14"/>
      <c r="UJU115" s="15"/>
      <c r="UJV115" s="15"/>
      <c r="UJW115" s="15"/>
      <c r="UJX115" s="15"/>
      <c r="UJY115" s="15"/>
      <c r="UJZ115" s="15"/>
      <c r="UKA115" s="15"/>
      <c r="UKB115" s="15"/>
      <c r="UKC115" s="15"/>
      <c r="UKD115" s="15"/>
      <c r="UKE115" s="15"/>
      <c r="UKF115" s="15"/>
      <c r="UKG115" s="15"/>
      <c r="UKH115" s="15"/>
      <c r="UKI115" s="15"/>
      <c r="UKJ115" s="15"/>
      <c r="UKK115" s="15"/>
      <c r="UKL115" s="15"/>
      <c r="UKM115" s="15"/>
      <c r="UKN115" s="15"/>
      <c r="UKO115" s="15"/>
      <c r="UKP115" s="14"/>
      <c r="UKQ115" s="15"/>
      <c r="UKR115" s="15"/>
      <c r="UKS115" s="15"/>
      <c r="UKT115" s="15"/>
      <c r="UKU115" s="15"/>
      <c r="UKV115" s="15"/>
      <c r="UKW115" s="15"/>
      <c r="UKX115" s="15"/>
      <c r="UKY115" s="15"/>
      <c r="UKZ115" s="15"/>
      <c r="ULA115" s="15"/>
      <c r="ULB115" s="15"/>
      <c r="ULC115" s="15"/>
      <c r="ULD115" s="15"/>
      <c r="ULE115" s="15"/>
      <c r="ULF115" s="15"/>
      <c r="ULG115" s="15"/>
      <c r="ULH115" s="15"/>
      <c r="ULI115" s="15"/>
      <c r="ULJ115" s="15"/>
      <c r="ULK115" s="15"/>
      <c r="ULL115" s="14"/>
      <c r="ULM115" s="15"/>
      <c r="ULN115" s="15"/>
      <c r="ULO115" s="15"/>
      <c r="ULP115" s="15"/>
      <c r="ULQ115" s="15"/>
      <c r="ULR115" s="15"/>
      <c r="ULS115" s="15"/>
      <c r="ULT115" s="15"/>
      <c r="ULU115" s="15"/>
      <c r="ULV115" s="15"/>
      <c r="ULW115" s="15"/>
      <c r="ULX115" s="15"/>
      <c r="ULY115" s="15"/>
      <c r="ULZ115" s="15"/>
      <c r="UMA115" s="15"/>
      <c r="UMB115" s="15"/>
      <c r="UMC115" s="15"/>
      <c r="UMD115" s="15"/>
      <c r="UME115" s="15"/>
      <c r="UMF115" s="15"/>
      <c r="UMG115" s="15"/>
      <c r="UMH115" s="14"/>
      <c r="UMI115" s="15"/>
      <c r="UMJ115" s="15"/>
      <c r="UMK115" s="15"/>
      <c r="UML115" s="15"/>
      <c r="UMM115" s="15"/>
      <c r="UMN115" s="15"/>
      <c r="UMO115" s="15"/>
      <c r="UMP115" s="15"/>
      <c r="UMQ115" s="15"/>
      <c r="UMR115" s="15"/>
      <c r="UMS115" s="15"/>
      <c r="UMT115" s="15"/>
      <c r="UMU115" s="15"/>
      <c r="UMV115" s="15"/>
      <c r="UMW115" s="15"/>
      <c r="UMX115" s="15"/>
      <c r="UMY115" s="15"/>
      <c r="UMZ115" s="15"/>
      <c r="UNA115" s="15"/>
      <c r="UNB115" s="15"/>
      <c r="UNC115" s="15"/>
      <c r="UND115" s="14"/>
      <c r="UNE115" s="15"/>
      <c r="UNF115" s="15"/>
      <c r="UNG115" s="15"/>
      <c r="UNH115" s="15"/>
      <c r="UNI115" s="15"/>
      <c r="UNJ115" s="15"/>
      <c r="UNK115" s="15"/>
      <c r="UNL115" s="15"/>
      <c r="UNM115" s="15"/>
      <c r="UNN115" s="15"/>
      <c r="UNO115" s="15"/>
      <c r="UNP115" s="15"/>
      <c r="UNQ115" s="15"/>
      <c r="UNR115" s="15"/>
      <c r="UNS115" s="15"/>
      <c r="UNT115" s="15"/>
      <c r="UNU115" s="15"/>
      <c r="UNV115" s="15"/>
      <c r="UNW115" s="15"/>
      <c r="UNX115" s="15"/>
      <c r="UNY115" s="15"/>
      <c r="UNZ115" s="14"/>
      <c r="UOA115" s="15"/>
      <c r="UOB115" s="15"/>
      <c r="UOC115" s="15"/>
      <c r="UOD115" s="15"/>
      <c r="UOE115" s="15"/>
      <c r="UOF115" s="15"/>
      <c r="UOG115" s="15"/>
      <c r="UOH115" s="15"/>
      <c r="UOI115" s="15"/>
      <c r="UOJ115" s="15"/>
      <c r="UOK115" s="15"/>
      <c r="UOL115" s="15"/>
      <c r="UOM115" s="15"/>
      <c r="UON115" s="15"/>
      <c r="UOO115" s="15"/>
      <c r="UOP115" s="15"/>
      <c r="UOQ115" s="15"/>
      <c r="UOR115" s="15"/>
      <c r="UOS115" s="15"/>
      <c r="UOT115" s="15"/>
      <c r="UOU115" s="15"/>
      <c r="UOV115" s="14"/>
      <c r="UOW115" s="15"/>
      <c r="UOX115" s="15"/>
      <c r="UOY115" s="15"/>
      <c r="UOZ115" s="15"/>
      <c r="UPA115" s="15"/>
      <c r="UPB115" s="15"/>
      <c r="UPC115" s="15"/>
      <c r="UPD115" s="15"/>
      <c r="UPE115" s="15"/>
      <c r="UPF115" s="15"/>
      <c r="UPG115" s="15"/>
      <c r="UPH115" s="15"/>
      <c r="UPI115" s="15"/>
      <c r="UPJ115" s="15"/>
      <c r="UPK115" s="15"/>
      <c r="UPL115" s="15"/>
      <c r="UPM115" s="15"/>
      <c r="UPN115" s="15"/>
      <c r="UPO115" s="15"/>
      <c r="UPP115" s="15"/>
      <c r="UPQ115" s="15"/>
      <c r="UPR115" s="14"/>
      <c r="UPS115" s="15"/>
      <c r="UPT115" s="15"/>
      <c r="UPU115" s="15"/>
      <c r="UPV115" s="15"/>
      <c r="UPW115" s="15"/>
      <c r="UPX115" s="15"/>
      <c r="UPY115" s="15"/>
      <c r="UPZ115" s="15"/>
      <c r="UQA115" s="15"/>
      <c r="UQB115" s="15"/>
      <c r="UQC115" s="15"/>
      <c r="UQD115" s="15"/>
      <c r="UQE115" s="15"/>
      <c r="UQF115" s="15"/>
      <c r="UQG115" s="15"/>
      <c r="UQH115" s="15"/>
      <c r="UQI115" s="15"/>
      <c r="UQJ115" s="15"/>
      <c r="UQK115" s="15"/>
      <c r="UQL115" s="15"/>
      <c r="UQM115" s="15"/>
      <c r="UQN115" s="14"/>
      <c r="UQO115" s="15"/>
      <c r="UQP115" s="15"/>
      <c r="UQQ115" s="15"/>
      <c r="UQR115" s="15"/>
      <c r="UQS115" s="15"/>
      <c r="UQT115" s="15"/>
      <c r="UQU115" s="15"/>
      <c r="UQV115" s="15"/>
      <c r="UQW115" s="15"/>
      <c r="UQX115" s="15"/>
      <c r="UQY115" s="15"/>
      <c r="UQZ115" s="15"/>
      <c r="URA115" s="15"/>
      <c r="URB115" s="15"/>
      <c r="URC115" s="15"/>
      <c r="URD115" s="15"/>
      <c r="URE115" s="15"/>
      <c r="URF115" s="15"/>
      <c r="URG115" s="15"/>
      <c r="URH115" s="15"/>
      <c r="URI115" s="15"/>
      <c r="URJ115" s="14"/>
      <c r="URK115" s="15"/>
      <c r="URL115" s="15"/>
      <c r="URM115" s="15"/>
      <c r="URN115" s="15"/>
      <c r="URO115" s="15"/>
      <c r="URP115" s="15"/>
      <c r="URQ115" s="15"/>
      <c r="URR115" s="15"/>
      <c r="URS115" s="15"/>
      <c r="URT115" s="15"/>
      <c r="URU115" s="15"/>
      <c r="URV115" s="15"/>
      <c r="URW115" s="15"/>
      <c r="URX115" s="15"/>
      <c r="URY115" s="15"/>
      <c r="URZ115" s="15"/>
      <c r="USA115" s="15"/>
      <c r="USB115" s="15"/>
      <c r="USC115" s="15"/>
      <c r="USD115" s="15"/>
      <c r="USE115" s="15"/>
      <c r="USF115" s="14"/>
      <c r="USG115" s="15"/>
      <c r="USH115" s="15"/>
      <c r="USI115" s="15"/>
      <c r="USJ115" s="15"/>
      <c r="USK115" s="15"/>
      <c r="USL115" s="15"/>
      <c r="USM115" s="15"/>
      <c r="USN115" s="15"/>
      <c r="USO115" s="15"/>
      <c r="USP115" s="15"/>
      <c r="USQ115" s="15"/>
      <c r="USR115" s="15"/>
      <c r="USS115" s="15"/>
      <c r="UST115" s="15"/>
      <c r="USU115" s="15"/>
      <c r="USV115" s="15"/>
      <c r="USW115" s="15"/>
      <c r="USX115" s="15"/>
      <c r="USY115" s="15"/>
      <c r="USZ115" s="15"/>
      <c r="UTA115" s="15"/>
      <c r="UTB115" s="14"/>
      <c r="UTC115" s="15"/>
      <c r="UTD115" s="15"/>
      <c r="UTE115" s="15"/>
      <c r="UTF115" s="15"/>
      <c r="UTG115" s="15"/>
      <c r="UTH115" s="15"/>
      <c r="UTI115" s="15"/>
      <c r="UTJ115" s="15"/>
      <c r="UTK115" s="15"/>
      <c r="UTL115" s="15"/>
      <c r="UTM115" s="15"/>
      <c r="UTN115" s="15"/>
      <c r="UTO115" s="15"/>
      <c r="UTP115" s="15"/>
      <c r="UTQ115" s="15"/>
      <c r="UTR115" s="15"/>
      <c r="UTS115" s="15"/>
      <c r="UTT115" s="15"/>
      <c r="UTU115" s="15"/>
      <c r="UTV115" s="15"/>
      <c r="UTW115" s="15"/>
      <c r="UTX115" s="14"/>
      <c r="UTY115" s="15"/>
      <c r="UTZ115" s="15"/>
      <c r="UUA115" s="15"/>
      <c r="UUB115" s="15"/>
      <c r="UUC115" s="15"/>
      <c r="UUD115" s="15"/>
      <c r="UUE115" s="15"/>
      <c r="UUF115" s="15"/>
      <c r="UUG115" s="15"/>
      <c r="UUH115" s="15"/>
      <c r="UUI115" s="15"/>
      <c r="UUJ115" s="15"/>
      <c r="UUK115" s="15"/>
      <c r="UUL115" s="15"/>
      <c r="UUM115" s="15"/>
      <c r="UUN115" s="15"/>
      <c r="UUO115" s="15"/>
      <c r="UUP115" s="15"/>
      <c r="UUQ115" s="15"/>
      <c r="UUR115" s="15"/>
      <c r="UUS115" s="15"/>
      <c r="UUT115" s="14"/>
      <c r="UUU115" s="15"/>
      <c r="UUV115" s="15"/>
      <c r="UUW115" s="15"/>
      <c r="UUX115" s="15"/>
      <c r="UUY115" s="15"/>
      <c r="UUZ115" s="15"/>
      <c r="UVA115" s="15"/>
      <c r="UVB115" s="15"/>
      <c r="UVC115" s="15"/>
      <c r="UVD115" s="15"/>
      <c r="UVE115" s="15"/>
      <c r="UVF115" s="15"/>
      <c r="UVG115" s="15"/>
      <c r="UVH115" s="15"/>
      <c r="UVI115" s="15"/>
      <c r="UVJ115" s="15"/>
      <c r="UVK115" s="15"/>
      <c r="UVL115" s="15"/>
      <c r="UVM115" s="15"/>
      <c r="UVN115" s="15"/>
      <c r="UVO115" s="15"/>
      <c r="UVP115" s="14"/>
      <c r="UVQ115" s="15"/>
      <c r="UVR115" s="15"/>
      <c r="UVS115" s="15"/>
      <c r="UVT115" s="15"/>
      <c r="UVU115" s="15"/>
      <c r="UVV115" s="15"/>
      <c r="UVW115" s="15"/>
      <c r="UVX115" s="15"/>
      <c r="UVY115" s="15"/>
      <c r="UVZ115" s="15"/>
      <c r="UWA115" s="15"/>
      <c r="UWB115" s="15"/>
      <c r="UWC115" s="15"/>
      <c r="UWD115" s="15"/>
      <c r="UWE115" s="15"/>
      <c r="UWF115" s="15"/>
      <c r="UWG115" s="15"/>
      <c r="UWH115" s="15"/>
      <c r="UWI115" s="15"/>
      <c r="UWJ115" s="15"/>
      <c r="UWK115" s="15"/>
      <c r="UWL115" s="14"/>
      <c r="UWM115" s="15"/>
      <c r="UWN115" s="15"/>
      <c r="UWO115" s="15"/>
      <c r="UWP115" s="15"/>
      <c r="UWQ115" s="15"/>
      <c r="UWR115" s="15"/>
      <c r="UWS115" s="15"/>
      <c r="UWT115" s="15"/>
      <c r="UWU115" s="15"/>
      <c r="UWV115" s="15"/>
      <c r="UWW115" s="15"/>
      <c r="UWX115" s="15"/>
      <c r="UWY115" s="15"/>
      <c r="UWZ115" s="15"/>
      <c r="UXA115" s="15"/>
      <c r="UXB115" s="15"/>
      <c r="UXC115" s="15"/>
      <c r="UXD115" s="15"/>
      <c r="UXE115" s="15"/>
      <c r="UXF115" s="15"/>
      <c r="UXG115" s="15"/>
      <c r="UXH115" s="14"/>
      <c r="UXI115" s="15"/>
      <c r="UXJ115" s="15"/>
      <c r="UXK115" s="15"/>
      <c r="UXL115" s="15"/>
      <c r="UXM115" s="15"/>
      <c r="UXN115" s="15"/>
      <c r="UXO115" s="15"/>
      <c r="UXP115" s="15"/>
      <c r="UXQ115" s="15"/>
      <c r="UXR115" s="15"/>
      <c r="UXS115" s="15"/>
      <c r="UXT115" s="15"/>
      <c r="UXU115" s="15"/>
      <c r="UXV115" s="15"/>
      <c r="UXW115" s="15"/>
      <c r="UXX115" s="15"/>
      <c r="UXY115" s="15"/>
      <c r="UXZ115" s="15"/>
      <c r="UYA115" s="15"/>
      <c r="UYB115" s="15"/>
      <c r="UYC115" s="15"/>
      <c r="UYD115" s="14"/>
      <c r="UYE115" s="15"/>
      <c r="UYF115" s="15"/>
      <c r="UYG115" s="15"/>
      <c r="UYH115" s="15"/>
      <c r="UYI115" s="15"/>
      <c r="UYJ115" s="15"/>
      <c r="UYK115" s="15"/>
      <c r="UYL115" s="15"/>
      <c r="UYM115" s="15"/>
      <c r="UYN115" s="15"/>
      <c r="UYO115" s="15"/>
      <c r="UYP115" s="15"/>
      <c r="UYQ115" s="15"/>
      <c r="UYR115" s="15"/>
      <c r="UYS115" s="15"/>
      <c r="UYT115" s="15"/>
      <c r="UYU115" s="15"/>
      <c r="UYV115" s="15"/>
      <c r="UYW115" s="15"/>
      <c r="UYX115" s="15"/>
      <c r="UYY115" s="15"/>
      <c r="UYZ115" s="14"/>
      <c r="UZA115" s="15"/>
      <c r="UZB115" s="15"/>
      <c r="UZC115" s="15"/>
      <c r="UZD115" s="15"/>
      <c r="UZE115" s="15"/>
      <c r="UZF115" s="15"/>
      <c r="UZG115" s="15"/>
      <c r="UZH115" s="15"/>
      <c r="UZI115" s="15"/>
      <c r="UZJ115" s="15"/>
      <c r="UZK115" s="15"/>
      <c r="UZL115" s="15"/>
      <c r="UZM115" s="15"/>
      <c r="UZN115" s="15"/>
      <c r="UZO115" s="15"/>
      <c r="UZP115" s="15"/>
      <c r="UZQ115" s="15"/>
      <c r="UZR115" s="15"/>
      <c r="UZS115" s="15"/>
      <c r="UZT115" s="15"/>
      <c r="UZU115" s="15"/>
      <c r="UZV115" s="14"/>
      <c r="UZW115" s="15"/>
      <c r="UZX115" s="15"/>
      <c r="UZY115" s="15"/>
      <c r="UZZ115" s="15"/>
      <c r="VAA115" s="15"/>
      <c r="VAB115" s="15"/>
      <c r="VAC115" s="15"/>
      <c r="VAD115" s="15"/>
      <c r="VAE115" s="15"/>
      <c r="VAF115" s="15"/>
      <c r="VAG115" s="15"/>
      <c r="VAH115" s="15"/>
      <c r="VAI115" s="15"/>
      <c r="VAJ115" s="15"/>
      <c r="VAK115" s="15"/>
      <c r="VAL115" s="15"/>
      <c r="VAM115" s="15"/>
      <c r="VAN115" s="15"/>
      <c r="VAO115" s="15"/>
      <c r="VAP115" s="15"/>
      <c r="VAQ115" s="15"/>
      <c r="VAR115" s="14"/>
      <c r="VAS115" s="15"/>
      <c r="VAT115" s="15"/>
      <c r="VAU115" s="15"/>
      <c r="VAV115" s="15"/>
      <c r="VAW115" s="15"/>
      <c r="VAX115" s="15"/>
      <c r="VAY115" s="15"/>
      <c r="VAZ115" s="15"/>
      <c r="VBA115" s="15"/>
      <c r="VBB115" s="15"/>
      <c r="VBC115" s="15"/>
      <c r="VBD115" s="15"/>
      <c r="VBE115" s="15"/>
      <c r="VBF115" s="15"/>
      <c r="VBG115" s="15"/>
      <c r="VBH115" s="15"/>
      <c r="VBI115" s="15"/>
      <c r="VBJ115" s="15"/>
      <c r="VBK115" s="15"/>
      <c r="VBL115" s="15"/>
      <c r="VBM115" s="15"/>
      <c r="VBN115" s="14"/>
      <c r="VBO115" s="15"/>
      <c r="VBP115" s="15"/>
      <c r="VBQ115" s="15"/>
      <c r="VBR115" s="15"/>
      <c r="VBS115" s="15"/>
      <c r="VBT115" s="15"/>
      <c r="VBU115" s="15"/>
      <c r="VBV115" s="15"/>
      <c r="VBW115" s="15"/>
      <c r="VBX115" s="15"/>
      <c r="VBY115" s="15"/>
      <c r="VBZ115" s="15"/>
      <c r="VCA115" s="15"/>
      <c r="VCB115" s="15"/>
      <c r="VCC115" s="15"/>
      <c r="VCD115" s="15"/>
      <c r="VCE115" s="15"/>
      <c r="VCF115" s="15"/>
      <c r="VCG115" s="15"/>
      <c r="VCH115" s="15"/>
      <c r="VCI115" s="15"/>
      <c r="VCJ115" s="14"/>
      <c r="VCK115" s="15"/>
      <c r="VCL115" s="15"/>
      <c r="VCM115" s="15"/>
      <c r="VCN115" s="15"/>
      <c r="VCO115" s="15"/>
      <c r="VCP115" s="15"/>
      <c r="VCQ115" s="15"/>
      <c r="VCR115" s="15"/>
      <c r="VCS115" s="15"/>
      <c r="VCT115" s="15"/>
      <c r="VCU115" s="15"/>
      <c r="VCV115" s="15"/>
      <c r="VCW115" s="15"/>
      <c r="VCX115" s="15"/>
      <c r="VCY115" s="15"/>
      <c r="VCZ115" s="15"/>
      <c r="VDA115" s="15"/>
      <c r="VDB115" s="15"/>
      <c r="VDC115" s="15"/>
      <c r="VDD115" s="15"/>
      <c r="VDE115" s="15"/>
      <c r="VDF115" s="14"/>
      <c r="VDG115" s="15"/>
      <c r="VDH115" s="15"/>
      <c r="VDI115" s="15"/>
      <c r="VDJ115" s="15"/>
      <c r="VDK115" s="15"/>
      <c r="VDL115" s="15"/>
      <c r="VDM115" s="15"/>
      <c r="VDN115" s="15"/>
      <c r="VDO115" s="15"/>
      <c r="VDP115" s="15"/>
      <c r="VDQ115" s="15"/>
      <c r="VDR115" s="15"/>
      <c r="VDS115" s="15"/>
      <c r="VDT115" s="15"/>
      <c r="VDU115" s="15"/>
      <c r="VDV115" s="15"/>
      <c r="VDW115" s="15"/>
      <c r="VDX115" s="15"/>
      <c r="VDY115" s="15"/>
      <c r="VDZ115" s="15"/>
      <c r="VEA115" s="15"/>
      <c r="VEB115" s="14"/>
      <c r="VEC115" s="15"/>
      <c r="VED115" s="15"/>
      <c r="VEE115" s="15"/>
      <c r="VEF115" s="15"/>
      <c r="VEG115" s="15"/>
      <c r="VEH115" s="15"/>
      <c r="VEI115" s="15"/>
      <c r="VEJ115" s="15"/>
      <c r="VEK115" s="15"/>
      <c r="VEL115" s="15"/>
      <c r="VEM115" s="15"/>
      <c r="VEN115" s="15"/>
      <c r="VEO115" s="15"/>
      <c r="VEP115" s="15"/>
      <c r="VEQ115" s="15"/>
      <c r="VER115" s="15"/>
      <c r="VES115" s="15"/>
      <c r="VET115" s="15"/>
      <c r="VEU115" s="15"/>
      <c r="VEV115" s="15"/>
      <c r="VEW115" s="15"/>
      <c r="VEX115" s="14"/>
      <c r="VEY115" s="15"/>
      <c r="VEZ115" s="15"/>
      <c r="VFA115" s="15"/>
      <c r="VFB115" s="15"/>
      <c r="VFC115" s="15"/>
      <c r="VFD115" s="15"/>
      <c r="VFE115" s="15"/>
      <c r="VFF115" s="15"/>
      <c r="VFG115" s="15"/>
      <c r="VFH115" s="15"/>
      <c r="VFI115" s="15"/>
      <c r="VFJ115" s="15"/>
      <c r="VFK115" s="15"/>
      <c r="VFL115" s="15"/>
      <c r="VFM115" s="15"/>
      <c r="VFN115" s="15"/>
      <c r="VFO115" s="15"/>
      <c r="VFP115" s="15"/>
      <c r="VFQ115" s="15"/>
      <c r="VFR115" s="15"/>
      <c r="VFS115" s="15"/>
      <c r="VFT115" s="14"/>
      <c r="VFU115" s="15"/>
      <c r="VFV115" s="15"/>
      <c r="VFW115" s="15"/>
      <c r="VFX115" s="15"/>
      <c r="VFY115" s="15"/>
      <c r="VFZ115" s="15"/>
      <c r="VGA115" s="15"/>
      <c r="VGB115" s="15"/>
      <c r="VGC115" s="15"/>
      <c r="VGD115" s="15"/>
      <c r="VGE115" s="15"/>
      <c r="VGF115" s="15"/>
      <c r="VGG115" s="15"/>
      <c r="VGH115" s="15"/>
      <c r="VGI115" s="15"/>
      <c r="VGJ115" s="15"/>
      <c r="VGK115" s="15"/>
      <c r="VGL115" s="15"/>
      <c r="VGM115" s="15"/>
      <c r="VGN115" s="15"/>
      <c r="VGO115" s="15"/>
      <c r="VGP115" s="14"/>
      <c r="VGQ115" s="15"/>
      <c r="VGR115" s="15"/>
      <c r="VGS115" s="15"/>
      <c r="VGT115" s="15"/>
      <c r="VGU115" s="15"/>
      <c r="VGV115" s="15"/>
      <c r="VGW115" s="15"/>
      <c r="VGX115" s="15"/>
      <c r="VGY115" s="15"/>
      <c r="VGZ115" s="15"/>
      <c r="VHA115" s="15"/>
      <c r="VHB115" s="15"/>
      <c r="VHC115" s="15"/>
      <c r="VHD115" s="15"/>
      <c r="VHE115" s="15"/>
      <c r="VHF115" s="15"/>
      <c r="VHG115" s="15"/>
      <c r="VHH115" s="15"/>
      <c r="VHI115" s="15"/>
      <c r="VHJ115" s="15"/>
      <c r="VHK115" s="15"/>
      <c r="VHL115" s="14"/>
      <c r="VHM115" s="15"/>
      <c r="VHN115" s="15"/>
      <c r="VHO115" s="15"/>
      <c r="VHP115" s="15"/>
      <c r="VHQ115" s="15"/>
      <c r="VHR115" s="15"/>
      <c r="VHS115" s="15"/>
      <c r="VHT115" s="15"/>
      <c r="VHU115" s="15"/>
      <c r="VHV115" s="15"/>
      <c r="VHW115" s="15"/>
      <c r="VHX115" s="15"/>
      <c r="VHY115" s="15"/>
      <c r="VHZ115" s="15"/>
      <c r="VIA115" s="15"/>
      <c r="VIB115" s="15"/>
      <c r="VIC115" s="15"/>
      <c r="VID115" s="15"/>
      <c r="VIE115" s="15"/>
      <c r="VIF115" s="15"/>
      <c r="VIG115" s="15"/>
      <c r="VIH115" s="14"/>
      <c r="VII115" s="15"/>
      <c r="VIJ115" s="15"/>
      <c r="VIK115" s="15"/>
      <c r="VIL115" s="15"/>
      <c r="VIM115" s="15"/>
      <c r="VIN115" s="15"/>
      <c r="VIO115" s="15"/>
      <c r="VIP115" s="15"/>
      <c r="VIQ115" s="15"/>
      <c r="VIR115" s="15"/>
      <c r="VIS115" s="15"/>
      <c r="VIT115" s="15"/>
      <c r="VIU115" s="15"/>
      <c r="VIV115" s="15"/>
      <c r="VIW115" s="15"/>
      <c r="VIX115" s="15"/>
      <c r="VIY115" s="15"/>
      <c r="VIZ115" s="15"/>
      <c r="VJA115" s="15"/>
      <c r="VJB115" s="15"/>
      <c r="VJC115" s="15"/>
      <c r="VJD115" s="14"/>
      <c r="VJE115" s="15"/>
      <c r="VJF115" s="15"/>
      <c r="VJG115" s="15"/>
      <c r="VJH115" s="15"/>
      <c r="VJI115" s="15"/>
      <c r="VJJ115" s="15"/>
      <c r="VJK115" s="15"/>
      <c r="VJL115" s="15"/>
      <c r="VJM115" s="15"/>
      <c r="VJN115" s="15"/>
      <c r="VJO115" s="15"/>
      <c r="VJP115" s="15"/>
      <c r="VJQ115" s="15"/>
      <c r="VJR115" s="15"/>
      <c r="VJS115" s="15"/>
      <c r="VJT115" s="15"/>
      <c r="VJU115" s="15"/>
      <c r="VJV115" s="15"/>
      <c r="VJW115" s="15"/>
      <c r="VJX115" s="15"/>
      <c r="VJY115" s="15"/>
      <c r="VJZ115" s="14"/>
      <c r="VKA115" s="15"/>
      <c r="VKB115" s="15"/>
      <c r="VKC115" s="15"/>
      <c r="VKD115" s="15"/>
      <c r="VKE115" s="15"/>
      <c r="VKF115" s="15"/>
      <c r="VKG115" s="15"/>
      <c r="VKH115" s="15"/>
      <c r="VKI115" s="15"/>
      <c r="VKJ115" s="15"/>
      <c r="VKK115" s="15"/>
      <c r="VKL115" s="15"/>
      <c r="VKM115" s="15"/>
      <c r="VKN115" s="15"/>
      <c r="VKO115" s="15"/>
      <c r="VKP115" s="15"/>
      <c r="VKQ115" s="15"/>
      <c r="VKR115" s="15"/>
      <c r="VKS115" s="15"/>
      <c r="VKT115" s="15"/>
      <c r="VKU115" s="15"/>
      <c r="VKV115" s="14"/>
      <c r="VKW115" s="15"/>
      <c r="VKX115" s="15"/>
      <c r="VKY115" s="15"/>
      <c r="VKZ115" s="15"/>
      <c r="VLA115" s="15"/>
      <c r="VLB115" s="15"/>
      <c r="VLC115" s="15"/>
      <c r="VLD115" s="15"/>
      <c r="VLE115" s="15"/>
      <c r="VLF115" s="15"/>
      <c r="VLG115" s="15"/>
      <c r="VLH115" s="15"/>
      <c r="VLI115" s="15"/>
      <c r="VLJ115" s="15"/>
      <c r="VLK115" s="15"/>
      <c r="VLL115" s="15"/>
      <c r="VLM115" s="15"/>
      <c r="VLN115" s="15"/>
      <c r="VLO115" s="15"/>
      <c r="VLP115" s="15"/>
      <c r="VLQ115" s="15"/>
      <c r="VLR115" s="14"/>
      <c r="VLS115" s="15"/>
      <c r="VLT115" s="15"/>
      <c r="VLU115" s="15"/>
      <c r="VLV115" s="15"/>
      <c r="VLW115" s="15"/>
      <c r="VLX115" s="15"/>
      <c r="VLY115" s="15"/>
      <c r="VLZ115" s="15"/>
      <c r="VMA115" s="15"/>
      <c r="VMB115" s="15"/>
      <c r="VMC115" s="15"/>
      <c r="VMD115" s="15"/>
      <c r="VME115" s="15"/>
      <c r="VMF115" s="15"/>
      <c r="VMG115" s="15"/>
      <c r="VMH115" s="15"/>
      <c r="VMI115" s="15"/>
      <c r="VMJ115" s="15"/>
      <c r="VMK115" s="15"/>
      <c r="VML115" s="15"/>
      <c r="VMM115" s="15"/>
      <c r="VMN115" s="14"/>
      <c r="VMO115" s="15"/>
      <c r="VMP115" s="15"/>
      <c r="VMQ115" s="15"/>
      <c r="VMR115" s="15"/>
      <c r="VMS115" s="15"/>
      <c r="VMT115" s="15"/>
      <c r="VMU115" s="15"/>
      <c r="VMV115" s="15"/>
      <c r="VMW115" s="15"/>
      <c r="VMX115" s="15"/>
      <c r="VMY115" s="15"/>
      <c r="VMZ115" s="15"/>
      <c r="VNA115" s="15"/>
      <c r="VNB115" s="15"/>
      <c r="VNC115" s="15"/>
      <c r="VND115" s="15"/>
      <c r="VNE115" s="15"/>
      <c r="VNF115" s="15"/>
      <c r="VNG115" s="15"/>
      <c r="VNH115" s="15"/>
      <c r="VNI115" s="15"/>
      <c r="VNJ115" s="14"/>
      <c r="VNK115" s="15"/>
      <c r="VNL115" s="15"/>
      <c r="VNM115" s="15"/>
      <c r="VNN115" s="15"/>
      <c r="VNO115" s="15"/>
      <c r="VNP115" s="15"/>
      <c r="VNQ115" s="15"/>
      <c r="VNR115" s="15"/>
      <c r="VNS115" s="15"/>
      <c r="VNT115" s="15"/>
      <c r="VNU115" s="15"/>
      <c r="VNV115" s="15"/>
      <c r="VNW115" s="15"/>
      <c r="VNX115" s="15"/>
      <c r="VNY115" s="15"/>
      <c r="VNZ115" s="15"/>
      <c r="VOA115" s="15"/>
      <c r="VOB115" s="15"/>
      <c r="VOC115" s="15"/>
      <c r="VOD115" s="15"/>
      <c r="VOE115" s="15"/>
      <c r="VOF115" s="14"/>
      <c r="VOG115" s="15"/>
      <c r="VOH115" s="15"/>
      <c r="VOI115" s="15"/>
      <c r="VOJ115" s="15"/>
      <c r="VOK115" s="15"/>
      <c r="VOL115" s="15"/>
      <c r="VOM115" s="15"/>
      <c r="VON115" s="15"/>
      <c r="VOO115" s="15"/>
      <c r="VOP115" s="15"/>
      <c r="VOQ115" s="15"/>
      <c r="VOR115" s="15"/>
      <c r="VOS115" s="15"/>
      <c r="VOT115" s="15"/>
      <c r="VOU115" s="15"/>
      <c r="VOV115" s="15"/>
      <c r="VOW115" s="15"/>
      <c r="VOX115" s="15"/>
      <c r="VOY115" s="15"/>
      <c r="VOZ115" s="15"/>
      <c r="VPA115" s="15"/>
      <c r="VPB115" s="14"/>
      <c r="VPC115" s="15"/>
      <c r="VPD115" s="15"/>
      <c r="VPE115" s="15"/>
      <c r="VPF115" s="15"/>
      <c r="VPG115" s="15"/>
      <c r="VPH115" s="15"/>
      <c r="VPI115" s="15"/>
      <c r="VPJ115" s="15"/>
      <c r="VPK115" s="15"/>
      <c r="VPL115" s="15"/>
      <c r="VPM115" s="15"/>
      <c r="VPN115" s="15"/>
      <c r="VPO115" s="15"/>
      <c r="VPP115" s="15"/>
      <c r="VPQ115" s="15"/>
      <c r="VPR115" s="15"/>
      <c r="VPS115" s="15"/>
      <c r="VPT115" s="15"/>
      <c r="VPU115" s="15"/>
      <c r="VPV115" s="15"/>
      <c r="VPW115" s="15"/>
      <c r="VPX115" s="14"/>
      <c r="VPY115" s="15"/>
      <c r="VPZ115" s="15"/>
      <c r="VQA115" s="15"/>
      <c r="VQB115" s="15"/>
      <c r="VQC115" s="15"/>
      <c r="VQD115" s="15"/>
      <c r="VQE115" s="15"/>
      <c r="VQF115" s="15"/>
      <c r="VQG115" s="15"/>
      <c r="VQH115" s="15"/>
      <c r="VQI115" s="15"/>
      <c r="VQJ115" s="15"/>
      <c r="VQK115" s="15"/>
      <c r="VQL115" s="15"/>
      <c r="VQM115" s="15"/>
      <c r="VQN115" s="15"/>
      <c r="VQO115" s="15"/>
      <c r="VQP115" s="15"/>
      <c r="VQQ115" s="15"/>
      <c r="VQR115" s="15"/>
      <c r="VQS115" s="15"/>
      <c r="VQT115" s="14"/>
      <c r="VQU115" s="15"/>
      <c r="VQV115" s="15"/>
      <c r="VQW115" s="15"/>
      <c r="VQX115" s="15"/>
      <c r="VQY115" s="15"/>
      <c r="VQZ115" s="15"/>
      <c r="VRA115" s="15"/>
      <c r="VRB115" s="15"/>
      <c r="VRC115" s="15"/>
      <c r="VRD115" s="15"/>
      <c r="VRE115" s="15"/>
      <c r="VRF115" s="15"/>
      <c r="VRG115" s="15"/>
      <c r="VRH115" s="15"/>
      <c r="VRI115" s="15"/>
      <c r="VRJ115" s="15"/>
      <c r="VRK115" s="15"/>
      <c r="VRL115" s="15"/>
      <c r="VRM115" s="15"/>
      <c r="VRN115" s="15"/>
      <c r="VRO115" s="15"/>
      <c r="VRP115" s="14"/>
      <c r="VRQ115" s="15"/>
      <c r="VRR115" s="15"/>
      <c r="VRS115" s="15"/>
      <c r="VRT115" s="15"/>
      <c r="VRU115" s="15"/>
      <c r="VRV115" s="15"/>
      <c r="VRW115" s="15"/>
      <c r="VRX115" s="15"/>
      <c r="VRY115" s="15"/>
      <c r="VRZ115" s="15"/>
      <c r="VSA115" s="15"/>
      <c r="VSB115" s="15"/>
      <c r="VSC115" s="15"/>
      <c r="VSD115" s="15"/>
      <c r="VSE115" s="15"/>
      <c r="VSF115" s="15"/>
      <c r="VSG115" s="15"/>
      <c r="VSH115" s="15"/>
      <c r="VSI115" s="15"/>
      <c r="VSJ115" s="15"/>
      <c r="VSK115" s="15"/>
      <c r="VSL115" s="14"/>
      <c r="VSM115" s="15"/>
      <c r="VSN115" s="15"/>
      <c r="VSO115" s="15"/>
      <c r="VSP115" s="15"/>
      <c r="VSQ115" s="15"/>
      <c r="VSR115" s="15"/>
      <c r="VSS115" s="15"/>
      <c r="VST115" s="15"/>
      <c r="VSU115" s="15"/>
      <c r="VSV115" s="15"/>
      <c r="VSW115" s="15"/>
      <c r="VSX115" s="15"/>
      <c r="VSY115" s="15"/>
      <c r="VSZ115" s="15"/>
      <c r="VTA115" s="15"/>
      <c r="VTB115" s="15"/>
      <c r="VTC115" s="15"/>
      <c r="VTD115" s="15"/>
      <c r="VTE115" s="15"/>
      <c r="VTF115" s="15"/>
      <c r="VTG115" s="15"/>
      <c r="VTH115" s="14"/>
      <c r="VTI115" s="15"/>
      <c r="VTJ115" s="15"/>
      <c r="VTK115" s="15"/>
      <c r="VTL115" s="15"/>
      <c r="VTM115" s="15"/>
      <c r="VTN115" s="15"/>
      <c r="VTO115" s="15"/>
      <c r="VTP115" s="15"/>
      <c r="VTQ115" s="15"/>
      <c r="VTR115" s="15"/>
      <c r="VTS115" s="15"/>
      <c r="VTT115" s="15"/>
      <c r="VTU115" s="15"/>
      <c r="VTV115" s="15"/>
      <c r="VTW115" s="15"/>
      <c r="VTX115" s="15"/>
      <c r="VTY115" s="15"/>
      <c r="VTZ115" s="15"/>
      <c r="VUA115" s="15"/>
      <c r="VUB115" s="15"/>
      <c r="VUC115" s="15"/>
      <c r="VUD115" s="14"/>
      <c r="VUE115" s="15"/>
      <c r="VUF115" s="15"/>
      <c r="VUG115" s="15"/>
      <c r="VUH115" s="15"/>
      <c r="VUI115" s="15"/>
      <c r="VUJ115" s="15"/>
      <c r="VUK115" s="15"/>
      <c r="VUL115" s="15"/>
      <c r="VUM115" s="15"/>
      <c r="VUN115" s="15"/>
      <c r="VUO115" s="15"/>
      <c r="VUP115" s="15"/>
      <c r="VUQ115" s="15"/>
      <c r="VUR115" s="15"/>
      <c r="VUS115" s="15"/>
      <c r="VUT115" s="15"/>
      <c r="VUU115" s="15"/>
      <c r="VUV115" s="15"/>
      <c r="VUW115" s="15"/>
      <c r="VUX115" s="15"/>
      <c r="VUY115" s="15"/>
      <c r="VUZ115" s="14"/>
      <c r="VVA115" s="15"/>
      <c r="VVB115" s="15"/>
      <c r="VVC115" s="15"/>
      <c r="VVD115" s="15"/>
      <c r="VVE115" s="15"/>
      <c r="VVF115" s="15"/>
      <c r="VVG115" s="15"/>
      <c r="VVH115" s="15"/>
      <c r="VVI115" s="15"/>
      <c r="VVJ115" s="15"/>
      <c r="VVK115" s="15"/>
      <c r="VVL115" s="15"/>
      <c r="VVM115" s="15"/>
      <c r="VVN115" s="15"/>
      <c r="VVO115" s="15"/>
      <c r="VVP115" s="15"/>
      <c r="VVQ115" s="15"/>
      <c r="VVR115" s="15"/>
      <c r="VVS115" s="15"/>
      <c r="VVT115" s="15"/>
      <c r="VVU115" s="15"/>
      <c r="VVV115" s="14"/>
      <c r="VVW115" s="15"/>
      <c r="VVX115" s="15"/>
      <c r="VVY115" s="15"/>
      <c r="VVZ115" s="15"/>
      <c r="VWA115" s="15"/>
      <c r="VWB115" s="15"/>
      <c r="VWC115" s="15"/>
      <c r="VWD115" s="15"/>
      <c r="VWE115" s="15"/>
      <c r="VWF115" s="15"/>
      <c r="VWG115" s="15"/>
      <c r="VWH115" s="15"/>
      <c r="VWI115" s="15"/>
      <c r="VWJ115" s="15"/>
      <c r="VWK115" s="15"/>
      <c r="VWL115" s="15"/>
      <c r="VWM115" s="15"/>
      <c r="VWN115" s="15"/>
      <c r="VWO115" s="15"/>
      <c r="VWP115" s="15"/>
      <c r="VWQ115" s="15"/>
      <c r="VWR115" s="14"/>
      <c r="VWS115" s="15"/>
      <c r="VWT115" s="15"/>
      <c r="VWU115" s="15"/>
      <c r="VWV115" s="15"/>
      <c r="VWW115" s="15"/>
      <c r="VWX115" s="15"/>
      <c r="VWY115" s="15"/>
      <c r="VWZ115" s="15"/>
      <c r="VXA115" s="15"/>
      <c r="VXB115" s="15"/>
      <c r="VXC115" s="15"/>
      <c r="VXD115" s="15"/>
      <c r="VXE115" s="15"/>
      <c r="VXF115" s="15"/>
      <c r="VXG115" s="15"/>
      <c r="VXH115" s="15"/>
      <c r="VXI115" s="15"/>
      <c r="VXJ115" s="15"/>
      <c r="VXK115" s="15"/>
      <c r="VXL115" s="15"/>
      <c r="VXM115" s="15"/>
      <c r="VXN115" s="14"/>
      <c r="VXO115" s="15"/>
      <c r="VXP115" s="15"/>
      <c r="VXQ115" s="15"/>
      <c r="VXR115" s="15"/>
      <c r="VXS115" s="15"/>
      <c r="VXT115" s="15"/>
      <c r="VXU115" s="15"/>
      <c r="VXV115" s="15"/>
      <c r="VXW115" s="15"/>
      <c r="VXX115" s="15"/>
      <c r="VXY115" s="15"/>
      <c r="VXZ115" s="15"/>
      <c r="VYA115" s="15"/>
      <c r="VYB115" s="15"/>
      <c r="VYC115" s="15"/>
      <c r="VYD115" s="15"/>
      <c r="VYE115" s="15"/>
      <c r="VYF115" s="15"/>
      <c r="VYG115" s="15"/>
      <c r="VYH115" s="15"/>
      <c r="VYI115" s="15"/>
      <c r="VYJ115" s="14"/>
      <c r="VYK115" s="15"/>
      <c r="VYL115" s="15"/>
      <c r="VYM115" s="15"/>
      <c r="VYN115" s="15"/>
      <c r="VYO115" s="15"/>
      <c r="VYP115" s="15"/>
      <c r="VYQ115" s="15"/>
      <c r="VYR115" s="15"/>
      <c r="VYS115" s="15"/>
      <c r="VYT115" s="15"/>
      <c r="VYU115" s="15"/>
      <c r="VYV115" s="15"/>
      <c r="VYW115" s="15"/>
      <c r="VYX115" s="15"/>
      <c r="VYY115" s="15"/>
      <c r="VYZ115" s="15"/>
      <c r="VZA115" s="15"/>
      <c r="VZB115" s="15"/>
      <c r="VZC115" s="15"/>
      <c r="VZD115" s="15"/>
      <c r="VZE115" s="15"/>
      <c r="VZF115" s="14"/>
      <c r="VZG115" s="15"/>
      <c r="VZH115" s="15"/>
      <c r="VZI115" s="15"/>
      <c r="VZJ115" s="15"/>
      <c r="VZK115" s="15"/>
      <c r="VZL115" s="15"/>
      <c r="VZM115" s="15"/>
      <c r="VZN115" s="15"/>
      <c r="VZO115" s="15"/>
      <c r="VZP115" s="15"/>
      <c r="VZQ115" s="15"/>
      <c r="VZR115" s="15"/>
      <c r="VZS115" s="15"/>
      <c r="VZT115" s="15"/>
      <c r="VZU115" s="15"/>
      <c r="VZV115" s="15"/>
      <c r="VZW115" s="15"/>
      <c r="VZX115" s="15"/>
      <c r="VZY115" s="15"/>
      <c r="VZZ115" s="15"/>
      <c r="WAA115" s="15"/>
      <c r="WAB115" s="14"/>
      <c r="WAC115" s="15"/>
      <c r="WAD115" s="15"/>
      <c r="WAE115" s="15"/>
      <c r="WAF115" s="15"/>
      <c r="WAG115" s="15"/>
      <c r="WAH115" s="15"/>
      <c r="WAI115" s="15"/>
      <c r="WAJ115" s="15"/>
      <c r="WAK115" s="15"/>
      <c r="WAL115" s="15"/>
      <c r="WAM115" s="15"/>
      <c r="WAN115" s="15"/>
      <c r="WAO115" s="15"/>
      <c r="WAP115" s="15"/>
      <c r="WAQ115" s="15"/>
      <c r="WAR115" s="15"/>
      <c r="WAS115" s="15"/>
      <c r="WAT115" s="15"/>
      <c r="WAU115" s="15"/>
      <c r="WAV115" s="15"/>
      <c r="WAW115" s="15"/>
      <c r="WAX115" s="14"/>
      <c r="WAY115" s="15"/>
      <c r="WAZ115" s="15"/>
      <c r="WBA115" s="15"/>
      <c r="WBB115" s="15"/>
      <c r="WBC115" s="15"/>
      <c r="WBD115" s="15"/>
      <c r="WBE115" s="15"/>
      <c r="WBF115" s="15"/>
      <c r="WBG115" s="15"/>
      <c r="WBH115" s="15"/>
      <c r="WBI115" s="15"/>
      <c r="WBJ115" s="15"/>
      <c r="WBK115" s="15"/>
      <c r="WBL115" s="15"/>
      <c r="WBM115" s="15"/>
      <c r="WBN115" s="15"/>
      <c r="WBO115" s="15"/>
      <c r="WBP115" s="15"/>
      <c r="WBQ115" s="15"/>
      <c r="WBR115" s="15"/>
      <c r="WBS115" s="15"/>
      <c r="WBT115" s="14"/>
      <c r="WBU115" s="15"/>
      <c r="WBV115" s="15"/>
      <c r="WBW115" s="15"/>
      <c r="WBX115" s="15"/>
      <c r="WBY115" s="15"/>
      <c r="WBZ115" s="15"/>
      <c r="WCA115" s="15"/>
      <c r="WCB115" s="15"/>
      <c r="WCC115" s="15"/>
      <c r="WCD115" s="15"/>
      <c r="WCE115" s="15"/>
      <c r="WCF115" s="15"/>
      <c r="WCG115" s="15"/>
      <c r="WCH115" s="15"/>
      <c r="WCI115" s="15"/>
      <c r="WCJ115" s="15"/>
      <c r="WCK115" s="15"/>
      <c r="WCL115" s="15"/>
      <c r="WCM115" s="15"/>
      <c r="WCN115" s="15"/>
      <c r="WCO115" s="15"/>
      <c r="WCP115" s="14"/>
      <c r="WCQ115" s="15"/>
      <c r="WCR115" s="15"/>
      <c r="WCS115" s="15"/>
      <c r="WCT115" s="15"/>
      <c r="WCU115" s="15"/>
      <c r="WCV115" s="15"/>
      <c r="WCW115" s="15"/>
      <c r="WCX115" s="15"/>
      <c r="WCY115" s="15"/>
      <c r="WCZ115" s="15"/>
      <c r="WDA115" s="15"/>
      <c r="WDB115" s="15"/>
      <c r="WDC115" s="15"/>
      <c r="WDD115" s="15"/>
      <c r="WDE115" s="15"/>
      <c r="WDF115" s="15"/>
      <c r="WDG115" s="15"/>
      <c r="WDH115" s="15"/>
      <c r="WDI115" s="15"/>
      <c r="WDJ115" s="15"/>
      <c r="WDK115" s="15"/>
      <c r="WDL115" s="14"/>
      <c r="WDM115" s="15"/>
      <c r="WDN115" s="15"/>
      <c r="WDO115" s="15"/>
      <c r="WDP115" s="15"/>
      <c r="WDQ115" s="15"/>
      <c r="WDR115" s="15"/>
      <c r="WDS115" s="15"/>
      <c r="WDT115" s="15"/>
      <c r="WDU115" s="15"/>
      <c r="WDV115" s="15"/>
      <c r="WDW115" s="15"/>
      <c r="WDX115" s="15"/>
      <c r="WDY115" s="15"/>
      <c r="WDZ115" s="15"/>
      <c r="WEA115" s="15"/>
      <c r="WEB115" s="15"/>
      <c r="WEC115" s="15"/>
      <c r="WED115" s="15"/>
      <c r="WEE115" s="15"/>
      <c r="WEF115" s="15"/>
      <c r="WEG115" s="15"/>
      <c r="WEH115" s="14"/>
      <c r="WEI115" s="15"/>
      <c r="WEJ115" s="15"/>
      <c r="WEK115" s="15"/>
      <c r="WEL115" s="15"/>
      <c r="WEM115" s="15"/>
      <c r="WEN115" s="15"/>
      <c r="WEO115" s="15"/>
      <c r="WEP115" s="15"/>
      <c r="WEQ115" s="15"/>
      <c r="WER115" s="15"/>
      <c r="WES115" s="15"/>
      <c r="WET115" s="15"/>
      <c r="WEU115" s="15"/>
      <c r="WEV115" s="15"/>
      <c r="WEW115" s="15"/>
      <c r="WEX115" s="15"/>
      <c r="WEY115" s="15"/>
      <c r="WEZ115" s="15"/>
      <c r="WFA115" s="15"/>
      <c r="WFB115" s="15"/>
      <c r="WFC115" s="15"/>
      <c r="WFD115" s="14"/>
      <c r="WFE115" s="15"/>
      <c r="WFF115" s="15"/>
      <c r="WFG115" s="15"/>
      <c r="WFH115" s="15"/>
      <c r="WFI115" s="15"/>
      <c r="WFJ115" s="15"/>
      <c r="WFK115" s="15"/>
      <c r="WFL115" s="15"/>
      <c r="WFM115" s="15"/>
      <c r="WFN115" s="15"/>
      <c r="WFO115" s="15"/>
      <c r="WFP115" s="15"/>
      <c r="WFQ115" s="15"/>
      <c r="WFR115" s="15"/>
      <c r="WFS115" s="15"/>
      <c r="WFT115" s="15"/>
      <c r="WFU115" s="15"/>
      <c r="WFV115" s="15"/>
      <c r="WFW115" s="15"/>
      <c r="WFX115" s="15"/>
      <c r="WFY115" s="15"/>
      <c r="WFZ115" s="14"/>
      <c r="WGA115" s="15"/>
      <c r="WGB115" s="15"/>
      <c r="WGC115" s="15"/>
      <c r="WGD115" s="15"/>
      <c r="WGE115" s="15"/>
      <c r="WGF115" s="15"/>
      <c r="WGG115" s="15"/>
      <c r="WGH115" s="15"/>
      <c r="WGI115" s="15"/>
      <c r="WGJ115" s="15"/>
      <c r="WGK115" s="15"/>
      <c r="WGL115" s="15"/>
      <c r="WGM115" s="15"/>
      <c r="WGN115" s="15"/>
      <c r="WGO115" s="15"/>
      <c r="WGP115" s="15"/>
      <c r="WGQ115" s="15"/>
      <c r="WGR115" s="15"/>
      <c r="WGS115" s="15"/>
      <c r="WGT115" s="15"/>
      <c r="WGU115" s="15"/>
      <c r="WGV115" s="14"/>
      <c r="WGW115" s="15"/>
      <c r="WGX115" s="15"/>
      <c r="WGY115" s="15"/>
      <c r="WGZ115" s="15"/>
      <c r="WHA115" s="15"/>
      <c r="WHB115" s="15"/>
      <c r="WHC115" s="15"/>
      <c r="WHD115" s="15"/>
      <c r="WHE115" s="15"/>
      <c r="WHF115" s="15"/>
      <c r="WHG115" s="15"/>
      <c r="WHH115" s="15"/>
      <c r="WHI115" s="15"/>
      <c r="WHJ115" s="15"/>
      <c r="WHK115" s="15"/>
      <c r="WHL115" s="15"/>
      <c r="WHM115" s="15"/>
      <c r="WHN115" s="15"/>
      <c r="WHO115" s="15"/>
      <c r="WHP115" s="15"/>
      <c r="WHQ115" s="15"/>
      <c r="WHR115" s="14"/>
      <c r="WHS115" s="15"/>
      <c r="WHT115" s="15"/>
      <c r="WHU115" s="15"/>
      <c r="WHV115" s="15"/>
      <c r="WHW115" s="15"/>
      <c r="WHX115" s="15"/>
      <c r="WHY115" s="15"/>
      <c r="WHZ115" s="15"/>
      <c r="WIA115" s="15"/>
      <c r="WIB115" s="15"/>
      <c r="WIC115" s="15"/>
      <c r="WID115" s="15"/>
      <c r="WIE115" s="15"/>
      <c r="WIF115" s="15"/>
      <c r="WIG115" s="15"/>
      <c r="WIH115" s="15"/>
      <c r="WII115" s="15"/>
      <c r="WIJ115" s="15"/>
      <c r="WIK115" s="15"/>
      <c r="WIL115" s="15"/>
      <c r="WIM115" s="15"/>
      <c r="WIN115" s="14"/>
      <c r="WIO115" s="15"/>
      <c r="WIP115" s="15"/>
      <c r="WIQ115" s="15"/>
      <c r="WIR115" s="15"/>
      <c r="WIS115" s="15"/>
      <c r="WIT115" s="15"/>
      <c r="WIU115" s="15"/>
      <c r="WIV115" s="15"/>
      <c r="WIW115" s="15"/>
      <c r="WIX115" s="15"/>
      <c r="WIY115" s="15"/>
      <c r="WIZ115" s="15"/>
      <c r="WJA115" s="15"/>
      <c r="WJB115" s="15"/>
      <c r="WJC115" s="15"/>
      <c r="WJD115" s="15"/>
      <c r="WJE115" s="15"/>
      <c r="WJF115" s="15"/>
      <c r="WJG115" s="15"/>
      <c r="WJH115" s="15"/>
      <c r="WJI115" s="15"/>
      <c r="WJJ115" s="14"/>
      <c r="WJK115" s="15"/>
      <c r="WJL115" s="15"/>
      <c r="WJM115" s="15"/>
      <c r="WJN115" s="15"/>
      <c r="WJO115" s="15"/>
      <c r="WJP115" s="15"/>
      <c r="WJQ115" s="15"/>
      <c r="WJR115" s="15"/>
      <c r="WJS115" s="15"/>
      <c r="WJT115" s="15"/>
      <c r="WJU115" s="15"/>
      <c r="WJV115" s="15"/>
      <c r="WJW115" s="15"/>
      <c r="WJX115" s="15"/>
      <c r="WJY115" s="15"/>
      <c r="WJZ115" s="15"/>
      <c r="WKA115" s="15"/>
      <c r="WKB115" s="15"/>
      <c r="WKC115" s="15"/>
      <c r="WKD115" s="15"/>
      <c r="WKE115" s="15"/>
      <c r="WKF115" s="14"/>
      <c r="WKG115" s="15"/>
      <c r="WKH115" s="15"/>
      <c r="WKI115" s="15"/>
      <c r="WKJ115" s="15"/>
      <c r="WKK115" s="15"/>
      <c r="WKL115" s="15"/>
      <c r="WKM115" s="15"/>
      <c r="WKN115" s="15"/>
      <c r="WKO115" s="15"/>
      <c r="WKP115" s="15"/>
      <c r="WKQ115" s="15"/>
      <c r="WKR115" s="15"/>
      <c r="WKS115" s="15"/>
      <c r="WKT115" s="15"/>
      <c r="WKU115" s="15"/>
      <c r="WKV115" s="15"/>
      <c r="WKW115" s="15"/>
      <c r="WKX115" s="15"/>
      <c r="WKY115" s="15"/>
      <c r="WKZ115" s="15"/>
      <c r="WLA115" s="15"/>
      <c r="WLB115" s="14"/>
      <c r="WLC115" s="15"/>
      <c r="WLD115" s="15"/>
      <c r="WLE115" s="15"/>
      <c r="WLF115" s="15"/>
      <c r="WLG115" s="15"/>
      <c r="WLH115" s="15"/>
      <c r="WLI115" s="15"/>
      <c r="WLJ115" s="15"/>
      <c r="WLK115" s="15"/>
      <c r="WLL115" s="15"/>
      <c r="WLM115" s="15"/>
      <c r="WLN115" s="15"/>
      <c r="WLO115" s="15"/>
      <c r="WLP115" s="15"/>
      <c r="WLQ115" s="15"/>
      <c r="WLR115" s="15"/>
      <c r="WLS115" s="15"/>
      <c r="WLT115" s="15"/>
      <c r="WLU115" s="15"/>
      <c r="WLV115" s="15"/>
      <c r="WLW115" s="15"/>
      <c r="WLX115" s="14"/>
      <c r="WLY115" s="15"/>
      <c r="WLZ115" s="15"/>
      <c r="WMA115" s="15"/>
      <c r="WMB115" s="15"/>
      <c r="WMC115" s="15"/>
      <c r="WMD115" s="15"/>
      <c r="WME115" s="15"/>
      <c r="WMF115" s="15"/>
      <c r="WMG115" s="15"/>
      <c r="WMH115" s="15"/>
      <c r="WMI115" s="15"/>
      <c r="WMJ115" s="15"/>
      <c r="WMK115" s="15"/>
      <c r="WML115" s="15"/>
      <c r="WMM115" s="15"/>
      <c r="WMN115" s="15"/>
      <c r="WMO115" s="15"/>
      <c r="WMP115" s="15"/>
      <c r="WMQ115" s="15"/>
      <c r="WMR115" s="15"/>
      <c r="WMS115" s="15"/>
      <c r="WMT115" s="14"/>
      <c r="WMU115" s="15"/>
      <c r="WMV115" s="15"/>
      <c r="WMW115" s="15"/>
      <c r="WMX115" s="15"/>
      <c r="WMY115" s="15"/>
      <c r="WMZ115" s="15"/>
      <c r="WNA115" s="15"/>
      <c r="WNB115" s="15"/>
      <c r="WNC115" s="15"/>
      <c r="WND115" s="15"/>
      <c r="WNE115" s="15"/>
      <c r="WNF115" s="15"/>
      <c r="WNG115" s="15"/>
      <c r="WNH115" s="15"/>
      <c r="WNI115" s="15"/>
      <c r="WNJ115" s="15"/>
      <c r="WNK115" s="15"/>
      <c r="WNL115" s="15"/>
      <c r="WNM115" s="15"/>
      <c r="WNN115" s="15"/>
      <c r="WNO115" s="15"/>
      <c r="WNP115" s="14"/>
      <c r="WNQ115" s="15"/>
      <c r="WNR115" s="15"/>
      <c r="WNS115" s="15"/>
      <c r="WNT115" s="15"/>
      <c r="WNU115" s="15"/>
      <c r="WNV115" s="15"/>
      <c r="WNW115" s="15"/>
      <c r="WNX115" s="15"/>
      <c r="WNY115" s="15"/>
      <c r="WNZ115" s="15"/>
      <c r="WOA115" s="15"/>
      <c r="WOB115" s="15"/>
      <c r="WOC115" s="15"/>
      <c r="WOD115" s="15"/>
      <c r="WOE115" s="15"/>
      <c r="WOF115" s="15"/>
      <c r="WOG115" s="15"/>
      <c r="WOH115" s="15"/>
      <c r="WOI115" s="15"/>
      <c r="WOJ115" s="15"/>
      <c r="WOK115" s="15"/>
      <c r="WOL115" s="14"/>
      <c r="WOM115" s="15"/>
      <c r="WON115" s="15"/>
      <c r="WOO115" s="15"/>
      <c r="WOP115" s="15"/>
      <c r="WOQ115" s="15"/>
      <c r="WOR115" s="15"/>
      <c r="WOS115" s="15"/>
      <c r="WOT115" s="15"/>
      <c r="WOU115" s="15"/>
      <c r="WOV115" s="15"/>
      <c r="WOW115" s="15"/>
      <c r="WOX115" s="15"/>
      <c r="WOY115" s="15"/>
      <c r="WOZ115" s="15"/>
      <c r="WPA115" s="15"/>
      <c r="WPB115" s="15"/>
      <c r="WPC115" s="15"/>
      <c r="WPD115" s="15"/>
      <c r="WPE115" s="15"/>
      <c r="WPF115" s="15"/>
      <c r="WPG115" s="15"/>
      <c r="WPH115" s="14"/>
      <c r="WPI115" s="15"/>
      <c r="WPJ115" s="15"/>
      <c r="WPK115" s="15"/>
      <c r="WPL115" s="15"/>
      <c r="WPM115" s="15"/>
      <c r="WPN115" s="15"/>
      <c r="WPO115" s="15"/>
      <c r="WPP115" s="15"/>
      <c r="WPQ115" s="15"/>
      <c r="WPR115" s="15"/>
      <c r="WPS115" s="15"/>
      <c r="WPT115" s="15"/>
      <c r="WPU115" s="15"/>
      <c r="WPV115" s="15"/>
      <c r="WPW115" s="15"/>
      <c r="WPX115" s="15"/>
      <c r="WPY115" s="15"/>
      <c r="WPZ115" s="15"/>
      <c r="WQA115" s="15"/>
      <c r="WQB115" s="15"/>
      <c r="WQC115" s="15"/>
      <c r="WQD115" s="14"/>
      <c r="WQE115" s="15"/>
      <c r="WQF115" s="15"/>
      <c r="WQG115" s="15"/>
      <c r="WQH115" s="15"/>
      <c r="WQI115" s="15"/>
      <c r="WQJ115" s="15"/>
      <c r="WQK115" s="15"/>
      <c r="WQL115" s="15"/>
      <c r="WQM115" s="15"/>
      <c r="WQN115" s="15"/>
      <c r="WQO115" s="15"/>
      <c r="WQP115" s="15"/>
      <c r="WQQ115" s="15"/>
      <c r="WQR115" s="15"/>
      <c r="WQS115" s="15"/>
      <c r="WQT115" s="15"/>
      <c r="WQU115" s="15"/>
      <c r="WQV115" s="15"/>
      <c r="WQW115" s="15"/>
      <c r="WQX115" s="15"/>
      <c r="WQY115" s="15"/>
      <c r="WQZ115" s="14"/>
      <c r="WRA115" s="15"/>
      <c r="WRB115" s="15"/>
      <c r="WRC115" s="15"/>
      <c r="WRD115" s="15"/>
      <c r="WRE115" s="15"/>
      <c r="WRF115" s="15"/>
      <c r="WRG115" s="15"/>
      <c r="WRH115" s="15"/>
      <c r="WRI115" s="15"/>
      <c r="WRJ115" s="15"/>
      <c r="WRK115" s="15"/>
      <c r="WRL115" s="15"/>
      <c r="WRM115" s="15"/>
      <c r="WRN115" s="15"/>
      <c r="WRO115" s="15"/>
      <c r="WRP115" s="15"/>
      <c r="WRQ115" s="15"/>
      <c r="WRR115" s="15"/>
      <c r="WRS115" s="15"/>
      <c r="WRT115" s="15"/>
      <c r="WRU115" s="15"/>
      <c r="WRV115" s="14"/>
      <c r="WRW115" s="15"/>
      <c r="WRX115" s="15"/>
      <c r="WRY115" s="15"/>
      <c r="WRZ115" s="15"/>
      <c r="WSA115" s="15"/>
      <c r="WSB115" s="15"/>
      <c r="WSC115" s="15"/>
      <c r="WSD115" s="15"/>
      <c r="WSE115" s="15"/>
      <c r="WSF115" s="15"/>
      <c r="WSG115" s="15"/>
      <c r="WSH115" s="15"/>
      <c r="WSI115" s="15"/>
      <c r="WSJ115" s="15"/>
      <c r="WSK115" s="15"/>
      <c r="WSL115" s="15"/>
      <c r="WSM115" s="15"/>
      <c r="WSN115" s="15"/>
      <c r="WSO115" s="15"/>
      <c r="WSP115" s="15"/>
      <c r="WSQ115" s="15"/>
      <c r="WSR115" s="14"/>
      <c r="WSS115" s="15"/>
      <c r="WST115" s="15"/>
      <c r="WSU115" s="15"/>
      <c r="WSV115" s="15"/>
      <c r="WSW115" s="15"/>
      <c r="WSX115" s="15"/>
      <c r="WSY115" s="15"/>
      <c r="WSZ115" s="15"/>
      <c r="WTA115" s="15"/>
      <c r="WTB115" s="15"/>
      <c r="WTC115" s="15"/>
      <c r="WTD115" s="15"/>
      <c r="WTE115" s="15"/>
      <c r="WTF115" s="15"/>
      <c r="WTG115" s="15"/>
      <c r="WTH115" s="15"/>
      <c r="WTI115" s="15"/>
      <c r="WTJ115" s="15"/>
      <c r="WTK115" s="15"/>
      <c r="WTL115" s="15"/>
      <c r="WTM115" s="15"/>
      <c r="WTN115" s="14"/>
      <c r="WTO115" s="15"/>
      <c r="WTP115" s="15"/>
      <c r="WTQ115" s="15"/>
      <c r="WTR115" s="15"/>
      <c r="WTS115" s="15"/>
      <c r="WTT115" s="15"/>
      <c r="WTU115" s="15"/>
      <c r="WTV115" s="15"/>
      <c r="WTW115" s="15"/>
      <c r="WTX115" s="15"/>
      <c r="WTY115" s="15"/>
      <c r="WTZ115" s="15"/>
      <c r="WUA115" s="15"/>
      <c r="WUB115" s="15"/>
      <c r="WUC115" s="15"/>
      <c r="WUD115" s="15"/>
      <c r="WUE115" s="15"/>
      <c r="WUF115" s="15"/>
      <c r="WUG115" s="15"/>
      <c r="WUH115" s="15"/>
      <c r="WUI115" s="15"/>
      <c r="WUJ115" s="14"/>
      <c r="WUK115" s="15"/>
      <c r="WUL115" s="15"/>
      <c r="WUM115" s="15"/>
      <c r="WUN115" s="15"/>
      <c r="WUO115" s="15"/>
      <c r="WUP115" s="15"/>
      <c r="WUQ115" s="15"/>
      <c r="WUR115" s="15"/>
      <c r="WUS115" s="15"/>
      <c r="WUT115" s="15"/>
      <c r="WUU115" s="15"/>
      <c r="WUV115" s="15"/>
      <c r="WUW115" s="15"/>
      <c r="WUX115" s="15"/>
      <c r="WUY115" s="15"/>
      <c r="WUZ115" s="15"/>
      <c r="WVA115" s="15"/>
      <c r="WVB115" s="15"/>
      <c r="WVC115" s="15"/>
      <c r="WVD115" s="15"/>
      <c r="WVE115" s="15"/>
      <c r="WVF115" s="14"/>
      <c r="WVG115" s="15"/>
      <c r="WVH115" s="15"/>
      <c r="WVI115" s="15"/>
      <c r="WVJ115" s="15"/>
      <c r="WVK115" s="15"/>
      <c r="WVL115" s="15"/>
      <c r="WVM115" s="15"/>
      <c r="WVN115" s="15"/>
      <c r="WVO115" s="15"/>
      <c r="WVP115" s="15"/>
      <c r="WVQ115" s="15"/>
      <c r="WVR115" s="15"/>
      <c r="WVS115" s="15"/>
      <c r="WVT115" s="15"/>
      <c r="WVU115" s="15"/>
      <c r="WVV115" s="15"/>
      <c r="WVW115" s="15"/>
      <c r="WVX115" s="15"/>
      <c r="WVY115" s="15"/>
      <c r="WVZ115" s="15"/>
      <c r="WWA115" s="15"/>
      <c r="WWB115" s="14"/>
      <c r="WWC115" s="15"/>
      <c r="WWD115" s="15"/>
      <c r="WWE115" s="15"/>
      <c r="WWF115" s="15"/>
      <c r="WWG115" s="15"/>
      <c r="WWH115" s="15"/>
      <c r="WWI115" s="15"/>
      <c r="WWJ115" s="15"/>
      <c r="WWK115" s="15"/>
      <c r="WWL115" s="15"/>
      <c r="WWM115" s="15"/>
      <c r="WWN115" s="15"/>
      <c r="WWO115" s="15"/>
      <c r="WWP115" s="15"/>
      <c r="WWQ115" s="15"/>
      <c r="WWR115" s="15"/>
      <c r="WWS115" s="15"/>
      <c r="WWT115" s="15"/>
      <c r="WWU115" s="15"/>
      <c r="WWV115" s="15"/>
      <c r="WWW115" s="15"/>
      <c r="WWX115" s="14"/>
      <c r="WWY115" s="15"/>
      <c r="WWZ115" s="15"/>
      <c r="WXA115" s="15"/>
      <c r="WXB115" s="15"/>
      <c r="WXC115" s="15"/>
      <c r="WXD115" s="15"/>
      <c r="WXE115" s="15"/>
      <c r="WXF115" s="15"/>
      <c r="WXG115" s="15"/>
      <c r="WXH115" s="15"/>
      <c r="WXI115" s="15"/>
      <c r="WXJ115" s="15"/>
      <c r="WXK115" s="15"/>
      <c r="WXL115" s="15"/>
      <c r="WXM115" s="15"/>
      <c r="WXN115" s="15"/>
      <c r="WXO115" s="15"/>
      <c r="WXP115" s="15"/>
      <c r="WXQ115" s="15"/>
      <c r="WXR115" s="15"/>
      <c r="WXS115" s="15"/>
      <c r="WXT115" s="14"/>
      <c r="WXU115" s="15"/>
      <c r="WXV115" s="15"/>
      <c r="WXW115" s="15"/>
      <c r="WXX115" s="15"/>
      <c r="WXY115" s="15"/>
      <c r="WXZ115" s="15"/>
      <c r="WYA115" s="15"/>
      <c r="WYB115" s="15"/>
      <c r="WYC115" s="15"/>
      <c r="WYD115" s="15"/>
      <c r="WYE115" s="15"/>
      <c r="WYF115" s="15"/>
      <c r="WYG115" s="15"/>
      <c r="WYH115" s="15"/>
      <c r="WYI115" s="15"/>
      <c r="WYJ115" s="15"/>
      <c r="WYK115" s="15"/>
      <c r="WYL115" s="15"/>
      <c r="WYM115" s="15"/>
      <c r="WYN115" s="15"/>
      <c r="WYO115" s="15"/>
      <c r="WYP115" s="14"/>
      <c r="WYQ115" s="15"/>
      <c r="WYR115" s="15"/>
      <c r="WYS115" s="15"/>
      <c r="WYT115" s="15"/>
      <c r="WYU115" s="15"/>
      <c r="WYV115" s="15"/>
      <c r="WYW115" s="15"/>
      <c r="WYX115" s="15"/>
      <c r="WYY115" s="15"/>
      <c r="WYZ115" s="15"/>
      <c r="WZA115" s="15"/>
      <c r="WZB115" s="15"/>
      <c r="WZC115" s="15"/>
      <c r="WZD115" s="15"/>
      <c r="WZE115" s="15"/>
      <c r="WZF115" s="15"/>
      <c r="WZG115" s="15"/>
      <c r="WZH115" s="15"/>
      <c r="WZI115" s="15"/>
      <c r="WZJ115" s="15"/>
      <c r="WZK115" s="15"/>
      <c r="WZL115" s="14"/>
      <c r="WZM115" s="15"/>
      <c r="WZN115" s="15"/>
      <c r="WZO115" s="15"/>
      <c r="WZP115" s="15"/>
      <c r="WZQ115" s="15"/>
      <c r="WZR115" s="15"/>
      <c r="WZS115" s="15"/>
      <c r="WZT115" s="15"/>
      <c r="WZU115" s="15"/>
      <c r="WZV115" s="15"/>
      <c r="WZW115" s="15"/>
      <c r="WZX115" s="15"/>
      <c r="WZY115" s="15"/>
      <c r="WZZ115" s="15"/>
      <c r="XAA115" s="15"/>
      <c r="XAB115" s="15"/>
      <c r="XAC115" s="15"/>
      <c r="XAD115" s="15"/>
      <c r="XAE115" s="15"/>
      <c r="XAF115" s="15"/>
      <c r="XAG115" s="15"/>
      <c r="XAH115" s="14"/>
      <c r="XAI115" s="15"/>
      <c r="XAJ115" s="15"/>
      <c r="XAK115" s="15"/>
      <c r="XAL115" s="15"/>
      <c r="XAM115" s="15"/>
      <c r="XAN115" s="15"/>
      <c r="XAO115" s="15"/>
      <c r="XAP115" s="15"/>
      <c r="XAQ115" s="15"/>
      <c r="XAR115" s="15"/>
      <c r="XAS115" s="15"/>
      <c r="XAT115" s="15"/>
      <c r="XAU115" s="15"/>
      <c r="XAV115" s="15"/>
      <c r="XAW115" s="15"/>
      <c r="XAX115" s="15"/>
      <c r="XAY115" s="15"/>
      <c r="XAZ115" s="15"/>
      <c r="XBA115" s="15"/>
      <c r="XBB115" s="15"/>
      <c r="XBC115" s="15"/>
      <c r="XBD115" s="14"/>
      <c r="XBE115" s="15"/>
      <c r="XBF115" s="15"/>
      <c r="XBG115" s="15"/>
      <c r="XBH115" s="15"/>
      <c r="XBI115" s="15"/>
      <c r="XBJ115" s="15"/>
      <c r="XBK115" s="15"/>
      <c r="XBL115" s="15"/>
      <c r="XBM115" s="15"/>
      <c r="XBN115" s="15"/>
      <c r="XBO115" s="15"/>
      <c r="XBP115" s="15"/>
      <c r="XBQ115" s="15"/>
      <c r="XBR115" s="15"/>
      <c r="XBS115" s="15"/>
      <c r="XBT115" s="15"/>
      <c r="XBU115" s="15"/>
      <c r="XBV115" s="15"/>
      <c r="XBW115" s="15"/>
      <c r="XBX115" s="15"/>
      <c r="XBY115" s="15"/>
      <c r="XBZ115" s="14"/>
      <c r="XCA115" s="15"/>
      <c r="XCB115" s="15"/>
      <c r="XCC115" s="15"/>
      <c r="XCD115" s="15"/>
      <c r="XCE115" s="15"/>
      <c r="XCF115" s="15"/>
      <c r="XCG115" s="15"/>
      <c r="XCH115" s="15"/>
      <c r="XCI115" s="15"/>
      <c r="XCJ115" s="15"/>
      <c r="XCK115" s="15"/>
      <c r="XCL115" s="15"/>
      <c r="XCM115" s="15"/>
      <c r="XCN115" s="15"/>
      <c r="XCO115" s="15"/>
      <c r="XCP115" s="15"/>
      <c r="XCQ115" s="15"/>
      <c r="XCR115" s="15"/>
      <c r="XCS115" s="15"/>
      <c r="XCT115" s="15"/>
      <c r="XCU115" s="15"/>
      <c r="XCV115" s="14"/>
      <c r="XCW115" s="15"/>
      <c r="XCX115" s="15"/>
      <c r="XCY115" s="15"/>
      <c r="XCZ115" s="15"/>
      <c r="XDA115" s="15"/>
      <c r="XDB115" s="15"/>
      <c r="XDC115" s="15"/>
      <c r="XDD115" s="15"/>
      <c r="XDE115" s="15"/>
      <c r="XDF115" s="15"/>
      <c r="XDG115" s="15"/>
      <c r="XDH115" s="15"/>
      <c r="XDI115" s="15"/>
      <c r="XDJ115" s="15"/>
      <c r="XDK115" s="15"/>
      <c r="XDL115" s="15"/>
      <c r="XDM115" s="15"/>
      <c r="XDN115" s="15"/>
      <c r="XDO115" s="15"/>
      <c r="XDP115" s="15"/>
      <c r="XDQ115" s="15"/>
      <c r="XDR115" s="14"/>
      <c r="XDS115" s="15"/>
      <c r="XDT115" s="15"/>
      <c r="XDU115" s="15"/>
      <c r="XDV115" s="15"/>
      <c r="XDW115" s="15"/>
      <c r="XDX115" s="15"/>
      <c r="XDY115" s="15"/>
      <c r="XDZ115" s="15"/>
      <c r="XEA115" s="15"/>
      <c r="XEB115" s="15"/>
      <c r="XEC115" s="15"/>
      <c r="XED115" s="15"/>
      <c r="XEE115" s="15"/>
      <c r="XEF115" s="15"/>
      <c r="XEG115" s="15"/>
      <c r="XEH115" s="15"/>
      <c r="XEI115" s="15"/>
      <c r="XEJ115" s="15"/>
      <c r="XEK115" s="15"/>
      <c r="XEL115" s="15"/>
      <c r="XEM115" s="15"/>
      <c r="XEN115" s="14"/>
      <c r="XEO115" s="14"/>
      <c r="XEP115" s="14"/>
      <c r="XEQ115" s="14"/>
      <c r="XER115" s="14"/>
      <c r="XES115" s="14"/>
      <c r="XET115" s="14"/>
      <c r="XEU115" s="14"/>
      <c r="XEV115" s="14"/>
      <c r="XEW115" s="14"/>
      <c r="XEX115" s="14"/>
      <c r="XEY115" s="14"/>
      <c r="XEZ115" s="14"/>
      <c r="XFA115" s="14"/>
      <c r="XFB115" s="14"/>
      <c r="XFC115" s="14"/>
    </row>
    <row r="116" spans="1:16383" s="13" customFormat="1" ht="36" customHeight="1" thickTop="1" thickBot="1">
      <c r="A116" s="14"/>
      <c r="B116" s="49" t="s">
        <v>107</v>
      </c>
      <c r="C116" s="16">
        <f>CORREL('FamInsureCo Int. Stats Data'!B1:B1339,'FamInsureCo Int. Stats Data'!$Q$1:$Q$1339)</f>
        <v>0.19834096883362876</v>
      </c>
      <c r="D116" s="16">
        <f>CORREL('FamInsureCo Int. Stats Data'!C1:C1339,'FamInsureCo Int. Stats Data'!$Q$1:$Q$1339)</f>
        <v>-0.10651202733970591</v>
      </c>
      <c r="E116" s="16">
        <f>CORREL('FamInsureCo Int. Stats Data'!D1:D1339,'FamInsureCo Int. Stats Data'!$Q$1:$Q$1339)</f>
        <v>0.19685712729559396</v>
      </c>
      <c r="F116" s="16">
        <f>CORREL('FamInsureCo Int. Stats Data'!E1:E1339,'FamInsureCo Int. Stats Data'!$Q$1:$Q$1339)</f>
        <v>-0.11776843157492765</v>
      </c>
      <c r="G116" s="16">
        <f>CORREL('FamInsureCo Int. Stats Data'!F1:F1339,'FamInsureCo Int. Stats Data'!$Q$1:$Q$1339)</f>
        <v>-4.4959616911276513E-2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4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4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4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4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4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4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4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4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4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4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4"/>
      <c r="JE116" s="15"/>
      <c r="JF116" s="15"/>
      <c r="JG116" s="15"/>
      <c r="JH116" s="15"/>
      <c r="JI116" s="15"/>
      <c r="JJ116" s="15"/>
      <c r="JK116" s="15"/>
      <c r="JL116" s="15"/>
      <c r="JM116" s="15"/>
      <c r="JN116" s="15"/>
      <c r="JO116" s="15"/>
      <c r="JP116" s="15"/>
      <c r="JQ116" s="15"/>
      <c r="JR116" s="15"/>
      <c r="JS116" s="15"/>
      <c r="JT116" s="15"/>
      <c r="JU116" s="15"/>
      <c r="JV116" s="15"/>
      <c r="JW116" s="15"/>
      <c r="JX116" s="15"/>
      <c r="JY116" s="15"/>
      <c r="JZ116" s="14"/>
      <c r="KA116" s="15"/>
      <c r="KB116" s="15"/>
      <c r="KC116" s="15"/>
      <c r="KD116" s="15"/>
      <c r="KE116" s="15"/>
      <c r="KF116" s="15"/>
      <c r="KG116" s="15"/>
      <c r="KH116" s="15"/>
      <c r="KI116" s="15"/>
      <c r="KJ116" s="15"/>
      <c r="KK116" s="15"/>
      <c r="KL116" s="15"/>
      <c r="KM116" s="15"/>
      <c r="KN116" s="15"/>
      <c r="KO116" s="15"/>
      <c r="KP116" s="15"/>
      <c r="KQ116" s="15"/>
      <c r="KR116" s="15"/>
      <c r="KS116" s="15"/>
      <c r="KT116" s="15"/>
      <c r="KU116" s="15"/>
      <c r="KV116" s="14"/>
      <c r="KW116" s="15"/>
      <c r="KX116" s="15"/>
      <c r="KY116" s="15"/>
      <c r="KZ116" s="15"/>
      <c r="LA116" s="15"/>
      <c r="LB116" s="15"/>
      <c r="LC116" s="15"/>
      <c r="LD116" s="15"/>
      <c r="LE116" s="15"/>
      <c r="LF116" s="15"/>
      <c r="LG116" s="15"/>
      <c r="LH116" s="15"/>
      <c r="LI116" s="15"/>
      <c r="LJ116" s="15"/>
      <c r="LK116" s="15"/>
      <c r="LL116" s="15"/>
      <c r="LM116" s="15"/>
      <c r="LN116" s="15"/>
      <c r="LO116" s="15"/>
      <c r="LP116" s="15"/>
      <c r="LQ116" s="15"/>
      <c r="LR116" s="14"/>
      <c r="LS116" s="15"/>
      <c r="LT116" s="15"/>
      <c r="LU116" s="15"/>
      <c r="LV116" s="15"/>
      <c r="LW116" s="15"/>
      <c r="LX116" s="15"/>
      <c r="LY116" s="15"/>
      <c r="LZ116" s="15"/>
      <c r="MA116" s="15"/>
      <c r="MB116" s="15"/>
      <c r="MC116" s="15"/>
      <c r="MD116" s="15"/>
      <c r="ME116" s="15"/>
      <c r="MF116" s="15"/>
      <c r="MG116" s="15"/>
      <c r="MH116" s="15"/>
      <c r="MI116" s="15"/>
      <c r="MJ116" s="15"/>
      <c r="MK116" s="15"/>
      <c r="ML116" s="15"/>
      <c r="MM116" s="15"/>
      <c r="MN116" s="14"/>
      <c r="MO116" s="15"/>
      <c r="MP116" s="15"/>
      <c r="MQ116" s="15"/>
      <c r="MR116" s="15"/>
      <c r="MS116" s="15"/>
      <c r="MT116" s="15"/>
      <c r="MU116" s="15"/>
      <c r="MV116" s="15"/>
      <c r="MW116" s="15"/>
      <c r="MX116" s="15"/>
      <c r="MY116" s="15"/>
      <c r="MZ116" s="15"/>
      <c r="NA116" s="15"/>
      <c r="NB116" s="15"/>
      <c r="NC116" s="15"/>
      <c r="ND116" s="15"/>
      <c r="NE116" s="15"/>
      <c r="NF116" s="15"/>
      <c r="NG116" s="15"/>
      <c r="NH116" s="15"/>
      <c r="NI116" s="15"/>
      <c r="NJ116" s="14"/>
      <c r="NK116" s="15"/>
      <c r="NL116" s="15"/>
      <c r="NM116" s="15"/>
      <c r="NN116" s="15"/>
      <c r="NO116" s="15"/>
      <c r="NP116" s="15"/>
      <c r="NQ116" s="15"/>
      <c r="NR116" s="15"/>
      <c r="NS116" s="15"/>
      <c r="NT116" s="15"/>
      <c r="NU116" s="15"/>
      <c r="NV116" s="15"/>
      <c r="NW116" s="15"/>
      <c r="NX116" s="15"/>
      <c r="NY116" s="15"/>
      <c r="NZ116" s="15"/>
      <c r="OA116" s="15"/>
      <c r="OB116" s="15"/>
      <c r="OC116" s="15"/>
      <c r="OD116" s="15"/>
      <c r="OE116" s="15"/>
      <c r="OF116" s="14"/>
      <c r="OG116" s="15"/>
      <c r="OH116" s="15"/>
      <c r="OI116" s="15"/>
      <c r="OJ116" s="15"/>
      <c r="OK116" s="15"/>
      <c r="OL116" s="15"/>
      <c r="OM116" s="15"/>
      <c r="ON116" s="15"/>
      <c r="OO116" s="15"/>
      <c r="OP116" s="15"/>
      <c r="OQ116" s="15"/>
      <c r="OR116" s="15"/>
      <c r="OS116" s="15"/>
      <c r="OT116" s="15"/>
      <c r="OU116" s="15"/>
      <c r="OV116" s="15"/>
      <c r="OW116" s="15"/>
      <c r="OX116" s="15"/>
      <c r="OY116" s="15"/>
      <c r="OZ116" s="15"/>
      <c r="PA116" s="15"/>
      <c r="PB116" s="14"/>
      <c r="PC116" s="15"/>
      <c r="PD116" s="15"/>
      <c r="PE116" s="15"/>
      <c r="PF116" s="15"/>
      <c r="PG116" s="15"/>
      <c r="PH116" s="15"/>
      <c r="PI116" s="15"/>
      <c r="PJ116" s="15"/>
      <c r="PK116" s="15"/>
      <c r="PL116" s="15"/>
      <c r="PM116" s="15"/>
      <c r="PN116" s="15"/>
      <c r="PO116" s="15"/>
      <c r="PP116" s="15"/>
      <c r="PQ116" s="15"/>
      <c r="PR116" s="15"/>
      <c r="PS116" s="15"/>
      <c r="PT116" s="15"/>
      <c r="PU116" s="15"/>
      <c r="PV116" s="15"/>
      <c r="PW116" s="15"/>
      <c r="PX116" s="14"/>
      <c r="PY116" s="15"/>
      <c r="PZ116" s="15"/>
      <c r="QA116" s="15"/>
      <c r="QB116" s="15"/>
      <c r="QC116" s="15"/>
      <c r="QD116" s="15"/>
      <c r="QE116" s="15"/>
      <c r="QF116" s="15"/>
      <c r="QG116" s="15"/>
      <c r="QH116" s="15"/>
      <c r="QI116" s="15"/>
      <c r="QJ116" s="15"/>
      <c r="QK116" s="15"/>
      <c r="QL116" s="15"/>
      <c r="QM116" s="15"/>
      <c r="QN116" s="15"/>
      <c r="QO116" s="15"/>
      <c r="QP116" s="15"/>
      <c r="QQ116" s="15"/>
      <c r="QR116" s="15"/>
      <c r="QS116" s="15"/>
      <c r="QT116" s="14"/>
      <c r="QU116" s="15"/>
      <c r="QV116" s="15"/>
      <c r="QW116" s="15"/>
      <c r="QX116" s="15"/>
      <c r="QY116" s="15"/>
      <c r="QZ116" s="15"/>
      <c r="RA116" s="15"/>
      <c r="RB116" s="15"/>
      <c r="RC116" s="15"/>
      <c r="RD116" s="15"/>
      <c r="RE116" s="15"/>
      <c r="RF116" s="15"/>
      <c r="RG116" s="15"/>
      <c r="RH116" s="15"/>
      <c r="RI116" s="15"/>
      <c r="RJ116" s="15"/>
      <c r="RK116" s="15"/>
      <c r="RL116" s="15"/>
      <c r="RM116" s="15"/>
      <c r="RN116" s="15"/>
      <c r="RO116" s="15"/>
      <c r="RP116" s="14"/>
      <c r="RQ116" s="15"/>
      <c r="RR116" s="15"/>
      <c r="RS116" s="15"/>
      <c r="RT116" s="15"/>
      <c r="RU116" s="15"/>
      <c r="RV116" s="15"/>
      <c r="RW116" s="15"/>
      <c r="RX116" s="15"/>
      <c r="RY116" s="15"/>
      <c r="RZ116" s="15"/>
      <c r="SA116" s="15"/>
      <c r="SB116" s="15"/>
      <c r="SC116" s="15"/>
      <c r="SD116" s="15"/>
      <c r="SE116" s="15"/>
      <c r="SF116" s="15"/>
      <c r="SG116" s="15"/>
      <c r="SH116" s="15"/>
      <c r="SI116" s="15"/>
      <c r="SJ116" s="15"/>
      <c r="SK116" s="15"/>
      <c r="SL116" s="14"/>
      <c r="SM116" s="15"/>
      <c r="SN116" s="15"/>
      <c r="SO116" s="15"/>
      <c r="SP116" s="15"/>
      <c r="SQ116" s="15"/>
      <c r="SR116" s="15"/>
      <c r="SS116" s="15"/>
      <c r="ST116" s="15"/>
      <c r="SU116" s="15"/>
      <c r="SV116" s="15"/>
      <c r="SW116" s="15"/>
      <c r="SX116" s="15"/>
      <c r="SY116" s="15"/>
      <c r="SZ116" s="15"/>
      <c r="TA116" s="15"/>
      <c r="TB116" s="15"/>
      <c r="TC116" s="15"/>
      <c r="TD116" s="15"/>
      <c r="TE116" s="15"/>
      <c r="TF116" s="15"/>
      <c r="TG116" s="15"/>
      <c r="TH116" s="14"/>
      <c r="TI116" s="15"/>
      <c r="TJ116" s="15"/>
      <c r="TK116" s="15"/>
      <c r="TL116" s="15"/>
      <c r="TM116" s="15"/>
      <c r="TN116" s="15"/>
      <c r="TO116" s="15"/>
      <c r="TP116" s="15"/>
      <c r="TQ116" s="15"/>
      <c r="TR116" s="15"/>
      <c r="TS116" s="15"/>
      <c r="TT116" s="15"/>
      <c r="TU116" s="15"/>
      <c r="TV116" s="15"/>
      <c r="TW116" s="15"/>
      <c r="TX116" s="15"/>
      <c r="TY116" s="15"/>
      <c r="TZ116" s="15"/>
      <c r="UA116" s="15"/>
      <c r="UB116" s="15"/>
      <c r="UC116" s="15"/>
      <c r="UD116" s="14"/>
      <c r="UE116" s="15"/>
      <c r="UF116" s="15"/>
      <c r="UG116" s="15"/>
      <c r="UH116" s="15"/>
      <c r="UI116" s="15"/>
      <c r="UJ116" s="15"/>
      <c r="UK116" s="15"/>
      <c r="UL116" s="15"/>
      <c r="UM116" s="15"/>
      <c r="UN116" s="15"/>
      <c r="UO116" s="15"/>
      <c r="UP116" s="15"/>
      <c r="UQ116" s="15"/>
      <c r="UR116" s="15"/>
      <c r="US116" s="15"/>
      <c r="UT116" s="15"/>
      <c r="UU116" s="15"/>
      <c r="UV116" s="15"/>
      <c r="UW116" s="15"/>
      <c r="UX116" s="15"/>
      <c r="UY116" s="15"/>
      <c r="UZ116" s="14"/>
      <c r="VA116" s="15"/>
      <c r="VB116" s="15"/>
      <c r="VC116" s="15"/>
      <c r="VD116" s="15"/>
      <c r="VE116" s="15"/>
      <c r="VF116" s="15"/>
      <c r="VG116" s="15"/>
      <c r="VH116" s="15"/>
      <c r="VI116" s="15"/>
      <c r="VJ116" s="15"/>
      <c r="VK116" s="15"/>
      <c r="VL116" s="15"/>
      <c r="VM116" s="15"/>
      <c r="VN116" s="15"/>
      <c r="VO116" s="15"/>
      <c r="VP116" s="15"/>
      <c r="VQ116" s="15"/>
      <c r="VR116" s="15"/>
      <c r="VS116" s="15"/>
      <c r="VT116" s="15"/>
      <c r="VU116" s="15"/>
      <c r="VV116" s="14"/>
      <c r="VW116" s="15"/>
      <c r="VX116" s="15"/>
      <c r="VY116" s="15"/>
      <c r="VZ116" s="15"/>
      <c r="WA116" s="15"/>
      <c r="WB116" s="15"/>
      <c r="WC116" s="15"/>
      <c r="WD116" s="15"/>
      <c r="WE116" s="15"/>
      <c r="WF116" s="15"/>
      <c r="WG116" s="15"/>
      <c r="WH116" s="15"/>
      <c r="WI116" s="15"/>
      <c r="WJ116" s="15"/>
      <c r="WK116" s="15"/>
      <c r="WL116" s="15"/>
      <c r="WM116" s="15"/>
      <c r="WN116" s="15"/>
      <c r="WO116" s="15"/>
      <c r="WP116" s="15"/>
      <c r="WQ116" s="15"/>
      <c r="WR116" s="14"/>
      <c r="WS116" s="15"/>
      <c r="WT116" s="15"/>
      <c r="WU116" s="15"/>
      <c r="WV116" s="15"/>
      <c r="WW116" s="15"/>
      <c r="WX116" s="15"/>
      <c r="WY116" s="15"/>
      <c r="WZ116" s="15"/>
      <c r="XA116" s="15"/>
      <c r="XB116" s="15"/>
      <c r="XC116" s="15"/>
      <c r="XD116" s="15"/>
      <c r="XE116" s="15"/>
      <c r="XF116" s="15"/>
      <c r="XG116" s="15"/>
      <c r="XH116" s="15"/>
      <c r="XI116" s="15"/>
      <c r="XJ116" s="15"/>
      <c r="XK116" s="15"/>
      <c r="XL116" s="15"/>
      <c r="XM116" s="15"/>
      <c r="XN116" s="14"/>
      <c r="XO116" s="15"/>
      <c r="XP116" s="15"/>
      <c r="XQ116" s="15"/>
      <c r="XR116" s="15"/>
      <c r="XS116" s="15"/>
      <c r="XT116" s="15"/>
      <c r="XU116" s="15"/>
      <c r="XV116" s="15"/>
      <c r="XW116" s="15"/>
      <c r="XX116" s="15"/>
      <c r="XY116" s="15"/>
      <c r="XZ116" s="15"/>
      <c r="YA116" s="15"/>
      <c r="YB116" s="15"/>
      <c r="YC116" s="15"/>
      <c r="YD116" s="15"/>
      <c r="YE116" s="15"/>
      <c r="YF116" s="15"/>
      <c r="YG116" s="15"/>
      <c r="YH116" s="15"/>
      <c r="YI116" s="15"/>
      <c r="YJ116" s="14"/>
      <c r="YK116" s="15"/>
      <c r="YL116" s="15"/>
      <c r="YM116" s="15"/>
      <c r="YN116" s="15"/>
      <c r="YO116" s="15"/>
      <c r="YP116" s="15"/>
      <c r="YQ116" s="15"/>
      <c r="YR116" s="15"/>
      <c r="YS116" s="15"/>
      <c r="YT116" s="15"/>
      <c r="YU116" s="15"/>
      <c r="YV116" s="15"/>
      <c r="YW116" s="15"/>
      <c r="YX116" s="15"/>
      <c r="YY116" s="15"/>
      <c r="YZ116" s="15"/>
      <c r="ZA116" s="15"/>
      <c r="ZB116" s="15"/>
      <c r="ZC116" s="15"/>
      <c r="ZD116" s="15"/>
      <c r="ZE116" s="15"/>
      <c r="ZF116" s="14"/>
      <c r="ZG116" s="15"/>
      <c r="ZH116" s="15"/>
      <c r="ZI116" s="15"/>
      <c r="ZJ116" s="15"/>
      <c r="ZK116" s="15"/>
      <c r="ZL116" s="15"/>
      <c r="ZM116" s="15"/>
      <c r="ZN116" s="15"/>
      <c r="ZO116" s="15"/>
      <c r="ZP116" s="15"/>
      <c r="ZQ116" s="15"/>
      <c r="ZR116" s="15"/>
      <c r="ZS116" s="15"/>
      <c r="ZT116" s="15"/>
      <c r="ZU116" s="15"/>
      <c r="ZV116" s="15"/>
      <c r="ZW116" s="15"/>
      <c r="ZX116" s="15"/>
      <c r="ZY116" s="15"/>
      <c r="ZZ116" s="15"/>
      <c r="AAA116" s="15"/>
      <c r="AAB116" s="14"/>
      <c r="AAC116" s="15"/>
      <c r="AAD116" s="15"/>
      <c r="AAE116" s="15"/>
      <c r="AAF116" s="15"/>
      <c r="AAG116" s="15"/>
      <c r="AAH116" s="15"/>
      <c r="AAI116" s="15"/>
      <c r="AAJ116" s="15"/>
      <c r="AAK116" s="15"/>
      <c r="AAL116" s="15"/>
      <c r="AAM116" s="15"/>
      <c r="AAN116" s="15"/>
      <c r="AAO116" s="15"/>
      <c r="AAP116" s="15"/>
      <c r="AAQ116" s="15"/>
      <c r="AAR116" s="15"/>
      <c r="AAS116" s="15"/>
      <c r="AAT116" s="15"/>
      <c r="AAU116" s="15"/>
      <c r="AAV116" s="15"/>
      <c r="AAW116" s="15"/>
      <c r="AAX116" s="14"/>
      <c r="AAY116" s="15"/>
      <c r="AAZ116" s="15"/>
      <c r="ABA116" s="15"/>
      <c r="ABB116" s="15"/>
      <c r="ABC116" s="15"/>
      <c r="ABD116" s="15"/>
      <c r="ABE116" s="15"/>
      <c r="ABF116" s="15"/>
      <c r="ABG116" s="15"/>
      <c r="ABH116" s="15"/>
      <c r="ABI116" s="15"/>
      <c r="ABJ116" s="15"/>
      <c r="ABK116" s="15"/>
      <c r="ABL116" s="15"/>
      <c r="ABM116" s="15"/>
      <c r="ABN116" s="15"/>
      <c r="ABO116" s="15"/>
      <c r="ABP116" s="15"/>
      <c r="ABQ116" s="15"/>
      <c r="ABR116" s="15"/>
      <c r="ABS116" s="15"/>
      <c r="ABT116" s="14"/>
      <c r="ABU116" s="15"/>
      <c r="ABV116" s="15"/>
      <c r="ABW116" s="15"/>
      <c r="ABX116" s="15"/>
      <c r="ABY116" s="15"/>
      <c r="ABZ116" s="15"/>
      <c r="ACA116" s="15"/>
      <c r="ACB116" s="15"/>
      <c r="ACC116" s="15"/>
      <c r="ACD116" s="15"/>
      <c r="ACE116" s="15"/>
      <c r="ACF116" s="15"/>
      <c r="ACG116" s="15"/>
      <c r="ACH116" s="15"/>
      <c r="ACI116" s="15"/>
      <c r="ACJ116" s="15"/>
      <c r="ACK116" s="15"/>
      <c r="ACL116" s="15"/>
      <c r="ACM116" s="15"/>
      <c r="ACN116" s="15"/>
      <c r="ACO116" s="15"/>
      <c r="ACP116" s="14"/>
      <c r="ACQ116" s="15"/>
      <c r="ACR116" s="15"/>
      <c r="ACS116" s="15"/>
      <c r="ACT116" s="15"/>
      <c r="ACU116" s="15"/>
      <c r="ACV116" s="15"/>
      <c r="ACW116" s="15"/>
      <c r="ACX116" s="15"/>
      <c r="ACY116" s="15"/>
      <c r="ACZ116" s="15"/>
      <c r="ADA116" s="15"/>
      <c r="ADB116" s="15"/>
      <c r="ADC116" s="15"/>
      <c r="ADD116" s="15"/>
      <c r="ADE116" s="15"/>
      <c r="ADF116" s="15"/>
      <c r="ADG116" s="15"/>
      <c r="ADH116" s="15"/>
      <c r="ADI116" s="15"/>
      <c r="ADJ116" s="15"/>
      <c r="ADK116" s="15"/>
      <c r="ADL116" s="14"/>
      <c r="ADM116" s="15"/>
      <c r="ADN116" s="15"/>
      <c r="ADO116" s="15"/>
      <c r="ADP116" s="15"/>
      <c r="ADQ116" s="15"/>
      <c r="ADR116" s="15"/>
      <c r="ADS116" s="15"/>
      <c r="ADT116" s="15"/>
      <c r="ADU116" s="15"/>
      <c r="ADV116" s="15"/>
      <c r="ADW116" s="15"/>
      <c r="ADX116" s="15"/>
      <c r="ADY116" s="15"/>
      <c r="ADZ116" s="15"/>
      <c r="AEA116" s="15"/>
      <c r="AEB116" s="15"/>
      <c r="AEC116" s="15"/>
      <c r="AED116" s="15"/>
      <c r="AEE116" s="15"/>
      <c r="AEF116" s="15"/>
      <c r="AEG116" s="15"/>
      <c r="AEH116" s="14"/>
      <c r="AEI116" s="15"/>
      <c r="AEJ116" s="15"/>
      <c r="AEK116" s="15"/>
      <c r="AEL116" s="15"/>
      <c r="AEM116" s="15"/>
      <c r="AEN116" s="15"/>
      <c r="AEO116" s="15"/>
      <c r="AEP116" s="15"/>
      <c r="AEQ116" s="15"/>
      <c r="AER116" s="15"/>
      <c r="AES116" s="15"/>
      <c r="AET116" s="15"/>
      <c r="AEU116" s="15"/>
      <c r="AEV116" s="15"/>
      <c r="AEW116" s="15"/>
      <c r="AEX116" s="15"/>
      <c r="AEY116" s="15"/>
      <c r="AEZ116" s="15"/>
      <c r="AFA116" s="15"/>
      <c r="AFB116" s="15"/>
      <c r="AFC116" s="15"/>
      <c r="AFD116" s="14"/>
      <c r="AFE116" s="15"/>
      <c r="AFF116" s="15"/>
      <c r="AFG116" s="15"/>
      <c r="AFH116" s="15"/>
      <c r="AFI116" s="15"/>
      <c r="AFJ116" s="15"/>
      <c r="AFK116" s="15"/>
      <c r="AFL116" s="15"/>
      <c r="AFM116" s="15"/>
      <c r="AFN116" s="15"/>
      <c r="AFO116" s="15"/>
      <c r="AFP116" s="15"/>
      <c r="AFQ116" s="15"/>
      <c r="AFR116" s="15"/>
      <c r="AFS116" s="15"/>
      <c r="AFT116" s="15"/>
      <c r="AFU116" s="15"/>
      <c r="AFV116" s="15"/>
      <c r="AFW116" s="15"/>
      <c r="AFX116" s="15"/>
      <c r="AFY116" s="15"/>
      <c r="AFZ116" s="14"/>
      <c r="AGA116" s="15"/>
      <c r="AGB116" s="15"/>
      <c r="AGC116" s="15"/>
      <c r="AGD116" s="15"/>
      <c r="AGE116" s="15"/>
      <c r="AGF116" s="15"/>
      <c r="AGG116" s="15"/>
      <c r="AGH116" s="15"/>
      <c r="AGI116" s="15"/>
      <c r="AGJ116" s="15"/>
      <c r="AGK116" s="15"/>
      <c r="AGL116" s="15"/>
      <c r="AGM116" s="15"/>
      <c r="AGN116" s="15"/>
      <c r="AGO116" s="15"/>
      <c r="AGP116" s="15"/>
      <c r="AGQ116" s="15"/>
      <c r="AGR116" s="15"/>
      <c r="AGS116" s="15"/>
      <c r="AGT116" s="15"/>
      <c r="AGU116" s="15"/>
      <c r="AGV116" s="14"/>
      <c r="AGW116" s="15"/>
      <c r="AGX116" s="15"/>
      <c r="AGY116" s="15"/>
      <c r="AGZ116" s="15"/>
      <c r="AHA116" s="15"/>
      <c r="AHB116" s="15"/>
      <c r="AHC116" s="15"/>
      <c r="AHD116" s="15"/>
      <c r="AHE116" s="15"/>
      <c r="AHF116" s="15"/>
      <c r="AHG116" s="15"/>
      <c r="AHH116" s="15"/>
      <c r="AHI116" s="15"/>
      <c r="AHJ116" s="15"/>
      <c r="AHK116" s="15"/>
      <c r="AHL116" s="15"/>
      <c r="AHM116" s="15"/>
      <c r="AHN116" s="15"/>
      <c r="AHO116" s="15"/>
      <c r="AHP116" s="15"/>
      <c r="AHQ116" s="15"/>
      <c r="AHR116" s="14"/>
      <c r="AHS116" s="15"/>
      <c r="AHT116" s="15"/>
      <c r="AHU116" s="15"/>
      <c r="AHV116" s="15"/>
      <c r="AHW116" s="15"/>
      <c r="AHX116" s="15"/>
      <c r="AHY116" s="15"/>
      <c r="AHZ116" s="15"/>
      <c r="AIA116" s="15"/>
      <c r="AIB116" s="15"/>
      <c r="AIC116" s="15"/>
      <c r="AID116" s="15"/>
      <c r="AIE116" s="15"/>
      <c r="AIF116" s="15"/>
      <c r="AIG116" s="15"/>
      <c r="AIH116" s="15"/>
      <c r="AII116" s="15"/>
      <c r="AIJ116" s="15"/>
      <c r="AIK116" s="15"/>
      <c r="AIL116" s="15"/>
      <c r="AIM116" s="15"/>
      <c r="AIN116" s="14"/>
      <c r="AIO116" s="15"/>
      <c r="AIP116" s="15"/>
      <c r="AIQ116" s="15"/>
      <c r="AIR116" s="15"/>
      <c r="AIS116" s="15"/>
      <c r="AIT116" s="15"/>
      <c r="AIU116" s="15"/>
      <c r="AIV116" s="15"/>
      <c r="AIW116" s="15"/>
      <c r="AIX116" s="15"/>
      <c r="AIY116" s="15"/>
      <c r="AIZ116" s="15"/>
      <c r="AJA116" s="15"/>
      <c r="AJB116" s="15"/>
      <c r="AJC116" s="15"/>
      <c r="AJD116" s="15"/>
      <c r="AJE116" s="15"/>
      <c r="AJF116" s="15"/>
      <c r="AJG116" s="15"/>
      <c r="AJH116" s="15"/>
      <c r="AJI116" s="15"/>
      <c r="AJJ116" s="14"/>
      <c r="AJK116" s="15"/>
      <c r="AJL116" s="15"/>
      <c r="AJM116" s="15"/>
      <c r="AJN116" s="15"/>
      <c r="AJO116" s="15"/>
      <c r="AJP116" s="15"/>
      <c r="AJQ116" s="15"/>
      <c r="AJR116" s="15"/>
      <c r="AJS116" s="15"/>
      <c r="AJT116" s="15"/>
      <c r="AJU116" s="15"/>
      <c r="AJV116" s="15"/>
      <c r="AJW116" s="15"/>
      <c r="AJX116" s="15"/>
      <c r="AJY116" s="15"/>
      <c r="AJZ116" s="15"/>
      <c r="AKA116" s="15"/>
      <c r="AKB116" s="15"/>
      <c r="AKC116" s="15"/>
      <c r="AKD116" s="15"/>
      <c r="AKE116" s="15"/>
      <c r="AKF116" s="14"/>
      <c r="AKG116" s="15"/>
      <c r="AKH116" s="15"/>
      <c r="AKI116" s="15"/>
      <c r="AKJ116" s="15"/>
      <c r="AKK116" s="15"/>
      <c r="AKL116" s="15"/>
      <c r="AKM116" s="15"/>
      <c r="AKN116" s="15"/>
      <c r="AKO116" s="15"/>
      <c r="AKP116" s="15"/>
      <c r="AKQ116" s="15"/>
      <c r="AKR116" s="15"/>
      <c r="AKS116" s="15"/>
      <c r="AKT116" s="15"/>
      <c r="AKU116" s="15"/>
      <c r="AKV116" s="15"/>
      <c r="AKW116" s="15"/>
      <c r="AKX116" s="15"/>
      <c r="AKY116" s="15"/>
      <c r="AKZ116" s="15"/>
      <c r="ALA116" s="15"/>
      <c r="ALB116" s="14"/>
      <c r="ALC116" s="15"/>
      <c r="ALD116" s="15"/>
      <c r="ALE116" s="15"/>
      <c r="ALF116" s="15"/>
      <c r="ALG116" s="15"/>
      <c r="ALH116" s="15"/>
      <c r="ALI116" s="15"/>
      <c r="ALJ116" s="15"/>
      <c r="ALK116" s="15"/>
      <c r="ALL116" s="15"/>
      <c r="ALM116" s="15"/>
      <c r="ALN116" s="15"/>
      <c r="ALO116" s="15"/>
      <c r="ALP116" s="15"/>
      <c r="ALQ116" s="15"/>
      <c r="ALR116" s="15"/>
      <c r="ALS116" s="15"/>
      <c r="ALT116" s="15"/>
      <c r="ALU116" s="15"/>
      <c r="ALV116" s="15"/>
      <c r="ALW116" s="15"/>
      <c r="ALX116" s="14"/>
      <c r="ALY116" s="15"/>
      <c r="ALZ116" s="15"/>
      <c r="AMA116" s="15"/>
      <c r="AMB116" s="15"/>
      <c r="AMC116" s="15"/>
      <c r="AMD116" s="15"/>
      <c r="AME116" s="15"/>
      <c r="AMF116" s="15"/>
      <c r="AMG116" s="15"/>
      <c r="AMH116" s="15"/>
      <c r="AMI116" s="15"/>
      <c r="AMJ116" s="15"/>
      <c r="AMK116" s="15"/>
      <c r="AML116" s="15"/>
      <c r="AMM116" s="15"/>
      <c r="AMN116" s="15"/>
      <c r="AMO116" s="15"/>
      <c r="AMP116" s="15"/>
      <c r="AMQ116" s="15"/>
      <c r="AMR116" s="15"/>
      <c r="AMS116" s="15"/>
      <c r="AMT116" s="14"/>
      <c r="AMU116" s="15"/>
      <c r="AMV116" s="15"/>
      <c r="AMW116" s="15"/>
      <c r="AMX116" s="15"/>
      <c r="AMY116" s="15"/>
      <c r="AMZ116" s="15"/>
      <c r="ANA116" s="15"/>
      <c r="ANB116" s="15"/>
      <c r="ANC116" s="15"/>
      <c r="AND116" s="15"/>
      <c r="ANE116" s="15"/>
      <c r="ANF116" s="15"/>
      <c r="ANG116" s="15"/>
      <c r="ANH116" s="15"/>
      <c r="ANI116" s="15"/>
      <c r="ANJ116" s="15"/>
      <c r="ANK116" s="15"/>
      <c r="ANL116" s="15"/>
      <c r="ANM116" s="15"/>
      <c r="ANN116" s="15"/>
      <c r="ANO116" s="15"/>
      <c r="ANP116" s="14"/>
      <c r="ANQ116" s="15"/>
      <c r="ANR116" s="15"/>
      <c r="ANS116" s="15"/>
      <c r="ANT116" s="15"/>
      <c r="ANU116" s="15"/>
      <c r="ANV116" s="15"/>
      <c r="ANW116" s="15"/>
      <c r="ANX116" s="15"/>
      <c r="ANY116" s="15"/>
      <c r="ANZ116" s="15"/>
      <c r="AOA116" s="15"/>
      <c r="AOB116" s="15"/>
      <c r="AOC116" s="15"/>
      <c r="AOD116" s="15"/>
      <c r="AOE116" s="15"/>
      <c r="AOF116" s="15"/>
      <c r="AOG116" s="15"/>
      <c r="AOH116" s="15"/>
      <c r="AOI116" s="15"/>
      <c r="AOJ116" s="15"/>
      <c r="AOK116" s="15"/>
      <c r="AOL116" s="14"/>
      <c r="AOM116" s="15"/>
      <c r="AON116" s="15"/>
      <c r="AOO116" s="15"/>
      <c r="AOP116" s="15"/>
      <c r="AOQ116" s="15"/>
      <c r="AOR116" s="15"/>
      <c r="AOS116" s="15"/>
      <c r="AOT116" s="15"/>
      <c r="AOU116" s="15"/>
      <c r="AOV116" s="15"/>
      <c r="AOW116" s="15"/>
      <c r="AOX116" s="15"/>
      <c r="AOY116" s="15"/>
      <c r="AOZ116" s="15"/>
      <c r="APA116" s="15"/>
      <c r="APB116" s="15"/>
      <c r="APC116" s="15"/>
      <c r="APD116" s="15"/>
      <c r="APE116" s="15"/>
      <c r="APF116" s="15"/>
      <c r="APG116" s="15"/>
      <c r="APH116" s="14"/>
      <c r="API116" s="15"/>
      <c r="APJ116" s="15"/>
      <c r="APK116" s="15"/>
      <c r="APL116" s="15"/>
      <c r="APM116" s="15"/>
      <c r="APN116" s="15"/>
      <c r="APO116" s="15"/>
      <c r="APP116" s="15"/>
      <c r="APQ116" s="15"/>
      <c r="APR116" s="15"/>
      <c r="APS116" s="15"/>
      <c r="APT116" s="15"/>
      <c r="APU116" s="15"/>
      <c r="APV116" s="15"/>
      <c r="APW116" s="15"/>
      <c r="APX116" s="15"/>
      <c r="APY116" s="15"/>
      <c r="APZ116" s="15"/>
      <c r="AQA116" s="15"/>
      <c r="AQB116" s="15"/>
      <c r="AQC116" s="15"/>
      <c r="AQD116" s="14"/>
      <c r="AQE116" s="15"/>
      <c r="AQF116" s="15"/>
      <c r="AQG116" s="15"/>
      <c r="AQH116" s="15"/>
      <c r="AQI116" s="15"/>
      <c r="AQJ116" s="15"/>
      <c r="AQK116" s="15"/>
      <c r="AQL116" s="15"/>
      <c r="AQM116" s="15"/>
      <c r="AQN116" s="15"/>
      <c r="AQO116" s="15"/>
      <c r="AQP116" s="15"/>
      <c r="AQQ116" s="15"/>
      <c r="AQR116" s="15"/>
      <c r="AQS116" s="15"/>
      <c r="AQT116" s="15"/>
      <c r="AQU116" s="15"/>
      <c r="AQV116" s="15"/>
      <c r="AQW116" s="15"/>
      <c r="AQX116" s="15"/>
      <c r="AQY116" s="15"/>
      <c r="AQZ116" s="14"/>
      <c r="ARA116" s="15"/>
      <c r="ARB116" s="15"/>
      <c r="ARC116" s="15"/>
      <c r="ARD116" s="15"/>
      <c r="ARE116" s="15"/>
      <c r="ARF116" s="15"/>
      <c r="ARG116" s="15"/>
      <c r="ARH116" s="15"/>
      <c r="ARI116" s="15"/>
      <c r="ARJ116" s="15"/>
      <c r="ARK116" s="15"/>
      <c r="ARL116" s="15"/>
      <c r="ARM116" s="15"/>
      <c r="ARN116" s="15"/>
      <c r="ARO116" s="15"/>
      <c r="ARP116" s="15"/>
      <c r="ARQ116" s="15"/>
      <c r="ARR116" s="15"/>
      <c r="ARS116" s="15"/>
      <c r="ART116" s="15"/>
      <c r="ARU116" s="15"/>
      <c r="ARV116" s="14"/>
      <c r="ARW116" s="15"/>
      <c r="ARX116" s="15"/>
      <c r="ARY116" s="15"/>
      <c r="ARZ116" s="15"/>
      <c r="ASA116" s="15"/>
      <c r="ASB116" s="15"/>
      <c r="ASC116" s="15"/>
      <c r="ASD116" s="15"/>
      <c r="ASE116" s="15"/>
      <c r="ASF116" s="15"/>
      <c r="ASG116" s="15"/>
      <c r="ASH116" s="15"/>
      <c r="ASI116" s="15"/>
      <c r="ASJ116" s="15"/>
      <c r="ASK116" s="15"/>
      <c r="ASL116" s="15"/>
      <c r="ASM116" s="15"/>
      <c r="ASN116" s="15"/>
      <c r="ASO116" s="15"/>
      <c r="ASP116" s="15"/>
      <c r="ASQ116" s="15"/>
      <c r="ASR116" s="14"/>
      <c r="ASS116" s="15"/>
      <c r="AST116" s="15"/>
      <c r="ASU116" s="15"/>
      <c r="ASV116" s="15"/>
      <c r="ASW116" s="15"/>
      <c r="ASX116" s="15"/>
      <c r="ASY116" s="15"/>
      <c r="ASZ116" s="15"/>
      <c r="ATA116" s="15"/>
      <c r="ATB116" s="15"/>
      <c r="ATC116" s="15"/>
      <c r="ATD116" s="15"/>
      <c r="ATE116" s="15"/>
      <c r="ATF116" s="15"/>
      <c r="ATG116" s="15"/>
      <c r="ATH116" s="15"/>
      <c r="ATI116" s="15"/>
      <c r="ATJ116" s="15"/>
      <c r="ATK116" s="15"/>
      <c r="ATL116" s="15"/>
      <c r="ATM116" s="15"/>
      <c r="ATN116" s="14"/>
      <c r="ATO116" s="15"/>
      <c r="ATP116" s="15"/>
      <c r="ATQ116" s="15"/>
      <c r="ATR116" s="15"/>
      <c r="ATS116" s="15"/>
      <c r="ATT116" s="15"/>
      <c r="ATU116" s="15"/>
      <c r="ATV116" s="15"/>
      <c r="ATW116" s="15"/>
      <c r="ATX116" s="15"/>
      <c r="ATY116" s="15"/>
      <c r="ATZ116" s="15"/>
      <c r="AUA116" s="15"/>
      <c r="AUB116" s="15"/>
      <c r="AUC116" s="15"/>
      <c r="AUD116" s="15"/>
      <c r="AUE116" s="15"/>
      <c r="AUF116" s="15"/>
      <c r="AUG116" s="15"/>
      <c r="AUH116" s="15"/>
      <c r="AUI116" s="15"/>
      <c r="AUJ116" s="14"/>
      <c r="AUK116" s="15"/>
      <c r="AUL116" s="15"/>
      <c r="AUM116" s="15"/>
      <c r="AUN116" s="15"/>
      <c r="AUO116" s="15"/>
      <c r="AUP116" s="15"/>
      <c r="AUQ116" s="15"/>
      <c r="AUR116" s="15"/>
      <c r="AUS116" s="15"/>
      <c r="AUT116" s="15"/>
      <c r="AUU116" s="15"/>
      <c r="AUV116" s="15"/>
      <c r="AUW116" s="15"/>
      <c r="AUX116" s="15"/>
      <c r="AUY116" s="15"/>
      <c r="AUZ116" s="15"/>
      <c r="AVA116" s="15"/>
      <c r="AVB116" s="15"/>
      <c r="AVC116" s="15"/>
      <c r="AVD116" s="15"/>
      <c r="AVE116" s="15"/>
      <c r="AVF116" s="14"/>
      <c r="AVG116" s="15"/>
      <c r="AVH116" s="15"/>
      <c r="AVI116" s="15"/>
      <c r="AVJ116" s="15"/>
      <c r="AVK116" s="15"/>
      <c r="AVL116" s="15"/>
      <c r="AVM116" s="15"/>
      <c r="AVN116" s="15"/>
      <c r="AVO116" s="15"/>
      <c r="AVP116" s="15"/>
      <c r="AVQ116" s="15"/>
      <c r="AVR116" s="15"/>
      <c r="AVS116" s="15"/>
      <c r="AVT116" s="15"/>
      <c r="AVU116" s="15"/>
      <c r="AVV116" s="15"/>
      <c r="AVW116" s="15"/>
      <c r="AVX116" s="15"/>
      <c r="AVY116" s="15"/>
      <c r="AVZ116" s="15"/>
      <c r="AWA116" s="15"/>
      <c r="AWB116" s="14"/>
      <c r="AWC116" s="15"/>
      <c r="AWD116" s="15"/>
      <c r="AWE116" s="15"/>
      <c r="AWF116" s="15"/>
      <c r="AWG116" s="15"/>
      <c r="AWH116" s="15"/>
      <c r="AWI116" s="15"/>
      <c r="AWJ116" s="15"/>
      <c r="AWK116" s="15"/>
      <c r="AWL116" s="15"/>
      <c r="AWM116" s="15"/>
      <c r="AWN116" s="15"/>
      <c r="AWO116" s="15"/>
      <c r="AWP116" s="15"/>
      <c r="AWQ116" s="15"/>
      <c r="AWR116" s="15"/>
      <c r="AWS116" s="15"/>
      <c r="AWT116" s="15"/>
      <c r="AWU116" s="15"/>
      <c r="AWV116" s="15"/>
      <c r="AWW116" s="15"/>
      <c r="AWX116" s="14"/>
      <c r="AWY116" s="15"/>
      <c r="AWZ116" s="15"/>
      <c r="AXA116" s="15"/>
      <c r="AXB116" s="15"/>
      <c r="AXC116" s="15"/>
      <c r="AXD116" s="15"/>
      <c r="AXE116" s="15"/>
      <c r="AXF116" s="15"/>
      <c r="AXG116" s="15"/>
      <c r="AXH116" s="15"/>
      <c r="AXI116" s="15"/>
      <c r="AXJ116" s="15"/>
      <c r="AXK116" s="15"/>
      <c r="AXL116" s="15"/>
      <c r="AXM116" s="15"/>
      <c r="AXN116" s="15"/>
      <c r="AXO116" s="15"/>
      <c r="AXP116" s="15"/>
      <c r="AXQ116" s="15"/>
      <c r="AXR116" s="15"/>
      <c r="AXS116" s="15"/>
      <c r="AXT116" s="14"/>
      <c r="AXU116" s="15"/>
      <c r="AXV116" s="15"/>
      <c r="AXW116" s="15"/>
      <c r="AXX116" s="15"/>
      <c r="AXY116" s="15"/>
      <c r="AXZ116" s="15"/>
      <c r="AYA116" s="15"/>
      <c r="AYB116" s="15"/>
      <c r="AYC116" s="15"/>
      <c r="AYD116" s="15"/>
      <c r="AYE116" s="15"/>
      <c r="AYF116" s="15"/>
      <c r="AYG116" s="15"/>
      <c r="AYH116" s="15"/>
      <c r="AYI116" s="15"/>
      <c r="AYJ116" s="15"/>
      <c r="AYK116" s="15"/>
      <c r="AYL116" s="15"/>
      <c r="AYM116" s="15"/>
      <c r="AYN116" s="15"/>
      <c r="AYO116" s="15"/>
      <c r="AYP116" s="14"/>
      <c r="AYQ116" s="15"/>
      <c r="AYR116" s="15"/>
      <c r="AYS116" s="15"/>
      <c r="AYT116" s="15"/>
      <c r="AYU116" s="15"/>
      <c r="AYV116" s="15"/>
      <c r="AYW116" s="15"/>
      <c r="AYX116" s="15"/>
      <c r="AYY116" s="15"/>
      <c r="AYZ116" s="15"/>
      <c r="AZA116" s="15"/>
      <c r="AZB116" s="15"/>
      <c r="AZC116" s="15"/>
      <c r="AZD116" s="15"/>
      <c r="AZE116" s="15"/>
      <c r="AZF116" s="15"/>
      <c r="AZG116" s="15"/>
      <c r="AZH116" s="15"/>
      <c r="AZI116" s="15"/>
      <c r="AZJ116" s="15"/>
      <c r="AZK116" s="15"/>
      <c r="AZL116" s="14"/>
      <c r="AZM116" s="15"/>
      <c r="AZN116" s="15"/>
      <c r="AZO116" s="15"/>
      <c r="AZP116" s="15"/>
      <c r="AZQ116" s="15"/>
      <c r="AZR116" s="15"/>
      <c r="AZS116" s="15"/>
      <c r="AZT116" s="15"/>
      <c r="AZU116" s="15"/>
      <c r="AZV116" s="15"/>
      <c r="AZW116" s="15"/>
      <c r="AZX116" s="15"/>
      <c r="AZY116" s="15"/>
      <c r="AZZ116" s="15"/>
      <c r="BAA116" s="15"/>
      <c r="BAB116" s="15"/>
      <c r="BAC116" s="15"/>
      <c r="BAD116" s="15"/>
      <c r="BAE116" s="15"/>
      <c r="BAF116" s="15"/>
      <c r="BAG116" s="15"/>
      <c r="BAH116" s="14"/>
      <c r="BAI116" s="15"/>
      <c r="BAJ116" s="15"/>
      <c r="BAK116" s="15"/>
      <c r="BAL116" s="15"/>
      <c r="BAM116" s="15"/>
      <c r="BAN116" s="15"/>
      <c r="BAO116" s="15"/>
      <c r="BAP116" s="15"/>
      <c r="BAQ116" s="15"/>
      <c r="BAR116" s="15"/>
      <c r="BAS116" s="15"/>
      <c r="BAT116" s="15"/>
      <c r="BAU116" s="15"/>
      <c r="BAV116" s="15"/>
      <c r="BAW116" s="15"/>
      <c r="BAX116" s="15"/>
      <c r="BAY116" s="15"/>
      <c r="BAZ116" s="15"/>
      <c r="BBA116" s="15"/>
      <c r="BBB116" s="15"/>
      <c r="BBC116" s="15"/>
      <c r="BBD116" s="14"/>
      <c r="BBE116" s="15"/>
      <c r="BBF116" s="15"/>
      <c r="BBG116" s="15"/>
      <c r="BBH116" s="15"/>
      <c r="BBI116" s="15"/>
      <c r="BBJ116" s="15"/>
      <c r="BBK116" s="15"/>
      <c r="BBL116" s="15"/>
      <c r="BBM116" s="15"/>
      <c r="BBN116" s="15"/>
      <c r="BBO116" s="15"/>
      <c r="BBP116" s="15"/>
      <c r="BBQ116" s="15"/>
      <c r="BBR116" s="15"/>
      <c r="BBS116" s="15"/>
      <c r="BBT116" s="15"/>
      <c r="BBU116" s="15"/>
      <c r="BBV116" s="15"/>
      <c r="BBW116" s="15"/>
      <c r="BBX116" s="15"/>
      <c r="BBY116" s="15"/>
      <c r="BBZ116" s="14"/>
      <c r="BCA116" s="15"/>
      <c r="BCB116" s="15"/>
      <c r="BCC116" s="15"/>
      <c r="BCD116" s="15"/>
      <c r="BCE116" s="15"/>
      <c r="BCF116" s="15"/>
      <c r="BCG116" s="15"/>
      <c r="BCH116" s="15"/>
      <c r="BCI116" s="15"/>
      <c r="BCJ116" s="15"/>
      <c r="BCK116" s="15"/>
      <c r="BCL116" s="15"/>
      <c r="BCM116" s="15"/>
      <c r="BCN116" s="15"/>
      <c r="BCO116" s="15"/>
      <c r="BCP116" s="15"/>
      <c r="BCQ116" s="15"/>
      <c r="BCR116" s="15"/>
      <c r="BCS116" s="15"/>
      <c r="BCT116" s="15"/>
      <c r="BCU116" s="15"/>
      <c r="BCV116" s="14"/>
      <c r="BCW116" s="15"/>
      <c r="BCX116" s="15"/>
      <c r="BCY116" s="15"/>
      <c r="BCZ116" s="15"/>
      <c r="BDA116" s="15"/>
      <c r="BDB116" s="15"/>
      <c r="BDC116" s="15"/>
      <c r="BDD116" s="15"/>
      <c r="BDE116" s="15"/>
      <c r="BDF116" s="15"/>
      <c r="BDG116" s="15"/>
      <c r="BDH116" s="15"/>
      <c r="BDI116" s="15"/>
      <c r="BDJ116" s="15"/>
      <c r="BDK116" s="15"/>
      <c r="BDL116" s="15"/>
      <c r="BDM116" s="15"/>
      <c r="BDN116" s="15"/>
      <c r="BDO116" s="15"/>
      <c r="BDP116" s="15"/>
      <c r="BDQ116" s="15"/>
      <c r="BDR116" s="14"/>
      <c r="BDS116" s="15"/>
      <c r="BDT116" s="15"/>
      <c r="BDU116" s="15"/>
      <c r="BDV116" s="15"/>
      <c r="BDW116" s="15"/>
      <c r="BDX116" s="15"/>
      <c r="BDY116" s="15"/>
      <c r="BDZ116" s="15"/>
      <c r="BEA116" s="15"/>
      <c r="BEB116" s="15"/>
      <c r="BEC116" s="15"/>
      <c r="BED116" s="15"/>
      <c r="BEE116" s="15"/>
      <c r="BEF116" s="15"/>
      <c r="BEG116" s="15"/>
      <c r="BEH116" s="15"/>
      <c r="BEI116" s="15"/>
      <c r="BEJ116" s="15"/>
      <c r="BEK116" s="15"/>
      <c r="BEL116" s="15"/>
      <c r="BEM116" s="15"/>
      <c r="BEN116" s="14"/>
      <c r="BEO116" s="15"/>
      <c r="BEP116" s="15"/>
      <c r="BEQ116" s="15"/>
      <c r="BER116" s="15"/>
      <c r="BES116" s="15"/>
      <c r="BET116" s="15"/>
      <c r="BEU116" s="15"/>
      <c r="BEV116" s="15"/>
      <c r="BEW116" s="15"/>
      <c r="BEX116" s="15"/>
      <c r="BEY116" s="15"/>
      <c r="BEZ116" s="15"/>
      <c r="BFA116" s="15"/>
      <c r="BFB116" s="15"/>
      <c r="BFC116" s="15"/>
      <c r="BFD116" s="15"/>
      <c r="BFE116" s="15"/>
      <c r="BFF116" s="15"/>
      <c r="BFG116" s="15"/>
      <c r="BFH116" s="15"/>
      <c r="BFI116" s="15"/>
      <c r="BFJ116" s="14"/>
      <c r="BFK116" s="15"/>
      <c r="BFL116" s="15"/>
      <c r="BFM116" s="15"/>
      <c r="BFN116" s="15"/>
      <c r="BFO116" s="15"/>
      <c r="BFP116" s="15"/>
      <c r="BFQ116" s="15"/>
      <c r="BFR116" s="15"/>
      <c r="BFS116" s="15"/>
      <c r="BFT116" s="15"/>
      <c r="BFU116" s="15"/>
      <c r="BFV116" s="15"/>
      <c r="BFW116" s="15"/>
      <c r="BFX116" s="15"/>
      <c r="BFY116" s="15"/>
      <c r="BFZ116" s="15"/>
      <c r="BGA116" s="15"/>
      <c r="BGB116" s="15"/>
      <c r="BGC116" s="15"/>
      <c r="BGD116" s="15"/>
      <c r="BGE116" s="15"/>
      <c r="BGF116" s="14"/>
      <c r="BGG116" s="15"/>
      <c r="BGH116" s="15"/>
      <c r="BGI116" s="15"/>
      <c r="BGJ116" s="15"/>
      <c r="BGK116" s="15"/>
      <c r="BGL116" s="15"/>
      <c r="BGM116" s="15"/>
      <c r="BGN116" s="15"/>
      <c r="BGO116" s="15"/>
      <c r="BGP116" s="15"/>
      <c r="BGQ116" s="15"/>
      <c r="BGR116" s="15"/>
      <c r="BGS116" s="15"/>
      <c r="BGT116" s="15"/>
      <c r="BGU116" s="15"/>
      <c r="BGV116" s="15"/>
      <c r="BGW116" s="15"/>
      <c r="BGX116" s="15"/>
      <c r="BGY116" s="15"/>
      <c r="BGZ116" s="15"/>
      <c r="BHA116" s="15"/>
      <c r="BHB116" s="14"/>
      <c r="BHC116" s="15"/>
      <c r="BHD116" s="15"/>
      <c r="BHE116" s="15"/>
      <c r="BHF116" s="15"/>
      <c r="BHG116" s="15"/>
      <c r="BHH116" s="15"/>
      <c r="BHI116" s="15"/>
      <c r="BHJ116" s="15"/>
      <c r="BHK116" s="15"/>
      <c r="BHL116" s="15"/>
      <c r="BHM116" s="15"/>
      <c r="BHN116" s="15"/>
      <c r="BHO116" s="15"/>
      <c r="BHP116" s="15"/>
      <c r="BHQ116" s="15"/>
      <c r="BHR116" s="15"/>
      <c r="BHS116" s="15"/>
      <c r="BHT116" s="15"/>
      <c r="BHU116" s="15"/>
      <c r="BHV116" s="15"/>
      <c r="BHW116" s="15"/>
      <c r="BHX116" s="14"/>
      <c r="BHY116" s="15"/>
      <c r="BHZ116" s="15"/>
      <c r="BIA116" s="15"/>
      <c r="BIB116" s="15"/>
      <c r="BIC116" s="15"/>
      <c r="BID116" s="15"/>
      <c r="BIE116" s="15"/>
      <c r="BIF116" s="15"/>
      <c r="BIG116" s="15"/>
      <c r="BIH116" s="15"/>
      <c r="BII116" s="15"/>
      <c r="BIJ116" s="15"/>
      <c r="BIK116" s="15"/>
      <c r="BIL116" s="15"/>
      <c r="BIM116" s="15"/>
      <c r="BIN116" s="15"/>
      <c r="BIO116" s="15"/>
      <c r="BIP116" s="15"/>
      <c r="BIQ116" s="15"/>
      <c r="BIR116" s="15"/>
      <c r="BIS116" s="15"/>
      <c r="BIT116" s="14"/>
      <c r="BIU116" s="15"/>
      <c r="BIV116" s="15"/>
      <c r="BIW116" s="15"/>
      <c r="BIX116" s="15"/>
      <c r="BIY116" s="15"/>
      <c r="BIZ116" s="15"/>
      <c r="BJA116" s="15"/>
      <c r="BJB116" s="15"/>
      <c r="BJC116" s="15"/>
      <c r="BJD116" s="15"/>
      <c r="BJE116" s="15"/>
      <c r="BJF116" s="15"/>
      <c r="BJG116" s="15"/>
      <c r="BJH116" s="15"/>
      <c r="BJI116" s="15"/>
      <c r="BJJ116" s="15"/>
      <c r="BJK116" s="15"/>
      <c r="BJL116" s="15"/>
      <c r="BJM116" s="15"/>
      <c r="BJN116" s="15"/>
      <c r="BJO116" s="15"/>
      <c r="BJP116" s="14"/>
      <c r="BJQ116" s="15"/>
      <c r="BJR116" s="15"/>
      <c r="BJS116" s="15"/>
      <c r="BJT116" s="15"/>
      <c r="BJU116" s="15"/>
      <c r="BJV116" s="15"/>
      <c r="BJW116" s="15"/>
      <c r="BJX116" s="15"/>
      <c r="BJY116" s="15"/>
      <c r="BJZ116" s="15"/>
      <c r="BKA116" s="15"/>
      <c r="BKB116" s="15"/>
      <c r="BKC116" s="15"/>
      <c r="BKD116" s="15"/>
      <c r="BKE116" s="15"/>
      <c r="BKF116" s="15"/>
      <c r="BKG116" s="15"/>
      <c r="BKH116" s="15"/>
      <c r="BKI116" s="15"/>
      <c r="BKJ116" s="15"/>
      <c r="BKK116" s="15"/>
      <c r="BKL116" s="14"/>
      <c r="BKM116" s="15"/>
      <c r="BKN116" s="15"/>
      <c r="BKO116" s="15"/>
      <c r="BKP116" s="15"/>
      <c r="BKQ116" s="15"/>
      <c r="BKR116" s="15"/>
      <c r="BKS116" s="15"/>
      <c r="BKT116" s="15"/>
      <c r="BKU116" s="15"/>
      <c r="BKV116" s="15"/>
      <c r="BKW116" s="15"/>
      <c r="BKX116" s="15"/>
      <c r="BKY116" s="15"/>
      <c r="BKZ116" s="15"/>
      <c r="BLA116" s="15"/>
      <c r="BLB116" s="15"/>
      <c r="BLC116" s="15"/>
      <c r="BLD116" s="15"/>
      <c r="BLE116" s="15"/>
      <c r="BLF116" s="15"/>
      <c r="BLG116" s="15"/>
      <c r="BLH116" s="14"/>
      <c r="BLI116" s="15"/>
      <c r="BLJ116" s="15"/>
      <c r="BLK116" s="15"/>
      <c r="BLL116" s="15"/>
      <c r="BLM116" s="15"/>
      <c r="BLN116" s="15"/>
      <c r="BLO116" s="15"/>
      <c r="BLP116" s="15"/>
      <c r="BLQ116" s="15"/>
      <c r="BLR116" s="15"/>
      <c r="BLS116" s="15"/>
      <c r="BLT116" s="15"/>
      <c r="BLU116" s="15"/>
      <c r="BLV116" s="15"/>
      <c r="BLW116" s="15"/>
      <c r="BLX116" s="15"/>
      <c r="BLY116" s="15"/>
      <c r="BLZ116" s="15"/>
      <c r="BMA116" s="15"/>
      <c r="BMB116" s="15"/>
      <c r="BMC116" s="15"/>
      <c r="BMD116" s="14"/>
      <c r="BME116" s="15"/>
      <c r="BMF116" s="15"/>
      <c r="BMG116" s="15"/>
      <c r="BMH116" s="15"/>
      <c r="BMI116" s="15"/>
      <c r="BMJ116" s="15"/>
      <c r="BMK116" s="15"/>
      <c r="BML116" s="15"/>
      <c r="BMM116" s="15"/>
      <c r="BMN116" s="15"/>
      <c r="BMO116" s="15"/>
      <c r="BMP116" s="15"/>
      <c r="BMQ116" s="15"/>
      <c r="BMR116" s="15"/>
      <c r="BMS116" s="15"/>
      <c r="BMT116" s="15"/>
      <c r="BMU116" s="15"/>
      <c r="BMV116" s="15"/>
      <c r="BMW116" s="15"/>
      <c r="BMX116" s="15"/>
      <c r="BMY116" s="15"/>
      <c r="BMZ116" s="14"/>
      <c r="BNA116" s="15"/>
      <c r="BNB116" s="15"/>
      <c r="BNC116" s="15"/>
      <c r="BND116" s="15"/>
      <c r="BNE116" s="15"/>
      <c r="BNF116" s="15"/>
      <c r="BNG116" s="15"/>
      <c r="BNH116" s="15"/>
      <c r="BNI116" s="15"/>
      <c r="BNJ116" s="15"/>
      <c r="BNK116" s="15"/>
      <c r="BNL116" s="15"/>
      <c r="BNM116" s="15"/>
      <c r="BNN116" s="15"/>
      <c r="BNO116" s="15"/>
      <c r="BNP116" s="15"/>
      <c r="BNQ116" s="15"/>
      <c r="BNR116" s="15"/>
      <c r="BNS116" s="15"/>
      <c r="BNT116" s="15"/>
      <c r="BNU116" s="15"/>
      <c r="BNV116" s="14"/>
      <c r="BNW116" s="15"/>
      <c r="BNX116" s="15"/>
      <c r="BNY116" s="15"/>
      <c r="BNZ116" s="15"/>
      <c r="BOA116" s="15"/>
      <c r="BOB116" s="15"/>
      <c r="BOC116" s="15"/>
      <c r="BOD116" s="15"/>
      <c r="BOE116" s="15"/>
      <c r="BOF116" s="15"/>
      <c r="BOG116" s="15"/>
      <c r="BOH116" s="15"/>
      <c r="BOI116" s="15"/>
      <c r="BOJ116" s="15"/>
      <c r="BOK116" s="15"/>
      <c r="BOL116" s="15"/>
      <c r="BOM116" s="15"/>
      <c r="BON116" s="15"/>
      <c r="BOO116" s="15"/>
      <c r="BOP116" s="15"/>
      <c r="BOQ116" s="15"/>
      <c r="BOR116" s="14"/>
      <c r="BOS116" s="15"/>
      <c r="BOT116" s="15"/>
      <c r="BOU116" s="15"/>
      <c r="BOV116" s="15"/>
      <c r="BOW116" s="15"/>
      <c r="BOX116" s="15"/>
      <c r="BOY116" s="15"/>
      <c r="BOZ116" s="15"/>
      <c r="BPA116" s="15"/>
      <c r="BPB116" s="15"/>
      <c r="BPC116" s="15"/>
      <c r="BPD116" s="15"/>
      <c r="BPE116" s="15"/>
      <c r="BPF116" s="15"/>
      <c r="BPG116" s="15"/>
      <c r="BPH116" s="15"/>
      <c r="BPI116" s="15"/>
      <c r="BPJ116" s="15"/>
      <c r="BPK116" s="15"/>
      <c r="BPL116" s="15"/>
      <c r="BPM116" s="15"/>
      <c r="BPN116" s="14"/>
      <c r="BPO116" s="15"/>
      <c r="BPP116" s="15"/>
      <c r="BPQ116" s="15"/>
      <c r="BPR116" s="15"/>
      <c r="BPS116" s="15"/>
      <c r="BPT116" s="15"/>
      <c r="BPU116" s="15"/>
      <c r="BPV116" s="15"/>
      <c r="BPW116" s="15"/>
      <c r="BPX116" s="15"/>
      <c r="BPY116" s="15"/>
      <c r="BPZ116" s="15"/>
      <c r="BQA116" s="15"/>
      <c r="BQB116" s="15"/>
      <c r="BQC116" s="15"/>
      <c r="BQD116" s="15"/>
      <c r="BQE116" s="15"/>
      <c r="BQF116" s="15"/>
      <c r="BQG116" s="15"/>
      <c r="BQH116" s="15"/>
      <c r="BQI116" s="15"/>
      <c r="BQJ116" s="14"/>
      <c r="BQK116" s="15"/>
      <c r="BQL116" s="15"/>
      <c r="BQM116" s="15"/>
      <c r="BQN116" s="15"/>
      <c r="BQO116" s="15"/>
      <c r="BQP116" s="15"/>
      <c r="BQQ116" s="15"/>
      <c r="BQR116" s="15"/>
      <c r="BQS116" s="15"/>
      <c r="BQT116" s="15"/>
      <c r="BQU116" s="15"/>
      <c r="BQV116" s="15"/>
      <c r="BQW116" s="15"/>
      <c r="BQX116" s="15"/>
      <c r="BQY116" s="15"/>
      <c r="BQZ116" s="15"/>
      <c r="BRA116" s="15"/>
      <c r="BRB116" s="15"/>
      <c r="BRC116" s="15"/>
      <c r="BRD116" s="15"/>
      <c r="BRE116" s="15"/>
      <c r="BRF116" s="14"/>
      <c r="BRG116" s="15"/>
      <c r="BRH116" s="15"/>
      <c r="BRI116" s="15"/>
      <c r="BRJ116" s="15"/>
      <c r="BRK116" s="15"/>
      <c r="BRL116" s="15"/>
      <c r="BRM116" s="15"/>
      <c r="BRN116" s="15"/>
      <c r="BRO116" s="15"/>
      <c r="BRP116" s="15"/>
      <c r="BRQ116" s="15"/>
      <c r="BRR116" s="15"/>
      <c r="BRS116" s="15"/>
      <c r="BRT116" s="15"/>
      <c r="BRU116" s="15"/>
      <c r="BRV116" s="15"/>
      <c r="BRW116" s="15"/>
      <c r="BRX116" s="15"/>
      <c r="BRY116" s="15"/>
      <c r="BRZ116" s="15"/>
      <c r="BSA116" s="15"/>
      <c r="BSB116" s="14"/>
      <c r="BSC116" s="15"/>
      <c r="BSD116" s="15"/>
      <c r="BSE116" s="15"/>
      <c r="BSF116" s="15"/>
      <c r="BSG116" s="15"/>
      <c r="BSH116" s="15"/>
      <c r="BSI116" s="15"/>
      <c r="BSJ116" s="15"/>
      <c r="BSK116" s="15"/>
      <c r="BSL116" s="15"/>
      <c r="BSM116" s="15"/>
      <c r="BSN116" s="15"/>
      <c r="BSO116" s="15"/>
      <c r="BSP116" s="15"/>
      <c r="BSQ116" s="15"/>
      <c r="BSR116" s="15"/>
      <c r="BSS116" s="15"/>
      <c r="BST116" s="15"/>
      <c r="BSU116" s="15"/>
      <c r="BSV116" s="15"/>
      <c r="BSW116" s="15"/>
      <c r="BSX116" s="14"/>
      <c r="BSY116" s="15"/>
      <c r="BSZ116" s="15"/>
      <c r="BTA116" s="15"/>
      <c r="BTB116" s="15"/>
      <c r="BTC116" s="15"/>
      <c r="BTD116" s="15"/>
      <c r="BTE116" s="15"/>
      <c r="BTF116" s="15"/>
      <c r="BTG116" s="15"/>
      <c r="BTH116" s="15"/>
      <c r="BTI116" s="15"/>
      <c r="BTJ116" s="15"/>
      <c r="BTK116" s="15"/>
      <c r="BTL116" s="15"/>
      <c r="BTM116" s="15"/>
      <c r="BTN116" s="15"/>
      <c r="BTO116" s="15"/>
      <c r="BTP116" s="15"/>
      <c r="BTQ116" s="15"/>
      <c r="BTR116" s="15"/>
      <c r="BTS116" s="15"/>
      <c r="BTT116" s="14"/>
      <c r="BTU116" s="15"/>
      <c r="BTV116" s="15"/>
      <c r="BTW116" s="15"/>
      <c r="BTX116" s="15"/>
      <c r="BTY116" s="15"/>
      <c r="BTZ116" s="15"/>
      <c r="BUA116" s="15"/>
      <c r="BUB116" s="15"/>
      <c r="BUC116" s="15"/>
      <c r="BUD116" s="15"/>
      <c r="BUE116" s="15"/>
      <c r="BUF116" s="15"/>
      <c r="BUG116" s="15"/>
      <c r="BUH116" s="15"/>
      <c r="BUI116" s="15"/>
      <c r="BUJ116" s="15"/>
      <c r="BUK116" s="15"/>
      <c r="BUL116" s="15"/>
      <c r="BUM116" s="15"/>
      <c r="BUN116" s="15"/>
      <c r="BUO116" s="15"/>
      <c r="BUP116" s="14"/>
      <c r="BUQ116" s="15"/>
      <c r="BUR116" s="15"/>
      <c r="BUS116" s="15"/>
      <c r="BUT116" s="15"/>
      <c r="BUU116" s="15"/>
      <c r="BUV116" s="15"/>
      <c r="BUW116" s="15"/>
      <c r="BUX116" s="15"/>
      <c r="BUY116" s="15"/>
      <c r="BUZ116" s="15"/>
      <c r="BVA116" s="15"/>
      <c r="BVB116" s="15"/>
      <c r="BVC116" s="15"/>
      <c r="BVD116" s="15"/>
      <c r="BVE116" s="15"/>
      <c r="BVF116" s="15"/>
      <c r="BVG116" s="15"/>
      <c r="BVH116" s="15"/>
      <c r="BVI116" s="15"/>
      <c r="BVJ116" s="15"/>
      <c r="BVK116" s="15"/>
      <c r="BVL116" s="14"/>
      <c r="BVM116" s="15"/>
      <c r="BVN116" s="15"/>
      <c r="BVO116" s="15"/>
      <c r="BVP116" s="15"/>
      <c r="BVQ116" s="15"/>
      <c r="BVR116" s="15"/>
      <c r="BVS116" s="15"/>
      <c r="BVT116" s="15"/>
      <c r="BVU116" s="15"/>
      <c r="BVV116" s="15"/>
      <c r="BVW116" s="15"/>
      <c r="BVX116" s="15"/>
      <c r="BVY116" s="15"/>
      <c r="BVZ116" s="15"/>
      <c r="BWA116" s="15"/>
      <c r="BWB116" s="15"/>
      <c r="BWC116" s="15"/>
      <c r="BWD116" s="15"/>
      <c r="BWE116" s="15"/>
      <c r="BWF116" s="15"/>
      <c r="BWG116" s="15"/>
      <c r="BWH116" s="14"/>
      <c r="BWI116" s="15"/>
      <c r="BWJ116" s="15"/>
      <c r="BWK116" s="15"/>
      <c r="BWL116" s="15"/>
      <c r="BWM116" s="15"/>
      <c r="BWN116" s="15"/>
      <c r="BWO116" s="15"/>
      <c r="BWP116" s="15"/>
      <c r="BWQ116" s="15"/>
      <c r="BWR116" s="15"/>
      <c r="BWS116" s="15"/>
      <c r="BWT116" s="15"/>
      <c r="BWU116" s="15"/>
      <c r="BWV116" s="15"/>
      <c r="BWW116" s="15"/>
      <c r="BWX116" s="15"/>
      <c r="BWY116" s="15"/>
      <c r="BWZ116" s="15"/>
      <c r="BXA116" s="15"/>
      <c r="BXB116" s="15"/>
      <c r="BXC116" s="15"/>
      <c r="BXD116" s="14"/>
      <c r="BXE116" s="15"/>
      <c r="BXF116" s="15"/>
      <c r="BXG116" s="15"/>
      <c r="BXH116" s="15"/>
      <c r="BXI116" s="15"/>
      <c r="BXJ116" s="15"/>
      <c r="BXK116" s="15"/>
      <c r="BXL116" s="15"/>
      <c r="BXM116" s="15"/>
      <c r="BXN116" s="15"/>
      <c r="BXO116" s="15"/>
      <c r="BXP116" s="15"/>
      <c r="BXQ116" s="15"/>
      <c r="BXR116" s="15"/>
      <c r="BXS116" s="15"/>
      <c r="BXT116" s="15"/>
      <c r="BXU116" s="15"/>
      <c r="BXV116" s="15"/>
      <c r="BXW116" s="15"/>
      <c r="BXX116" s="15"/>
      <c r="BXY116" s="15"/>
      <c r="BXZ116" s="14"/>
      <c r="BYA116" s="15"/>
      <c r="BYB116" s="15"/>
      <c r="BYC116" s="15"/>
      <c r="BYD116" s="15"/>
      <c r="BYE116" s="15"/>
      <c r="BYF116" s="15"/>
      <c r="BYG116" s="15"/>
      <c r="BYH116" s="15"/>
      <c r="BYI116" s="15"/>
      <c r="BYJ116" s="15"/>
      <c r="BYK116" s="15"/>
      <c r="BYL116" s="15"/>
      <c r="BYM116" s="15"/>
      <c r="BYN116" s="15"/>
      <c r="BYO116" s="15"/>
      <c r="BYP116" s="15"/>
      <c r="BYQ116" s="15"/>
      <c r="BYR116" s="15"/>
      <c r="BYS116" s="15"/>
      <c r="BYT116" s="15"/>
      <c r="BYU116" s="15"/>
      <c r="BYV116" s="14"/>
      <c r="BYW116" s="15"/>
      <c r="BYX116" s="15"/>
      <c r="BYY116" s="15"/>
      <c r="BYZ116" s="15"/>
      <c r="BZA116" s="15"/>
      <c r="BZB116" s="15"/>
      <c r="BZC116" s="15"/>
      <c r="BZD116" s="15"/>
      <c r="BZE116" s="15"/>
      <c r="BZF116" s="15"/>
      <c r="BZG116" s="15"/>
      <c r="BZH116" s="15"/>
      <c r="BZI116" s="15"/>
      <c r="BZJ116" s="15"/>
      <c r="BZK116" s="15"/>
      <c r="BZL116" s="15"/>
      <c r="BZM116" s="15"/>
      <c r="BZN116" s="15"/>
      <c r="BZO116" s="15"/>
      <c r="BZP116" s="15"/>
      <c r="BZQ116" s="15"/>
      <c r="BZR116" s="14"/>
      <c r="BZS116" s="15"/>
      <c r="BZT116" s="15"/>
      <c r="BZU116" s="15"/>
      <c r="BZV116" s="15"/>
      <c r="BZW116" s="15"/>
      <c r="BZX116" s="15"/>
      <c r="BZY116" s="15"/>
      <c r="BZZ116" s="15"/>
      <c r="CAA116" s="15"/>
      <c r="CAB116" s="15"/>
      <c r="CAC116" s="15"/>
      <c r="CAD116" s="15"/>
      <c r="CAE116" s="15"/>
      <c r="CAF116" s="15"/>
      <c r="CAG116" s="15"/>
      <c r="CAH116" s="15"/>
      <c r="CAI116" s="15"/>
      <c r="CAJ116" s="15"/>
      <c r="CAK116" s="15"/>
      <c r="CAL116" s="15"/>
      <c r="CAM116" s="15"/>
      <c r="CAN116" s="14"/>
      <c r="CAO116" s="15"/>
      <c r="CAP116" s="15"/>
      <c r="CAQ116" s="15"/>
      <c r="CAR116" s="15"/>
      <c r="CAS116" s="15"/>
      <c r="CAT116" s="15"/>
      <c r="CAU116" s="15"/>
      <c r="CAV116" s="15"/>
      <c r="CAW116" s="15"/>
      <c r="CAX116" s="15"/>
      <c r="CAY116" s="15"/>
      <c r="CAZ116" s="15"/>
      <c r="CBA116" s="15"/>
      <c r="CBB116" s="15"/>
      <c r="CBC116" s="15"/>
      <c r="CBD116" s="15"/>
      <c r="CBE116" s="15"/>
      <c r="CBF116" s="15"/>
      <c r="CBG116" s="15"/>
      <c r="CBH116" s="15"/>
      <c r="CBI116" s="15"/>
      <c r="CBJ116" s="14"/>
      <c r="CBK116" s="15"/>
      <c r="CBL116" s="15"/>
      <c r="CBM116" s="15"/>
      <c r="CBN116" s="15"/>
      <c r="CBO116" s="15"/>
      <c r="CBP116" s="15"/>
      <c r="CBQ116" s="15"/>
      <c r="CBR116" s="15"/>
      <c r="CBS116" s="15"/>
      <c r="CBT116" s="15"/>
      <c r="CBU116" s="15"/>
      <c r="CBV116" s="15"/>
      <c r="CBW116" s="15"/>
      <c r="CBX116" s="15"/>
      <c r="CBY116" s="15"/>
      <c r="CBZ116" s="15"/>
      <c r="CCA116" s="15"/>
      <c r="CCB116" s="15"/>
      <c r="CCC116" s="15"/>
      <c r="CCD116" s="15"/>
      <c r="CCE116" s="15"/>
      <c r="CCF116" s="14"/>
      <c r="CCG116" s="15"/>
      <c r="CCH116" s="15"/>
      <c r="CCI116" s="15"/>
      <c r="CCJ116" s="15"/>
      <c r="CCK116" s="15"/>
      <c r="CCL116" s="15"/>
      <c r="CCM116" s="15"/>
      <c r="CCN116" s="15"/>
      <c r="CCO116" s="15"/>
      <c r="CCP116" s="15"/>
      <c r="CCQ116" s="15"/>
      <c r="CCR116" s="15"/>
      <c r="CCS116" s="15"/>
      <c r="CCT116" s="15"/>
      <c r="CCU116" s="15"/>
      <c r="CCV116" s="15"/>
      <c r="CCW116" s="15"/>
      <c r="CCX116" s="15"/>
      <c r="CCY116" s="15"/>
      <c r="CCZ116" s="15"/>
      <c r="CDA116" s="15"/>
      <c r="CDB116" s="14"/>
      <c r="CDC116" s="15"/>
      <c r="CDD116" s="15"/>
      <c r="CDE116" s="15"/>
      <c r="CDF116" s="15"/>
      <c r="CDG116" s="15"/>
      <c r="CDH116" s="15"/>
      <c r="CDI116" s="15"/>
      <c r="CDJ116" s="15"/>
      <c r="CDK116" s="15"/>
      <c r="CDL116" s="15"/>
      <c r="CDM116" s="15"/>
      <c r="CDN116" s="15"/>
      <c r="CDO116" s="15"/>
      <c r="CDP116" s="15"/>
      <c r="CDQ116" s="15"/>
      <c r="CDR116" s="15"/>
      <c r="CDS116" s="15"/>
      <c r="CDT116" s="15"/>
      <c r="CDU116" s="15"/>
      <c r="CDV116" s="15"/>
      <c r="CDW116" s="15"/>
      <c r="CDX116" s="14"/>
      <c r="CDY116" s="15"/>
      <c r="CDZ116" s="15"/>
      <c r="CEA116" s="15"/>
      <c r="CEB116" s="15"/>
      <c r="CEC116" s="15"/>
      <c r="CED116" s="15"/>
      <c r="CEE116" s="15"/>
      <c r="CEF116" s="15"/>
      <c r="CEG116" s="15"/>
      <c r="CEH116" s="15"/>
      <c r="CEI116" s="15"/>
      <c r="CEJ116" s="15"/>
      <c r="CEK116" s="15"/>
      <c r="CEL116" s="15"/>
      <c r="CEM116" s="15"/>
      <c r="CEN116" s="15"/>
      <c r="CEO116" s="15"/>
      <c r="CEP116" s="15"/>
      <c r="CEQ116" s="15"/>
      <c r="CER116" s="15"/>
      <c r="CES116" s="15"/>
      <c r="CET116" s="14"/>
      <c r="CEU116" s="15"/>
      <c r="CEV116" s="15"/>
      <c r="CEW116" s="15"/>
      <c r="CEX116" s="15"/>
      <c r="CEY116" s="15"/>
      <c r="CEZ116" s="15"/>
      <c r="CFA116" s="15"/>
      <c r="CFB116" s="15"/>
      <c r="CFC116" s="15"/>
      <c r="CFD116" s="15"/>
      <c r="CFE116" s="15"/>
      <c r="CFF116" s="15"/>
      <c r="CFG116" s="15"/>
      <c r="CFH116" s="15"/>
      <c r="CFI116" s="15"/>
      <c r="CFJ116" s="15"/>
      <c r="CFK116" s="15"/>
      <c r="CFL116" s="15"/>
      <c r="CFM116" s="15"/>
      <c r="CFN116" s="15"/>
      <c r="CFO116" s="15"/>
      <c r="CFP116" s="14"/>
      <c r="CFQ116" s="15"/>
      <c r="CFR116" s="15"/>
      <c r="CFS116" s="15"/>
      <c r="CFT116" s="15"/>
      <c r="CFU116" s="15"/>
      <c r="CFV116" s="15"/>
      <c r="CFW116" s="15"/>
      <c r="CFX116" s="15"/>
      <c r="CFY116" s="15"/>
      <c r="CFZ116" s="15"/>
      <c r="CGA116" s="15"/>
      <c r="CGB116" s="15"/>
      <c r="CGC116" s="15"/>
      <c r="CGD116" s="15"/>
      <c r="CGE116" s="15"/>
      <c r="CGF116" s="15"/>
      <c r="CGG116" s="15"/>
      <c r="CGH116" s="15"/>
      <c r="CGI116" s="15"/>
      <c r="CGJ116" s="15"/>
      <c r="CGK116" s="15"/>
      <c r="CGL116" s="14"/>
      <c r="CGM116" s="15"/>
      <c r="CGN116" s="15"/>
      <c r="CGO116" s="15"/>
      <c r="CGP116" s="15"/>
      <c r="CGQ116" s="15"/>
      <c r="CGR116" s="15"/>
      <c r="CGS116" s="15"/>
      <c r="CGT116" s="15"/>
      <c r="CGU116" s="15"/>
      <c r="CGV116" s="15"/>
      <c r="CGW116" s="15"/>
      <c r="CGX116" s="15"/>
      <c r="CGY116" s="15"/>
      <c r="CGZ116" s="15"/>
      <c r="CHA116" s="15"/>
      <c r="CHB116" s="15"/>
      <c r="CHC116" s="15"/>
      <c r="CHD116" s="15"/>
      <c r="CHE116" s="15"/>
      <c r="CHF116" s="15"/>
      <c r="CHG116" s="15"/>
      <c r="CHH116" s="14"/>
      <c r="CHI116" s="15"/>
      <c r="CHJ116" s="15"/>
      <c r="CHK116" s="15"/>
      <c r="CHL116" s="15"/>
      <c r="CHM116" s="15"/>
      <c r="CHN116" s="15"/>
      <c r="CHO116" s="15"/>
      <c r="CHP116" s="15"/>
      <c r="CHQ116" s="15"/>
      <c r="CHR116" s="15"/>
      <c r="CHS116" s="15"/>
      <c r="CHT116" s="15"/>
      <c r="CHU116" s="15"/>
      <c r="CHV116" s="15"/>
      <c r="CHW116" s="15"/>
      <c r="CHX116" s="15"/>
      <c r="CHY116" s="15"/>
      <c r="CHZ116" s="15"/>
      <c r="CIA116" s="15"/>
      <c r="CIB116" s="15"/>
      <c r="CIC116" s="15"/>
      <c r="CID116" s="14"/>
      <c r="CIE116" s="15"/>
      <c r="CIF116" s="15"/>
      <c r="CIG116" s="15"/>
      <c r="CIH116" s="15"/>
      <c r="CII116" s="15"/>
      <c r="CIJ116" s="15"/>
      <c r="CIK116" s="15"/>
      <c r="CIL116" s="15"/>
      <c r="CIM116" s="15"/>
      <c r="CIN116" s="15"/>
      <c r="CIO116" s="15"/>
      <c r="CIP116" s="15"/>
      <c r="CIQ116" s="15"/>
      <c r="CIR116" s="15"/>
      <c r="CIS116" s="15"/>
      <c r="CIT116" s="15"/>
      <c r="CIU116" s="15"/>
      <c r="CIV116" s="15"/>
      <c r="CIW116" s="15"/>
      <c r="CIX116" s="15"/>
      <c r="CIY116" s="15"/>
      <c r="CIZ116" s="14"/>
      <c r="CJA116" s="15"/>
      <c r="CJB116" s="15"/>
      <c r="CJC116" s="15"/>
      <c r="CJD116" s="15"/>
      <c r="CJE116" s="15"/>
      <c r="CJF116" s="15"/>
      <c r="CJG116" s="15"/>
      <c r="CJH116" s="15"/>
      <c r="CJI116" s="15"/>
      <c r="CJJ116" s="15"/>
      <c r="CJK116" s="15"/>
      <c r="CJL116" s="15"/>
      <c r="CJM116" s="15"/>
      <c r="CJN116" s="15"/>
      <c r="CJO116" s="15"/>
      <c r="CJP116" s="15"/>
      <c r="CJQ116" s="15"/>
      <c r="CJR116" s="15"/>
      <c r="CJS116" s="15"/>
      <c r="CJT116" s="15"/>
      <c r="CJU116" s="15"/>
      <c r="CJV116" s="14"/>
      <c r="CJW116" s="15"/>
      <c r="CJX116" s="15"/>
      <c r="CJY116" s="15"/>
      <c r="CJZ116" s="15"/>
      <c r="CKA116" s="15"/>
      <c r="CKB116" s="15"/>
      <c r="CKC116" s="15"/>
      <c r="CKD116" s="15"/>
      <c r="CKE116" s="15"/>
      <c r="CKF116" s="15"/>
      <c r="CKG116" s="15"/>
      <c r="CKH116" s="15"/>
      <c r="CKI116" s="15"/>
      <c r="CKJ116" s="15"/>
      <c r="CKK116" s="15"/>
      <c r="CKL116" s="15"/>
      <c r="CKM116" s="15"/>
      <c r="CKN116" s="15"/>
      <c r="CKO116" s="15"/>
      <c r="CKP116" s="15"/>
      <c r="CKQ116" s="15"/>
      <c r="CKR116" s="14"/>
      <c r="CKS116" s="15"/>
      <c r="CKT116" s="15"/>
      <c r="CKU116" s="15"/>
      <c r="CKV116" s="15"/>
      <c r="CKW116" s="15"/>
      <c r="CKX116" s="15"/>
      <c r="CKY116" s="15"/>
      <c r="CKZ116" s="15"/>
      <c r="CLA116" s="15"/>
      <c r="CLB116" s="15"/>
      <c r="CLC116" s="15"/>
      <c r="CLD116" s="15"/>
      <c r="CLE116" s="15"/>
      <c r="CLF116" s="15"/>
      <c r="CLG116" s="15"/>
      <c r="CLH116" s="15"/>
      <c r="CLI116" s="15"/>
      <c r="CLJ116" s="15"/>
      <c r="CLK116" s="15"/>
      <c r="CLL116" s="15"/>
      <c r="CLM116" s="15"/>
      <c r="CLN116" s="14"/>
      <c r="CLO116" s="15"/>
      <c r="CLP116" s="15"/>
      <c r="CLQ116" s="15"/>
      <c r="CLR116" s="15"/>
      <c r="CLS116" s="15"/>
      <c r="CLT116" s="15"/>
      <c r="CLU116" s="15"/>
      <c r="CLV116" s="15"/>
      <c r="CLW116" s="15"/>
      <c r="CLX116" s="15"/>
      <c r="CLY116" s="15"/>
      <c r="CLZ116" s="15"/>
      <c r="CMA116" s="15"/>
      <c r="CMB116" s="15"/>
      <c r="CMC116" s="15"/>
      <c r="CMD116" s="15"/>
      <c r="CME116" s="15"/>
      <c r="CMF116" s="15"/>
      <c r="CMG116" s="15"/>
      <c r="CMH116" s="15"/>
      <c r="CMI116" s="15"/>
      <c r="CMJ116" s="14"/>
      <c r="CMK116" s="15"/>
      <c r="CML116" s="15"/>
      <c r="CMM116" s="15"/>
      <c r="CMN116" s="15"/>
      <c r="CMO116" s="15"/>
      <c r="CMP116" s="15"/>
      <c r="CMQ116" s="15"/>
      <c r="CMR116" s="15"/>
      <c r="CMS116" s="15"/>
      <c r="CMT116" s="15"/>
      <c r="CMU116" s="15"/>
      <c r="CMV116" s="15"/>
      <c r="CMW116" s="15"/>
      <c r="CMX116" s="15"/>
      <c r="CMY116" s="15"/>
      <c r="CMZ116" s="15"/>
      <c r="CNA116" s="15"/>
      <c r="CNB116" s="15"/>
      <c r="CNC116" s="15"/>
      <c r="CND116" s="15"/>
      <c r="CNE116" s="15"/>
      <c r="CNF116" s="14"/>
      <c r="CNG116" s="15"/>
      <c r="CNH116" s="15"/>
      <c r="CNI116" s="15"/>
      <c r="CNJ116" s="15"/>
      <c r="CNK116" s="15"/>
      <c r="CNL116" s="15"/>
      <c r="CNM116" s="15"/>
      <c r="CNN116" s="15"/>
      <c r="CNO116" s="15"/>
      <c r="CNP116" s="15"/>
      <c r="CNQ116" s="15"/>
      <c r="CNR116" s="15"/>
      <c r="CNS116" s="15"/>
      <c r="CNT116" s="15"/>
      <c r="CNU116" s="15"/>
      <c r="CNV116" s="15"/>
      <c r="CNW116" s="15"/>
      <c r="CNX116" s="15"/>
      <c r="CNY116" s="15"/>
      <c r="CNZ116" s="15"/>
      <c r="COA116" s="15"/>
      <c r="COB116" s="14"/>
      <c r="COC116" s="15"/>
      <c r="COD116" s="15"/>
      <c r="COE116" s="15"/>
      <c r="COF116" s="15"/>
      <c r="COG116" s="15"/>
      <c r="COH116" s="15"/>
      <c r="COI116" s="15"/>
      <c r="COJ116" s="15"/>
      <c r="COK116" s="15"/>
      <c r="COL116" s="15"/>
      <c r="COM116" s="15"/>
      <c r="CON116" s="15"/>
      <c r="COO116" s="15"/>
      <c r="COP116" s="15"/>
      <c r="COQ116" s="15"/>
      <c r="COR116" s="15"/>
      <c r="COS116" s="15"/>
      <c r="COT116" s="15"/>
      <c r="COU116" s="15"/>
      <c r="COV116" s="15"/>
      <c r="COW116" s="15"/>
      <c r="COX116" s="14"/>
      <c r="COY116" s="15"/>
      <c r="COZ116" s="15"/>
      <c r="CPA116" s="15"/>
      <c r="CPB116" s="15"/>
      <c r="CPC116" s="15"/>
      <c r="CPD116" s="15"/>
      <c r="CPE116" s="15"/>
      <c r="CPF116" s="15"/>
      <c r="CPG116" s="15"/>
      <c r="CPH116" s="15"/>
      <c r="CPI116" s="15"/>
      <c r="CPJ116" s="15"/>
      <c r="CPK116" s="15"/>
      <c r="CPL116" s="15"/>
      <c r="CPM116" s="15"/>
      <c r="CPN116" s="15"/>
      <c r="CPO116" s="15"/>
      <c r="CPP116" s="15"/>
      <c r="CPQ116" s="15"/>
      <c r="CPR116" s="15"/>
      <c r="CPS116" s="15"/>
      <c r="CPT116" s="14"/>
      <c r="CPU116" s="15"/>
      <c r="CPV116" s="15"/>
      <c r="CPW116" s="15"/>
      <c r="CPX116" s="15"/>
      <c r="CPY116" s="15"/>
      <c r="CPZ116" s="15"/>
      <c r="CQA116" s="15"/>
      <c r="CQB116" s="15"/>
      <c r="CQC116" s="15"/>
      <c r="CQD116" s="15"/>
      <c r="CQE116" s="15"/>
      <c r="CQF116" s="15"/>
      <c r="CQG116" s="15"/>
      <c r="CQH116" s="15"/>
      <c r="CQI116" s="15"/>
      <c r="CQJ116" s="15"/>
      <c r="CQK116" s="15"/>
      <c r="CQL116" s="15"/>
      <c r="CQM116" s="15"/>
      <c r="CQN116" s="15"/>
      <c r="CQO116" s="15"/>
      <c r="CQP116" s="14"/>
      <c r="CQQ116" s="15"/>
      <c r="CQR116" s="15"/>
      <c r="CQS116" s="15"/>
      <c r="CQT116" s="15"/>
      <c r="CQU116" s="15"/>
      <c r="CQV116" s="15"/>
      <c r="CQW116" s="15"/>
      <c r="CQX116" s="15"/>
      <c r="CQY116" s="15"/>
      <c r="CQZ116" s="15"/>
      <c r="CRA116" s="15"/>
      <c r="CRB116" s="15"/>
      <c r="CRC116" s="15"/>
      <c r="CRD116" s="15"/>
      <c r="CRE116" s="15"/>
      <c r="CRF116" s="15"/>
      <c r="CRG116" s="15"/>
      <c r="CRH116" s="15"/>
      <c r="CRI116" s="15"/>
      <c r="CRJ116" s="15"/>
      <c r="CRK116" s="15"/>
      <c r="CRL116" s="14"/>
      <c r="CRM116" s="15"/>
      <c r="CRN116" s="15"/>
      <c r="CRO116" s="15"/>
      <c r="CRP116" s="15"/>
      <c r="CRQ116" s="15"/>
      <c r="CRR116" s="15"/>
      <c r="CRS116" s="15"/>
      <c r="CRT116" s="15"/>
      <c r="CRU116" s="15"/>
      <c r="CRV116" s="15"/>
      <c r="CRW116" s="15"/>
      <c r="CRX116" s="15"/>
      <c r="CRY116" s="15"/>
      <c r="CRZ116" s="15"/>
      <c r="CSA116" s="15"/>
      <c r="CSB116" s="15"/>
      <c r="CSC116" s="15"/>
      <c r="CSD116" s="15"/>
      <c r="CSE116" s="15"/>
      <c r="CSF116" s="15"/>
      <c r="CSG116" s="15"/>
      <c r="CSH116" s="14"/>
      <c r="CSI116" s="15"/>
      <c r="CSJ116" s="15"/>
      <c r="CSK116" s="15"/>
      <c r="CSL116" s="15"/>
      <c r="CSM116" s="15"/>
      <c r="CSN116" s="15"/>
      <c r="CSO116" s="15"/>
      <c r="CSP116" s="15"/>
      <c r="CSQ116" s="15"/>
      <c r="CSR116" s="15"/>
      <c r="CSS116" s="15"/>
      <c r="CST116" s="15"/>
      <c r="CSU116" s="15"/>
      <c r="CSV116" s="15"/>
      <c r="CSW116" s="15"/>
      <c r="CSX116" s="15"/>
      <c r="CSY116" s="15"/>
      <c r="CSZ116" s="15"/>
      <c r="CTA116" s="15"/>
      <c r="CTB116" s="15"/>
      <c r="CTC116" s="15"/>
      <c r="CTD116" s="14"/>
      <c r="CTE116" s="15"/>
      <c r="CTF116" s="15"/>
      <c r="CTG116" s="15"/>
      <c r="CTH116" s="15"/>
      <c r="CTI116" s="15"/>
      <c r="CTJ116" s="15"/>
      <c r="CTK116" s="15"/>
      <c r="CTL116" s="15"/>
      <c r="CTM116" s="15"/>
      <c r="CTN116" s="15"/>
      <c r="CTO116" s="15"/>
      <c r="CTP116" s="15"/>
      <c r="CTQ116" s="15"/>
      <c r="CTR116" s="15"/>
      <c r="CTS116" s="15"/>
      <c r="CTT116" s="15"/>
      <c r="CTU116" s="15"/>
      <c r="CTV116" s="15"/>
      <c r="CTW116" s="15"/>
      <c r="CTX116" s="15"/>
      <c r="CTY116" s="15"/>
      <c r="CTZ116" s="14"/>
      <c r="CUA116" s="15"/>
      <c r="CUB116" s="15"/>
      <c r="CUC116" s="15"/>
      <c r="CUD116" s="15"/>
      <c r="CUE116" s="15"/>
      <c r="CUF116" s="15"/>
      <c r="CUG116" s="15"/>
      <c r="CUH116" s="15"/>
      <c r="CUI116" s="15"/>
      <c r="CUJ116" s="15"/>
      <c r="CUK116" s="15"/>
      <c r="CUL116" s="15"/>
      <c r="CUM116" s="15"/>
      <c r="CUN116" s="15"/>
      <c r="CUO116" s="15"/>
      <c r="CUP116" s="15"/>
      <c r="CUQ116" s="15"/>
      <c r="CUR116" s="15"/>
      <c r="CUS116" s="15"/>
      <c r="CUT116" s="15"/>
      <c r="CUU116" s="15"/>
      <c r="CUV116" s="14"/>
      <c r="CUW116" s="15"/>
      <c r="CUX116" s="15"/>
      <c r="CUY116" s="15"/>
      <c r="CUZ116" s="15"/>
      <c r="CVA116" s="15"/>
      <c r="CVB116" s="15"/>
      <c r="CVC116" s="15"/>
      <c r="CVD116" s="15"/>
      <c r="CVE116" s="15"/>
      <c r="CVF116" s="15"/>
      <c r="CVG116" s="15"/>
      <c r="CVH116" s="15"/>
      <c r="CVI116" s="15"/>
      <c r="CVJ116" s="15"/>
      <c r="CVK116" s="15"/>
      <c r="CVL116" s="15"/>
      <c r="CVM116" s="15"/>
      <c r="CVN116" s="15"/>
      <c r="CVO116" s="15"/>
      <c r="CVP116" s="15"/>
      <c r="CVQ116" s="15"/>
      <c r="CVR116" s="14"/>
      <c r="CVS116" s="15"/>
      <c r="CVT116" s="15"/>
      <c r="CVU116" s="15"/>
      <c r="CVV116" s="15"/>
      <c r="CVW116" s="15"/>
      <c r="CVX116" s="15"/>
      <c r="CVY116" s="15"/>
      <c r="CVZ116" s="15"/>
      <c r="CWA116" s="15"/>
      <c r="CWB116" s="15"/>
      <c r="CWC116" s="15"/>
      <c r="CWD116" s="15"/>
      <c r="CWE116" s="15"/>
      <c r="CWF116" s="15"/>
      <c r="CWG116" s="15"/>
      <c r="CWH116" s="15"/>
      <c r="CWI116" s="15"/>
      <c r="CWJ116" s="15"/>
      <c r="CWK116" s="15"/>
      <c r="CWL116" s="15"/>
      <c r="CWM116" s="15"/>
      <c r="CWN116" s="14"/>
      <c r="CWO116" s="15"/>
      <c r="CWP116" s="15"/>
      <c r="CWQ116" s="15"/>
      <c r="CWR116" s="15"/>
      <c r="CWS116" s="15"/>
      <c r="CWT116" s="15"/>
      <c r="CWU116" s="15"/>
      <c r="CWV116" s="15"/>
      <c r="CWW116" s="15"/>
      <c r="CWX116" s="15"/>
      <c r="CWY116" s="15"/>
      <c r="CWZ116" s="15"/>
      <c r="CXA116" s="15"/>
      <c r="CXB116" s="15"/>
      <c r="CXC116" s="15"/>
      <c r="CXD116" s="15"/>
      <c r="CXE116" s="15"/>
      <c r="CXF116" s="15"/>
      <c r="CXG116" s="15"/>
      <c r="CXH116" s="15"/>
      <c r="CXI116" s="15"/>
      <c r="CXJ116" s="14"/>
      <c r="CXK116" s="15"/>
      <c r="CXL116" s="15"/>
      <c r="CXM116" s="15"/>
      <c r="CXN116" s="15"/>
      <c r="CXO116" s="15"/>
      <c r="CXP116" s="15"/>
      <c r="CXQ116" s="15"/>
      <c r="CXR116" s="15"/>
      <c r="CXS116" s="15"/>
      <c r="CXT116" s="15"/>
      <c r="CXU116" s="15"/>
      <c r="CXV116" s="15"/>
      <c r="CXW116" s="15"/>
      <c r="CXX116" s="15"/>
      <c r="CXY116" s="15"/>
      <c r="CXZ116" s="15"/>
      <c r="CYA116" s="15"/>
      <c r="CYB116" s="15"/>
      <c r="CYC116" s="15"/>
      <c r="CYD116" s="15"/>
      <c r="CYE116" s="15"/>
      <c r="CYF116" s="14"/>
      <c r="CYG116" s="15"/>
      <c r="CYH116" s="15"/>
      <c r="CYI116" s="15"/>
      <c r="CYJ116" s="15"/>
      <c r="CYK116" s="15"/>
      <c r="CYL116" s="15"/>
      <c r="CYM116" s="15"/>
      <c r="CYN116" s="15"/>
      <c r="CYO116" s="15"/>
      <c r="CYP116" s="15"/>
      <c r="CYQ116" s="15"/>
      <c r="CYR116" s="15"/>
      <c r="CYS116" s="15"/>
      <c r="CYT116" s="15"/>
      <c r="CYU116" s="15"/>
      <c r="CYV116" s="15"/>
      <c r="CYW116" s="15"/>
      <c r="CYX116" s="15"/>
      <c r="CYY116" s="15"/>
      <c r="CYZ116" s="15"/>
      <c r="CZA116" s="15"/>
      <c r="CZB116" s="14"/>
      <c r="CZC116" s="15"/>
      <c r="CZD116" s="15"/>
      <c r="CZE116" s="15"/>
      <c r="CZF116" s="15"/>
      <c r="CZG116" s="15"/>
      <c r="CZH116" s="15"/>
      <c r="CZI116" s="15"/>
      <c r="CZJ116" s="15"/>
      <c r="CZK116" s="15"/>
      <c r="CZL116" s="15"/>
      <c r="CZM116" s="15"/>
      <c r="CZN116" s="15"/>
      <c r="CZO116" s="15"/>
      <c r="CZP116" s="15"/>
      <c r="CZQ116" s="15"/>
      <c r="CZR116" s="15"/>
      <c r="CZS116" s="15"/>
      <c r="CZT116" s="15"/>
      <c r="CZU116" s="15"/>
      <c r="CZV116" s="15"/>
      <c r="CZW116" s="15"/>
      <c r="CZX116" s="14"/>
      <c r="CZY116" s="15"/>
      <c r="CZZ116" s="15"/>
      <c r="DAA116" s="15"/>
      <c r="DAB116" s="15"/>
      <c r="DAC116" s="15"/>
      <c r="DAD116" s="15"/>
      <c r="DAE116" s="15"/>
      <c r="DAF116" s="15"/>
      <c r="DAG116" s="15"/>
      <c r="DAH116" s="15"/>
      <c r="DAI116" s="15"/>
      <c r="DAJ116" s="15"/>
      <c r="DAK116" s="15"/>
      <c r="DAL116" s="15"/>
      <c r="DAM116" s="15"/>
      <c r="DAN116" s="15"/>
      <c r="DAO116" s="15"/>
      <c r="DAP116" s="15"/>
      <c r="DAQ116" s="15"/>
      <c r="DAR116" s="15"/>
      <c r="DAS116" s="15"/>
      <c r="DAT116" s="14"/>
      <c r="DAU116" s="15"/>
      <c r="DAV116" s="15"/>
      <c r="DAW116" s="15"/>
      <c r="DAX116" s="15"/>
      <c r="DAY116" s="15"/>
      <c r="DAZ116" s="15"/>
      <c r="DBA116" s="15"/>
      <c r="DBB116" s="15"/>
      <c r="DBC116" s="15"/>
      <c r="DBD116" s="15"/>
      <c r="DBE116" s="15"/>
      <c r="DBF116" s="15"/>
      <c r="DBG116" s="15"/>
      <c r="DBH116" s="15"/>
      <c r="DBI116" s="15"/>
      <c r="DBJ116" s="15"/>
      <c r="DBK116" s="15"/>
      <c r="DBL116" s="15"/>
      <c r="DBM116" s="15"/>
      <c r="DBN116" s="15"/>
      <c r="DBO116" s="15"/>
      <c r="DBP116" s="14"/>
      <c r="DBQ116" s="15"/>
      <c r="DBR116" s="15"/>
      <c r="DBS116" s="15"/>
      <c r="DBT116" s="15"/>
      <c r="DBU116" s="15"/>
      <c r="DBV116" s="15"/>
      <c r="DBW116" s="15"/>
      <c r="DBX116" s="15"/>
      <c r="DBY116" s="15"/>
      <c r="DBZ116" s="15"/>
      <c r="DCA116" s="15"/>
      <c r="DCB116" s="15"/>
      <c r="DCC116" s="15"/>
      <c r="DCD116" s="15"/>
      <c r="DCE116" s="15"/>
      <c r="DCF116" s="15"/>
      <c r="DCG116" s="15"/>
      <c r="DCH116" s="15"/>
      <c r="DCI116" s="15"/>
      <c r="DCJ116" s="15"/>
      <c r="DCK116" s="15"/>
      <c r="DCL116" s="14"/>
      <c r="DCM116" s="15"/>
      <c r="DCN116" s="15"/>
      <c r="DCO116" s="15"/>
      <c r="DCP116" s="15"/>
      <c r="DCQ116" s="15"/>
      <c r="DCR116" s="15"/>
      <c r="DCS116" s="15"/>
      <c r="DCT116" s="15"/>
      <c r="DCU116" s="15"/>
      <c r="DCV116" s="15"/>
      <c r="DCW116" s="15"/>
      <c r="DCX116" s="15"/>
      <c r="DCY116" s="15"/>
      <c r="DCZ116" s="15"/>
      <c r="DDA116" s="15"/>
      <c r="DDB116" s="15"/>
      <c r="DDC116" s="15"/>
      <c r="DDD116" s="15"/>
      <c r="DDE116" s="15"/>
      <c r="DDF116" s="15"/>
      <c r="DDG116" s="15"/>
      <c r="DDH116" s="14"/>
      <c r="DDI116" s="15"/>
      <c r="DDJ116" s="15"/>
      <c r="DDK116" s="15"/>
      <c r="DDL116" s="15"/>
      <c r="DDM116" s="15"/>
      <c r="DDN116" s="15"/>
      <c r="DDO116" s="15"/>
      <c r="DDP116" s="15"/>
      <c r="DDQ116" s="15"/>
      <c r="DDR116" s="15"/>
      <c r="DDS116" s="15"/>
      <c r="DDT116" s="15"/>
      <c r="DDU116" s="15"/>
      <c r="DDV116" s="15"/>
      <c r="DDW116" s="15"/>
      <c r="DDX116" s="15"/>
      <c r="DDY116" s="15"/>
      <c r="DDZ116" s="15"/>
      <c r="DEA116" s="15"/>
      <c r="DEB116" s="15"/>
      <c r="DEC116" s="15"/>
      <c r="DED116" s="14"/>
      <c r="DEE116" s="15"/>
      <c r="DEF116" s="15"/>
      <c r="DEG116" s="15"/>
      <c r="DEH116" s="15"/>
      <c r="DEI116" s="15"/>
      <c r="DEJ116" s="15"/>
      <c r="DEK116" s="15"/>
      <c r="DEL116" s="15"/>
      <c r="DEM116" s="15"/>
      <c r="DEN116" s="15"/>
      <c r="DEO116" s="15"/>
      <c r="DEP116" s="15"/>
      <c r="DEQ116" s="15"/>
      <c r="DER116" s="15"/>
      <c r="DES116" s="15"/>
      <c r="DET116" s="15"/>
      <c r="DEU116" s="15"/>
      <c r="DEV116" s="15"/>
      <c r="DEW116" s="15"/>
      <c r="DEX116" s="15"/>
      <c r="DEY116" s="15"/>
      <c r="DEZ116" s="14"/>
      <c r="DFA116" s="15"/>
      <c r="DFB116" s="15"/>
      <c r="DFC116" s="15"/>
      <c r="DFD116" s="15"/>
      <c r="DFE116" s="15"/>
      <c r="DFF116" s="15"/>
      <c r="DFG116" s="15"/>
      <c r="DFH116" s="15"/>
      <c r="DFI116" s="15"/>
      <c r="DFJ116" s="15"/>
      <c r="DFK116" s="15"/>
      <c r="DFL116" s="15"/>
      <c r="DFM116" s="15"/>
      <c r="DFN116" s="15"/>
      <c r="DFO116" s="15"/>
      <c r="DFP116" s="15"/>
      <c r="DFQ116" s="15"/>
      <c r="DFR116" s="15"/>
      <c r="DFS116" s="15"/>
      <c r="DFT116" s="15"/>
      <c r="DFU116" s="15"/>
      <c r="DFV116" s="14"/>
      <c r="DFW116" s="15"/>
      <c r="DFX116" s="15"/>
      <c r="DFY116" s="15"/>
      <c r="DFZ116" s="15"/>
      <c r="DGA116" s="15"/>
      <c r="DGB116" s="15"/>
      <c r="DGC116" s="15"/>
      <c r="DGD116" s="15"/>
      <c r="DGE116" s="15"/>
      <c r="DGF116" s="15"/>
      <c r="DGG116" s="15"/>
      <c r="DGH116" s="15"/>
      <c r="DGI116" s="15"/>
      <c r="DGJ116" s="15"/>
      <c r="DGK116" s="15"/>
      <c r="DGL116" s="15"/>
      <c r="DGM116" s="15"/>
      <c r="DGN116" s="15"/>
      <c r="DGO116" s="15"/>
      <c r="DGP116" s="15"/>
      <c r="DGQ116" s="15"/>
      <c r="DGR116" s="14"/>
      <c r="DGS116" s="15"/>
      <c r="DGT116" s="15"/>
      <c r="DGU116" s="15"/>
      <c r="DGV116" s="15"/>
      <c r="DGW116" s="15"/>
      <c r="DGX116" s="15"/>
      <c r="DGY116" s="15"/>
      <c r="DGZ116" s="15"/>
      <c r="DHA116" s="15"/>
      <c r="DHB116" s="15"/>
      <c r="DHC116" s="15"/>
      <c r="DHD116" s="15"/>
      <c r="DHE116" s="15"/>
      <c r="DHF116" s="15"/>
      <c r="DHG116" s="15"/>
      <c r="DHH116" s="15"/>
      <c r="DHI116" s="15"/>
      <c r="DHJ116" s="15"/>
      <c r="DHK116" s="15"/>
      <c r="DHL116" s="15"/>
      <c r="DHM116" s="15"/>
      <c r="DHN116" s="14"/>
      <c r="DHO116" s="15"/>
      <c r="DHP116" s="15"/>
      <c r="DHQ116" s="15"/>
      <c r="DHR116" s="15"/>
      <c r="DHS116" s="15"/>
      <c r="DHT116" s="15"/>
      <c r="DHU116" s="15"/>
      <c r="DHV116" s="15"/>
      <c r="DHW116" s="15"/>
      <c r="DHX116" s="15"/>
      <c r="DHY116" s="15"/>
      <c r="DHZ116" s="15"/>
      <c r="DIA116" s="15"/>
      <c r="DIB116" s="15"/>
      <c r="DIC116" s="15"/>
      <c r="DID116" s="15"/>
      <c r="DIE116" s="15"/>
      <c r="DIF116" s="15"/>
      <c r="DIG116" s="15"/>
      <c r="DIH116" s="15"/>
      <c r="DII116" s="15"/>
      <c r="DIJ116" s="14"/>
      <c r="DIK116" s="15"/>
      <c r="DIL116" s="15"/>
      <c r="DIM116" s="15"/>
      <c r="DIN116" s="15"/>
      <c r="DIO116" s="15"/>
      <c r="DIP116" s="15"/>
      <c r="DIQ116" s="15"/>
      <c r="DIR116" s="15"/>
      <c r="DIS116" s="15"/>
      <c r="DIT116" s="15"/>
      <c r="DIU116" s="15"/>
      <c r="DIV116" s="15"/>
      <c r="DIW116" s="15"/>
      <c r="DIX116" s="15"/>
      <c r="DIY116" s="15"/>
      <c r="DIZ116" s="15"/>
      <c r="DJA116" s="15"/>
      <c r="DJB116" s="15"/>
      <c r="DJC116" s="15"/>
      <c r="DJD116" s="15"/>
      <c r="DJE116" s="15"/>
      <c r="DJF116" s="14"/>
      <c r="DJG116" s="15"/>
      <c r="DJH116" s="15"/>
      <c r="DJI116" s="15"/>
      <c r="DJJ116" s="15"/>
      <c r="DJK116" s="15"/>
      <c r="DJL116" s="15"/>
      <c r="DJM116" s="15"/>
      <c r="DJN116" s="15"/>
      <c r="DJO116" s="15"/>
      <c r="DJP116" s="15"/>
      <c r="DJQ116" s="15"/>
      <c r="DJR116" s="15"/>
      <c r="DJS116" s="15"/>
      <c r="DJT116" s="15"/>
      <c r="DJU116" s="15"/>
      <c r="DJV116" s="15"/>
      <c r="DJW116" s="15"/>
      <c r="DJX116" s="15"/>
      <c r="DJY116" s="15"/>
      <c r="DJZ116" s="15"/>
      <c r="DKA116" s="15"/>
      <c r="DKB116" s="14"/>
      <c r="DKC116" s="15"/>
      <c r="DKD116" s="15"/>
      <c r="DKE116" s="15"/>
      <c r="DKF116" s="15"/>
      <c r="DKG116" s="15"/>
      <c r="DKH116" s="15"/>
      <c r="DKI116" s="15"/>
      <c r="DKJ116" s="15"/>
      <c r="DKK116" s="15"/>
      <c r="DKL116" s="15"/>
      <c r="DKM116" s="15"/>
      <c r="DKN116" s="15"/>
      <c r="DKO116" s="15"/>
      <c r="DKP116" s="15"/>
      <c r="DKQ116" s="15"/>
      <c r="DKR116" s="15"/>
      <c r="DKS116" s="15"/>
      <c r="DKT116" s="15"/>
      <c r="DKU116" s="15"/>
      <c r="DKV116" s="15"/>
      <c r="DKW116" s="15"/>
      <c r="DKX116" s="14"/>
      <c r="DKY116" s="15"/>
      <c r="DKZ116" s="15"/>
      <c r="DLA116" s="15"/>
      <c r="DLB116" s="15"/>
      <c r="DLC116" s="15"/>
      <c r="DLD116" s="15"/>
      <c r="DLE116" s="15"/>
      <c r="DLF116" s="15"/>
      <c r="DLG116" s="15"/>
      <c r="DLH116" s="15"/>
      <c r="DLI116" s="15"/>
      <c r="DLJ116" s="15"/>
      <c r="DLK116" s="15"/>
      <c r="DLL116" s="15"/>
      <c r="DLM116" s="15"/>
      <c r="DLN116" s="15"/>
      <c r="DLO116" s="15"/>
      <c r="DLP116" s="15"/>
      <c r="DLQ116" s="15"/>
      <c r="DLR116" s="15"/>
      <c r="DLS116" s="15"/>
      <c r="DLT116" s="14"/>
      <c r="DLU116" s="15"/>
      <c r="DLV116" s="15"/>
      <c r="DLW116" s="15"/>
      <c r="DLX116" s="15"/>
      <c r="DLY116" s="15"/>
      <c r="DLZ116" s="15"/>
      <c r="DMA116" s="15"/>
      <c r="DMB116" s="15"/>
      <c r="DMC116" s="15"/>
      <c r="DMD116" s="15"/>
      <c r="DME116" s="15"/>
      <c r="DMF116" s="15"/>
      <c r="DMG116" s="15"/>
      <c r="DMH116" s="15"/>
      <c r="DMI116" s="15"/>
      <c r="DMJ116" s="15"/>
      <c r="DMK116" s="15"/>
      <c r="DML116" s="15"/>
      <c r="DMM116" s="15"/>
      <c r="DMN116" s="15"/>
      <c r="DMO116" s="15"/>
      <c r="DMP116" s="14"/>
      <c r="DMQ116" s="15"/>
      <c r="DMR116" s="15"/>
      <c r="DMS116" s="15"/>
      <c r="DMT116" s="15"/>
      <c r="DMU116" s="15"/>
      <c r="DMV116" s="15"/>
      <c r="DMW116" s="15"/>
      <c r="DMX116" s="15"/>
      <c r="DMY116" s="15"/>
      <c r="DMZ116" s="15"/>
      <c r="DNA116" s="15"/>
      <c r="DNB116" s="15"/>
      <c r="DNC116" s="15"/>
      <c r="DND116" s="15"/>
      <c r="DNE116" s="15"/>
      <c r="DNF116" s="15"/>
      <c r="DNG116" s="15"/>
      <c r="DNH116" s="15"/>
      <c r="DNI116" s="15"/>
      <c r="DNJ116" s="15"/>
      <c r="DNK116" s="15"/>
      <c r="DNL116" s="14"/>
      <c r="DNM116" s="15"/>
      <c r="DNN116" s="15"/>
      <c r="DNO116" s="15"/>
      <c r="DNP116" s="15"/>
      <c r="DNQ116" s="15"/>
      <c r="DNR116" s="15"/>
      <c r="DNS116" s="15"/>
      <c r="DNT116" s="15"/>
      <c r="DNU116" s="15"/>
      <c r="DNV116" s="15"/>
      <c r="DNW116" s="15"/>
      <c r="DNX116" s="15"/>
      <c r="DNY116" s="15"/>
      <c r="DNZ116" s="15"/>
      <c r="DOA116" s="15"/>
      <c r="DOB116" s="15"/>
      <c r="DOC116" s="15"/>
      <c r="DOD116" s="15"/>
      <c r="DOE116" s="15"/>
      <c r="DOF116" s="15"/>
      <c r="DOG116" s="15"/>
      <c r="DOH116" s="14"/>
      <c r="DOI116" s="15"/>
      <c r="DOJ116" s="15"/>
      <c r="DOK116" s="15"/>
      <c r="DOL116" s="15"/>
      <c r="DOM116" s="15"/>
      <c r="DON116" s="15"/>
      <c r="DOO116" s="15"/>
      <c r="DOP116" s="15"/>
      <c r="DOQ116" s="15"/>
      <c r="DOR116" s="15"/>
      <c r="DOS116" s="15"/>
      <c r="DOT116" s="15"/>
      <c r="DOU116" s="15"/>
      <c r="DOV116" s="15"/>
      <c r="DOW116" s="15"/>
      <c r="DOX116" s="15"/>
      <c r="DOY116" s="15"/>
      <c r="DOZ116" s="15"/>
      <c r="DPA116" s="15"/>
      <c r="DPB116" s="15"/>
      <c r="DPC116" s="15"/>
      <c r="DPD116" s="14"/>
      <c r="DPE116" s="15"/>
      <c r="DPF116" s="15"/>
      <c r="DPG116" s="15"/>
      <c r="DPH116" s="15"/>
      <c r="DPI116" s="15"/>
      <c r="DPJ116" s="15"/>
      <c r="DPK116" s="15"/>
      <c r="DPL116" s="15"/>
      <c r="DPM116" s="15"/>
      <c r="DPN116" s="15"/>
      <c r="DPO116" s="15"/>
      <c r="DPP116" s="15"/>
      <c r="DPQ116" s="15"/>
      <c r="DPR116" s="15"/>
      <c r="DPS116" s="15"/>
      <c r="DPT116" s="15"/>
      <c r="DPU116" s="15"/>
      <c r="DPV116" s="15"/>
      <c r="DPW116" s="15"/>
      <c r="DPX116" s="15"/>
      <c r="DPY116" s="15"/>
      <c r="DPZ116" s="14"/>
      <c r="DQA116" s="15"/>
      <c r="DQB116" s="15"/>
      <c r="DQC116" s="15"/>
      <c r="DQD116" s="15"/>
      <c r="DQE116" s="15"/>
      <c r="DQF116" s="15"/>
      <c r="DQG116" s="15"/>
      <c r="DQH116" s="15"/>
      <c r="DQI116" s="15"/>
      <c r="DQJ116" s="15"/>
      <c r="DQK116" s="15"/>
      <c r="DQL116" s="15"/>
      <c r="DQM116" s="15"/>
      <c r="DQN116" s="15"/>
      <c r="DQO116" s="15"/>
      <c r="DQP116" s="15"/>
      <c r="DQQ116" s="15"/>
      <c r="DQR116" s="15"/>
      <c r="DQS116" s="15"/>
      <c r="DQT116" s="15"/>
      <c r="DQU116" s="15"/>
      <c r="DQV116" s="14"/>
      <c r="DQW116" s="15"/>
      <c r="DQX116" s="15"/>
      <c r="DQY116" s="15"/>
      <c r="DQZ116" s="15"/>
      <c r="DRA116" s="15"/>
      <c r="DRB116" s="15"/>
      <c r="DRC116" s="15"/>
      <c r="DRD116" s="15"/>
      <c r="DRE116" s="15"/>
      <c r="DRF116" s="15"/>
      <c r="DRG116" s="15"/>
      <c r="DRH116" s="15"/>
      <c r="DRI116" s="15"/>
      <c r="DRJ116" s="15"/>
      <c r="DRK116" s="15"/>
      <c r="DRL116" s="15"/>
      <c r="DRM116" s="15"/>
      <c r="DRN116" s="15"/>
      <c r="DRO116" s="15"/>
      <c r="DRP116" s="15"/>
      <c r="DRQ116" s="15"/>
      <c r="DRR116" s="14"/>
      <c r="DRS116" s="15"/>
      <c r="DRT116" s="15"/>
      <c r="DRU116" s="15"/>
      <c r="DRV116" s="15"/>
      <c r="DRW116" s="15"/>
      <c r="DRX116" s="15"/>
      <c r="DRY116" s="15"/>
      <c r="DRZ116" s="15"/>
      <c r="DSA116" s="15"/>
      <c r="DSB116" s="15"/>
      <c r="DSC116" s="15"/>
      <c r="DSD116" s="15"/>
      <c r="DSE116" s="15"/>
      <c r="DSF116" s="15"/>
      <c r="DSG116" s="15"/>
      <c r="DSH116" s="15"/>
      <c r="DSI116" s="15"/>
      <c r="DSJ116" s="15"/>
      <c r="DSK116" s="15"/>
      <c r="DSL116" s="15"/>
      <c r="DSM116" s="15"/>
      <c r="DSN116" s="14"/>
      <c r="DSO116" s="15"/>
      <c r="DSP116" s="15"/>
      <c r="DSQ116" s="15"/>
      <c r="DSR116" s="15"/>
      <c r="DSS116" s="15"/>
      <c r="DST116" s="15"/>
      <c r="DSU116" s="15"/>
      <c r="DSV116" s="15"/>
      <c r="DSW116" s="15"/>
      <c r="DSX116" s="15"/>
      <c r="DSY116" s="15"/>
      <c r="DSZ116" s="15"/>
      <c r="DTA116" s="15"/>
      <c r="DTB116" s="15"/>
      <c r="DTC116" s="15"/>
      <c r="DTD116" s="15"/>
      <c r="DTE116" s="15"/>
      <c r="DTF116" s="15"/>
      <c r="DTG116" s="15"/>
      <c r="DTH116" s="15"/>
      <c r="DTI116" s="15"/>
      <c r="DTJ116" s="14"/>
      <c r="DTK116" s="15"/>
      <c r="DTL116" s="15"/>
      <c r="DTM116" s="15"/>
      <c r="DTN116" s="15"/>
      <c r="DTO116" s="15"/>
      <c r="DTP116" s="15"/>
      <c r="DTQ116" s="15"/>
      <c r="DTR116" s="15"/>
      <c r="DTS116" s="15"/>
      <c r="DTT116" s="15"/>
      <c r="DTU116" s="15"/>
      <c r="DTV116" s="15"/>
      <c r="DTW116" s="15"/>
      <c r="DTX116" s="15"/>
      <c r="DTY116" s="15"/>
      <c r="DTZ116" s="15"/>
      <c r="DUA116" s="15"/>
      <c r="DUB116" s="15"/>
      <c r="DUC116" s="15"/>
      <c r="DUD116" s="15"/>
      <c r="DUE116" s="15"/>
      <c r="DUF116" s="14"/>
      <c r="DUG116" s="15"/>
      <c r="DUH116" s="15"/>
      <c r="DUI116" s="15"/>
      <c r="DUJ116" s="15"/>
      <c r="DUK116" s="15"/>
      <c r="DUL116" s="15"/>
      <c r="DUM116" s="15"/>
      <c r="DUN116" s="15"/>
      <c r="DUO116" s="15"/>
      <c r="DUP116" s="15"/>
      <c r="DUQ116" s="15"/>
      <c r="DUR116" s="15"/>
      <c r="DUS116" s="15"/>
      <c r="DUT116" s="15"/>
      <c r="DUU116" s="15"/>
      <c r="DUV116" s="15"/>
      <c r="DUW116" s="15"/>
      <c r="DUX116" s="15"/>
      <c r="DUY116" s="15"/>
      <c r="DUZ116" s="15"/>
      <c r="DVA116" s="15"/>
      <c r="DVB116" s="14"/>
      <c r="DVC116" s="15"/>
      <c r="DVD116" s="15"/>
      <c r="DVE116" s="15"/>
      <c r="DVF116" s="15"/>
      <c r="DVG116" s="15"/>
      <c r="DVH116" s="15"/>
      <c r="DVI116" s="15"/>
      <c r="DVJ116" s="15"/>
      <c r="DVK116" s="15"/>
      <c r="DVL116" s="15"/>
      <c r="DVM116" s="15"/>
      <c r="DVN116" s="15"/>
      <c r="DVO116" s="15"/>
      <c r="DVP116" s="15"/>
      <c r="DVQ116" s="15"/>
      <c r="DVR116" s="15"/>
      <c r="DVS116" s="15"/>
      <c r="DVT116" s="15"/>
      <c r="DVU116" s="15"/>
      <c r="DVV116" s="15"/>
      <c r="DVW116" s="15"/>
      <c r="DVX116" s="14"/>
      <c r="DVY116" s="15"/>
      <c r="DVZ116" s="15"/>
      <c r="DWA116" s="15"/>
      <c r="DWB116" s="15"/>
      <c r="DWC116" s="15"/>
      <c r="DWD116" s="15"/>
      <c r="DWE116" s="15"/>
      <c r="DWF116" s="15"/>
      <c r="DWG116" s="15"/>
      <c r="DWH116" s="15"/>
      <c r="DWI116" s="15"/>
      <c r="DWJ116" s="15"/>
      <c r="DWK116" s="15"/>
      <c r="DWL116" s="15"/>
      <c r="DWM116" s="15"/>
      <c r="DWN116" s="15"/>
      <c r="DWO116" s="15"/>
      <c r="DWP116" s="15"/>
      <c r="DWQ116" s="15"/>
      <c r="DWR116" s="15"/>
      <c r="DWS116" s="15"/>
      <c r="DWT116" s="14"/>
      <c r="DWU116" s="15"/>
      <c r="DWV116" s="15"/>
      <c r="DWW116" s="15"/>
      <c r="DWX116" s="15"/>
      <c r="DWY116" s="15"/>
      <c r="DWZ116" s="15"/>
      <c r="DXA116" s="15"/>
      <c r="DXB116" s="15"/>
      <c r="DXC116" s="15"/>
      <c r="DXD116" s="15"/>
      <c r="DXE116" s="15"/>
      <c r="DXF116" s="15"/>
      <c r="DXG116" s="15"/>
      <c r="DXH116" s="15"/>
      <c r="DXI116" s="15"/>
      <c r="DXJ116" s="15"/>
      <c r="DXK116" s="15"/>
      <c r="DXL116" s="15"/>
      <c r="DXM116" s="15"/>
      <c r="DXN116" s="15"/>
      <c r="DXO116" s="15"/>
      <c r="DXP116" s="14"/>
      <c r="DXQ116" s="15"/>
      <c r="DXR116" s="15"/>
      <c r="DXS116" s="15"/>
      <c r="DXT116" s="15"/>
      <c r="DXU116" s="15"/>
      <c r="DXV116" s="15"/>
      <c r="DXW116" s="15"/>
      <c r="DXX116" s="15"/>
      <c r="DXY116" s="15"/>
      <c r="DXZ116" s="15"/>
      <c r="DYA116" s="15"/>
      <c r="DYB116" s="15"/>
      <c r="DYC116" s="15"/>
      <c r="DYD116" s="15"/>
      <c r="DYE116" s="15"/>
      <c r="DYF116" s="15"/>
      <c r="DYG116" s="15"/>
      <c r="DYH116" s="15"/>
      <c r="DYI116" s="15"/>
      <c r="DYJ116" s="15"/>
      <c r="DYK116" s="15"/>
      <c r="DYL116" s="14"/>
      <c r="DYM116" s="15"/>
      <c r="DYN116" s="15"/>
      <c r="DYO116" s="15"/>
      <c r="DYP116" s="15"/>
      <c r="DYQ116" s="15"/>
      <c r="DYR116" s="15"/>
      <c r="DYS116" s="15"/>
      <c r="DYT116" s="15"/>
      <c r="DYU116" s="15"/>
      <c r="DYV116" s="15"/>
      <c r="DYW116" s="15"/>
      <c r="DYX116" s="15"/>
      <c r="DYY116" s="15"/>
      <c r="DYZ116" s="15"/>
      <c r="DZA116" s="15"/>
      <c r="DZB116" s="15"/>
      <c r="DZC116" s="15"/>
      <c r="DZD116" s="15"/>
      <c r="DZE116" s="15"/>
      <c r="DZF116" s="15"/>
      <c r="DZG116" s="15"/>
      <c r="DZH116" s="14"/>
      <c r="DZI116" s="15"/>
      <c r="DZJ116" s="15"/>
      <c r="DZK116" s="15"/>
      <c r="DZL116" s="15"/>
      <c r="DZM116" s="15"/>
      <c r="DZN116" s="15"/>
      <c r="DZO116" s="15"/>
      <c r="DZP116" s="15"/>
      <c r="DZQ116" s="15"/>
      <c r="DZR116" s="15"/>
      <c r="DZS116" s="15"/>
      <c r="DZT116" s="15"/>
      <c r="DZU116" s="15"/>
      <c r="DZV116" s="15"/>
      <c r="DZW116" s="15"/>
      <c r="DZX116" s="15"/>
      <c r="DZY116" s="15"/>
      <c r="DZZ116" s="15"/>
      <c r="EAA116" s="15"/>
      <c r="EAB116" s="15"/>
      <c r="EAC116" s="15"/>
      <c r="EAD116" s="14"/>
      <c r="EAE116" s="15"/>
      <c r="EAF116" s="15"/>
      <c r="EAG116" s="15"/>
      <c r="EAH116" s="15"/>
      <c r="EAI116" s="15"/>
      <c r="EAJ116" s="15"/>
      <c r="EAK116" s="15"/>
      <c r="EAL116" s="15"/>
      <c r="EAM116" s="15"/>
      <c r="EAN116" s="15"/>
      <c r="EAO116" s="15"/>
      <c r="EAP116" s="15"/>
      <c r="EAQ116" s="15"/>
      <c r="EAR116" s="15"/>
      <c r="EAS116" s="15"/>
      <c r="EAT116" s="15"/>
      <c r="EAU116" s="15"/>
      <c r="EAV116" s="15"/>
      <c r="EAW116" s="15"/>
      <c r="EAX116" s="15"/>
      <c r="EAY116" s="15"/>
      <c r="EAZ116" s="14"/>
      <c r="EBA116" s="15"/>
      <c r="EBB116" s="15"/>
      <c r="EBC116" s="15"/>
      <c r="EBD116" s="15"/>
      <c r="EBE116" s="15"/>
      <c r="EBF116" s="15"/>
      <c r="EBG116" s="15"/>
      <c r="EBH116" s="15"/>
      <c r="EBI116" s="15"/>
      <c r="EBJ116" s="15"/>
      <c r="EBK116" s="15"/>
      <c r="EBL116" s="15"/>
      <c r="EBM116" s="15"/>
      <c r="EBN116" s="15"/>
      <c r="EBO116" s="15"/>
      <c r="EBP116" s="15"/>
      <c r="EBQ116" s="15"/>
      <c r="EBR116" s="15"/>
      <c r="EBS116" s="15"/>
      <c r="EBT116" s="15"/>
      <c r="EBU116" s="15"/>
      <c r="EBV116" s="14"/>
      <c r="EBW116" s="15"/>
      <c r="EBX116" s="15"/>
      <c r="EBY116" s="15"/>
      <c r="EBZ116" s="15"/>
      <c r="ECA116" s="15"/>
      <c r="ECB116" s="15"/>
      <c r="ECC116" s="15"/>
      <c r="ECD116" s="15"/>
      <c r="ECE116" s="15"/>
      <c r="ECF116" s="15"/>
      <c r="ECG116" s="15"/>
      <c r="ECH116" s="15"/>
      <c r="ECI116" s="15"/>
      <c r="ECJ116" s="15"/>
      <c r="ECK116" s="15"/>
      <c r="ECL116" s="15"/>
      <c r="ECM116" s="15"/>
      <c r="ECN116" s="15"/>
      <c r="ECO116" s="15"/>
      <c r="ECP116" s="15"/>
      <c r="ECQ116" s="15"/>
      <c r="ECR116" s="14"/>
      <c r="ECS116" s="15"/>
      <c r="ECT116" s="15"/>
      <c r="ECU116" s="15"/>
      <c r="ECV116" s="15"/>
      <c r="ECW116" s="15"/>
      <c r="ECX116" s="15"/>
      <c r="ECY116" s="15"/>
      <c r="ECZ116" s="15"/>
      <c r="EDA116" s="15"/>
      <c r="EDB116" s="15"/>
      <c r="EDC116" s="15"/>
      <c r="EDD116" s="15"/>
      <c r="EDE116" s="15"/>
      <c r="EDF116" s="15"/>
      <c r="EDG116" s="15"/>
      <c r="EDH116" s="15"/>
      <c r="EDI116" s="15"/>
      <c r="EDJ116" s="15"/>
      <c r="EDK116" s="15"/>
      <c r="EDL116" s="15"/>
      <c r="EDM116" s="15"/>
      <c r="EDN116" s="14"/>
      <c r="EDO116" s="15"/>
      <c r="EDP116" s="15"/>
      <c r="EDQ116" s="15"/>
      <c r="EDR116" s="15"/>
      <c r="EDS116" s="15"/>
      <c r="EDT116" s="15"/>
      <c r="EDU116" s="15"/>
      <c r="EDV116" s="15"/>
      <c r="EDW116" s="15"/>
      <c r="EDX116" s="15"/>
      <c r="EDY116" s="15"/>
      <c r="EDZ116" s="15"/>
      <c r="EEA116" s="15"/>
      <c r="EEB116" s="15"/>
      <c r="EEC116" s="15"/>
      <c r="EED116" s="15"/>
      <c r="EEE116" s="15"/>
      <c r="EEF116" s="15"/>
      <c r="EEG116" s="15"/>
      <c r="EEH116" s="15"/>
      <c r="EEI116" s="15"/>
      <c r="EEJ116" s="14"/>
      <c r="EEK116" s="15"/>
      <c r="EEL116" s="15"/>
      <c r="EEM116" s="15"/>
      <c r="EEN116" s="15"/>
      <c r="EEO116" s="15"/>
      <c r="EEP116" s="15"/>
      <c r="EEQ116" s="15"/>
      <c r="EER116" s="15"/>
      <c r="EES116" s="15"/>
      <c r="EET116" s="15"/>
      <c r="EEU116" s="15"/>
      <c r="EEV116" s="15"/>
      <c r="EEW116" s="15"/>
      <c r="EEX116" s="15"/>
      <c r="EEY116" s="15"/>
      <c r="EEZ116" s="15"/>
      <c r="EFA116" s="15"/>
      <c r="EFB116" s="15"/>
      <c r="EFC116" s="15"/>
      <c r="EFD116" s="15"/>
      <c r="EFE116" s="15"/>
      <c r="EFF116" s="14"/>
      <c r="EFG116" s="15"/>
      <c r="EFH116" s="15"/>
      <c r="EFI116" s="15"/>
      <c r="EFJ116" s="15"/>
      <c r="EFK116" s="15"/>
      <c r="EFL116" s="15"/>
      <c r="EFM116" s="15"/>
      <c r="EFN116" s="15"/>
      <c r="EFO116" s="15"/>
      <c r="EFP116" s="15"/>
      <c r="EFQ116" s="15"/>
      <c r="EFR116" s="15"/>
      <c r="EFS116" s="15"/>
      <c r="EFT116" s="15"/>
      <c r="EFU116" s="15"/>
      <c r="EFV116" s="15"/>
      <c r="EFW116" s="15"/>
      <c r="EFX116" s="15"/>
      <c r="EFY116" s="15"/>
      <c r="EFZ116" s="15"/>
      <c r="EGA116" s="15"/>
      <c r="EGB116" s="14"/>
      <c r="EGC116" s="15"/>
      <c r="EGD116" s="15"/>
      <c r="EGE116" s="15"/>
      <c r="EGF116" s="15"/>
      <c r="EGG116" s="15"/>
      <c r="EGH116" s="15"/>
      <c r="EGI116" s="15"/>
      <c r="EGJ116" s="15"/>
      <c r="EGK116" s="15"/>
      <c r="EGL116" s="15"/>
      <c r="EGM116" s="15"/>
      <c r="EGN116" s="15"/>
      <c r="EGO116" s="15"/>
      <c r="EGP116" s="15"/>
      <c r="EGQ116" s="15"/>
      <c r="EGR116" s="15"/>
      <c r="EGS116" s="15"/>
      <c r="EGT116" s="15"/>
      <c r="EGU116" s="15"/>
      <c r="EGV116" s="15"/>
      <c r="EGW116" s="15"/>
      <c r="EGX116" s="14"/>
      <c r="EGY116" s="15"/>
      <c r="EGZ116" s="15"/>
      <c r="EHA116" s="15"/>
      <c r="EHB116" s="15"/>
      <c r="EHC116" s="15"/>
      <c r="EHD116" s="15"/>
      <c r="EHE116" s="15"/>
      <c r="EHF116" s="15"/>
      <c r="EHG116" s="15"/>
      <c r="EHH116" s="15"/>
      <c r="EHI116" s="15"/>
      <c r="EHJ116" s="15"/>
      <c r="EHK116" s="15"/>
      <c r="EHL116" s="15"/>
      <c r="EHM116" s="15"/>
      <c r="EHN116" s="15"/>
      <c r="EHO116" s="15"/>
      <c r="EHP116" s="15"/>
      <c r="EHQ116" s="15"/>
      <c r="EHR116" s="15"/>
      <c r="EHS116" s="15"/>
      <c r="EHT116" s="14"/>
      <c r="EHU116" s="15"/>
      <c r="EHV116" s="15"/>
      <c r="EHW116" s="15"/>
      <c r="EHX116" s="15"/>
      <c r="EHY116" s="15"/>
      <c r="EHZ116" s="15"/>
      <c r="EIA116" s="15"/>
      <c r="EIB116" s="15"/>
      <c r="EIC116" s="15"/>
      <c r="EID116" s="15"/>
      <c r="EIE116" s="15"/>
      <c r="EIF116" s="15"/>
      <c r="EIG116" s="15"/>
      <c r="EIH116" s="15"/>
      <c r="EII116" s="15"/>
      <c r="EIJ116" s="15"/>
      <c r="EIK116" s="15"/>
      <c r="EIL116" s="15"/>
      <c r="EIM116" s="15"/>
      <c r="EIN116" s="15"/>
      <c r="EIO116" s="15"/>
      <c r="EIP116" s="14"/>
      <c r="EIQ116" s="15"/>
      <c r="EIR116" s="15"/>
      <c r="EIS116" s="15"/>
      <c r="EIT116" s="15"/>
      <c r="EIU116" s="15"/>
      <c r="EIV116" s="15"/>
      <c r="EIW116" s="15"/>
      <c r="EIX116" s="15"/>
      <c r="EIY116" s="15"/>
      <c r="EIZ116" s="15"/>
      <c r="EJA116" s="15"/>
      <c r="EJB116" s="15"/>
      <c r="EJC116" s="15"/>
      <c r="EJD116" s="15"/>
      <c r="EJE116" s="15"/>
      <c r="EJF116" s="15"/>
      <c r="EJG116" s="15"/>
      <c r="EJH116" s="15"/>
      <c r="EJI116" s="15"/>
      <c r="EJJ116" s="15"/>
      <c r="EJK116" s="15"/>
      <c r="EJL116" s="14"/>
      <c r="EJM116" s="15"/>
      <c r="EJN116" s="15"/>
      <c r="EJO116" s="15"/>
      <c r="EJP116" s="15"/>
      <c r="EJQ116" s="15"/>
      <c r="EJR116" s="15"/>
      <c r="EJS116" s="15"/>
      <c r="EJT116" s="15"/>
      <c r="EJU116" s="15"/>
      <c r="EJV116" s="15"/>
      <c r="EJW116" s="15"/>
      <c r="EJX116" s="15"/>
      <c r="EJY116" s="15"/>
      <c r="EJZ116" s="15"/>
      <c r="EKA116" s="15"/>
      <c r="EKB116" s="15"/>
      <c r="EKC116" s="15"/>
      <c r="EKD116" s="15"/>
      <c r="EKE116" s="15"/>
      <c r="EKF116" s="15"/>
      <c r="EKG116" s="15"/>
      <c r="EKH116" s="14"/>
      <c r="EKI116" s="15"/>
      <c r="EKJ116" s="15"/>
      <c r="EKK116" s="15"/>
      <c r="EKL116" s="15"/>
      <c r="EKM116" s="15"/>
      <c r="EKN116" s="15"/>
      <c r="EKO116" s="15"/>
      <c r="EKP116" s="15"/>
      <c r="EKQ116" s="15"/>
      <c r="EKR116" s="15"/>
      <c r="EKS116" s="15"/>
      <c r="EKT116" s="15"/>
      <c r="EKU116" s="15"/>
      <c r="EKV116" s="15"/>
      <c r="EKW116" s="15"/>
      <c r="EKX116" s="15"/>
      <c r="EKY116" s="15"/>
      <c r="EKZ116" s="15"/>
      <c r="ELA116" s="15"/>
      <c r="ELB116" s="15"/>
      <c r="ELC116" s="15"/>
      <c r="ELD116" s="14"/>
      <c r="ELE116" s="15"/>
      <c r="ELF116" s="15"/>
      <c r="ELG116" s="15"/>
      <c r="ELH116" s="15"/>
      <c r="ELI116" s="15"/>
      <c r="ELJ116" s="15"/>
      <c r="ELK116" s="15"/>
      <c r="ELL116" s="15"/>
      <c r="ELM116" s="15"/>
      <c r="ELN116" s="15"/>
      <c r="ELO116" s="15"/>
      <c r="ELP116" s="15"/>
      <c r="ELQ116" s="15"/>
      <c r="ELR116" s="15"/>
      <c r="ELS116" s="15"/>
      <c r="ELT116" s="15"/>
      <c r="ELU116" s="15"/>
      <c r="ELV116" s="15"/>
      <c r="ELW116" s="15"/>
      <c r="ELX116" s="15"/>
      <c r="ELY116" s="15"/>
      <c r="ELZ116" s="14"/>
      <c r="EMA116" s="15"/>
      <c r="EMB116" s="15"/>
      <c r="EMC116" s="15"/>
      <c r="EMD116" s="15"/>
      <c r="EME116" s="15"/>
      <c r="EMF116" s="15"/>
      <c r="EMG116" s="15"/>
      <c r="EMH116" s="15"/>
      <c r="EMI116" s="15"/>
      <c r="EMJ116" s="15"/>
      <c r="EMK116" s="15"/>
      <c r="EML116" s="15"/>
      <c r="EMM116" s="15"/>
      <c r="EMN116" s="15"/>
      <c r="EMO116" s="15"/>
      <c r="EMP116" s="15"/>
      <c r="EMQ116" s="15"/>
      <c r="EMR116" s="15"/>
      <c r="EMS116" s="15"/>
      <c r="EMT116" s="15"/>
      <c r="EMU116" s="15"/>
      <c r="EMV116" s="14"/>
      <c r="EMW116" s="15"/>
      <c r="EMX116" s="15"/>
      <c r="EMY116" s="15"/>
      <c r="EMZ116" s="15"/>
      <c r="ENA116" s="15"/>
      <c r="ENB116" s="15"/>
      <c r="ENC116" s="15"/>
      <c r="END116" s="15"/>
      <c r="ENE116" s="15"/>
      <c r="ENF116" s="15"/>
      <c r="ENG116" s="15"/>
      <c r="ENH116" s="15"/>
      <c r="ENI116" s="15"/>
      <c r="ENJ116" s="15"/>
      <c r="ENK116" s="15"/>
      <c r="ENL116" s="15"/>
      <c r="ENM116" s="15"/>
      <c r="ENN116" s="15"/>
      <c r="ENO116" s="15"/>
      <c r="ENP116" s="15"/>
      <c r="ENQ116" s="15"/>
      <c r="ENR116" s="14"/>
      <c r="ENS116" s="15"/>
      <c r="ENT116" s="15"/>
      <c r="ENU116" s="15"/>
      <c r="ENV116" s="15"/>
      <c r="ENW116" s="15"/>
      <c r="ENX116" s="15"/>
      <c r="ENY116" s="15"/>
      <c r="ENZ116" s="15"/>
      <c r="EOA116" s="15"/>
      <c r="EOB116" s="15"/>
      <c r="EOC116" s="15"/>
      <c r="EOD116" s="15"/>
      <c r="EOE116" s="15"/>
      <c r="EOF116" s="15"/>
      <c r="EOG116" s="15"/>
      <c r="EOH116" s="15"/>
      <c r="EOI116" s="15"/>
      <c r="EOJ116" s="15"/>
      <c r="EOK116" s="15"/>
      <c r="EOL116" s="15"/>
      <c r="EOM116" s="15"/>
      <c r="EON116" s="14"/>
      <c r="EOO116" s="15"/>
      <c r="EOP116" s="15"/>
      <c r="EOQ116" s="15"/>
      <c r="EOR116" s="15"/>
      <c r="EOS116" s="15"/>
      <c r="EOT116" s="15"/>
      <c r="EOU116" s="15"/>
      <c r="EOV116" s="15"/>
      <c r="EOW116" s="15"/>
      <c r="EOX116" s="15"/>
      <c r="EOY116" s="15"/>
      <c r="EOZ116" s="15"/>
      <c r="EPA116" s="15"/>
      <c r="EPB116" s="15"/>
      <c r="EPC116" s="15"/>
      <c r="EPD116" s="15"/>
      <c r="EPE116" s="15"/>
      <c r="EPF116" s="15"/>
      <c r="EPG116" s="15"/>
      <c r="EPH116" s="15"/>
      <c r="EPI116" s="15"/>
      <c r="EPJ116" s="14"/>
      <c r="EPK116" s="15"/>
      <c r="EPL116" s="15"/>
      <c r="EPM116" s="15"/>
      <c r="EPN116" s="15"/>
      <c r="EPO116" s="15"/>
      <c r="EPP116" s="15"/>
      <c r="EPQ116" s="15"/>
      <c r="EPR116" s="15"/>
      <c r="EPS116" s="15"/>
      <c r="EPT116" s="15"/>
      <c r="EPU116" s="15"/>
      <c r="EPV116" s="15"/>
      <c r="EPW116" s="15"/>
      <c r="EPX116" s="15"/>
      <c r="EPY116" s="15"/>
      <c r="EPZ116" s="15"/>
      <c r="EQA116" s="15"/>
      <c r="EQB116" s="15"/>
      <c r="EQC116" s="15"/>
      <c r="EQD116" s="15"/>
      <c r="EQE116" s="15"/>
      <c r="EQF116" s="14"/>
      <c r="EQG116" s="15"/>
      <c r="EQH116" s="15"/>
      <c r="EQI116" s="15"/>
      <c r="EQJ116" s="15"/>
      <c r="EQK116" s="15"/>
      <c r="EQL116" s="15"/>
      <c r="EQM116" s="15"/>
      <c r="EQN116" s="15"/>
      <c r="EQO116" s="15"/>
      <c r="EQP116" s="15"/>
      <c r="EQQ116" s="15"/>
      <c r="EQR116" s="15"/>
      <c r="EQS116" s="15"/>
      <c r="EQT116" s="15"/>
      <c r="EQU116" s="15"/>
      <c r="EQV116" s="15"/>
      <c r="EQW116" s="15"/>
      <c r="EQX116" s="15"/>
      <c r="EQY116" s="15"/>
      <c r="EQZ116" s="15"/>
      <c r="ERA116" s="15"/>
      <c r="ERB116" s="14"/>
      <c r="ERC116" s="15"/>
      <c r="ERD116" s="15"/>
      <c r="ERE116" s="15"/>
      <c r="ERF116" s="15"/>
      <c r="ERG116" s="15"/>
      <c r="ERH116" s="15"/>
      <c r="ERI116" s="15"/>
      <c r="ERJ116" s="15"/>
      <c r="ERK116" s="15"/>
      <c r="ERL116" s="15"/>
      <c r="ERM116" s="15"/>
      <c r="ERN116" s="15"/>
      <c r="ERO116" s="15"/>
      <c r="ERP116" s="15"/>
      <c r="ERQ116" s="15"/>
      <c r="ERR116" s="15"/>
      <c r="ERS116" s="15"/>
      <c r="ERT116" s="15"/>
      <c r="ERU116" s="15"/>
      <c r="ERV116" s="15"/>
      <c r="ERW116" s="15"/>
      <c r="ERX116" s="14"/>
      <c r="ERY116" s="15"/>
      <c r="ERZ116" s="15"/>
      <c r="ESA116" s="15"/>
      <c r="ESB116" s="15"/>
      <c r="ESC116" s="15"/>
      <c r="ESD116" s="15"/>
      <c r="ESE116" s="15"/>
      <c r="ESF116" s="15"/>
      <c r="ESG116" s="15"/>
      <c r="ESH116" s="15"/>
      <c r="ESI116" s="15"/>
      <c r="ESJ116" s="15"/>
      <c r="ESK116" s="15"/>
      <c r="ESL116" s="15"/>
      <c r="ESM116" s="15"/>
      <c r="ESN116" s="15"/>
      <c r="ESO116" s="15"/>
      <c r="ESP116" s="15"/>
      <c r="ESQ116" s="15"/>
      <c r="ESR116" s="15"/>
      <c r="ESS116" s="15"/>
      <c r="EST116" s="14"/>
      <c r="ESU116" s="15"/>
      <c r="ESV116" s="15"/>
      <c r="ESW116" s="15"/>
      <c r="ESX116" s="15"/>
      <c r="ESY116" s="15"/>
      <c r="ESZ116" s="15"/>
      <c r="ETA116" s="15"/>
      <c r="ETB116" s="15"/>
      <c r="ETC116" s="15"/>
      <c r="ETD116" s="15"/>
      <c r="ETE116" s="15"/>
      <c r="ETF116" s="15"/>
      <c r="ETG116" s="15"/>
      <c r="ETH116" s="15"/>
      <c r="ETI116" s="15"/>
      <c r="ETJ116" s="15"/>
      <c r="ETK116" s="15"/>
      <c r="ETL116" s="15"/>
      <c r="ETM116" s="15"/>
      <c r="ETN116" s="15"/>
      <c r="ETO116" s="15"/>
      <c r="ETP116" s="14"/>
      <c r="ETQ116" s="15"/>
      <c r="ETR116" s="15"/>
      <c r="ETS116" s="15"/>
      <c r="ETT116" s="15"/>
      <c r="ETU116" s="15"/>
      <c r="ETV116" s="15"/>
      <c r="ETW116" s="15"/>
      <c r="ETX116" s="15"/>
      <c r="ETY116" s="15"/>
      <c r="ETZ116" s="15"/>
      <c r="EUA116" s="15"/>
      <c r="EUB116" s="15"/>
      <c r="EUC116" s="15"/>
      <c r="EUD116" s="15"/>
      <c r="EUE116" s="15"/>
      <c r="EUF116" s="15"/>
      <c r="EUG116" s="15"/>
      <c r="EUH116" s="15"/>
      <c r="EUI116" s="15"/>
      <c r="EUJ116" s="15"/>
      <c r="EUK116" s="15"/>
      <c r="EUL116" s="14"/>
      <c r="EUM116" s="15"/>
      <c r="EUN116" s="15"/>
      <c r="EUO116" s="15"/>
      <c r="EUP116" s="15"/>
      <c r="EUQ116" s="15"/>
      <c r="EUR116" s="15"/>
      <c r="EUS116" s="15"/>
      <c r="EUT116" s="15"/>
      <c r="EUU116" s="15"/>
      <c r="EUV116" s="15"/>
      <c r="EUW116" s="15"/>
      <c r="EUX116" s="15"/>
      <c r="EUY116" s="15"/>
      <c r="EUZ116" s="15"/>
      <c r="EVA116" s="15"/>
      <c r="EVB116" s="15"/>
      <c r="EVC116" s="15"/>
      <c r="EVD116" s="15"/>
      <c r="EVE116" s="15"/>
      <c r="EVF116" s="15"/>
      <c r="EVG116" s="15"/>
      <c r="EVH116" s="14"/>
      <c r="EVI116" s="15"/>
      <c r="EVJ116" s="15"/>
      <c r="EVK116" s="15"/>
      <c r="EVL116" s="15"/>
      <c r="EVM116" s="15"/>
      <c r="EVN116" s="15"/>
      <c r="EVO116" s="15"/>
      <c r="EVP116" s="15"/>
      <c r="EVQ116" s="15"/>
      <c r="EVR116" s="15"/>
      <c r="EVS116" s="15"/>
      <c r="EVT116" s="15"/>
      <c r="EVU116" s="15"/>
      <c r="EVV116" s="15"/>
      <c r="EVW116" s="15"/>
      <c r="EVX116" s="15"/>
      <c r="EVY116" s="15"/>
      <c r="EVZ116" s="15"/>
      <c r="EWA116" s="15"/>
      <c r="EWB116" s="15"/>
      <c r="EWC116" s="15"/>
      <c r="EWD116" s="14"/>
      <c r="EWE116" s="15"/>
      <c r="EWF116" s="15"/>
      <c r="EWG116" s="15"/>
      <c r="EWH116" s="15"/>
      <c r="EWI116" s="15"/>
      <c r="EWJ116" s="15"/>
      <c r="EWK116" s="15"/>
      <c r="EWL116" s="15"/>
      <c r="EWM116" s="15"/>
      <c r="EWN116" s="15"/>
      <c r="EWO116" s="15"/>
      <c r="EWP116" s="15"/>
      <c r="EWQ116" s="15"/>
      <c r="EWR116" s="15"/>
      <c r="EWS116" s="15"/>
      <c r="EWT116" s="15"/>
      <c r="EWU116" s="15"/>
      <c r="EWV116" s="15"/>
      <c r="EWW116" s="15"/>
      <c r="EWX116" s="15"/>
      <c r="EWY116" s="15"/>
      <c r="EWZ116" s="14"/>
      <c r="EXA116" s="15"/>
      <c r="EXB116" s="15"/>
      <c r="EXC116" s="15"/>
      <c r="EXD116" s="15"/>
      <c r="EXE116" s="15"/>
      <c r="EXF116" s="15"/>
      <c r="EXG116" s="15"/>
      <c r="EXH116" s="15"/>
      <c r="EXI116" s="15"/>
      <c r="EXJ116" s="15"/>
      <c r="EXK116" s="15"/>
      <c r="EXL116" s="15"/>
      <c r="EXM116" s="15"/>
      <c r="EXN116" s="15"/>
      <c r="EXO116" s="15"/>
      <c r="EXP116" s="15"/>
      <c r="EXQ116" s="15"/>
      <c r="EXR116" s="15"/>
      <c r="EXS116" s="15"/>
      <c r="EXT116" s="15"/>
      <c r="EXU116" s="15"/>
      <c r="EXV116" s="14"/>
      <c r="EXW116" s="15"/>
      <c r="EXX116" s="15"/>
      <c r="EXY116" s="15"/>
      <c r="EXZ116" s="15"/>
      <c r="EYA116" s="15"/>
      <c r="EYB116" s="15"/>
      <c r="EYC116" s="15"/>
      <c r="EYD116" s="15"/>
      <c r="EYE116" s="15"/>
      <c r="EYF116" s="15"/>
      <c r="EYG116" s="15"/>
      <c r="EYH116" s="15"/>
      <c r="EYI116" s="15"/>
      <c r="EYJ116" s="15"/>
      <c r="EYK116" s="15"/>
      <c r="EYL116" s="15"/>
      <c r="EYM116" s="15"/>
      <c r="EYN116" s="15"/>
      <c r="EYO116" s="15"/>
      <c r="EYP116" s="15"/>
      <c r="EYQ116" s="15"/>
      <c r="EYR116" s="14"/>
      <c r="EYS116" s="15"/>
      <c r="EYT116" s="15"/>
      <c r="EYU116" s="15"/>
      <c r="EYV116" s="15"/>
      <c r="EYW116" s="15"/>
      <c r="EYX116" s="15"/>
      <c r="EYY116" s="15"/>
      <c r="EYZ116" s="15"/>
      <c r="EZA116" s="15"/>
      <c r="EZB116" s="15"/>
      <c r="EZC116" s="15"/>
      <c r="EZD116" s="15"/>
      <c r="EZE116" s="15"/>
      <c r="EZF116" s="15"/>
      <c r="EZG116" s="15"/>
      <c r="EZH116" s="15"/>
      <c r="EZI116" s="15"/>
      <c r="EZJ116" s="15"/>
      <c r="EZK116" s="15"/>
      <c r="EZL116" s="15"/>
      <c r="EZM116" s="15"/>
      <c r="EZN116" s="14"/>
      <c r="EZO116" s="15"/>
      <c r="EZP116" s="15"/>
      <c r="EZQ116" s="15"/>
      <c r="EZR116" s="15"/>
      <c r="EZS116" s="15"/>
      <c r="EZT116" s="15"/>
      <c r="EZU116" s="15"/>
      <c r="EZV116" s="15"/>
      <c r="EZW116" s="15"/>
      <c r="EZX116" s="15"/>
      <c r="EZY116" s="15"/>
      <c r="EZZ116" s="15"/>
      <c r="FAA116" s="15"/>
      <c r="FAB116" s="15"/>
      <c r="FAC116" s="15"/>
      <c r="FAD116" s="15"/>
      <c r="FAE116" s="15"/>
      <c r="FAF116" s="15"/>
      <c r="FAG116" s="15"/>
      <c r="FAH116" s="15"/>
      <c r="FAI116" s="15"/>
      <c r="FAJ116" s="14"/>
      <c r="FAK116" s="15"/>
      <c r="FAL116" s="15"/>
      <c r="FAM116" s="15"/>
      <c r="FAN116" s="15"/>
      <c r="FAO116" s="15"/>
      <c r="FAP116" s="15"/>
      <c r="FAQ116" s="15"/>
      <c r="FAR116" s="15"/>
      <c r="FAS116" s="15"/>
      <c r="FAT116" s="15"/>
      <c r="FAU116" s="15"/>
      <c r="FAV116" s="15"/>
      <c r="FAW116" s="15"/>
      <c r="FAX116" s="15"/>
      <c r="FAY116" s="15"/>
      <c r="FAZ116" s="15"/>
      <c r="FBA116" s="15"/>
      <c r="FBB116" s="15"/>
      <c r="FBC116" s="15"/>
      <c r="FBD116" s="15"/>
      <c r="FBE116" s="15"/>
      <c r="FBF116" s="14"/>
      <c r="FBG116" s="15"/>
      <c r="FBH116" s="15"/>
      <c r="FBI116" s="15"/>
      <c r="FBJ116" s="15"/>
      <c r="FBK116" s="15"/>
      <c r="FBL116" s="15"/>
      <c r="FBM116" s="15"/>
      <c r="FBN116" s="15"/>
      <c r="FBO116" s="15"/>
      <c r="FBP116" s="15"/>
      <c r="FBQ116" s="15"/>
      <c r="FBR116" s="15"/>
      <c r="FBS116" s="15"/>
      <c r="FBT116" s="15"/>
      <c r="FBU116" s="15"/>
      <c r="FBV116" s="15"/>
      <c r="FBW116" s="15"/>
      <c r="FBX116" s="15"/>
      <c r="FBY116" s="15"/>
      <c r="FBZ116" s="15"/>
      <c r="FCA116" s="15"/>
      <c r="FCB116" s="14"/>
      <c r="FCC116" s="15"/>
      <c r="FCD116" s="15"/>
      <c r="FCE116" s="15"/>
      <c r="FCF116" s="15"/>
      <c r="FCG116" s="15"/>
      <c r="FCH116" s="15"/>
      <c r="FCI116" s="15"/>
      <c r="FCJ116" s="15"/>
      <c r="FCK116" s="15"/>
      <c r="FCL116" s="15"/>
      <c r="FCM116" s="15"/>
      <c r="FCN116" s="15"/>
      <c r="FCO116" s="15"/>
      <c r="FCP116" s="15"/>
      <c r="FCQ116" s="15"/>
      <c r="FCR116" s="15"/>
      <c r="FCS116" s="15"/>
      <c r="FCT116" s="15"/>
      <c r="FCU116" s="15"/>
      <c r="FCV116" s="15"/>
      <c r="FCW116" s="15"/>
      <c r="FCX116" s="14"/>
      <c r="FCY116" s="15"/>
      <c r="FCZ116" s="15"/>
      <c r="FDA116" s="15"/>
      <c r="FDB116" s="15"/>
      <c r="FDC116" s="15"/>
      <c r="FDD116" s="15"/>
      <c r="FDE116" s="15"/>
      <c r="FDF116" s="15"/>
      <c r="FDG116" s="15"/>
      <c r="FDH116" s="15"/>
      <c r="FDI116" s="15"/>
      <c r="FDJ116" s="15"/>
      <c r="FDK116" s="15"/>
      <c r="FDL116" s="15"/>
      <c r="FDM116" s="15"/>
      <c r="FDN116" s="15"/>
      <c r="FDO116" s="15"/>
      <c r="FDP116" s="15"/>
      <c r="FDQ116" s="15"/>
      <c r="FDR116" s="15"/>
      <c r="FDS116" s="15"/>
      <c r="FDT116" s="14"/>
      <c r="FDU116" s="15"/>
      <c r="FDV116" s="15"/>
      <c r="FDW116" s="15"/>
      <c r="FDX116" s="15"/>
      <c r="FDY116" s="15"/>
      <c r="FDZ116" s="15"/>
      <c r="FEA116" s="15"/>
      <c r="FEB116" s="15"/>
      <c r="FEC116" s="15"/>
      <c r="FED116" s="15"/>
      <c r="FEE116" s="15"/>
      <c r="FEF116" s="15"/>
      <c r="FEG116" s="15"/>
      <c r="FEH116" s="15"/>
      <c r="FEI116" s="15"/>
      <c r="FEJ116" s="15"/>
      <c r="FEK116" s="15"/>
      <c r="FEL116" s="15"/>
      <c r="FEM116" s="15"/>
      <c r="FEN116" s="15"/>
      <c r="FEO116" s="15"/>
      <c r="FEP116" s="14"/>
      <c r="FEQ116" s="15"/>
      <c r="FER116" s="15"/>
      <c r="FES116" s="15"/>
      <c r="FET116" s="15"/>
      <c r="FEU116" s="15"/>
      <c r="FEV116" s="15"/>
      <c r="FEW116" s="15"/>
      <c r="FEX116" s="15"/>
      <c r="FEY116" s="15"/>
      <c r="FEZ116" s="15"/>
      <c r="FFA116" s="15"/>
      <c r="FFB116" s="15"/>
      <c r="FFC116" s="15"/>
      <c r="FFD116" s="15"/>
      <c r="FFE116" s="15"/>
      <c r="FFF116" s="15"/>
      <c r="FFG116" s="15"/>
      <c r="FFH116" s="15"/>
      <c r="FFI116" s="15"/>
      <c r="FFJ116" s="15"/>
      <c r="FFK116" s="15"/>
      <c r="FFL116" s="14"/>
      <c r="FFM116" s="15"/>
      <c r="FFN116" s="15"/>
      <c r="FFO116" s="15"/>
      <c r="FFP116" s="15"/>
      <c r="FFQ116" s="15"/>
      <c r="FFR116" s="15"/>
      <c r="FFS116" s="15"/>
      <c r="FFT116" s="15"/>
      <c r="FFU116" s="15"/>
      <c r="FFV116" s="15"/>
      <c r="FFW116" s="15"/>
      <c r="FFX116" s="15"/>
      <c r="FFY116" s="15"/>
      <c r="FFZ116" s="15"/>
      <c r="FGA116" s="15"/>
      <c r="FGB116" s="15"/>
      <c r="FGC116" s="15"/>
      <c r="FGD116" s="15"/>
      <c r="FGE116" s="15"/>
      <c r="FGF116" s="15"/>
      <c r="FGG116" s="15"/>
      <c r="FGH116" s="14"/>
      <c r="FGI116" s="15"/>
      <c r="FGJ116" s="15"/>
      <c r="FGK116" s="15"/>
      <c r="FGL116" s="15"/>
      <c r="FGM116" s="15"/>
      <c r="FGN116" s="15"/>
      <c r="FGO116" s="15"/>
      <c r="FGP116" s="15"/>
      <c r="FGQ116" s="15"/>
      <c r="FGR116" s="15"/>
      <c r="FGS116" s="15"/>
      <c r="FGT116" s="15"/>
      <c r="FGU116" s="15"/>
      <c r="FGV116" s="15"/>
      <c r="FGW116" s="15"/>
      <c r="FGX116" s="15"/>
      <c r="FGY116" s="15"/>
      <c r="FGZ116" s="15"/>
      <c r="FHA116" s="15"/>
      <c r="FHB116" s="15"/>
      <c r="FHC116" s="15"/>
      <c r="FHD116" s="14"/>
      <c r="FHE116" s="15"/>
      <c r="FHF116" s="15"/>
      <c r="FHG116" s="15"/>
      <c r="FHH116" s="15"/>
      <c r="FHI116" s="15"/>
      <c r="FHJ116" s="15"/>
      <c r="FHK116" s="15"/>
      <c r="FHL116" s="15"/>
      <c r="FHM116" s="15"/>
      <c r="FHN116" s="15"/>
      <c r="FHO116" s="15"/>
      <c r="FHP116" s="15"/>
      <c r="FHQ116" s="15"/>
      <c r="FHR116" s="15"/>
      <c r="FHS116" s="15"/>
      <c r="FHT116" s="15"/>
      <c r="FHU116" s="15"/>
      <c r="FHV116" s="15"/>
      <c r="FHW116" s="15"/>
      <c r="FHX116" s="15"/>
      <c r="FHY116" s="15"/>
      <c r="FHZ116" s="14"/>
      <c r="FIA116" s="15"/>
      <c r="FIB116" s="15"/>
      <c r="FIC116" s="15"/>
      <c r="FID116" s="15"/>
      <c r="FIE116" s="15"/>
      <c r="FIF116" s="15"/>
      <c r="FIG116" s="15"/>
      <c r="FIH116" s="15"/>
      <c r="FII116" s="15"/>
      <c r="FIJ116" s="15"/>
      <c r="FIK116" s="15"/>
      <c r="FIL116" s="15"/>
      <c r="FIM116" s="15"/>
      <c r="FIN116" s="15"/>
      <c r="FIO116" s="15"/>
      <c r="FIP116" s="15"/>
      <c r="FIQ116" s="15"/>
      <c r="FIR116" s="15"/>
      <c r="FIS116" s="15"/>
      <c r="FIT116" s="15"/>
      <c r="FIU116" s="15"/>
      <c r="FIV116" s="14"/>
      <c r="FIW116" s="15"/>
      <c r="FIX116" s="15"/>
      <c r="FIY116" s="15"/>
      <c r="FIZ116" s="15"/>
      <c r="FJA116" s="15"/>
      <c r="FJB116" s="15"/>
      <c r="FJC116" s="15"/>
      <c r="FJD116" s="15"/>
      <c r="FJE116" s="15"/>
      <c r="FJF116" s="15"/>
      <c r="FJG116" s="15"/>
      <c r="FJH116" s="15"/>
      <c r="FJI116" s="15"/>
      <c r="FJJ116" s="15"/>
      <c r="FJK116" s="15"/>
      <c r="FJL116" s="15"/>
      <c r="FJM116" s="15"/>
      <c r="FJN116" s="15"/>
      <c r="FJO116" s="15"/>
      <c r="FJP116" s="15"/>
      <c r="FJQ116" s="15"/>
      <c r="FJR116" s="14"/>
      <c r="FJS116" s="15"/>
      <c r="FJT116" s="15"/>
      <c r="FJU116" s="15"/>
      <c r="FJV116" s="15"/>
      <c r="FJW116" s="15"/>
      <c r="FJX116" s="15"/>
      <c r="FJY116" s="15"/>
      <c r="FJZ116" s="15"/>
      <c r="FKA116" s="15"/>
      <c r="FKB116" s="15"/>
      <c r="FKC116" s="15"/>
      <c r="FKD116" s="15"/>
      <c r="FKE116" s="15"/>
      <c r="FKF116" s="15"/>
      <c r="FKG116" s="15"/>
      <c r="FKH116" s="15"/>
      <c r="FKI116" s="15"/>
      <c r="FKJ116" s="15"/>
      <c r="FKK116" s="15"/>
      <c r="FKL116" s="15"/>
      <c r="FKM116" s="15"/>
      <c r="FKN116" s="14"/>
      <c r="FKO116" s="15"/>
      <c r="FKP116" s="15"/>
      <c r="FKQ116" s="15"/>
      <c r="FKR116" s="15"/>
      <c r="FKS116" s="15"/>
      <c r="FKT116" s="15"/>
      <c r="FKU116" s="15"/>
      <c r="FKV116" s="15"/>
      <c r="FKW116" s="15"/>
      <c r="FKX116" s="15"/>
      <c r="FKY116" s="15"/>
      <c r="FKZ116" s="15"/>
      <c r="FLA116" s="15"/>
      <c r="FLB116" s="15"/>
      <c r="FLC116" s="15"/>
      <c r="FLD116" s="15"/>
      <c r="FLE116" s="15"/>
      <c r="FLF116" s="15"/>
      <c r="FLG116" s="15"/>
      <c r="FLH116" s="15"/>
      <c r="FLI116" s="15"/>
      <c r="FLJ116" s="14"/>
      <c r="FLK116" s="15"/>
      <c r="FLL116" s="15"/>
      <c r="FLM116" s="15"/>
      <c r="FLN116" s="15"/>
      <c r="FLO116" s="15"/>
      <c r="FLP116" s="15"/>
      <c r="FLQ116" s="15"/>
      <c r="FLR116" s="15"/>
      <c r="FLS116" s="15"/>
      <c r="FLT116" s="15"/>
      <c r="FLU116" s="15"/>
      <c r="FLV116" s="15"/>
      <c r="FLW116" s="15"/>
      <c r="FLX116" s="15"/>
      <c r="FLY116" s="15"/>
      <c r="FLZ116" s="15"/>
      <c r="FMA116" s="15"/>
      <c r="FMB116" s="15"/>
      <c r="FMC116" s="15"/>
      <c r="FMD116" s="15"/>
      <c r="FME116" s="15"/>
      <c r="FMF116" s="14"/>
      <c r="FMG116" s="15"/>
      <c r="FMH116" s="15"/>
      <c r="FMI116" s="15"/>
      <c r="FMJ116" s="15"/>
      <c r="FMK116" s="15"/>
      <c r="FML116" s="15"/>
      <c r="FMM116" s="15"/>
      <c r="FMN116" s="15"/>
      <c r="FMO116" s="15"/>
      <c r="FMP116" s="15"/>
      <c r="FMQ116" s="15"/>
      <c r="FMR116" s="15"/>
      <c r="FMS116" s="15"/>
      <c r="FMT116" s="15"/>
      <c r="FMU116" s="15"/>
      <c r="FMV116" s="15"/>
      <c r="FMW116" s="15"/>
      <c r="FMX116" s="15"/>
      <c r="FMY116" s="15"/>
      <c r="FMZ116" s="15"/>
      <c r="FNA116" s="15"/>
      <c r="FNB116" s="14"/>
      <c r="FNC116" s="15"/>
      <c r="FND116" s="15"/>
      <c r="FNE116" s="15"/>
      <c r="FNF116" s="15"/>
      <c r="FNG116" s="15"/>
      <c r="FNH116" s="15"/>
      <c r="FNI116" s="15"/>
      <c r="FNJ116" s="15"/>
      <c r="FNK116" s="15"/>
      <c r="FNL116" s="15"/>
      <c r="FNM116" s="15"/>
      <c r="FNN116" s="15"/>
      <c r="FNO116" s="15"/>
      <c r="FNP116" s="15"/>
      <c r="FNQ116" s="15"/>
      <c r="FNR116" s="15"/>
      <c r="FNS116" s="15"/>
      <c r="FNT116" s="15"/>
      <c r="FNU116" s="15"/>
      <c r="FNV116" s="15"/>
      <c r="FNW116" s="15"/>
      <c r="FNX116" s="14"/>
      <c r="FNY116" s="15"/>
      <c r="FNZ116" s="15"/>
      <c r="FOA116" s="15"/>
      <c r="FOB116" s="15"/>
      <c r="FOC116" s="15"/>
      <c r="FOD116" s="15"/>
      <c r="FOE116" s="15"/>
      <c r="FOF116" s="15"/>
      <c r="FOG116" s="15"/>
      <c r="FOH116" s="15"/>
      <c r="FOI116" s="15"/>
      <c r="FOJ116" s="15"/>
      <c r="FOK116" s="15"/>
      <c r="FOL116" s="15"/>
      <c r="FOM116" s="15"/>
      <c r="FON116" s="15"/>
      <c r="FOO116" s="15"/>
      <c r="FOP116" s="15"/>
      <c r="FOQ116" s="15"/>
      <c r="FOR116" s="15"/>
      <c r="FOS116" s="15"/>
      <c r="FOT116" s="14"/>
      <c r="FOU116" s="15"/>
      <c r="FOV116" s="15"/>
      <c r="FOW116" s="15"/>
      <c r="FOX116" s="15"/>
      <c r="FOY116" s="15"/>
      <c r="FOZ116" s="15"/>
      <c r="FPA116" s="15"/>
      <c r="FPB116" s="15"/>
      <c r="FPC116" s="15"/>
      <c r="FPD116" s="15"/>
      <c r="FPE116" s="15"/>
      <c r="FPF116" s="15"/>
      <c r="FPG116" s="15"/>
      <c r="FPH116" s="15"/>
      <c r="FPI116" s="15"/>
      <c r="FPJ116" s="15"/>
      <c r="FPK116" s="15"/>
      <c r="FPL116" s="15"/>
      <c r="FPM116" s="15"/>
      <c r="FPN116" s="15"/>
      <c r="FPO116" s="15"/>
      <c r="FPP116" s="14"/>
      <c r="FPQ116" s="15"/>
      <c r="FPR116" s="15"/>
      <c r="FPS116" s="15"/>
      <c r="FPT116" s="15"/>
      <c r="FPU116" s="15"/>
      <c r="FPV116" s="15"/>
      <c r="FPW116" s="15"/>
      <c r="FPX116" s="15"/>
      <c r="FPY116" s="15"/>
      <c r="FPZ116" s="15"/>
      <c r="FQA116" s="15"/>
      <c r="FQB116" s="15"/>
      <c r="FQC116" s="15"/>
      <c r="FQD116" s="15"/>
      <c r="FQE116" s="15"/>
      <c r="FQF116" s="15"/>
      <c r="FQG116" s="15"/>
      <c r="FQH116" s="15"/>
      <c r="FQI116" s="15"/>
      <c r="FQJ116" s="15"/>
      <c r="FQK116" s="15"/>
      <c r="FQL116" s="14"/>
      <c r="FQM116" s="15"/>
      <c r="FQN116" s="15"/>
      <c r="FQO116" s="15"/>
      <c r="FQP116" s="15"/>
      <c r="FQQ116" s="15"/>
      <c r="FQR116" s="15"/>
      <c r="FQS116" s="15"/>
      <c r="FQT116" s="15"/>
      <c r="FQU116" s="15"/>
      <c r="FQV116" s="15"/>
      <c r="FQW116" s="15"/>
      <c r="FQX116" s="15"/>
      <c r="FQY116" s="15"/>
      <c r="FQZ116" s="15"/>
      <c r="FRA116" s="15"/>
      <c r="FRB116" s="15"/>
      <c r="FRC116" s="15"/>
      <c r="FRD116" s="15"/>
      <c r="FRE116" s="15"/>
      <c r="FRF116" s="15"/>
      <c r="FRG116" s="15"/>
      <c r="FRH116" s="14"/>
      <c r="FRI116" s="15"/>
      <c r="FRJ116" s="15"/>
      <c r="FRK116" s="15"/>
      <c r="FRL116" s="15"/>
      <c r="FRM116" s="15"/>
      <c r="FRN116" s="15"/>
      <c r="FRO116" s="15"/>
      <c r="FRP116" s="15"/>
      <c r="FRQ116" s="15"/>
      <c r="FRR116" s="15"/>
      <c r="FRS116" s="15"/>
      <c r="FRT116" s="15"/>
      <c r="FRU116" s="15"/>
      <c r="FRV116" s="15"/>
      <c r="FRW116" s="15"/>
      <c r="FRX116" s="15"/>
      <c r="FRY116" s="15"/>
      <c r="FRZ116" s="15"/>
      <c r="FSA116" s="15"/>
      <c r="FSB116" s="15"/>
      <c r="FSC116" s="15"/>
      <c r="FSD116" s="14"/>
      <c r="FSE116" s="15"/>
      <c r="FSF116" s="15"/>
      <c r="FSG116" s="15"/>
      <c r="FSH116" s="15"/>
      <c r="FSI116" s="15"/>
      <c r="FSJ116" s="15"/>
      <c r="FSK116" s="15"/>
      <c r="FSL116" s="15"/>
      <c r="FSM116" s="15"/>
      <c r="FSN116" s="15"/>
      <c r="FSO116" s="15"/>
      <c r="FSP116" s="15"/>
      <c r="FSQ116" s="15"/>
      <c r="FSR116" s="15"/>
      <c r="FSS116" s="15"/>
      <c r="FST116" s="15"/>
      <c r="FSU116" s="15"/>
      <c r="FSV116" s="15"/>
      <c r="FSW116" s="15"/>
      <c r="FSX116" s="15"/>
      <c r="FSY116" s="15"/>
      <c r="FSZ116" s="14"/>
      <c r="FTA116" s="15"/>
      <c r="FTB116" s="15"/>
      <c r="FTC116" s="15"/>
      <c r="FTD116" s="15"/>
      <c r="FTE116" s="15"/>
      <c r="FTF116" s="15"/>
      <c r="FTG116" s="15"/>
      <c r="FTH116" s="15"/>
      <c r="FTI116" s="15"/>
      <c r="FTJ116" s="15"/>
      <c r="FTK116" s="15"/>
      <c r="FTL116" s="15"/>
      <c r="FTM116" s="15"/>
      <c r="FTN116" s="15"/>
      <c r="FTO116" s="15"/>
      <c r="FTP116" s="15"/>
      <c r="FTQ116" s="15"/>
      <c r="FTR116" s="15"/>
      <c r="FTS116" s="15"/>
      <c r="FTT116" s="15"/>
      <c r="FTU116" s="15"/>
      <c r="FTV116" s="14"/>
      <c r="FTW116" s="15"/>
      <c r="FTX116" s="15"/>
      <c r="FTY116" s="15"/>
      <c r="FTZ116" s="15"/>
      <c r="FUA116" s="15"/>
      <c r="FUB116" s="15"/>
      <c r="FUC116" s="15"/>
      <c r="FUD116" s="15"/>
      <c r="FUE116" s="15"/>
      <c r="FUF116" s="15"/>
      <c r="FUG116" s="15"/>
      <c r="FUH116" s="15"/>
      <c r="FUI116" s="15"/>
      <c r="FUJ116" s="15"/>
      <c r="FUK116" s="15"/>
      <c r="FUL116" s="15"/>
      <c r="FUM116" s="15"/>
      <c r="FUN116" s="15"/>
      <c r="FUO116" s="15"/>
      <c r="FUP116" s="15"/>
      <c r="FUQ116" s="15"/>
      <c r="FUR116" s="14"/>
      <c r="FUS116" s="15"/>
      <c r="FUT116" s="15"/>
      <c r="FUU116" s="15"/>
      <c r="FUV116" s="15"/>
      <c r="FUW116" s="15"/>
      <c r="FUX116" s="15"/>
      <c r="FUY116" s="15"/>
      <c r="FUZ116" s="15"/>
      <c r="FVA116" s="15"/>
      <c r="FVB116" s="15"/>
      <c r="FVC116" s="15"/>
      <c r="FVD116" s="15"/>
      <c r="FVE116" s="15"/>
      <c r="FVF116" s="15"/>
      <c r="FVG116" s="15"/>
      <c r="FVH116" s="15"/>
      <c r="FVI116" s="15"/>
      <c r="FVJ116" s="15"/>
      <c r="FVK116" s="15"/>
      <c r="FVL116" s="15"/>
      <c r="FVM116" s="15"/>
      <c r="FVN116" s="14"/>
      <c r="FVO116" s="15"/>
      <c r="FVP116" s="15"/>
      <c r="FVQ116" s="15"/>
      <c r="FVR116" s="15"/>
      <c r="FVS116" s="15"/>
      <c r="FVT116" s="15"/>
      <c r="FVU116" s="15"/>
      <c r="FVV116" s="15"/>
      <c r="FVW116" s="15"/>
      <c r="FVX116" s="15"/>
      <c r="FVY116" s="15"/>
      <c r="FVZ116" s="15"/>
      <c r="FWA116" s="15"/>
      <c r="FWB116" s="15"/>
      <c r="FWC116" s="15"/>
      <c r="FWD116" s="15"/>
      <c r="FWE116" s="15"/>
      <c r="FWF116" s="15"/>
      <c r="FWG116" s="15"/>
      <c r="FWH116" s="15"/>
      <c r="FWI116" s="15"/>
      <c r="FWJ116" s="14"/>
      <c r="FWK116" s="15"/>
      <c r="FWL116" s="15"/>
      <c r="FWM116" s="15"/>
      <c r="FWN116" s="15"/>
      <c r="FWO116" s="15"/>
      <c r="FWP116" s="15"/>
      <c r="FWQ116" s="15"/>
      <c r="FWR116" s="15"/>
      <c r="FWS116" s="15"/>
      <c r="FWT116" s="15"/>
      <c r="FWU116" s="15"/>
      <c r="FWV116" s="15"/>
      <c r="FWW116" s="15"/>
      <c r="FWX116" s="15"/>
      <c r="FWY116" s="15"/>
      <c r="FWZ116" s="15"/>
      <c r="FXA116" s="15"/>
      <c r="FXB116" s="15"/>
      <c r="FXC116" s="15"/>
      <c r="FXD116" s="15"/>
      <c r="FXE116" s="15"/>
      <c r="FXF116" s="14"/>
      <c r="FXG116" s="15"/>
      <c r="FXH116" s="15"/>
      <c r="FXI116" s="15"/>
      <c r="FXJ116" s="15"/>
      <c r="FXK116" s="15"/>
      <c r="FXL116" s="15"/>
      <c r="FXM116" s="15"/>
      <c r="FXN116" s="15"/>
      <c r="FXO116" s="15"/>
      <c r="FXP116" s="15"/>
      <c r="FXQ116" s="15"/>
      <c r="FXR116" s="15"/>
      <c r="FXS116" s="15"/>
      <c r="FXT116" s="15"/>
      <c r="FXU116" s="15"/>
      <c r="FXV116" s="15"/>
      <c r="FXW116" s="15"/>
      <c r="FXX116" s="15"/>
      <c r="FXY116" s="15"/>
      <c r="FXZ116" s="15"/>
      <c r="FYA116" s="15"/>
      <c r="FYB116" s="14"/>
      <c r="FYC116" s="15"/>
      <c r="FYD116" s="15"/>
      <c r="FYE116" s="15"/>
      <c r="FYF116" s="15"/>
      <c r="FYG116" s="15"/>
      <c r="FYH116" s="15"/>
      <c r="FYI116" s="15"/>
      <c r="FYJ116" s="15"/>
      <c r="FYK116" s="15"/>
      <c r="FYL116" s="15"/>
      <c r="FYM116" s="15"/>
      <c r="FYN116" s="15"/>
      <c r="FYO116" s="15"/>
      <c r="FYP116" s="15"/>
      <c r="FYQ116" s="15"/>
      <c r="FYR116" s="15"/>
      <c r="FYS116" s="15"/>
      <c r="FYT116" s="15"/>
      <c r="FYU116" s="15"/>
      <c r="FYV116" s="15"/>
      <c r="FYW116" s="15"/>
      <c r="FYX116" s="14"/>
      <c r="FYY116" s="15"/>
      <c r="FYZ116" s="15"/>
      <c r="FZA116" s="15"/>
      <c r="FZB116" s="15"/>
      <c r="FZC116" s="15"/>
      <c r="FZD116" s="15"/>
      <c r="FZE116" s="15"/>
      <c r="FZF116" s="15"/>
      <c r="FZG116" s="15"/>
      <c r="FZH116" s="15"/>
      <c r="FZI116" s="15"/>
      <c r="FZJ116" s="15"/>
      <c r="FZK116" s="15"/>
      <c r="FZL116" s="15"/>
      <c r="FZM116" s="15"/>
      <c r="FZN116" s="15"/>
      <c r="FZO116" s="15"/>
      <c r="FZP116" s="15"/>
      <c r="FZQ116" s="15"/>
      <c r="FZR116" s="15"/>
      <c r="FZS116" s="15"/>
      <c r="FZT116" s="14"/>
      <c r="FZU116" s="15"/>
      <c r="FZV116" s="15"/>
      <c r="FZW116" s="15"/>
      <c r="FZX116" s="15"/>
      <c r="FZY116" s="15"/>
      <c r="FZZ116" s="15"/>
      <c r="GAA116" s="15"/>
      <c r="GAB116" s="15"/>
      <c r="GAC116" s="15"/>
      <c r="GAD116" s="15"/>
      <c r="GAE116" s="15"/>
      <c r="GAF116" s="15"/>
      <c r="GAG116" s="15"/>
      <c r="GAH116" s="15"/>
      <c r="GAI116" s="15"/>
      <c r="GAJ116" s="15"/>
      <c r="GAK116" s="15"/>
      <c r="GAL116" s="15"/>
      <c r="GAM116" s="15"/>
      <c r="GAN116" s="15"/>
      <c r="GAO116" s="15"/>
      <c r="GAP116" s="14"/>
      <c r="GAQ116" s="15"/>
      <c r="GAR116" s="15"/>
      <c r="GAS116" s="15"/>
      <c r="GAT116" s="15"/>
      <c r="GAU116" s="15"/>
      <c r="GAV116" s="15"/>
      <c r="GAW116" s="15"/>
      <c r="GAX116" s="15"/>
      <c r="GAY116" s="15"/>
      <c r="GAZ116" s="15"/>
      <c r="GBA116" s="15"/>
      <c r="GBB116" s="15"/>
      <c r="GBC116" s="15"/>
      <c r="GBD116" s="15"/>
      <c r="GBE116" s="15"/>
      <c r="GBF116" s="15"/>
      <c r="GBG116" s="15"/>
      <c r="GBH116" s="15"/>
      <c r="GBI116" s="15"/>
      <c r="GBJ116" s="15"/>
      <c r="GBK116" s="15"/>
      <c r="GBL116" s="14"/>
      <c r="GBM116" s="15"/>
      <c r="GBN116" s="15"/>
      <c r="GBO116" s="15"/>
      <c r="GBP116" s="15"/>
      <c r="GBQ116" s="15"/>
      <c r="GBR116" s="15"/>
      <c r="GBS116" s="15"/>
      <c r="GBT116" s="15"/>
      <c r="GBU116" s="15"/>
      <c r="GBV116" s="15"/>
      <c r="GBW116" s="15"/>
      <c r="GBX116" s="15"/>
      <c r="GBY116" s="15"/>
      <c r="GBZ116" s="15"/>
      <c r="GCA116" s="15"/>
      <c r="GCB116" s="15"/>
      <c r="GCC116" s="15"/>
      <c r="GCD116" s="15"/>
      <c r="GCE116" s="15"/>
      <c r="GCF116" s="15"/>
      <c r="GCG116" s="15"/>
      <c r="GCH116" s="14"/>
      <c r="GCI116" s="15"/>
      <c r="GCJ116" s="15"/>
      <c r="GCK116" s="15"/>
      <c r="GCL116" s="15"/>
      <c r="GCM116" s="15"/>
      <c r="GCN116" s="15"/>
      <c r="GCO116" s="15"/>
      <c r="GCP116" s="15"/>
      <c r="GCQ116" s="15"/>
      <c r="GCR116" s="15"/>
      <c r="GCS116" s="15"/>
      <c r="GCT116" s="15"/>
      <c r="GCU116" s="15"/>
      <c r="GCV116" s="15"/>
      <c r="GCW116" s="15"/>
      <c r="GCX116" s="15"/>
      <c r="GCY116" s="15"/>
      <c r="GCZ116" s="15"/>
      <c r="GDA116" s="15"/>
      <c r="GDB116" s="15"/>
      <c r="GDC116" s="15"/>
      <c r="GDD116" s="14"/>
      <c r="GDE116" s="15"/>
      <c r="GDF116" s="15"/>
      <c r="GDG116" s="15"/>
      <c r="GDH116" s="15"/>
      <c r="GDI116" s="15"/>
      <c r="GDJ116" s="15"/>
      <c r="GDK116" s="15"/>
      <c r="GDL116" s="15"/>
      <c r="GDM116" s="15"/>
      <c r="GDN116" s="15"/>
      <c r="GDO116" s="15"/>
      <c r="GDP116" s="15"/>
      <c r="GDQ116" s="15"/>
      <c r="GDR116" s="15"/>
      <c r="GDS116" s="15"/>
      <c r="GDT116" s="15"/>
      <c r="GDU116" s="15"/>
      <c r="GDV116" s="15"/>
      <c r="GDW116" s="15"/>
      <c r="GDX116" s="15"/>
      <c r="GDY116" s="15"/>
      <c r="GDZ116" s="14"/>
      <c r="GEA116" s="15"/>
      <c r="GEB116" s="15"/>
      <c r="GEC116" s="15"/>
      <c r="GED116" s="15"/>
      <c r="GEE116" s="15"/>
      <c r="GEF116" s="15"/>
      <c r="GEG116" s="15"/>
      <c r="GEH116" s="15"/>
      <c r="GEI116" s="15"/>
      <c r="GEJ116" s="15"/>
      <c r="GEK116" s="15"/>
      <c r="GEL116" s="15"/>
      <c r="GEM116" s="15"/>
      <c r="GEN116" s="15"/>
      <c r="GEO116" s="15"/>
      <c r="GEP116" s="15"/>
      <c r="GEQ116" s="15"/>
      <c r="GER116" s="15"/>
      <c r="GES116" s="15"/>
      <c r="GET116" s="15"/>
      <c r="GEU116" s="15"/>
      <c r="GEV116" s="14"/>
      <c r="GEW116" s="15"/>
      <c r="GEX116" s="15"/>
      <c r="GEY116" s="15"/>
      <c r="GEZ116" s="15"/>
      <c r="GFA116" s="15"/>
      <c r="GFB116" s="15"/>
      <c r="GFC116" s="15"/>
      <c r="GFD116" s="15"/>
      <c r="GFE116" s="15"/>
      <c r="GFF116" s="15"/>
      <c r="GFG116" s="15"/>
      <c r="GFH116" s="15"/>
      <c r="GFI116" s="15"/>
      <c r="GFJ116" s="15"/>
      <c r="GFK116" s="15"/>
      <c r="GFL116" s="15"/>
      <c r="GFM116" s="15"/>
      <c r="GFN116" s="15"/>
      <c r="GFO116" s="15"/>
      <c r="GFP116" s="15"/>
      <c r="GFQ116" s="15"/>
      <c r="GFR116" s="14"/>
      <c r="GFS116" s="15"/>
      <c r="GFT116" s="15"/>
      <c r="GFU116" s="15"/>
      <c r="GFV116" s="15"/>
      <c r="GFW116" s="15"/>
      <c r="GFX116" s="15"/>
      <c r="GFY116" s="15"/>
      <c r="GFZ116" s="15"/>
      <c r="GGA116" s="15"/>
      <c r="GGB116" s="15"/>
      <c r="GGC116" s="15"/>
      <c r="GGD116" s="15"/>
      <c r="GGE116" s="15"/>
      <c r="GGF116" s="15"/>
      <c r="GGG116" s="15"/>
      <c r="GGH116" s="15"/>
      <c r="GGI116" s="15"/>
      <c r="GGJ116" s="15"/>
      <c r="GGK116" s="15"/>
      <c r="GGL116" s="15"/>
      <c r="GGM116" s="15"/>
      <c r="GGN116" s="14"/>
      <c r="GGO116" s="15"/>
      <c r="GGP116" s="15"/>
      <c r="GGQ116" s="15"/>
      <c r="GGR116" s="15"/>
      <c r="GGS116" s="15"/>
      <c r="GGT116" s="15"/>
      <c r="GGU116" s="15"/>
      <c r="GGV116" s="15"/>
      <c r="GGW116" s="15"/>
      <c r="GGX116" s="15"/>
      <c r="GGY116" s="15"/>
      <c r="GGZ116" s="15"/>
      <c r="GHA116" s="15"/>
      <c r="GHB116" s="15"/>
      <c r="GHC116" s="15"/>
      <c r="GHD116" s="15"/>
      <c r="GHE116" s="15"/>
      <c r="GHF116" s="15"/>
      <c r="GHG116" s="15"/>
      <c r="GHH116" s="15"/>
      <c r="GHI116" s="15"/>
      <c r="GHJ116" s="14"/>
      <c r="GHK116" s="15"/>
      <c r="GHL116" s="15"/>
      <c r="GHM116" s="15"/>
      <c r="GHN116" s="15"/>
      <c r="GHO116" s="15"/>
      <c r="GHP116" s="15"/>
      <c r="GHQ116" s="15"/>
      <c r="GHR116" s="15"/>
      <c r="GHS116" s="15"/>
      <c r="GHT116" s="15"/>
      <c r="GHU116" s="15"/>
      <c r="GHV116" s="15"/>
      <c r="GHW116" s="15"/>
      <c r="GHX116" s="15"/>
      <c r="GHY116" s="15"/>
      <c r="GHZ116" s="15"/>
      <c r="GIA116" s="15"/>
      <c r="GIB116" s="15"/>
      <c r="GIC116" s="15"/>
      <c r="GID116" s="15"/>
      <c r="GIE116" s="15"/>
      <c r="GIF116" s="14"/>
      <c r="GIG116" s="15"/>
      <c r="GIH116" s="15"/>
      <c r="GII116" s="15"/>
      <c r="GIJ116" s="15"/>
      <c r="GIK116" s="15"/>
      <c r="GIL116" s="15"/>
      <c r="GIM116" s="15"/>
      <c r="GIN116" s="15"/>
      <c r="GIO116" s="15"/>
      <c r="GIP116" s="15"/>
      <c r="GIQ116" s="15"/>
      <c r="GIR116" s="15"/>
      <c r="GIS116" s="15"/>
      <c r="GIT116" s="15"/>
      <c r="GIU116" s="15"/>
      <c r="GIV116" s="15"/>
      <c r="GIW116" s="15"/>
      <c r="GIX116" s="15"/>
      <c r="GIY116" s="15"/>
      <c r="GIZ116" s="15"/>
      <c r="GJA116" s="15"/>
      <c r="GJB116" s="14"/>
      <c r="GJC116" s="15"/>
      <c r="GJD116" s="15"/>
      <c r="GJE116" s="15"/>
      <c r="GJF116" s="15"/>
      <c r="GJG116" s="15"/>
      <c r="GJH116" s="15"/>
      <c r="GJI116" s="15"/>
      <c r="GJJ116" s="15"/>
      <c r="GJK116" s="15"/>
      <c r="GJL116" s="15"/>
      <c r="GJM116" s="15"/>
      <c r="GJN116" s="15"/>
      <c r="GJO116" s="15"/>
      <c r="GJP116" s="15"/>
      <c r="GJQ116" s="15"/>
      <c r="GJR116" s="15"/>
      <c r="GJS116" s="15"/>
      <c r="GJT116" s="15"/>
      <c r="GJU116" s="15"/>
      <c r="GJV116" s="15"/>
      <c r="GJW116" s="15"/>
      <c r="GJX116" s="14"/>
      <c r="GJY116" s="15"/>
      <c r="GJZ116" s="15"/>
      <c r="GKA116" s="15"/>
      <c r="GKB116" s="15"/>
      <c r="GKC116" s="15"/>
      <c r="GKD116" s="15"/>
      <c r="GKE116" s="15"/>
      <c r="GKF116" s="15"/>
      <c r="GKG116" s="15"/>
      <c r="GKH116" s="15"/>
      <c r="GKI116" s="15"/>
      <c r="GKJ116" s="15"/>
      <c r="GKK116" s="15"/>
      <c r="GKL116" s="15"/>
      <c r="GKM116" s="15"/>
      <c r="GKN116" s="15"/>
      <c r="GKO116" s="15"/>
      <c r="GKP116" s="15"/>
      <c r="GKQ116" s="15"/>
      <c r="GKR116" s="15"/>
      <c r="GKS116" s="15"/>
      <c r="GKT116" s="14"/>
      <c r="GKU116" s="15"/>
      <c r="GKV116" s="15"/>
      <c r="GKW116" s="15"/>
      <c r="GKX116" s="15"/>
      <c r="GKY116" s="15"/>
      <c r="GKZ116" s="15"/>
      <c r="GLA116" s="15"/>
      <c r="GLB116" s="15"/>
      <c r="GLC116" s="15"/>
      <c r="GLD116" s="15"/>
      <c r="GLE116" s="15"/>
      <c r="GLF116" s="15"/>
      <c r="GLG116" s="15"/>
      <c r="GLH116" s="15"/>
      <c r="GLI116" s="15"/>
      <c r="GLJ116" s="15"/>
      <c r="GLK116" s="15"/>
      <c r="GLL116" s="15"/>
      <c r="GLM116" s="15"/>
      <c r="GLN116" s="15"/>
      <c r="GLO116" s="15"/>
      <c r="GLP116" s="14"/>
      <c r="GLQ116" s="15"/>
      <c r="GLR116" s="15"/>
      <c r="GLS116" s="15"/>
      <c r="GLT116" s="15"/>
      <c r="GLU116" s="15"/>
      <c r="GLV116" s="15"/>
      <c r="GLW116" s="15"/>
      <c r="GLX116" s="15"/>
      <c r="GLY116" s="15"/>
      <c r="GLZ116" s="15"/>
      <c r="GMA116" s="15"/>
      <c r="GMB116" s="15"/>
      <c r="GMC116" s="15"/>
      <c r="GMD116" s="15"/>
      <c r="GME116" s="15"/>
      <c r="GMF116" s="15"/>
      <c r="GMG116" s="15"/>
      <c r="GMH116" s="15"/>
      <c r="GMI116" s="15"/>
      <c r="GMJ116" s="15"/>
      <c r="GMK116" s="15"/>
      <c r="GML116" s="14"/>
      <c r="GMM116" s="15"/>
      <c r="GMN116" s="15"/>
      <c r="GMO116" s="15"/>
      <c r="GMP116" s="15"/>
      <c r="GMQ116" s="15"/>
      <c r="GMR116" s="15"/>
      <c r="GMS116" s="15"/>
      <c r="GMT116" s="15"/>
      <c r="GMU116" s="15"/>
      <c r="GMV116" s="15"/>
      <c r="GMW116" s="15"/>
      <c r="GMX116" s="15"/>
      <c r="GMY116" s="15"/>
      <c r="GMZ116" s="15"/>
      <c r="GNA116" s="15"/>
      <c r="GNB116" s="15"/>
      <c r="GNC116" s="15"/>
      <c r="GND116" s="15"/>
      <c r="GNE116" s="15"/>
      <c r="GNF116" s="15"/>
      <c r="GNG116" s="15"/>
      <c r="GNH116" s="14"/>
      <c r="GNI116" s="15"/>
      <c r="GNJ116" s="15"/>
      <c r="GNK116" s="15"/>
      <c r="GNL116" s="15"/>
      <c r="GNM116" s="15"/>
      <c r="GNN116" s="15"/>
      <c r="GNO116" s="15"/>
      <c r="GNP116" s="15"/>
      <c r="GNQ116" s="15"/>
      <c r="GNR116" s="15"/>
      <c r="GNS116" s="15"/>
      <c r="GNT116" s="15"/>
      <c r="GNU116" s="15"/>
      <c r="GNV116" s="15"/>
      <c r="GNW116" s="15"/>
      <c r="GNX116" s="15"/>
      <c r="GNY116" s="15"/>
      <c r="GNZ116" s="15"/>
      <c r="GOA116" s="15"/>
      <c r="GOB116" s="15"/>
      <c r="GOC116" s="15"/>
      <c r="GOD116" s="14"/>
      <c r="GOE116" s="15"/>
      <c r="GOF116" s="15"/>
      <c r="GOG116" s="15"/>
      <c r="GOH116" s="15"/>
      <c r="GOI116" s="15"/>
      <c r="GOJ116" s="15"/>
      <c r="GOK116" s="15"/>
      <c r="GOL116" s="15"/>
      <c r="GOM116" s="15"/>
      <c r="GON116" s="15"/>
      <c r="GOO116" s="15"/>
      <c r="GOP116" s="15"/>
      <c r="GOQ116" s="15"/>
      <c r="GOR116" s="15"/>
      <c r="GOS116" s="15"/>
      <c r="GOT116" s="15"/>
      <c r="GOU116" s="15"/>
      <c r="GOV116" s="15"/>
      <c r="GOW116" s="15"/>
      <c r="GOX116" s="15"/>
      <c r="GOY116" s="15"/>
      <c r="GOZ116" s="14"/>
      <c r="GPA116" s="15"/>
      <c r="GPB116" s="15"/>
      <c r="GPC116" s="15"/>
      <c r="GPD116" s="15"/>
      <c r="GPE116" s="15"/>
      <c r="GPF116" s="15"/>
      <c r="GPG116" s="15"/>
      <c r="GPH116" s="15"/>
      <c r="GPI116" s="15"/>
      <c r="GPJ116" s="15"/>
      <c r="GPK116" s="15"/>
      <c r="GPL116" s="15"/>
      <c r="GPM116" s="15"/>
      <c r="GPN116" s="15"/>
      <c r="GPO116" s="15"/>
      <c r="GPP116" s="15"/>
      <c r="GPQ116" s="15"/>
      <c r="GPR116" s="15"/>
      <c r="GPS116" s="15"/>
      <c r="GPT116" s="15"/>
      <c r="GPU116" s="15"/>
      <c r="GPV116" s="14"/>
      <c r="GPW116" s="15"/>
      <c r="GPX116" s="15"/>
      <c r="GPY116" s="15"/>
      <c r="GPZ116" s="15"/>
      <c r="GQA116" s="15"/>
      <c r="GQB116" s="15"/>
      <c r="GQC116" s="15"/>
      <c r="GQD116" s="15"/>
      <c r="GQE116" s="15"/>
      <c r="GQF116" s="15"/>
      <c r="GQG116" s="15"/>
      <c r="GQH116" s="15"/>
      <c r="GQI116" s="15"/>
      <c r="GQJ116" s="15"/>
      <c r="GQK116" s="15"/>
      <c r="GQL116" s="15"/>
      <c r="GQM116" s="15"/>
      <c r="GQN116" s="15"/>
      <c r="GQO116" s="15"/>
      <c r="GQP116" s="15"/>
      <c r="GQQ116" s="15"/>
      <c r="GQR116" s="14"/>
      <c r="GQS116" s="15"/>
      <c r="GQT116" s="15"/>
      <c r="GQU116" s="15"/>
      <c r="GQV116" s="15"/>
      <c r="GQW116" s="15"/>
      <c r="GQX116" s="15"/>
      <c r="GQY116" s="15"/>
      <c r="GQZ116" s="15"/>
      <c r="GRA116" s="15"/>
      <c r="GRB116" s="15"/>
      <c r="GRC116" s="15"/>
      <c r="GRD116" s="15"/>
      <c r="GRE116" s="15"/>
      <c r="GRF116" s="15"/>
      <c r="GRG116" s="15"/>
      <c r="GRH116" s="15"/>
      <c r="GRI116" s="15"/>
      <c r="GRJ116" s="15"/>
      <c r="GRK116" s="15"/>
      <c r="GRL116" s="15"/>
      <c r="GRM116" s="15"/>
      <c r="GRN116" s="14"/>
      <c r="GRO116" s="15"/>
      <c r="GRP116" s="15"/>
      <c r="GRQ116" s="15"/>
      <c r="GRR116" s="15"/>
      <c r="GRS116" s="15"/>
      <c r="GRT116" s="15"/>
      <c r="GRU116" s="15"/>
      <c r="GRV116" s="15"/>
      <c r="GRW116" s="15"/>
      <c r="GRX116" s="15"/>
      <c r="GRY116" s="15"/>
      <c r="GRZ116" s="15"/>
      <c r="GSA116" s="15"/>
      <c r="GSB116" s="15"/>
      <c r="GSC116" s="15"/>
      <c r="GSD116" s="15"/>
      <c r="GSE116" s="15"/>
      <c r="GSF116" s="15"/>
      <c r="GSG116" s="15"/>
      <c r="GSH116" s="15"/>
      <c r="GSI116" s="15"/>
      <c r="GSJ116" s="14"/>
      <c r="GSK116" s="15"/>
      <c r="GSL116" s="15"/>
      <c r="GSM116" s="15"/>
      <c r="GSN116" s="15"/>
      <c r="GSO116" s="15"/>
      <c r="GSP116" s="15"/>
      <c r="GSQ116" s="15"/>
      <c r="GSR116" s="15"/>
      <c r="GSS116" s="15"/>
      <c r="GST116" s="15"/>
      <c r="GSU116" s="15"/>
      <c r="GSV116" s="15"/>
      <c r="GSW116" s="15"/>
      <c r="GSX116" s="15"/>
      <c r="GSY116" s="15"/>
      <c r="GSZ116" s="15"/>
      <c r="GTA116" s="15"/>
      <c r="GTB116" s="15"/>
      <c r="GTC116" s="15"/>
      <c r="GTD116" s="15"/>
      <c r="GTE116" s="15"/>
      <c r="GTF116" s="14"/>
      <c r="GTG116" s="15"/>
      <c r="GTH116" s="15"/>
      <c r="GTI116" s="15"/>
      <c r="GTJ116" s="15"/>
      <c r="GTK116" s="15"/>
      <c r="GTL116" s="15"/>
      <c r="GTM116" s="15"/>
      <c r="GTN116" s="15"/>
      <c r="GTO116" s="15"/>
      <c r="GTP116" s="15"/>
      <c r="GTQ116" s="15"/>
      <c r="GTR116" s="15"/>
      <c r="GTS116" s="15"/>
      <c r="GTT116" s="15"/>
      <c r="GTU116" s="15"/>
      <c r="GTV116" s="15"/>
      <c r="GTW116" s="15"/>
      <c r="GTX116" s="15"/>
      <c r="GTY116" s="15"/>
      <c r="GTZ116" s="15"/>
      <c r="GUA116" s="15"/>
      <c r="GUB116" s="14"/>
      <c r="GUC116" s="15"/>
      <c r="GUD116" s="15"/>
      <c r="GUE116" s="15"/>
      <c r="GUF116" s="15"/>
      <c r="GUG116" s="15"/>
      <c r="GUH116" s="15"/>
      <c r="GUI116" s="15"/>
      <c r="GUJ116" s="15"/>
      <c r="GUK116" s="15"/>
      <c r="GUL116" s="15"/>
      <c r="GUM116" s="15"/>
      <c r="GUN116" s="15"/>
      <c r="GUO116" s="15"/>
      <c r="GUP116" s="15"/>
      <c r="GUQ116" s="15"/>
      <c r="GUR116" s="15"/>
      <c r="GUS116" s="15"/>
      <c r="GUT116" s="15"/>
      <c r="GUU116" s="15"/>
      <c r="GUV116" s="15"/>
      <c r="GUW116" s="15"/>
      <c r="GUX116" s="14"/>
      <c r="GUY116" s="15"/>
      <c r="GUZ116" s="15"/>
      <c r="GVA116" s="15"/>
      <c r="GVB116" s="15"/>
      <c r="GVC116" s="15"/>
      <c r="GVD116" s="15"/>
      <c r="GVE116" s="15"/>
      <c r="GVF116" s="15"/>
      <c r="GVG116" s="15"/>
      <c r="GVH116" s="15"/>
      <c r="GVI116" s="15"/>
      <c r="GVJ116" s="15"/>
      <c r="GVK116" s="15"/>
      <c r="GVL116" s="15"/>
      <c r="GVM116" s="15"/>
      <c r="GVN116" s="15"/>
      <c r="GVO116" s="15"/>
      <c r="GVP116" s="15"/>
      <c r="GVQ116" s="15"/>
      <c r="GVR116" s="15"/>
      <c r="GVS116" s="15"/>
      <c r="GVT116" s="14"/>
      <c r="GVU116" s="15"/>
      <c r="GVV116" s="15"/>
      <c r="GVW116" s="15"/>
      <c r="GVX116" s="15"/>
      <c r="GVY116" s="15"/>
      <c r="GVZ116" s="15"/>
      <c r="GWA116" s="15"/>
      <c r="GWB116" s="15"/>
      <c r="GWC116" s="15"/>
      <c r="GWD116" s="15"/>
      <c r="GWE116" s="15"/>
      <c r="GWF116" s="15"/>
      <c r="GWG116" s="15"/>
      <c r="GWH116" s="15"/>
      <c r="GWI116" s="15"/>
      <c r="GWJ116" s="15"/>
      <c r="GWK116" s="15"/>
      <c r="GWL116" s="15"/>
      <c r="GWM116" s="15"/>
      <c r="GWN116" s="15"/>
      <c r="GWO116" s="15"/>
      <c r="GWP116" s="14"/>
      <c r="GWQ116" s="15"/>
      <c r="GWR116" s="15"/>
      <c r="GWS116" s="15"/>
      <c r="GWT116" s="15"/>
      <c r="GWU116" s="15"/>
      <c r="GWV116" s="15"/>
      <c r="GWW116" s="15"/>
      <c r="GWX116" s="15"/>
      <c r="GWY116" s="15"/>
      <c r="GWZ116" s="15"/>
      <c r="GXA116" s="15"/>
      <c r="GXB116" s="15"/>
      <c r="GXC116" s="15"/>
      <c r="GXD116" s="15"/>
      <c r="GXE116" s="15"/>
      <c r="GXF116" s="15"/>
      <c r="GXG116" s="15"/>
      <c r="GXH116" s="15"/>
      <c r="GXI116" s="15"/>
      <c r="GXJ116" s="15"/>
      <c r="GXK116" s="15"/>
      <c r="GXL116" s="14"/>
      <c r="GXM116" s="15"/>
      <c r="GXN116" s="15"/>
      <c r="GXO116" s="15"/>
      <c r="GXP116" s="15"/>
      <c r="GXQ116" s="15"/>
      <c r="GXR116" s="15"/>
      <c r="GXS116" s="15"/>
      <c r="GXT116" s="15"/>
      <c r="GXU116" s="15"/>
      <c r="GXV116" s="15"/>
      <c r="GXW116" s="15"/>
      <c r="GXX116" s="15"/>
      <c r="GXY116" s="15"/>
      <c r="GXZ116" s="15"/>
      <c r="GYA116" s="15"/>
      <c r="GYB116" s="15"/>
      <c r="GYC116" s="15"/>
      <c r="GYD116" s="15"/>
      <c r="GYE116" s="15"/>
      <c r="GYF116" s="15"/>
      <c r="GYG116" s="15"/>
      <c r="GYH116" s="14"/>
      <c r="GYI116" s="15"/>
      <c r="GYJ116" s="15"/>
      <c r="GYK116" s="15"/>
      <c r="GYL116" s="15"/>
      <c r="GYM116" s="15"/>
      <c r="GYN116" s="15"/>
      <c r="GYO116" s="15"/>
      <c r="GYP116" s="15"/>
      <c r="GYQ116" s="15"/>
      <c r="GYR116" s="15"/>
      <c r="GYS116" s="15"/>
      <c r="GYT116" s="15"/>
      <c r="GYU116" s="15"/>
      <c r="GYV116" s="15"/>
      <c r="GYW116" s="15"/>
      <c r="GYX116" s="15"/>
      <c r="GYY116" s="15"/>
      <c r="GYZ116" s="15"/>
      <c r="GZA116" s="15"/>
      <c r="GZB116" s="15"/>
      <c r="GZC116" s="15"/>
      <c r="GZD116" s="14"/>
      <c r="GZE116" s="15"/>
      <c r="GZF116" s="15"/>
      <c r="GZG116" s="15"/>
      <c r="GZH116" s="15"/>
      <c r="GZI116" s="15"/>
      <c r="GZJ116" s="15"/>
      <c r="GZK116" s="15"/>
      <c r="GZL116" s="15"/>
      <c r="GZM116" s="15"/>
      <c r="GZN116" s="15"/>
      <c r="GZO116" s="15"/>
      <c r="GZP116" s="15"/>
      <c r="GZQ116" s="15"/>
      <c r="GZR116" s="15"/>
      <c r="GZS116" s="15"/>
      <c r="GZT116" s="15"/>
      <c r="GZU116" s="15"/>
      <c r="GZV116" s="15"/>
      <c r="GZW116" s="15"/>
      <c r="GZX116" s="15"/>
      <c r="GZY116" s="15"/>
      <c r="GZZ116" s="14"/>
      <c r="HAA116" s="15"/>
      <c r="HAB116" s="15"/>
      <c r="HAC116" s="15"/>
      <c r="HAD116" s="15"/>
      <c r="HAE116" s="15"/>
      <c r="HAF116" s="15"/>
      <c r="HAG116" s="15"/>
      <c r="HAH116" s="15"/>
      <c r="HAI116" s="15"/>
      <c r="HAJ116" s="15"/>
      <c r="HAK116" s="15"/>
      <c r="HAL116" s="15"/>
      <c r="HAM116" s="15"/>
      <c r="HAN116" s="15"/>
      <c r="HAO116" s="15"/>
      <c r="HAP116" s="15"/>
      <c r="HAQ116" s="15"/>
      <c r="HAR116" s="15"/>
      <c r="HAS116" s="15"/>
      <c r="HAT116" s="15"/>
      <c r="HAU116" s="15"/>
      <c r="HAV116" s="14"/>
      <c r="HAW116" s="15"/>
      <c r="HAX116" s="15"/>
      <c r="HAY116" s="15"/>
      <c r="HAZ116" s="15"/>
      <c r="HBA116" s="15"/>
      <c r="HBB116" s="15"/>
      <c r="HBC116" s="15"/>
      <c r="HBD116" s="15"/>
      <c r="HBE116" s="15"/>
      <c r="HBF116" s="15"/>
      <c r="HBG116" s="15"/>
      <c r="HBH116" s="15"/>
      <c r="HBI116" s="15"/>
      <c r="HBJ116" s="15"/>
      <c r="HBK116" s="15"/>
      <c r="HBL116" s="15"/>
      <c r="HBM116" s="15"/>
      <c r="HBN116" s="15"/>
      <c r="HBO116" s="15"/>
      <c r="HBP116" s="15"/>
      <c r="HBQ116" s="15"/>
      <c r="HBR116" s="14"/>
      <c r="HBS116" s="15"/>
      <c r="HBT116" s="15"/>
      <c r="HBU116" s="15"/>
      <c r="HBV116" s="15"/>
      <c r="HBW116" s="15"/>
      <c r="HBX116" s="15"/>
      <c r="HBY116" s="15"/>
      <c r="HBZ116" s="15"/>
      <c r="HCA116" s="15"/>
      <c r="HCB116" s="15"/>
      <c r="HCC116" s="15"/>
      <c r="HCD116" s="15"/>
      <c r="HCE116" s="15"/>
      <c r="HCF116" s="15"/>
      <c r="HCG116" s="15"/>
      <c r="HCH116" s="15"/>
      <c r="HCI116" s="15"/>
      <c r="HCJ116" s="15"/>
      <c r="HCK116" s="15"/>
      <c r="HCL116" s="15"/>
      <c r="HCM116" s="15"/>
      <c r="HCN116" s="14"/>
      <c r="HCO116" s="15"/>
      <c r="HCP116" s="15"/>
      <c r="HCQ116" s="15"/>
      <c r="HCR116" s="15"/>
      <c r="HCS116" s="15"/>
      <c r="HCT116" s="15"/>
      <c r="HCU116" s="15"/>
      <c r="HCV116" s="15"/>
      <c r="HCW116" s="15"/>
      <c r="HCX116" s="15"/>
      <c r="HCY116" s="15"/>
      <c r="HCZ116" s="15"/>
      <c r="HDA116" s="15"/>
      <c r="HDB116" s="15"/>
      <c r="HDC116" s="15"/>
      <c r="HDD116" s="15"/>
      <c r="HDE116" s="15"/>
      <c r="HDF116" s="15"/>
      <c r="HDG116" s="15"/>
      <c r="HDH116" s="15"/>
      <c r="HDI116" s="15"/>
      <c r="HDJ116" s="14"/>
      <c r="HDK116" s="15"/>
      <c r="HDL116" s="15"/>
      <c r="HDM116" s="15"/>
      <c r="HDN116" s="15"/>
      <c r="HDO116" s="15"/>
      <c r="HDP116" s="15"/>
      <c r="HDQ116" s="15"/>
      <c r="HDR116" s="15"/>
      <c r="HDS116" s="15"/>
      <c r="HDT116" s="15"/>
      <c r="HDU116" s="15"/>
      <c r="HDV116" s="15"/>
      <c r="HDW116" s="15"/>
      <c r="HDX116" s="15"/>
      <c r="HDY116" s="15"/>
      <c r="HDZ116" s="15"/>
      <c r="HEA116" s="15"/>
      <c r="HEB116" s="15"/>
      <c r="HEC116" s="15"/>
      <c r="HED116" s="15"/>
      <c r="HEE116" s="15"/>
      <c r="HEF116" s="14"/>
      <c r="HEG116" s="15"/>
      <c r="HEH116" s="15"/>
      <c r="HEI116" s="15"/>
      <c r="HEJ116" s="15"/>
      <c r="HEK116" s="15"/>
      <c r="HEL116" s="15"/>
      <c r="HEM116" s="15"/>
      <c r="HEN116" s="15"/>
      <c r="HEO116" s="15"/>
      <c r="HEP116" s="15"/>
      <c r="HEQ116" s="15"/>
      <c r="HER116" s="15"/>
      <c r="HES116" s="15"/>
      <c r="HET116" s="15"/>
      <c r="HEU116" s="15"/>
      <c r="HEV116" s="15"/>
      <c r="HEW116" s="15"/>
      <c r="HEX116" s="15"/>
      <c r="HEY116" s="15"/>
      <c r="HEZ116" s="15"/>
      <c r="HFA116" s="15"/>
      <c r="HFB116" s="14"/>
      <c r="HFC116" s="15"/>
      <c r="HFD116" s="15"/>
      <c r="HFE116" s="15"/>
      <c r="HFF116" s="15"/>
      <c r="HFG116" s="15"/>
      <c r="HFH116" s="15"/>
      <c r="HFI116" s="15"/>
      <c r="HFJ116" s="15"/>
      <c r="HFK116" s="15"/>
      <c r="HFL116" s="15"/>
      <c r="HFM116" s="15"/>
      <c r="HFN116" s="15"/>
      <c r="HFO116" s="15"/>
      <c r="HFP116" s="15"/>
      <c r="HFQ116" s="15"/>
      <c r="HFR116" s="15"/>
      <c r="HFS116" s="15"/>
      <c r="HFT116" s="15"/>
      <c r="HFU116" s="15"/>
      <c r="HFV116" s="15"/>
      <c r="HFW116" s="15"/>
      <c r="HFX116" s="14"/>
      <c r="HFY116" s="15"/>
      <c r="HFZ116" s="15"/>
      <c r="HGA116" s="15"/>
      <c r="HGB116" s="15"/>
      <c r="HGC116" s="15"/>
      <c r="HGD116" s="15"/>
      <c r="HGE116" s="15"/>
      <c r="HGF116" s="15"/>
      <c r="HGG116" s="15"/>
      <c r="HGH116" s="15"/>
      <c r="HGI116" s="15"/>
      <c r="HGJ116" s="15"/>
      <c r="HGK116" s="15"/>
      <c r="HGL116" s="15"/>
      <c r="HGM116" s="15"/>
      <c r="HGN116" s="15"/>
      <c r="HGO116" s="15"/>
      <c r="HGP116" s="15"/>
      <c r="HGQ116" s="15"/>
      <c r="HGR116" s="15"/>
      <c r="HGS116" s="15"/>
      <c r="HGT116" s="14"/>
      <c r="HGU116" s="15"/>
      <c r="HGV116" s="15"/>
      <c r="HGW116" s="15"/>
      <c r="HGX116" s="15"/>
      <c r="HGY116" s="15"/>
      <c r="HGZ116" s="15"/>
      <c r="HHA116" s="15"/>
      <c r="HHB116" s="15"/>
      <c r="HHC116" s="15"/>
      <c r="HHD116" s="15"/>
      <c r="HHE116" s="15"/>
      <c r="HHF116" s="15"/>
      <c r="HHG116" s="15"/>
      <c r="HHH116" s="15"/>
      <c r="HHI116" s="15"/>
      <c r="HHJ116" s="15"/>
      <c r="HHK116" s="15"/>
      <c r="HHL116" s="15"/>
      <c r="HHM116" s="15"/>
      <c r="HHN116" s="15"/>
      <c r="HHO116" s="15"/>
      <c r="HHP116" s="14"/>
      <c r="HHQ116" s="15"/>
      <c r="HHR116" s="15"/>
      <c r="HHS116" s="15"/>
      <c r="HHT116" s="15"/>
      <c r="HHU116" s="15"/>
      <c r="HHV116" s="15"/>
      <c r="HHW116" s="15"/>
      <c r="HHX116" s="15"/>
      <c r="HHY116" s="15"/>
      <c r="HHZ116" s="15"/>
      <c r="HIA116" s="15"/>
      <c r="HIB116" s="15"/>
      <c r="HIC116" s="15"/>
      <c r="HID116" s="15"/>
      <c r="HIE116" s="15"/>
      <c r="HIF116" s="15"/>
      <c r="HIG116" s="15"/>
      <c r="HIH116" s="15"/>
      <c r="HII116" s="15"/>
      <c r="HIJ116" s="15"/>
      <c r="HIK116" s="15"/>
      <c r="HIL116" s="14"/>
      <c r="HIM116" s="15"/>
      <c r="HIN116" s="15"/>
      <c r="HIO116" s="15"/>
      <c r="HIP116" s="15"/>
      <c r="HIQ116" s="15"/>
      <c r="HIR116" s="15"/>
      <c r="HIS116" s="15"/>
      <c r="HIT116" s="15"/>
      <c r="HIU116" s="15"/>
      <c r="HIV116" s="15"/>
      <c r="HIW116" s="15"/>
      <c r="HIX116" s="15"/>
      <c r="HIY116" s="15"/>
      <c r="HIZ116" s="15"/>
      <c r="HJA116" s="15"/>
      <c r="HJB116" s="15"/>
      <c r="HJC116" s="15"/>
      <c r="HJD116" s="15"/>
      <c r="HJE116" s="15"/>
      <c r="HJF116" s="15"/>
      <c r="HJG116" s="15"/>
      <c r="HJH116" s="14"/>
      <c r="HJI116" s="15"/>
      <c r="HJJ116" s="15"/>
      <c r="HJK116" s="15"/>
      <c r="HJL116" s="15"/>
      <c r="HJM116" s="15"/>
      <c r="HJN116" s="15"/>
      <c r="HJO116" s="15"/>
      <c r="HJP116" s="15"/>
      <c r="HJQ116" s="15"/>
      <c r="HJR116" s="15"/>
      <c r="HJS116" s="15"/>
      <c r="HJT116" s="15"/>
      <c r="HJU116" s="15"/>
      <c r="HJV116" s="15"/>
      <c r="HJW116" s="15"/>
      <c r="HJX116" s="15"/>
      <c r="HJY116" s="15"/>
      <c r="HJZ116" s="15"/>
      <c r="HKA116" s="15"/>
      <c r="HKB116" s="15"/>
      <c r="HKC116" s="15"/>
      <c r="HKD116" s="14"/>
      <c r="HKE116" s="15"/>
      <c r="HKF116" s="15"/>
      <c r="HKG116" s="15"/>
      <c r="HKH116" s="15"/>
      <c r="HKI116" s="15"/>
      <c r="HKJ116" s="15"/>
      <c r="HKK116" s="15"/>
      <c r="HKL116" s="15"/>
      <c r="HKM116" s="15"/>
      <c r="HKN116" s="15"/>
      <c r="HKO116" s="15"/>
      <c r="HKP116" s="15"/>
      <c r="HKQ116" s="15"/>
      <c r="HKR116" s="15"/>
      <c r="HKS116" s="15"/>
      <c r="HKT116" s="15"/>
      <c r="HKU116" s="15"/>
      <c r="HKV116" s="15"/>
      <c r="HKW116" s="15"/>
      <c r="HKX116" s="15"/>
      <c r="HKY116" s="15"/>
      <c r="HKZ116" s="14"/>
      <c r="HLA116" s="15"/>
      <c r="HLB116" s="15"/>
      <c r="HLC116" s="15"/>
      <c r="HLD116" s="15"/>
      <c r="HLE116" s="15"/>
      <c r="HLF116" s="15"/>
      <c r="HLG116" s="15"/>
      <c r="HLH116" s="15"/>
      <c r="HLI116" s="15"/>
      <c r="HLJ116" s="15"/>
      <c r="HLK116" s="15"/>
      <c r="HLL116" s="15"/>
      <c r="HLM116" s="15"/>
      <c r="HLN116" s="15"/>
      <c r="HLO116" s="15"/>
      <c r="HLP116" s="15"/>
      <c r="HLQ116" s="15"/>
      <c r="HLR116" s="15"/>
      <c r="HLS116" s="15"/>
      <c r="HLT116" s="15"/>
      <c r="HLU116" s="15"/>
      <c r="HLV116" s="14"/>
      <c r="HLW116" s="15"/>
      <c r="HLX116" s="15"/>
      <c r="HLY116" s="15"/>
      <c r="HLZ116" s="15"/>
      <c r="HMA116" s="15"/>
      <c r="HMB116" s="15"/>
      <c r="HMC116" s="15"/>
      <c r="HMD116" s="15"/>
      <c r="HME116" s="15"/>
      <c r="HMF116" s="15"/>
      <c r="HMG116" s="15"/>
      <c r="HMH116" s="15"/>
      <c r="HMI116" s="15"/>
      <c r="HMJ116" s="15"/>
      <c r="HMK116" s="15"/>
      <c r="HML116" s="15"/>
      <c r="HMM116" s="15"/>
      <c r="HMN116" s="15"/>
      <c r="HMO116" s="15"/>
      <c r="HMP116" s="15"/>
      <c r="HMQ116" s="15"/>
      <c r="HMR116" s="14"/>
      <c r="HMS116" s="15"/>
      <c r="HMT116" s="15"/>
      <c r="HMU116" s="15"/>
      <c r="HMV116" s="15"/>
      <c r="HMW116" s="15"/>
      <c r="HMX116" s="15"/>
      <c r="HMY116" s="15"/>
      <c r="HMZ116" s="15"/>
      <c r="HNA116" s="15"/>
      <c r="HNB116" s="15"/>
      <c r="HNC116" s="15"/>
      <c r="HND116" s="15"/>
      <c r="HNE116" s="15"/>
      <c r="HNF116" s="15"/>
      <c r="HNG116" s="15"/>
      <c r="HNH116" s="15"/>
      <c r="HNI116" s="15"/>
      <c r="HNJ116" s="15"/>
      <c r="HNK116" s="15"/>
      <c r="HNL116" s="15"/>
      <c r="HNM116" s="15"/>
      <c r="HNN116" s="14"/>
      <c r="HNO116" s="15"/>
      <c r="HNP116" s="15"/>
      <c r="HNQ116" s="15"/>
      <c r="HNR116" s="15"/>
      <c r="HNS116" s="15"/>
      <c r="HNT116" s="15"/>
      <c r="HNU116" s="15"/>
      <c r="HNV116" s="15"/>
      <c r="HNW116" s="15"/>
      <c r="HNX116" s="15"/>
      <c r="HNY116" s="15"/>
      <c r="HNZ116" s="15"/>
      <c r="HOA116" s="15"/>
      <c r="HOB116" s="15"/>
      <c r="HOC116" s="15"/>
      <c r="HOD116" s="15"/>
      <c r="HOE116" s="15"/>
      <c r="HOF116" s="15"/>
      <c r="HOG116" s="15"/>
      <c r="HOH116" s="15"/>
      <c r="HOI116" s="15"/>
      <c r="HOJ116" s="14"/>
      <c r="HOK116" s="15"/>
      <c r="HOL116" s="15"/>
      <c r="HOM116" s="15"/>
      <c r="HON116" s="15"/>
      <c r="HOO116" s="15"/>
      <c r="HOP116" s="15"/>
      <c r="HOQ116" s="15"/>
      <c r="HOR116" s="15"/>
      <c r="HOS116" s="15"/>
      <c r="HOT116" s="15"/>
      <c r="HOU116" s="15"/>
      <c r="HOV116" s="15"/>
      <c r="HOW116" s="15"/>
      <c r="HOX116" s="15"/>
      <c r="HOY116" s="15"/>
      <c r="HOZ116" s="15"/>
      <c r="HPA116" s="15"/>
      <c r="HPB116" s="15"/>
      <c r="HPC116" s="15"/>
      <c r="HPD116" s="15"/>
      <c r="HPE116" s="15"/>
      <c r="HPF116" s="14"/>
      <c r="HPG116" s="15"/>
      <c r="HPH116" s="15"/>
      <c r="HPI116" s="15"/>
      <c r="HPJ116" s="15"/>
      <c r="HPK116" s="15"/>
      <c r="HPL116" s="15"/>
      <c r="HPM116" s="15"/>
      <c r="HPN116" s="15"/>
      <c r="HPO116" s="15"/>
      <c r="HPP116" s="15"/>
      <c r="HPQ116" s="15"/>
      <c r="HPR116" s="15"/>
      <c r="HPS116" s="15"/>
      <c r="HPT116" s="15"/>
      <c r="HPU116" s="15"/>
      <c r="HPV116" s="15"/>
      <c r="HPW116" s="15"/>
      <c r="HPX116" s="15"/>
      <c r="HPY116" s="15"/>
      <c r="HPZ116" s="15"/>
      <c r="HQA116" s="15"/>
      <c r="HQB116" s="14"/>
      <c r="HQC116" s="15"/>
      <c r="HQD116" s="15"/>
      <c r="HQE116" s="15"/>
      <c r="HQF116" s="15"/>
      <c r="HQG116" s="15"/>
      <c r="HQH116" s="15"/>
      <c r="HQI116" s="15"/>
      <c r="HQJ116" s="15"/>
      <c r="HQK116" s="15"/>
      <c r="HQL116" s="15"/>
      <c r="HQM116" s="15"/>
      <c r="HQN116" s="15"/>
      <c r="HQO116" s="15"/>
      <c r="HQP116" s="15"/>
      <c r="HQQ116" s="15"/>
      <c r="HQR116" s="15"/>
      <c r="HQS116" s="15"/>
      <c r="HQT116" s="15"/>
      <c r="HQU116" s="15"/>
      <c r="HQV116" s="15"/>
      <c r="HQW116" s="15"/>
      <c r="HQX116" s="14"/>
      <c r="HQY116" s="15"/>
      <c r="HQZ116" s="15"/>
      <c r="HRA116" s="15"/>
      <c r="HRB116" s="15"/>
      <c r="HRC116" s="15"/>
      <c r="HRD116" s="15"/>
      <c r="HRE116" s="15"/>
      <c r="HRF116" s="15"/>
      <c r="HRG116" s="15"/>
      <c r="HRH116" s="15"/>
      <c r="HRI116" s="15"/>
      <c r="HRJ116" s="15"/>
      <c r="HRK116" s="15"/>
      <c r="HRL116" s="15"/>
      <c r="HRM116" s="15"/>
      <c r="HRN116" s="15"/>
      <c r="HRO116" s="15"/>
      <c r="HRP116" s="15"/>
      <c r="HRQ116" s="15"/>
      <c r="HRR116" s="15"/>
      <c r="HRS116" s="15"/>
      <c r="HRT116" s="14"/>
      <c r="HRU116" s="15"/>
      <c r="HRV116" s="15"/>
      <c r="HRW116" s="15"/>
      <c r="HRX116" s="15"/>
      <c r="HRY116" s="15"/>
      <c r="HRZ116" s="15"/>
      <c r="HSA116" s="15"/>
      <c r="HSB116" s="15"/>
      <c r="HSC116" s="15"/>
      <c r="HSD116" s="15"/>
      <c r="HSE116" s="15"/>
      <c r="HSF116" s="15"/>
      <c r="HSG116" s="15"/>
      <c r="HSH116" s="15"/>
      <c r="HSI116" s="15"/>
      <c r="HSJ116" s="15"/>
      <c r="HSK116" s="15"/>
      <c r="HSL116" s="15"/>
      <c r="HSM116" s="15"/>
      <c r="HSN116" s="15"/>
      <c r="HSO116" s="15"/>
      <c r="HSP116" s="14"/>
      <c r="HSQ116" s="15"/>
      <c r="HSR116" s="15"/>
      <c r="HSS116" s="15"/>
      <c r="HST116" s="15"/>
      <c r="HSU116" s="15"/>
      <c r="HSV116" s="15"/>
      <c r="HSW116" s="15"/>
      <c r="HSX116" s="15"/>
      <c r="HSY116" s="15"/>
      <c r="HSZ116" s="15"/>
      <c r="HTA116" s="15"/>
      <c r="HTB116" s="15"/>
      <c r="HTC116" s="15"/>
      <c r="HTD116" s="15"/>
      <c r="HTE116" s="15"/>
      <c r="HTF116" s="15"/>
      <c r="HTG116" s="15"/>
      <c r="HTH116" s="15"/>
      <c r="HTI116" s="15"/>
      <c r="HTJ116" s="15"/>
      <c r="HTK116" s="15"/>
      <c r="HTL116" s="14"/>
      <c r="HTM116" s="15"/>
      <c r="HTN116" s="15"/>
      <c r="HTO116" s="15"/>
      <c r="HTP116" s="15"/>
      <c r="HTQ116" s="15"/>
      <c r="HTR116" s="15"/>
      <c r="HTS116" s="15"/>
      <c r="HTT116" s="15"/>
      <c r="HTU116" s="15"/>
      <c r="HTV116" s="15"/>
      <c r="HTW116" s="15"/>
      <c r="HTX116" s="15"/>
      <c r="HTY116" s="15"/>
      <c r="HTZ116" s="15"/>
      <c r="HUA116" s="15"/>
      <c r="HUB116" s="15"/>
      <c r="HUC116" s="15"/>
      <c r="HUD116" s="15"/>
      <c r="HUE116" s="15"/>
      <c r="HUF116" s="15"/>
      <c r="HUG116" s="15"/>
      <c r="HUH116" s="14"/>
      <c r="HUI116" s="15"/>
      <c r="HUJ116" s="15"/>
      <c r="HUK116" s="15"/>
      <c r="HUL116" s="15"/>
      <c r="HUM116" s="15"/>
      <c r="HUN116" s="15"/>
      <c r="HUO116" s="15"/>
      <c r="HUP116" s="15"/>
      <c r="HUQ116" s="15"/>
      <c r="HUR116" s="15"/>
      <c r="HUS116" s="15"/>
      <c r="HUT116" s="15"/>
      <c r="HUU116" s="15"/>
      <c r="HUV116" s="15"/>
      <c r="HUW116" s="15"/>
      <c r="HUX116" s="15"/>
      <c r="HUY116" s="15"/>
      <c r="HUZ116" s="15"/>
      <c r="HVA116" s="15"/>
      <c r="HVB116" s="15"/>
      <c r="HVC116" s="15"/>
      <c r="HVD116" s="14"/>
      <c r="HVE116" s="15"/>
      <c r="HVF116" s="15"/>
      <c r="HVG116" s="15"/>
      <c r="HVH116" s="15"/>
      <c r="HVI116" s="15"/>
      <c r="HVJ116" s="15"/>
      <c r="HVK116" s="15"/>
      <c r="HVL116" s="15"/>
      <c r="HVM116" s="15"/>
      <c r="HVN116" s="15"/>
      <c r="HVO116" s="15"/>
      <c r="HVP116" s="15"/>
      <c r="HVQ116" s="15"/>
      <c r="HVR116" s="15"/>
      <c r="HVS116" s="15"/>
      <c r="HVT116" s="15"/>
      <c r="HVU116" s="15"/>
      <c r="HVV116" s="15"/>
      <c r="HVW116" s="15"/>
      <c r="HVX116" s="15"/>
      <c r="HVY116" s="15"/>
      <c r="HVZ116" s="14"/>
      <c r="HWA116" s="15"/>
      <c r="HWB116" s="15"/>
      <c r="HWC116" s="15"/>
      <c r="HWD116" s="15"/>
      <c r="HWE116" s="15"/>
      <c r="HWF116" s="15"/>
      <c r="HWG116" s="15"/>
      <c r="HWH116" s="15"/>
      <c r="HWI116" s="15"/>
      <c r="HWJ116" s="15"/>
      <c r="HWK116" s="15"/>
      <c r="HWL116" s="15"/>
      <c r="HWM116" s="15"/>
      <c r="HWN116" s="15"/>
      <c r="HWO116" s="15"/>
      <c r="HWP116" s="15"/>
      <c r="HWQ116" s="15"/>
      <c r="HWR116" s="15"/>
      <c r="HWS116" s="15"/>
      <c r="HWT116" s="15"/>
      <c r="HWU116" s="15"/>
      <c r="HWV116" s="14"/>
      <c r="HWW116" s="15"/>
      <c r="HWX116" s="15"/>
      <c r="HWY116" s="15"/>
      <c r="HWZ116" s="15"/>
      <c r="HXA116" s="15"/>
      <c r="HXB116" s="15"/>
      <c r="HXC116" s="15"/>
      <c r="HXD116" s="15"/>
      <c r="HXE116" s="15"/>
      <c r="HXF116" s="15"/>
      <c r="HXG116" s="15"/>
      <c r="HXH116" s="15"/>
      <c r="HXI116" s="15"/>
      <c r="HXJ116" s="15"/>
      <c r="HXK116" s="15"/>
      <c r="HXL116" s="15"/>
      <c r="HXM116" s="15"/>
      <c r="HXN116" s="15"/>
      <c r="HXO116" s="15"/>
      <c r="HXP116" s="15"/>
      <c r="HXQ116" s="15"/>
      <c r="HXR116" s="14"/>
      <c r="HXS116" s="15"/>
      <c r="HXT116" s="15"/>
      <c r="HXU116" s="15"/>
      <c r="HXV116" s="15"/>
      <c r="HXW116" s="15"/>
      <c r="HXX116" s="15"/>
      <c r="HXY116" s="15"/>
      <c r="HXZ116" s="15"/>
      <c r="HYA116" s="15"/>
      <c r="HYB116" s="15"/>
      <c r="HYC116" s="15"/>
      <c r="HYD116" s="15"/>
      <c r="HYE116" s="15"/>
      <c r="HYF116" s="15"/>
      <c r="HYG116" s="15"/>
      <c r="HYH116" s="15"/>
      <c r="HYI116" s="15"/>
      <c r="HYJ116" s="15"/>
      <c r="HYK116" s="15"/>
      <c r="HYL116" s="15"/>
      <c r="HYM116" s="15"/>
      <c r="HYN116" s="14"/>
      <c r="HYO116" s="15"/>
      <c r="HYP116" s="15"/>
      <c r="HYQ116" s="15"/>
      <c r="HYR116" s="15"/>
      <c r="HYS116" s="15"/>
      <c r="HYT116" s="15"/>
      <c r="HYU116" s="15"/>
      <c r="HYV116" s="15"/>
      <c r="HYW116" s="15"/>
      <c r="HYX116" s="15"/>
      <c r="HYY116" s="15"/>
      <c r="HYZ116" s="15"/>
      <c r="HZA116" s="15"/>
      <c r="HZB116" s="15"/>
      <c r="HZC116" s="15"/>
      <c r="HZD116" s="15"/>
      <c r="HZE116" s="15"/>
      <c r="HZF116" s="15"/>
      <c r="HZG116" s="15"/>
      <c r="HZH116" s="15"/>
      <c r="HZI116" s="15"/>
      <c r="HZJ116" s="14"/>
      <c r="HZK116" s="15"/>
      <c r="HZL116" s="15"/>
      <c r="HZM116" s="15"/>
      <c r="HZN116" s="15"/>
      <c r="HZO116" s="15"/>
      <c r="HZP116" s="15"/>
      <c r="HZQ116" s="15"/>
      <c r="HZR116" s="15"/>
      <c r="HZS116" s="15"/>
      <c r="HZT116" s="15"/>
      <c r="HZU116" s="15"/>
      <c r="HZV116" s="15"/>
      <c r="HZW116" s="15"/>
      <c r="HZX116" s="15"/>
      <c r="HZY116" s="15"/>
      <c r="HZZ116" s="15"/>
      <c r="IAA116" s="15"/>
      <c r="IAB116" s="15"/>
      <c r="IAC116" s="15"/>
      <c r="IAD116" s="15"/>
      <c r="IAE116" s="15"/>
      <c r="IAF116" s="14"/>
      <c r="IAG116" s="15"/>
      <c r="IAH116" s="15"/>
      <c r="IAI116" s="15"/>
      <c r="IAJ116" s="15"/>
      <c r="IAK116" s="15"/>
      <c r="IAL116" s="15"/>
      <c r="IAM116" s="15"/>
      <c r="IAN116" s="15"/>
      <c r="IAO116" s="15"/>
      <c r="IAP116" s="15"/>
      <c r="IAQ116" s="15"/>
      <c r="IAR116" s="15"/>
      <c r="IAS116" s="15"/>
      <c r="IAT116" s="15"/>
      <c r="IAU116" s="15"/>
      <c r="IAV116" s="15"/>
      <c r="IAW116" s="15"/>
      <c r="IAX116" s="15"/>
      <c r="IAY116" s="15"/>
      <c r="IAZ116" s="15"/>
      <c r="IBA116" s="15"/>
      <c r="IBB116" s="14"/>
      <c r="IBC116" s="15"/>
      <c r="IBD116" s="15"/>
      <c r="IBE116" s="15"/>
      <c r="IBF116" s="15"/>
      <c r="IBG116" s="15"/>
      <c r="IBH116" s="15"/>
      <c r="IBI116" s="15"/>
      <c r="IBJ116" s="15"/>
      <c r="IBK116" s="15"/>
      <c r="IBL116" s="15"/>
      <c r="IBM116" s="15"/>
      <c r="IBN116" s="15"/>
      <c r="IBO116" s="15"/>
      <c r="IBP116" s="15"/>
      <c r="IBQ116" s="15"/>
      <c r="IBR116" s="15"/>
      <c r="IBS116" s="15"/>
      <c r="IBT116" s="15"/>
      <c r="IBU116" s="15"/>
      <c r="IBV116" s="15"/>
      <c r="IBW116" s="15"/>
      <c r="IBX116" s="14"/>
      <c r="IBY116" s="15"/>
      <c r="IBZ116" s="15"/>
      <c r="ICA116" s="15"/>
      <c r="ICB116" s="15"/>
      <c r="ICC116" s="15"/>
      <c r="ICD116" s="15"/>
      <c r="ICE116" s="15"/>
      <c r="ICF116" s="15"/>
      <c r="ICG116" s="15"/>
      <c r="ICH116" s="15"/>
      <c r="ICI116" s="15"/>
      <c r="ICJ116" s="15"/>
      <c r="ICK116" s="15"/>
      <c r="ICL116" s="15"/>
      <c r="ICM116" s="15"/>
      <c r="ICN116" s="15"/>
      <c r="ICO116" s="15"/>
      <c r="ICP116" s="15"/>
      <c r="ICQ116" s="15"/>
      <c r="ICR116" s="15"/>
      <c r="ICS116" s="15"/>
      <c r="ICT116" s="14"/>
      <c r="ICU116" s="15"/>
      <c r="ICV116" s="15"/>
      <c r="ICW116" s="15"/>
      <c r="ICX116" s="15"/>
      <c r="ICY116" s="15"/>
      <c r="ICZ116" s="15"/>
      <c r="IDA116" s="15"/>
      <c r="IDB116" s="15"/>
      <c r="IDC116" s="15"/>
      <c r="IDD116" s="15"/>
      <c r="IDE116" s="15"/>
      <c r="IDF116" s="15"/>
      <c r="IDG116" s="15"/>
      <c r="IDH116" s="15"/>
      <c r="IDI116" s="15"/>
      <c r="IDJ116" s="15"/>
      <c r="IDK116" s="15"/>
      <c r="IDL116" s="15"/>
      <c r="IDM116" s="15"/>
      <c r="IDN116" s="15"/>
      <c r="IDO116" s="15"/>
      <c r="IDP116" s="14"/>
      <c r="IDQ116" s="15"/>
      <c r="IDR116" s="15"/>
      <c r="IDS116" s="15"/>
      <c r="IDT116" s="15"/>
      <c r="IDU116" s="15"/>
      <c r="IDV116" s="15"/>
      <c r="IDW116" s="15"/>
      <c r="IDX116" s="15"/>
      <c r="IDY116" s="15"/>
      <c r="IDZ116" s="15"/>
      <c r="IEA116" s="15"/>
      <c r="IEB116" s="15"/>
      <c r="IEC116" s="15"/>
      <c r="IED116" s="15"/>
      <c r="IEE116" s="15"/>
      <c r="IEF116" s="15"/>
      <c r="IEG116" s="15"/>
      <c r="IEH116" s="15"/>
      <c r="IEI116" s="15"/>
      <c r="IEJ116" s="15"/>
      <c r="IEK116" s="15"/>
      <c r="IEL116" s="14"/>
      <c r="IEM116" s="15"/>
      <c r="IEN116" s="15"/>
      <c r="IEO116" s="15"/>
      <c r="IEP116" s="15"/>
      <c r="IEQ116" s="15"/>
      <c r="IER116" s="15"/>
      <c r="IES116" s="15"/>
      <c r="IET116" s="15"/>
      <c r="IEU116" s="15"/>
      <c r="IEV116" s="15"/>
      <c r="IEW116" s="15"/>
      <c r="IEX116" s="15"/>
      <c r="IEY116" s="15"/>
      <c r="IEZ116" s="15"/>
      <c r="IFA116" s="15"/>
      <c r="IFB116" s="15"/>
      <c r="IFC116" s="15"/>
      <c r="IFD116" s="15"/>
      <c r="IFE116" s="15"/>
      <c r="IFF116" s="15"/>
      <c r="IFG116" s="15"/>
      <c r="IFH116" s="14"/>
      <c r="IFI116" s="15"/>
      <c r="IFJ116" s="15"/>
      <c r="IFK116" s="15"/>
      <c r="IFL116" s="15"/>
      <c r="IFM116" s="15"/>
      <c r="IFN116" s="15"/>
      <c r="IFO116" s="15"/>
      <c r="IFP116" s="15"/>
      <c r="IFQ116" s="15"/>
      <c r="IFR116" s="15"/>
      <c r="IFS116" s="15"/>
      <c r="IFT116" s="15"/>
      <c r="IFU116" s="15"/>
      <c r="IFV116" s="15"/>
      <c r="IFW116" s="15"/>
      <c r="IFX116" s="15"/>
      <c r="IFY116" s="15"/>
      <c r="IFZ116" s="15"/>
      <c r="IGA116" s="15"/>
      <c r="IGB116" s="15"/>
      <c r="IGC116" s="15"/>
      <c r="IGD116" s="14"/>
      <c r="IGE116" s="15"/>
      <c r="IGF116" s="15"/>
      <c r="IGG116" s="15"/>
      <c r="IGH116" s="15"/>
      <c r="IGI116" s="15"/>
      <c r="IGJ116" s="15"/>
      <c r="IGK116" s="15"/>
      <c r="IGL116" s="15"/>
      <c r="IGM116" s="15"/>
      <c r="IGN116" s="15"/>
      <c r="IGO116" s="15"/>
      <c r="IGP116" s="15"/>
      <c r="IGQ116" s="15"/>
      <c r="IGR116" s="15"/>
      <c r="IGS116" s="15"/>
      <c r="IGT116" s="15"/>
      <c r="IGU116" s="15"/>
      <c r="IGV116" s="15"/>
      <c r="IGW116" s="15"/>
      <c r="IGX116" s="15"/>
      <c r="IGY116" s="15"/>
      <c r="IGZ116" s="14"/>
      <c r="IHA116" s="15"/>
      <c r="IHB116" s="15"/>
      <c r="IHC116" s="15"/>
      <c r="IHD116" s="15"/>
      <c r="IHE116" s="15"/>
      <c r="IHF116" s="15"/>
      <c r="IHG116" s="15"/>
      <c r="IHH116" s="15"/>
      <c r="IHI116" s="15"/>
      <c r="IHJ116" s="15"/>
      <c r="IHK116" s="15"/>
      <c r="IHL116" s="15"/>
      <c r="IHM116" s="15"/>
      <c r="IHN116" s="15"/>
      <c r="IHO116" s="15"/>
      <c r="IHP116" s="15"/>
      <c r="IHQ116" s="15"/>
      <c r="IHR116" s="15"/>
      <c r="IHS116" s="15"/>
      <c r="IHT116" s="15"/>
      <c r="IHU116" s="15"/>
      <c r="IHV116" s="14"/>
      <c r="IHW116" s="15"/>
      <c r="IHX116" s="15"/>
      <c r="IHY116" s="15"/>
      <c r="IHZ116" s="15"/>
      <c r="IIA116" s="15"/>
      <c r="IIB116" s="15"/>
      <c r="IIC116" s="15"/>
      <c r="IID116" s="15"/>
      <c r="IIE116" s="15"/>
      <c r="IIF116" s="15"/>
      <c r="IIG116" s="15"/>
      <c r="IIH116" s="15"/>
      <c r="III116" s="15"/>
      <c r="IIJ116" s="15"/>
      <c r="IIK116" s="15"/>
      <c r="IIL116" s="15"/>
      <c r="IIM116" s="15"/>
      <c r="IIN116" s="15"/>
      <c r="IIO116" s="15"/>
      <c r="IIP116" s="15"/>
      <c r="IIQ116" s="15"/>
      <c r="IIR116" s="14"/>
      <c r="IIS116" s="15"/>
      <c r="IIT116" s="15"/>
      <c r="IIU116" s="15"/>
      <c r="IIV116" s="15"/>
      <c r="IIW116" s="15"/>
      <c r="IIX116" s="15"/>
      <c r="IIY116" s="15"/>
      <c r="IIZ116" s="15"/>
      <c r="IJA116" s="15"/>
      <c r="IJB116" s="15"/>
      <c r="IJC116" s="15"/>
      <c r="IJD116" s="15"/>
      <c r="IJE116" s="15"/>
      <c r="IJF116" s="15"/>
      <c r="IJG116" s="15"/>
      <c r="IJH116" s="15"/>
      <c r="IJI116" s="15"/>
      <c r="IJJ116" s="15"/>
      <c r="IJK116" s="15"/>
      <c r="IJL116" s="15"/>
      <c r="IJM116" s="15"/>
      <c r="IJN116" s="14"/>
      <c r="IJO116" s="15"/>
      <c r="IJP116" s="15"/>
      <c r="IJQ116" s="15"/>
      <c r="IJR116" s="15"/>
      <c r="IJS116" s="15"/>
      <c r="IJT116" s="15"/>
      <c r="IJU116" s="15"/>
      <c r="IJV116" s="15"/>
      <c r="IJW116" s="15"/>
      <c r="IJX116" s="15"/>
      <c r="IJY116" s="15"/>
      <c r="IJZ116" s="15"/>
      <c r="IKA116" s="15"/>
      <c r="IKB116" s="15"/>
      <c r="IKC116" s="15"/>
      <c r="IKD116" s="15"/>
      <c r="IKE116" s="15"/>
      <c r="IKF116" s="15"/>
      <c r="IKG116" s="15"/>
      <c r="IKH116" s="15"/>
      <c r="IKI116" s="15"/>
      <c r="IKJ116" s="14"/>
      <c r="IKK116" s="15"/>
      <c r="IKL116" s="15"/>
      <c r="IKM116" s="15"/>
      <c r="IKN116" s="15"/>
      <c r="IKO116" s="15"/>
      <c r="IKP116" s="15"/>
      <c r="IKQ116" s="15"/>
      <c r="IKR116" s="15"/>
      <c r="IKS116" s="15"/>
      <c r="IKT116" s="15"/>
      <c r="IKU116" s="15"/>
      <c r="IKV116" s="15"/>
      <c r="IKW116" s="15"/>
      <c r="IKX116" s="15"/>
      <c r="IKY116" s="15"/>
      <c r="IKZ116" s="15"/>
      <c r="ILA116" s="15"/>
      <c r="ILB116" s="15"/>
      <c r="ILC116" s="15"/>
      <c r="ILD116" s="15"/>
      <c r="ILE116" s="15"/>
      <c r="ILF116" s="14"/>
      <c r="ILG116" s="15"/>
      <c r="ILH116" s="15"/>
      <c r="ILI116" s="15"/>
      <c r="ILJ116" s="15"/>
      <c r="ILK116" s="15"/>
      <c r="ILL116" s="15"/>
      <c r="ILM116" s="15"/>
      <c r="ILN116" s="15"/>
      <c r="ILO116" s="15"/>
      <c r="ILP116" s="15"/>
      <c r="ILQ116" s="15"/>
      <c r="ILR116" s="15"/>
      <c r="ILS116" s="15"/>
      <c r="ILT116" s="15"/>
      <c r="ILU116" s="15"/>
      <c r="ILV116" s="15"/>
      <c r="ILW116" s="15"/>
      <c r="ILX116" s="15"/>
      <c r="ILY116" s="15"/>
      <c r="ILZ116" s="15"/>
      <c r="IMA116" s="15"/>
      <c r="IMB116" s="14"/>
      <c r="IMC116" s="15"/>
      <c r="IMD116" s="15"/>
      <c r="IME116" s="15"/>
      <c r="IMF116" s="15"/>
      <c r="IMG116" s="15"/>
      <c r="IMH116" s="15"/>
      <c r="IMI116" s="15"/>
      <c r="IMJ116" s="15"/>
      <c r="IMK116" s="15"/>
      <c r="IML116" s="15"/>
      <c r="IMM116" s="15"/>
      <c r="IMN116" s="15"/>
      <c r="IMO116" s="15"/>
      <c r="IMP116" s="15"/>
      <c r="IMQ116" s="15"/>
      <c r="IMR116" s="15"/>
      <c r="IMS116" s="15"/>
      <c r="IMT116" s="15"/>
      <c r="IMU116" s="15"/>
      <c r="IMV116" s="15"/>
      <c r="IMW116" s="15"/>
      <c r="IMX116" s="14"/>
      <c r="IMY116" s="15"/>
      <c r="IMZ116" s="15"/>
      <c r="INA116" s="15"/>
      <c r="INB116" s="15"/>
      <c r="INC116" s="15"/>
      <c r="IND116" s="15"/>
      <c r="INE116" s="15"/>
      <c r="INF116" s="15"/>
      <c r="ING116" s="15"/>
      <c r="INH116" s="15"/>
      <c r="INI116" s="15"/>
      <c r="INJ116" s="15"/>
      <c r="INK116" s="15"/>
      <c r="INL116" s="15"/>
      <c r="INM116" s="15"/>
      <c r="INN116" s="15"/>
      <c r="INO116" s="15"/>
      <c r="INP116" s="15"/>
      <c r="INQ116" s="15"/>
      <c r="INR116" s="15"/>
      <c r="INS116" s="15"/>
      <c r="INT116" s="14"/>
      <c r="INU116" s="15"/>
      <c r="INV116" s="15"/>
      <c r="INW116" s="15"/>
      <c r="INX116" s="15"/>
      <c r="INY116" s="15"/>
      <c r="INZ116" s="15"/>
      <c r="IOA116" s="15"/>
      <c r="IOB116" s="15"/>
      <c r="IOC116" s="15"/>
      <c r="IOD116" s="15"/>
      <c r="IOE116" s="15"/>
      <c r="IOF116" s="15"/>
      <c r="IOG116" s="15"/>
      <c r="IOH116" s="15"/>
      <c r="IOI116" s="15"/>
      <c r="IOJ116" s="15"/>
      <c r="IOK116" s="15"/>
      <c r="IOL116" s="15"/>
      <c r="IOM116" s="15"/>
      <c r="ION116" s="15"/>
      <c r="IOO116" s="15"/>
      <c r="IOP116" s="14"/>
      <c r="IOQ116" s="15"/>
      <c r="IOR116" s="15"/>
      <c r="IOS116" s="15"/>
      <c r="IOT116" s="15"/>
      <c r="IOU116" s="15"/>
      <c r="IOV116" s="15"/>
      <c r="IOW116" s="15"/>
      <c r="IOX116" s="15"/>
      <c r="IOY116" s="15"/>
      <c r="IOZ116" s="15"/>
      <c r="IPA116" s="15"/>
      <c r="IPB116" s="15"/>
      <c r="IPC116" s="15"/>
      <c r="IPD116" s="15"/>
      <c r="IPE116" s="15"/>
      <c r="IPF116" s="15"/>
      <c r="IPG116" s="15"/>
      <c r="IPH116" s="15"/>
      <c r="IPI116" s="15"/>
      <c r="IPJ116" s="15"/>
      <c r="IPK116" s="15"/>
      <c r="IPL116" s="14"/>
      <c r="IPM116" s="15"/>
      <c r="IPN116" s="15"/>
      <c r="IPO116" s="15"/>
      <c r="IPP116" s="15"/>
      <c r="IPQ116" s="15"/>
      <c r="IPR116" s="15"/>
      <c r="IPS116" s="15"/>
      <c r="IPT116" s="15"/>
      <c r="IPU116" s="15"/>
      <c r="IPV116" s="15"/>
      <c r="IPW116" s="15"/>
      <c r="IPX116" s="15"/>
      <c r="IPY116" s="15"/>
      <c r="IPZ116" s="15"/>
      <c r="IQA116" s="15"/>
      <c r="IQB116" s="15"/>
      <c r="IQC116" s="15"/>
      <c r="IQD116" s="15"/>
      <c r="IQE116" s="15"/>
      <c r="IQF116" s="15"/>
      <c r="IQG116" s="15"/>
      <c r="IQH116" s="14"/>
      <c r="IQI116" s="15"/>
      <c r="IQJ116" s="15"/>
      <c r="IQK116" s="15"/>
      <c r="IQL116" s="15"/>
      <c r="IQM116" s="15"/>
      <c r="IQN116" s="15"/>
      <c r="IQO116" s="15"/>
      <c r="IQP116" s="15"/>
      <c r="IQQ116" s="15"/>
      <c r="IQR116" s="15"/>
      <c r="IQS116" s="15"/>
      <c r="IQT116" s="15"/>
      <c r="IQU116" s="15"/>
      <c r="IQV116" s="15"/>
      <c r="IQW116" s="15"/>
      <c r="IQX116" s="15"/>
      <c r="IQY116" s="15"/>
      <c r="IQZ116" s="15"/>
      <c r="IRA116" s="15"/>
      <c r="IRB116" s="15"/>
      <c r="IRC116" s="15"/>
      <c r="IRD116" s="14"/>
      <c r="IRE116" s="15"/>
      <c r="IRF116" s="15"/>
      <c r="IRG116" s="15"/>
      <c r="IRH116" s="15"/>
      <c r="IRI116" s="15"/>
      <c r="IRJ116" s="15"/>
      <c r="IRK116" s="15"/>
      <c r="IRL116" s="15"/>
      <c r="IRM116" s="15"/>
      <c r="IRN116" s="15"/>
      <c r="IRO116" s="15"/>
      <c r="IRP116" s="15"/>
      <c r="IRQ116" s="15"/>
      <c r="IRR116" s="15"/>
      <c r="IRS116" s="15"/>
      <c r="IRT116" s="15"/>
      <c r="IRU116" s="15"/>
      <c r="IRV116" s="15"/>
      <c r="IRW116" s="15"/>
      <c r="IRX116" s="15"/>
      <c r="IRY116" s="15"/>
      <c r="IRZ116" s="14"/>
      <c r="ISA116" s="15"/>
      <c r="ISB116" s="15"/>
      <c r="ISC116" s="15"/>
      <c r="ISD116" s="15"/>
      <c r="ISE116" s="15"/>
      <c r="ISF116" s="15"/>
      <c r="ISG116" s="15"/>
      <c r="ISH116" s="15"/>
      <c r="ISI116" s="15"/>
      <c r="ISJ116" s="15"/>
      <c r="ISK116" s="15"/>
      <c r="ISL116" s="15"/>
      <c r="ISM116" s="15"/>
      <c r="ISN116" s="15"/>
      <c r="ISO116" s="15"/>
      <c r="ISP116" s="15"/>
      <c r="ISQ116" s="15"/>
      <c r="ISR116" s="15"/>
      <c r="ISS116" s="15"/>
      <c r="IST116" s="15"/>
      <c r="ISU116" s="15"/>
      <c r="ISV116" s="14"/>
      <c r="ISW116" s="15"/>
      <c r="ISX116" s="15"/>
      <c r="ISY116" s="15"/>
      <c r="ISZ116" s="15"/>
      <c r="ITA116" s="15"/>
      <c r="ITB116" s="15"/>
      <c r="ITC116" s="15"/>
      <c r="ITD116" s="15"/>
      <c r="ITE116" s="15"/>
      <c r="ITF116" s="15"/>
      <c r="ITG116" s="15"/>
      <c r="ITH116" s="15"/>
      <c r="ITI116" s="15"/>
      <c r="ITJ116" s="15"/>
      <c r="ITK116" s="15"/>
      <c r="ITL116" s="15"/>
      <c r="ITM116" s="15"/>
      <c r="ITN116" s="15"/>
      <c r="ITO116" s="15"/>
      <c r="ITP116" s="15"/>
      <c r="ITQ116" s="15"/>
      <c r="ITR116" s="14"/>
      <c r="ITS116" s="15"/>
      <c r="ITT116" s="15"/>
      <c r="ITU116" s="15"/>
      <c r="ITV116" s="15"/>
      <c r="ITW116" s="15"/>
      <c r="ITX116" s="15"/>
      <c r="ITY116" s="15"/>
      <c r="ITZ116" s="15"/>
      <c r="IUA116" s="15"/>
      <c r="IUB116" s="15"/>
      <c r="IUC116" s="15"/>
      <c r="IUD116" s="15"/>
      <c r="IUE116" s="15"/>
      <c r="IUF116" s="15"/>
      <c r="IUG116" s="15"/>
      <c r="IUH116" s="15"/>
      <c r="IUI116" s="15"/>
      <c r="IUJ116" s="15"/>
      <c r="IUK116" s="15"/>
      <c r="IUL116" s="15"/>
      <c r="IUM116" s="15"/>
      <c r="IUN116" s="14"/>
      <c r="IUO116" s="15"/>
      <c r="IUP116" s="15"/>
      <c r="IUQ116" s="15"/>
      <c r="IUR116" s="15"/>
      <c r="IUS116" s="15"/>
      <c r="IUT116" s="15"/>
      <c r="IUU116" s="15"/>
      <c r="IUV116" s="15"/>
      <c r="IUW116" s="15"/>
      <c r="IUX116" s="15"/>
      <c r="IUY116" s="15"/>
      <c r="IUZ116" s="15"/>
      <c r="IVA116" s="15"/>
      <c r="IVB116" s="15"/>
      <c r="IVC116" s="15"/>
      <c r="IVD116" s="15"/>
      <c r="IVE116" s="15"/>
      <c r="IVF116" s="15"/>
      <c r="IVG116" s="15"/>
      <c r="IVH116" s="15"/>
      <c r="IVI116" s="15"/>
      <c r="IVJ116" s="14"/>
      <c r="IVK116" s="15"/>
      <c r="IVL116" s="15"/>
      <c r="IVM116" s="15"/>
      <c r="IVN116" s="15"/>
      <c r="IVO116" s="15"/>
      <c r="IVP116" s="15"/>
      <c r="IVQ116" s="15"/>
      <c r="IVR116" s="15"/>
      <c r="IVS116" s="15"/>
      <c r="IVT116" s="15"/>
      <c r="IVU116" s="15"/>
      <c r="IVV116" s="15"/>
      <c r="IVW116" s="15"/>
      <c r="IVX116" s="15"/>
      <c r="IVY116" s="15"/>
      <c r="IVZ116" s="15"/>
      <c r="IWA116" s="15"/>
      <c r="IWB116" s="15"/>
      <c r="IWC116" s="15"/>
      <c r="IWD116" s="15"/>
      <c r="IWE116" s="15"/>
      <c r="IWF116" s="14"/>
      <c r="IWG116" s="15"/>
      <c r="IWH116" s="15"/>
      <c r="IWI116" s="15"/>
      <c r="IWJ116" s="15"/>
      <c r="IWK116" s="15"/>
      <c r="IWL116" s="15"/>
      <c r="IWM116" s="15"/>
      <c r="IWN116" s="15"/>
      <c r="IWO116" s="15"/>
      <c r="IWP116" s="15"/>
      <c r="IWQ116" s="15"/>
      <c r="IWR116" s="15"/>
      <c r="IWS116" s="15"/>
      <c r="IWT116" s="15"/>
      <c r="IWU116" s="15"/>
      <c r="IWV116" s="15"/>
      <c r="IWW116" s="15"/>
      <c r="IWX116" s="15"/>
      <c r="IWY116" s="15"/>
      <c r="IWZ116" s="15"/>
      <c r="IXA116" s="15"/>
      <c r="IXB116" s="14"/>
      <c r="IXC116" s="15"/>
      <c r="IXD116" s="15"/>
      <c r="IXE116" s="15"/>
      <c r="IXF116" s="15"/>
      <c r="IXG116" s="15"/>
      <c r="IXH116" s="15"/>
      <c r="IXI116" s="15"/>
      <c r="IXJ116" s="15"/>
      <c r="IXK116" s="15"/>
      <c r="IXL116" s="15"/>
      <c r="IXM116" s="15"/>
      <c r="IXN116" s="15"/>
      <c r="IXO116" s="15"/>
      <c r="IXP116" s="15"/>
      <c r="IXQ116" s="15"/>
      <c r="IXR116" s="15"/>
      <c r="IXS116" s="15"/>
      <c r="IXT116" s="15"/>
      <c r="IXU116" s="15"/>
      <c r="IXV116" s="15"/>
      <c r="IXW116" s="15"/>
      <c r="IXX116" s="14"/>
      <c r="IXY116" s="15"/>
      <c r="IXZ116" s="15"/>
      <c r="IYA116" s="15"/>
      <c r="IYB116" s="15"/>
      <c r="IYC116" s="15"/>
      <c r="IYD116" s="15"/>
      <c r="IYE116" s="15"/>
      <c r="IYF116" s="15"/>
      <c r="IYG116" s="15"/>
      <c r="IYH116" s="15"/>
      <c r="IYI116" s="15"/>
      <c r="IYJ116" s="15"/>
      <c r="IYK116" s="15"/>
      <c r="IYL116" s="15"/>
      <c r="IYM116" s="15"/>
      <c r="IYN116" s="15"/>
      <c r="IYO116" s="15"/>
      <c r="IYP116" s="15"/>
      <c r="IYQ116" s="15"/>
      <c r="IYR116" s="15"/>
      <c r="IYS116" s="15"/>
      <c r="IYT116" s="14"/>
      <c r="IYU116" s="15"/>
      <c r="IYV116" s="15"/>
      <c r="IYW116" s="15"/>
      <c r="IYX116" s="15"/>
      <c r="IYY116" s="15"/>
      <c r="IYZ116" s="15"/>
      <c r="IZA116" s="15"/>
      <c r="IZB116" s="15"/>
      <c r="IZC116" s="15"/>
      <c r="IZD116" s="15"/>
      <c r="IZE116" s="15"/>
      <c r="IZF116" s="15"/>
      <c r="IZG116" s="15"/>
      <c r="IZH116" s="15"/>
      <c r="IZI116" s="15"/>
      <c r="IZJ116" s="15"/>
      <c r="IZK116" s="15"/>
      <c r="IZL116" s="15"/>
      <c r="IZM116" s="15"/>
      <c r="IZN116" s="15"/>
      <c r="IZO116" s="15"/>
      <c r="IZP116" s="14"/>
      <c r="IZQ116" s="15"/>
      <c r="IZR116" s="15"/>
      <c r="IZS116" s="15"/>
      <c r="IZT116" s="15"/>
      <c r="IZU116" s="15"/>
      <c r="IZV116" s="15"/>
      <c r="IZW116" s="15"/>
      <c r="IZX116" s="15"/>
      <c r="IZY116" s="15"/>
      <c r="IZZ116" s="15"/>
      <c r="JAA116" s="15"/>
      <c r="JAB116" s="15"/>
      <c r="JAC116" s="15"/>
      <c r="JAD116" s="15"/>
      <c r="JAE116" s="15"/>
      <c r="JAF116" s="15"/>
      <c r="JAG116" s="15"/>
      <c r="JAH116" s="15"/>
      <c r="JAI116" s="15"/>
      <c r="JAJ116" s="15"/>
      <c r="JAK116" s="15"/>
      <c r="JAL116" s="14"/>
      <c r="JAM116" s="15"/>
      <c r="JAN116" s="15"/>
      <c r="JAO116" s="15"/>
      <c r="JAP116" s="15"/>
      <c r="JAQ116" s="15"/>
      <c r="JAR116" s="15"/>
      <c r="JAS116" s="15"/>
      <c r="JAT116" s="15"/>
      <c r="JAU116" s="15"/>
      <c r="JAV116" s="15"/>
      <c r="JAW116" s="15"/>
      <c r="JAX116" s="15"/>
      <c r="JAY116" s="15"/>
      <c r="JAZ116" s="15"/>
      <c r="JBA116" s="15"/>
      <c r="JBB116" s="15"/>
      <c r="JBC116" s="15"/>
      <c r="JBD116" s="15"/>
      <c r="JBE116" s="15"/>
      <c r="JBF116" s="15"/>
      <c r="JBG116" s="15"/>
      <c r="JBH116" s="14"/>
      <c r="JBI116" s="15"/>
      <c r="JBJ116" s="15"/>
      <c r="JBK116" s="15"/>
      <c r="JBL116" s="15"/>
      <c r="JBM116" s="15"/>
      <c r="JBN116" s="15"/>
      <c r="JBO116" s="15"/>
      <c r="JBP116" s="15"/>
      <c r="JBQ116" s="15"/>
      <c r="JBR116" s="15"/>
      <c r="JBS116" s="15"/>
      <c r="JBT116" s="15"/>
      <c r="JBU116" s="15"/>
      <c r="JBV116" s="15"/>
      <c r="JBW116" s="15"/>
      <c r="JBX116" s="15"/>
      <c r="JBY116" s="15"/>
      <c r="JBZ116" s="15"/>
      <c r="JCA116" s="15"/>
      <c r="JCB116" s="15"/>
      <c r="JCC116" s="15"/>
      <c r="JCD116" s="14"/>
      <c r="JCE116" s="15"/>
      <c r="JCF116" s="15"/>
      <c r="JCG116" s="15"/>
      <c r="JCH116" s="15"/>
      <c r="JCI116" s="15"/>
      <c r="JCJ116" s="15"/>
      <c r="JCK116" s="15"/>
      <c r="JCL116" s="15"/>
      <c r="JCM116" s="15"/>
      <c r="JCN116" s="15"/>
      <c r="JCO116" s="15"/>
      <c r="JCP116" s="15"/>
      <c r="JCQ116" s="15"/>
      <c r="JCR116" s="15"/>
      <c r="JCS116" s="15"/>
      <c r="JCT116" s="15"/>
      <c r="JCU116" s="15"/>
      <c r="JCV116" s="15"/>
      <c r="JCW116" s="15"/>
      <c r="JCX116" s="15"/>
      <c r="JCY116" s="15"/>
      <c r="JCZ116" s="14"/>
      <c r="JDA116" s="15"/>
      <c r="JDB116" s="15"/>
      <c r="JDC116" s="15"/>
      <c r="JDD116" s="15"/>
      <c r="JDE116" s="15"/>
      <c r="JDF116" s="15"/>
      <c r="JDG116" s="15"/>
      <c r="JDH116" s="15"/>
      <c r="JDI116" s="15"/>
      <c r="JDJ116" s="15"/>
      <c r="JDK116" s="15"/>
      <c r="JDL116" s="15"/>
      <c r="JDM116" s="15"/>
      <c r="JDN116" s="15"/>
      <c r="JDO116" s="15"/>
      <c r="JDP116" s="15"/>
      <c r="JDQ116" s="15"/>
      <c r="JDR116" s="15"/>
      <c r="JDS116" s="15"/>
      <c r="JDT116" s="15"/>
      <c r="JDU116" s="15"/>
      <c r="JDV116" s="14"/>
      <c r="JDW116" s="15"/>
      <c r="JDX116" s="15"/>
      <c r="JDY116" s="15"/>
      <c r="JDZ116" s="15"/>
      <c r="JEA116" s="15"/>
      <c r="JEB116" s="15"/>
      <c r="JEC116" s="15"/>
      <c r="JED116" s="15"/>
      <c r="JEE116" s="15"/>
      <c r="JEF116" s="15"/>
      <c r="JEG116" s="15"/>
      <c r="JEH116" s="15"/>
      <c r="JEI116" s="15"/>
      <c r="JEJ116" s="15"/>
      <c r="JEK116" s="15"/>
      <c r="JEL116" s="15"/>
      <c r="JEM116" s="15"/>
      <c r="JEN116" s="15"/>
      <c r="JEO116" s="15"/>
      <c r="JEP116" s="15"/>
      <c r="JEQ116" s="15"/>
      <c r="JER116" s="14"/>
      <c r="JES116" s="15"/>
      <c r="JET116" s="15"/>
      <c r="JEU116" s="15"/>
      <c r="JEV116" s="15"/>
      <c r="JEW116" s="15"/>
      <c r="JEX116" s="15"/>
      <c r="JEY116" s="15"/>
      <c r="JEZ116" s="15"/>
      <c r="JFA116" s="15"/>
      <c r="JFB116" s="15"/>
      <c r="JFC116" s="15"/>
      <c r="JFD116" s="15"/>
      <c r="JFE116" s="15"/>
      <c r="JFF116" s="15"/>
      <c r="JFG116" s="15"/>
      <c r="JFH116" s="15"/>
      <c r="JFI116" s="15"/>
      <c r="JFJ116" s="15"/>
      <c r="JFK116" s="15"/>
      <c r="JFL116" s="15"/>
      <c r="JFM116" s="15"/>
      <c r="JFN116" s="14"/>
      <c r="JFO116" s="15"/>
      <c r="JFP116" s="15"/>
      <c r="JFQ116" s="15"/>
      <c r="JFR116" s="15"/>
      <c r="JFS116" s="15"/>
      <c r="JFT116" s="15"/>
      <c r="JFU116" s="15"/>
      <c r="JFV116" s="15"/>
      <c r="JFW116" s="15"/>
      <c r="JFX116" s="15"/>
      <c r="JFY116" s="15"/>
      <c r="JFZ116" s="15"/>
      <c r="JGA116" s="15"/>
      <c r="JGB116" s="15"/>
      <c r="JGC116" s="15"/>
      <c r="JGD116" s="15"/>
      <c r="JGE116" s="15"/>
      <c r="JGF116" s="15"/>
      <c r="JGG116" s="15"/>
      <c r="JGH116" s="15"/>
      <c r="JGI116" s="15"/>
      <c r="JGJ116" s="14"/>
      <c r="JGK116" s="15"/>
      <c r="JGL116" s="15"/>
      <c r="JGM116" s="15"/>
      <c r="JGN116" s="15"/>
      <c r="JGO116" s="15"/>
      <c r="JGP116" s="15"/>
      <c r="JGQ116" s="15"/>
      <c r="JGR116" s="15"/>
      <c r="JGS116" s="15"/>
      <c r="JGT116" s="15"/>
      <c r="JGU116" s="15"/>
      <c r="JGV116" s="15"/>
      <c r="JGW116" s="15"/>
      <c r="JGX116" s="15"/>
      <c r="JGY116" s="15"/>
      <c r="JGZ116" s="15"/>
      <c r="JHA116" s="15"/>
      <c r="JHB116" s="15"/>
      <c r="JHC116" s="15"/>
      <c r="JHD116" s="15"/>
      <c r="JHE116" s="15"/>
      <c r="JHF116" s="14"/>
      <c r="JHG116" s="15"/>
      <c r="JHH116" s="15"/>
      <c r="JHI116" s="15"/>
      <c r="JHJ116" s="15"/>
      <c r="JHK116" s="15"/>
      <c r="JHL116" s="15"/>
      <c r="JHM116" s="15"/>
      <c r="JHN116" s="15"/>
      <c r="JHO116" s="15"/>
      <c r="JHP116" s="15"/>
      <c r="JHQ116" s="15"/>
      <c r="JHR116" s="15"/>
      <c r="JHS116" s="15"/>
      <c r="JHT116" s="15"/>
      <c r="JHU116" s="15"/>
      <c r="JHV116" s="15"/>
      <c r="JHW116" s="15"/>
      <c r="JHX116" s="15"/>
      <c r="JHY116" s="15"/>
      <c r="JHZ116" s="15"/>
      <c r="JIA116" s="15"/>
      <c r="JIB116" s="14"/>
      <c r="JIC116" s="15"/>
      <c r="JID116" s="15"/>
      <c r="JIE116" s="15"/>
      <c r="JIF116" s="15"/>
      <c r="JIG116" s="15"/>
      <c r="JIH116" s="15"/>
      <c r="JII116" s="15"/>
      <c r="JIJ116" s="15"/>
      <c r="JIK116" s="15"/>
      <c r="JIL116" s="15"/>
      <c r="JIM116" s="15"/>
      <c r="JIN116" s="15"/>
      <c r="JIO116" s="15"/>
      <c r="JIP116" s="15"/>
      <c r="JIQ116" s="15"/>
      <c r="JIR116" s="15"/>
      <c r="JIS116" s="15"/>
      <c r="JIT116" s="15"/>
      <c r="JIU116" s="15"/>
      <c r="JIV116" s="15"/>
      <c r="JIW116" s="15"/>
      <c r="JIX116" s="14"/>
      <c r="JIY116" s="15"/>
      <c r="JIZ116" s="15"/>
      <c r="JJA116" s="15"/>
      <c r="JJB116" s="15"/>
      <c r="JJC116" s="15"/>
      <c r="JJD116" s="15"/>
      <c r="JJE116" s="15"/>
      <c r="JJF116" s="15"/>
      <c r="JJG116" s="15"/>
      <c r="JJH116" s="15"/>
      <c r="JJI116" s="15"/>
      <c r="JJJ116" s="15"/>
      <c r="JJK116" s="15"/>
      <c r="JJL116" s="15"/>
      <c r="JJM116" s="15"/>
      <c r="JJN116" s="15"/>
      <c r="JJO116" s="15"/>
      <c r="JJP116" s="15"/>
      <c r="JJQ116" s="15"/>
      <c r="JJR116" s="15"/>
      <c r="JJS116" s="15"/>
      <c r="JJT116" s="14"/>
      <c r="JJU116" s="15"/>
      <c r="JJV116" s="15"/>
      <c r="JJW116" s="15"/>
      <c r="JJX116" s="15"/>
      <c r="JJY116" s="15"/>
      <c r="JJZ116" s="15"/>
      <c r="JKA116" s="15"/>
      <c r="JKB116" s="15"/>
      <c r="JKC116" s="15"/>
      <c r="JKD116" s="15"/>
      <c r="JKE116" s="15"/>
      <c r="JKF116" s="15"/>
      <c r="JKG116" s="15"/>
      <c r="JKH116" s="15"/>
      <c r="JKI116" s="15"/>
      <c r="JKJ116" s="15"/>
      <c r="JKK116" s="15"/>
      <c r="JKL116" s="15"/>
      <c r="JKM116" s="15"/>
      <c r="JKN116" s="15"/>
      <c r="JKO116" s="15"/>
      <c r="JKP116" s="14"/>
      <c r="JKQ116" s="15"/>
      <c r="JKR116" s="15"/>
      <c r="JKS116" s="15"/>
      <c r="JKT116" s="15"/>
      <c r="JKU116" s="15"/>
      <c r="JKV116" s="15"/>
      <c r="JKW116" s="15"/>
      <c r="JKX116" s="15"/>
      <c r="JKY116" s="15"/>
      <c r="JKZ116" s="15"/>
      <c r="JLA116" s="15"/>
      <c r="JLB116" s="15"/>
      <c r="JLC116" s="15"/>
      <c r="JLD116" s="15"/>
      <c r="JLE116" s="15"/>
      <c r="JLF116" s="15"/>
      <c r="JLG116" s="15"/>
      <c r="JLH116" s="15"/>
      <c r="JLI116" s="15"/>
      <c r="JLJ116" s="15"/>
      <c r="JLK116" s="15"/>
      <c r="JLL116" s="14"/>
      <c r="JLM116" s="15"/>
      <c r="JLN116" s="15"/>
      <c r="JLO116" s="15"/>
      <c r="JLP116" s="15"/>
      <c r="JLQ116" s="15"/>
      <c r="JLR116" s="15"/>
      <c r="JLS116" s="15"/>
      <c r="JLT116" s="15"/>
      <c r="JLU116" s="15"/>
      <c r="JLV116" s="15"/>
      <c r="JLW116" s="15"/>
      <c r="JLX116" s="15"/>
      <c r="JLY116" s="15"/>
      <c r="JLZ116" s="15"/>
      <c r="JMA116" s="15"/>
      <c r="JMB116" s="15"/>
      <c r="JMC116" s="15"/>
      <c r="JMD116" s="15"/>
      <c r="JME116" s="15"/>
      <c r="JMF116" s="15"/>
      <c r="JMG116" s="15"/>
      <c r="JMH116" s="14"/>
      <c r="JMI116" s="15"/>
      <c r="JMJ116" s="15"/>
      <c r="JMK116" s="15"/>
      <c r="JML116" s="15"/>
      <c r="JMM116" s="15"/>
      <c r="JMN116" s="15"/>
      <c r="JMO116" s="15"/>
      <c r="JMP116" s="15"/>
      <c r="JMQ116" s="15"/>
      <c r="JMR116" s="15"/>
      <c r="JMS116" s="15"/>
      <c r="JMT116" s="15"/>
      <c r="JMU116" s="15"/>
      <c r="JMV116" s="15"/>
      <c r="JMW116" s="15"/>
      <c r="JMX116" s="15"/>
      <c r="JMY116" s="15"/>
      <c r="JMZ116" s="15"/>
      <c r="JNA116" s="15"/>
      <c r="JNB116" s="15"/>
      <c r="JNC116" s="15"/>
      <c r="JND116" s="14"/>
      <c r="JNE116" s="15"/>
      <c r="JNF116" s="15"/>
      <c r="JNG116" s="15"/>
      <c r="JNH116" s="15"/>
      <c r="JNI116" s="15"/>
      <c r="JNJ116" s="15"/>
      <c r="JNK116" s="15"/>
      <c r="JNL116" s="15"/>
      <c r="JNM116" s="15"/>
      <c r="JNN116" s="15"/>
      <c r="JNO116" s="15"/>
      <c r="JNP116" s="15"/>
      <c r="JNQ116" s="15"/>
      <c r="JNR116" s="15"/>
      <c r="JNS116" s="15"/>
      <c r="JNT116" s="15"/>
      <c r="JNU116" s="15"/>
      <c r="JNV116" s="15"/>
      <c r="JNW116" s="15"/>
      <c r="JNX116" s="15"/>
      <c r="JNY116" s="15"/>
      <c r="JNZ116" s="14"/>
      <c r="JOA116" s="15"/>
      <c r="JOB116" s="15"/>
      <c r="JOC116" s="15"/>
      <c r="JOD116" s="15"/>
      <c r="JOE116" s="15"/>
      <c r="JOF116" s="15"/>
      <c r="JOG116" s="15"/>
      <c r="JOH116" s="15"/>
      <c r="JOI116" s="15"/>
      <c r="JOJ116" s="15"/>
      <c r="JOK116" s="15"/>
      <c r="JOL116" s="15"/>
      <c r="JOM116" s="15"/>
      <c r="JON116" s="15"/>
      <c r="JOO116" s="15"/>
      <c r="JOP116" s="15"/>
      <c r="JOQ116" s="15"/>
      <c r="JOR116" s="15"/>
      <c r="JOS116" s="15"/>
      <c r="JOT116" s="15"/>
      <c r="JOU116" s="15"/>
      <c r="JOV116" s="14"/>
      <c r="JOW116" s="15"/>
      <c r="JOX116" s="15"/>
      <c r="JOY116" s="15"/>
      <c r="JOZ116" s="15"/>
      <c r="JPA116" s="15"/>
      <c r="JPB116" s="15"/>
      <c r="JPC116" s="15"/>
      <c r="JPD116" s="15"/>
      <c r="JPE116" s="15"/>
      <c r="JPF116" s="15"/>
      <c r="JPG116" s="15"/>
      <c r="JPH116" s="15"/>
      <c r="JPI116" s="15"/>
      <c r="JPJ116" s="15"/>
      <c r="JPK116" s="15"/>
      <c r="JPL116" s="15"/>
      <c r="JPM116" s="15"/>
      <c r="JPN116" s="15"/>
      <c r="JPO116" s="15"/>
      <c r="JPP116" s="15"/>
      <c r="JPQ116" s="15"/>
      <c r="JPR116" s="14"/>
      <c r="JPS116" s="15"/>
      <c r="JPT116" s="15"/>
      <c r="JPU116" s="15"/>
      <c r="JPV116" s="15"/>
      <c r="JPW116" s="15"/>
      <c r="JPX116" s="15"/>
      <c r="JPY116" s="15"/>
      <c r="JPZ116" s="15"/>
      <c r="JQA116" s="15"/>
      <c r="JQB116" s="15"/>
      <c r="JQC116" s="15"/>
      <c r="JQD116" s="15"/>
      <c r="JQE116" s="15"/>
      <c r="JQF116" s="15"/>
      <c r="JQG116" s="15"/>
      <c r="JQH116" s="15"/>
      <c r="JQI116" s="15"/>
      <c r="JQJ116" s="15"/>
      <c r="JQK116" s="15"/>
      <c r="JQL116" s="15"/>
      <c r="JQM116" s="15"/>
      <c r="JQN116" s="14"/>
      <c r="JQO116" s="15"/>
      <c r="JQP116" s="15"/>
      <c r="JQQ116" s="15"/>
      <c r="JQR116" s="15"/>
      <c r="JQS116" s="15"/>
      <c r="JQT116" s="15"/>
      <c r="JQU116" s="15"/>
      <c r="JQV116" s="15"/>
      <c r="JQW116" s="15"/>
      <c r="JQX116" s="15"/>
      <c r="JQY116" s="15"/>
      <c r="JQZ116" s="15"/>
      <c r="JRA116" s="15"/>
      <c r="JRB116" s="15"/>
      <c r="JRC116" s="15"/>
      <c r="JRD116" s="15"/>
      <c r="JRE116" s="15"/>
      <c r="JRF116" s="15"/>
      <c r="JRG116" s="15"/>
      <c r="JRH116" s="15"/>
      <c r="JRI116" s="15"/>
      <c r="JRJ116" s="14"/>
      <c r="JRK116" s="15"/>
      <c r="JRL116" s="15"/>
      <c r="JRM116" s="15"/>
      <c r="JRN116" s="15"/>
      <c r="JRO116" s="15"/>
      <c r="JRP116" s="15"/>
      <c r="JRQ116" s="15"/>
      <c r="JRR116" s="15"/>
      <c r="JRS116" s="15"/>
      <c r="JRT116" s="15"/>
      <c r="JRU116" s="15"/>
      <c r="JRV116" s="15"/>
      <c r="JRW116" s="15"/>
      <c r="JRX116" s="15"/>
      <c r="JRY116" s="15"/>
      <c r="JRZ116" s="15"/>
      <c r="JSA116" s="15"/>
      <c r="JSB116" s="15"/>
      <c r="JSC116" s="15"/>
      <c r="JSD116" s="15"/>
      <c r="JSE116" s="15"/>
      <c r="JSF116" s="14"/>
      <c r="JSG116" s="15"/>
      <c r="JSH116" s="15"/>
      <c r="JSI116" s="15"/>
      <c r="JSJ116" s="15"/>
      <c r="JSK116" s="15"/>
      <c r="JSL116" s="15"/>
      <c r="JSM116" s="15"/>
      <c r="JSN116" s="15"/>
      <c r="JSO116" s="15"/>
      <c r="JSP116" s="15"/>
      <c r="JSQ116" s="15"/>
      <c r="JSR116" s="15"/>
      <c r="JSS116" s="15"/>
      <c r="JST116" s="15"/>
      <c r="JSU116" s="15"/>
      <c r="JSV116" s="15"/>
      <c r="JSW116" s="15"/>
      <c r="JSX116" s="15"/>
      <c r="JSY116" s="15"/>
      <c r="JSZ116" s="15"/>
      <c r="JTA116" s="15"/>
      <c r="JTB116" s="14"/>
      <c r="JTC116" s="15"/>
      <c r="JTD116" s="15"/>
      <c r="JTE116" s="15"/>
      <c r="JTF116" s="15"/>
      <c r="JTG116" s="15"/>
      <c r="JTH116" s="15"/>
      <c r="JTI116" s="15"/>
      <c r="JTJ116" s="15"/>
      <c r="JTK116" s="15"/>
      <c r="JTL116" s="15"/>
      <c r="JTM116" s="15"/>
      <c r="JTN116" s="15"/>
      <c r="JTO116" s="15"/>
      <c r="JTP116" s="15"/>
      <c r="JTQ116" s="15"/>
      <c r="JTR116" s="15"/>
      <c r="JTS116" s="15"/>
      <c r="JTT116" s="15"/>
      <c r="JTU116" s="15"/>
      <c r="JTV116" s="15"/>
      <c r="JTW116" s="15"/>
      <c r="JTX116" s="14"/>
      <c r="JTY116" s="15"/>
      <c r="JTZ116" s="15"/>
      <c r="JUA116" s="15"/>
      <c r="JUB116" s="15"/>
      <c r="JUC116" s="15"/>
      <c r="JUD116" s="15"/>
      <c r="JUE116" s="15"/>
      <c r="JUF116" s="15"/>
      <c r="JUG116" s="15"/>
      <c r="JUH116" s="15"/>
      <c r="JUI116" s="15"/>
      <c r="JUJ116" s="15"/>
      <c r="JUK116" s="15"/>
      <c r="JUL116" s="15"/>
      <c r="JUM116" s="15"/>
      <c r="JUN116" s="15"/>
      <c r="JUO116" s="15"/>
      <c r="JUP116" s="15"/>
      <c r="JUQ116" s="15"/>
      <c r="JUR116" s="15"/>
      <c r="JUS116" s="15"/>
      <c r="JUT116" s="14"/>
      <c r="JUU116" s="15"/>
      <c r="JUV116" s="15"/>
      <c r="JUW116" s="15"/>
      <c r="JUX116" s="15"/>
      <c r="JUY116" s="15"/>
      <c r="JUZ116" s="15"/>
      <c r="JVA116" s="15"/>
      <c r="JVB116" s="15"/>
      <c r="JVC116" s="15"/>
      <c r="JVD116" s="15"/>
      <c r="JVE116" s="15"/>
      <c r="JVF116" s="15"/>
      <c r="JVG116" s="15"/>
      <c r="JVH116" s="15"/>
      <c r="JVI116" s="15"/>
      <c r="JVJ116" s="15"/>
      <c r="JVK116" s="15"/>
      <c r="JVL116" s="15"/>
      <c r="JVM116" s="15"/>
      <c r="JVN116" s="15"/>
      <c r="JVO116" s="15"/>
      <c r="JVP116" s="14"/>
      <c r="JVQ116" s="15"/>
      <c r="JVR116" s="15"/>
      <c r="JVS116" s="15"/>
      <c r="JVT116" s="15"/>
      <c r="JVU116" s="15"/>
      <c r="JVV116" s="15"/>
      <c r="JVW116" s="15"/>
      <c r="JVX116" s="15"/>
      <c r="JVY116" s="15"/>
      <c r="JVZ116" s="15"/>
      <c r="JWA116" s="15"/>
      <c r="JWB116" s="15"/>
      <c r="JWC116" s="15"/>
      <c r="JWD116" s="15"/>
      <c r="JWE116" s="15"/>
      <c r="JWF116" s="15"/>
      <c r="JWG116" s="15"/>
      <c r="JWH116" s="15"/>
      <c r="JWI116" s="15"/>
      <c r="JWJ116" s="15"/>
      <c r="JWK116" s="15"/>
      <c r="JWL116" s="14"/>
      <c r="JWM116" s="15"/>
      <c r="JWN116" s="15"/>
      <c r="JWO116" s="15"/>
      <c r="JWP116" s="15"/>
      <c r="JWQ116" s="15"/>
      <c r="JWR116" s="15"/>
      <c r="JWS116" s="15"/>
      <c r="JWT116" s="15"/>
      <c r="JWU116" s="15"/>
      <c r="JWV116" s="15"/>
      <c r="JWW116" s="15"/>
      <c r="JWX116" s="15"/>
      <c r="JWY116" s="15"/>
      <c r="JWZ116" s="15"/>
      <c r="JXA116" s="15"/>
      <c r="JXB116" s="15"/>
      <c r="JXC116" s="15"/>
      <c r="JXD116" s="15"/>
      <c r="JXE116" s="15"/>
      <c r="JXF116" s="15"/>
      <c r="JXG116" s="15"/>
      <c r="JXH116" s="14"/>
      <c r="JXI116" s="15"/>
      <c r="JXJ116" s="15"/>
      <c r="JXK116" s="15"/>
      <c r="JXL116" s="15"/>
      <c r="JXM116" s="15"/>
      <c r="JXN116" s="15"/>
      <c r="JXO116" s="15"/>
      <c r="JXP116" s="15"/>
      <c r="JXQ116" s="15"/>
      <c r="JXR116" s="15"/>
      <c r="JXS116" s="15"/>
      <c r="JXT116" s="15"/>
      <c r="JXU116" s="15"/>
      <c r="JXV116" s="15"/>
      <c r="JXW116" s="15"/>
      <c r="JXX116" s="15"/>
      <c r="JXY116" s="15"/>
      <c r="JXZ116" s="15"/>
      <c r="JYA116" s="15"/>
      <c r="JYB116" s="15"/>
      <c r="JYC116" s="15"/>
      <c r="JYD116" s="14"/>
      <c r="JYE116" s="15"/>
      <c r="JYF116" s="15"/>
      <c r="JYG116" s="15"/>
      <c r="JYH116" s="15"/>
      <c r="JYI116" s="15"/>
      <c r="JYJ116" s="15"/>
      <c r="JYK116" s="15"/>
      <c r="JYL116" s="15"/>
      <c r="JYM116" s="15"/>
      <c r="JYN116" s="15"/>
      <c r="JYO116" s="15"/>
      <c r="JYP116" s="15"/>
      <c r="JYQ116" s="15"/>
      <c r="JYR116" s="15"/>
      <c r="JYS116" s="15"/>
      <c r="JYT116" s="15"/>
      <c r="JYU116" s="15"/>
      <c r="JYV116" s="15"/>
      <c r="JYW116" s="15"/>
      <c r="JYX116" s="15"/>
      <c r="JYY116" s="15"/>
      <c r="JYZ116" s="14"/>
      <c r="JZA116" s="15"/>
      <c r="JZB116" s="15"/>
      <c r="JZC116" s="15"/>
      <c r="JZD116" s="15"/>
      <c r="JZE116" s="15"/>
      <c r="JZF116" s="15"/>
      <c r="JZG116" s="15"/>
      <c r="JZH116" s="15"/>
      <c r="JZI116" s="15"/>
      <c r="JZJ116" s="15"/>
      <c r="JZK116" s="15"/>
      <c r="JZL116" s="15"/>
      <c r="JZM116" s="15"/>
      <c r="JZN116" s="15"/>
      <c r="JZO116" s="15"/>
      <c r="JZP116" s="15"/>
      <c r="JZQ116" s="15"/>
      <c r="JZR116" s="15"/>
      <c r="JZS116" s="15"/>
      <c r="JZT116" s="15"/>
      <c r="JZU116" s="15"/>
      <c r="JZV116" s="14"/>
      <c r="JZW116" s="15"/>
      <c r="JZX116" s="15"/>
      <c r="JZY116" s="15"/>
      <c r="JZZ116" s="15"/>
      <c r="KAA116" s="15"/>
      <c r="KAB116" s="15"/>
      <c r="KAC116" s="15"/>
      <c r="KAD116" s="15"/>
      <c r="KAE116" s="15"/>
      <c r="KAF116" s="15"/>
      <c r="KAG116" s="15"/>
      <c r="KAH116" s="15"/>
      <c r="KAI116" s="15"/>
      <c r="KAJ116" s="15"/>
      <c r="KAK116" s="15"/>
      <c r="KAL116" s="15"/>
      <c r="KAM116" s="15"/>
      <c r="KAN116" s="15"/>
      <c r="KAO116" s="15"/>
      <c r="KAP116" s="15"/>
      <c r="KAQ116" s="15"/>
      <c r="KAR116" s="14"/>
      <c r="KAS116" s="15"/>
      <c r="KAT116" s="15"/>
      <c r="KAU116" s="15"/>
      <c r="KAV116" s="15"/>
      <c r="KAW116" s="15"/>
      <c r="KAX116" s="15"/>
      <c r="KAY116" s="15"/>
      <c r="KAZ116" s="15"/>
      <c r="KBA116" s="15"/>
      <c r="KBB116" s="15"/>
      <c r="KBC116" s="15"/>
      <c r="KBD116" s="15"/>
      <c r="KBE116" s="15"/>
      <c r="KBF116" s="15"/>
      <c r="KBG116" s="15"/>
      <c r="KBH116" s="15"/>
      <c r="KBI116" s="15"/>
      <c r="KBJ116" s="15"/>
      <c r="KBK116" s="15"/>
      <c r="KBL116" s="15"/>
      <c r="KBM116" s="15"/>
      <c r="KBN116" s="14"/>
      <c r="KBO116" s="15"/>
      <c r="KBP116" s="15"/>
      <c r="KBQ116" s="15"/>
      <c r="KBR116" s="15"/>
      <c r="KBS116" s="15"/>
      <c r="KBT116" s="15"/>
      <c r="KBU116" s="15"/>
      <c r="KBV116" s="15"/>
      <c r="KBW116" s="15"/>
      <c r="KBX116" s="15"/>
      <c r="KBY116" s="15"/>
      <c r="KBZ116" s="15"/>
      <c r="KCA116" s="15"/>
      <c r="KCB116" s="15"/>
      <c r="KCC116" s="15"/>
      <c r="KCD116" s="15"/>
      <c r="KCE116" s="15"/>
      <c r="KCF116" s="15"/>
      <c r="KCG116" s="15"/>
      <c r="KCH116" s="15"/>
      <c r="KCI116" s="15"/>
      <c r="KCJ116" s="14"/>
      <c r="KCK116" s="15"/>
      <c r="KCL116" s="15"/>
      <c r="KCM116" s="15"/>
      <c r="KCN116" s="15"/>
      <c r="KCO116" s="15"/>
      <c r="KCP116" s="15"/>
      <c r="KCQ116" s="15"/>
      <c r="KCR116" s="15"/>
      <c r="KCS116" s="15"/>
      <c r="KCT116" s="15"/>
      <c r="KCU116" s="15"/>
      <c r="KCV116" s="15"/>
      <c r="KCW116" s="15"/>
      <c r="KCX116" s="15"/>
      <c r="KCY116" s="15"/>
      <c r="KCZ116" s="15"/>
      <c r="KDA116" s="15"/>
      <c r="KDB116" s="15"/>
      <c r="KDC116" s="15"/>
      <c r="KDD116" s="15"/>
      <c r="KDE116" s="15"/>
      <c r="KDF116" s="14"/>
      <c r="KDG116" s="15"/>
      <c r="KDH116" s="15"/>
      <c r="KDI116" s="15"/>
      <c r="KDJ116" s="15"/>
      <c r="KDK116" s="15"/>
      <c r="KDL116" s="15"/>
      <c r="KDM116" s="15"/>
      <c r="KDN116" s="15"/>
      <c r="KDO116" s="15"/>
      <c r="KDP116" s="15"/>
      <c r="KDQ116" s="15"/>
      <c r="KDR116" s="15"/>
      <c r="KDS116" s="15"/>
      <c r="KDT116" s="15"/>
      <c r="KDU116" s="15"/>
      <c r="KDV116" s="15"/>
      <c r="KDW116" s="15"/>
      <c r="KDX116" s="15"/>
      <c r="KDY116" s="15"/>
      <c r="KDZ116" s="15"/>
      <c r="KEA116" s="15"/>
      <c r="KEB116" s="14"/>
      <c r="KEC116" s="15"/>
      <c r="KED116" s="15"/>
      <c r="KEE116" s="15"/>
      <c r="KEF116" s="15"/>
      <c r="KEG116" s="15"/>
      <c r="KEH116" s="15"/>
      <c r="KEI116" s="15"/>
      <c r="KEJ116" s="15"/>
      <c r="KEK116" s="15"/>
      <c r="KEL116" s="15"/>
      <c r="KEM116" s="15"/>
      <c r="KEN116" s="15"/>
      <c r="KEO116" s="15"/>
      <c r="KEP116" s="15"/>
      <c r="KEQ116" s="15"/>
      <c r="KER116" s="15"/>
      <c r="KES116" s="15"/>
      <c r="KET116" s="15"/>
      <c r="KEU116" s="15"/>
      <c r="KEV116" s="15"/>
      <c r="KEW116" s="15"/>
      <c r="KEX116" s="14"/>
      <c r="KEY116" s="15"/>
      <c r="KEZ116" s="15"/>
      <c r="KFA116" s="15"/>
      <c r="KFB116" s="15"/>
      <c r="KFC116" s="15"/>
      <c r="KFD116" s="15"/>
      <c r="KFE116" s="15"/>
      <c r="KFF116" s="15"/>
      <c r="KFG116" s="15"/>
      <c r="KFH116" s="15"/>
      <c r="KFI116" s="15"/>
      <c r="KFJ116" s="15"/>
      <c r="KFK116" s="15"/>
      <c r="KFL116" s="15"/>
      <c r="KFM116" s="15"/>
      <c r="KFN116" s="15"/>
      <c r="KFO116" s="15"/>
      <c r="KFP116" s="15"/>
      <c r="KFQ116" s="15"/>
      <c r="KFR116" s="15"/>
      <c r="KFS116" s="15"/>
      <c r="KFT116" s="14"/>
      <c r="KFU116" s="15"/>
      <c r="KFV116" s="15"/>
      <c r="KFW116" s="15"/>
      <c r="KFX116" s="15"/>
      <c r="KFY116" s="15"/>
      <c r="KFZ116" s="15"/>
      <c r="KGA116" s="15"/>
      <c r="KGB116" s="15"/>
      <c r="KGC116" s="15"/>
      <c r="KGD116" s="15"/>
      <c r="KGE116" s="15"/>
      <c r="KGF116" s="15"/>
      <c r="KGG116" s="15"/>
      <c r="KGH116" s="15"/>
      <c r="KGI116" s="15"/>
      <c r="KGJ116" s="15"/>
      <c r="KGK116" s="15"/>
      <c r="KGL116" s="15"/>
      <c r="KGM116" s="15"/>
      <c r="KGN116" s="15"/>
      <c r="KGO116" s="15"/>
      <c r="KGP116" s="14"/>
      <c r="KGQ116" s="15"/>
      <c r="KGR116" s="15"/>
      <c r="KGS116" s="15"/>
      <c r="KGT116" s="15"/>
      <c r="KGU116" s="15"/>
      <c r="KGV116" s="15"/>
      <c r="KGW116" s="15"/>
      <c r="KGX116" s="15"/>
      <c r="KGY116" s="15"/>
      <c r="KGZ116" s="15"/>
      <c r="KHA116" s="15"/>
      <c r="KHB116" s="15"/>
      <c r="KHC116" s="15"/>
      <c r="KHD116" s="15"/>
      <c r="KHE116" s="15"/>
      <c r="KHF116" s="15"/>
      <c r="KHG116" s="15"/>
      <c r="KHH116" s="15"/>
      <c r="KHI116" s="15"/>
      <c r="KHJ116" s="15"/>
      <c r="KHK116" s="15"/>
      <c r="KHL116" s="14"/>
      <c r="KHM116" s="15"/>
      <c r="KHN116" s="15"/>
      <c r="KHO116" s="15"/>
      <c r="KHP116" s="15"/>
      <c r="KHQ116" s="15"/>
      <c r="KHR116" s="15"/>
      <c r="KHS116" s="15"/>
      <c r="KHT116" s="15"/>
      <c r="KHU116" s="15"/>
      <c r="KHV116" s="15"/>
      <c r="KHW116" s="15"/>
      <c r="KHX116" s="15"/>
      <c r="KHY116" s="15"/>
      <c r="KHZ116" s="15"/>
      <c r="KIA116" s="15"/>
      <c r="KIB116" s="15"/>
      <c r="KIC116" s="15"/>
      <c r="KID116" s="15"/>
      <c r="KIE116" s="15"/>
      <c r="KIF116" s="15"/>
      <c r="KIG116" s="15"/>
      <c r="KIH116" s="14"/>
      <c r="KII116" s="15"/>
      <c r="KIJ116" s="15"/>
      <c r="KIK116" s="15"/>
      <c r="KIL116" s="15"/>
      <c r="KIM116" s="15"/>
      <c r="KIN116" s="15"/>
      <c r="KIO116" s="15"/>
      <c r="KIP116" s="15"/>
      <c r="KIQ116" s="15"/>
      <c r="KIR116" s="15"/>
      <c r="KIS116" s="15"/>
      <c r="KIT116" s="15"/>
      <c r="KIU116" s="15"/>
      <c r="KIV116" s="15"/>
      <c r="KIW116" s="15"/>
      <c r="KIX116" s="15"/>
      <c r="KIY116" s="15"/>
      <c r="KIZ116" s="15"/>
      <c r="KJA116" s="15"/>
      <c r="KJB116" s="15"/>
      <c r="KJC116" s="15"/>
      <c r="KJD116" s="14"/>
      <c r="KJE116" s="15"/>
      <c r="KJF116" s="15"/>
      <c r="KJG116" s="15"/>
      <c r="KJH116" s="15"/>
      <c r="KJI116" s="15"/>
      <c r="KJJ116" s="15"/>
      <c r="KJK116" s="15"/>
      <c r="KJL116" s="15"/>
      <c r="KJM116" s="15"/>
      <c r="KJN116" s="15"/>
      <c r="KJO116" s="15"/>
      <c r="KJP116" s="15"/>
      <c r="KJQ116" s="15"/>
      <c r="KJR116" s="15"/>
      <c r="KJS116" s="15"/>
      <c r="KJT116" s="15"/>
      <c r="KJU116" s="15"/>
      <c r="KJV116" s="15"/>
      <c r="KJW116" s="15"/>
      <c r="KJX116" s="15"/>
      <c r="KJY116" s="15"/>
      <c r="KJZ116" s="14"/>
      <c r="KKA116" s="15"/>
      <c r="KKB116" s="15"/>
      <c r="KKC116" s="15"/>
      <c r="KKD116" s="15"/>
      <c r="KKE116" s="15"/>
      <c r="KKF116" s="15"/>
      <c r="KKG116" s="15"/>
      <c r="KKH116" s="15"/>
      <c r="KKI116" s="15"/>
      <c r="KKJ116" s="15"/>
      <c r="KKK116" s="15"/>
      <c r="KKL116" s="15"/>
      <c r="KKM116" s="15"/>
      <c r="KKN116" s="15"/>
      <c r="KKO116" s="15"/>
      <c r="KKP116" s="15"/>
      <c r="KKQ116" s="15"/>
      <c r="KKR116" s="15"/>
      <c r="KKS116" s="15"/>
      <c r="KKT116" s="15"/>
      <c r="KKU116" s="15"/>
      <c r="KKV116" s="14"/>
      <c r="KKW116" s="15"/>
      <c r="KKX116" s="15"/>
      <c r="KKY116" s="15"/>
      <c r="KKZ116" s="15"/>
      <c r="KLA116" s="15"/>
      <c r="KLB116" s="15"/>
      <c r="KLC116" s="15"/>
      <c r="KLD116" s="15"/>
      <c r="KLE116" s="15"/>
      <c r="KLF116" s="15"/>
      <c r="KLG116" s="15"/>
      <c r="KLH116" s="15"/>
      <c r="KLI116" s="15"/>
      <c r="KLJ116" s="15"/>
      <c r="KLK116" s="15"/>
      <c r="KLL116" s="15"/>
      <c r="KLM116" s="15"/>
      <c r="KLN116" s="15"/>
      <c r="KLO116" s="15"/>
      <c r="KLP116" s="15"/>
      <c r="KLQ116" s="15"/>
      <c r="KLR116" s="14"/>
      <c r="KLS116" s="15"/>
      <c r="KLT116" s="15"/>
      <c r="KLU116" s="15"/>
      <c r="KLV116" s="15"/>
      <c r="KLW116" s="15"/>
      <c r="KLX116" s="15"/>
      <c r="KLY116" s="15"/>
      <c r="KLZ116" s="15"/>
      <c r="KMA116" s="15"/>
      <c r="KMB116" s="15"/>
      <c r="KMC116" s="15"/>
      <c r="KMD116" s="15"/>
      <c r="KME116" s="15"/>
      <c r="KMF116" s="15"/>
      <c r="KMG116" s="15"/>
      <c r="KMH116" s="15"/>
      <c r="KMI116" s="15"/>
      <c r="KMJ116" s="15"/>
      <c r="KMK116" s="15"/>
      <c r="KML116" s="15"/>
      <c r="KMM116" s="15"/>
      <c r="KMN116" s="14"/>
      <c r="KMO116" s="15"/>
      <c r="KMP116" s="15"/>
      <c r="KMQ116" s="15"/>
      <c r="KMR116" s="15"/>
      <c r="KMS116" s="15"/>
      <c r="KMT116" s="15"/>
      <c r="KMU116" s="15"/>
      <c r="KMV116" s="15"/>
      <c r="KMW116" s="15"/>
      <c r="KMX116" s="15"/>
      <c r="KMY116" s="15"/>
      <c r="KMZ116" s="15"/>
      <c r="KNA116" s="15"/>
      <c r="KNB116" s="15"/>
      <c r="KNC116" s="15"/>
      <c r="KND116" s="15"/>
      <c r="KNE116" s="15"/>
      <c r="KNF116" s="15"/>
      <c r="KNG116" s="15"/>
      <c r="KNH116" s="15"/>
      <c r="KNI116" s="15"/>
      <c r="KNJ116" s="14"/>
      <c r="KNK116" s="15"/>
      <c r="KNL116" s="15"/>
      <c r="KNM116" s="15"/>
      <c r="KNN116" s="15"/>
      <c r="KNO116" s="15"/>
      <c r="KNP116" s="15"/>
      <c r="KNQ116" s="15"/>
      <c r="KNR116" s="15"/>
      <c r="KNS116" s="15"/>
      <c r="KNT116" s="15"/>
      <c r="KNU116" s="15"/>
      <c r="KNV116" s="15"/>
      <c r="KNW116" s="15"/>
      <c r="KNX116" s="15"/>
      <c r="KNY116" s="15"/>
      <c r="KNZ116" s="15"/>
      <c r="KOA116" s="15"/>
      <c r="KOB116" s="15"/>
      <c r="KOC116" s="15"/>
      <c r="KOD116" s="15"/>
      <c r="KOE116" s="15"/>
      <c r="KOF116" s="14"/>
      <c r="KOG116" s="15"/>
      <c r="KOH116" s="15"/>
      <c r="KOI116" s="15"/>
      <c r="KOJ116" s="15"/>
      <c r="KOK116" s="15"/>
      <c r="KOL116" s="15"/>
      <c r="KOM116" s="15"/>
      <c r="KON116" s="15"/>
      <c r="KOO116" s="15"/>
      <c r="KOP116" s="15"/>
      <c r="KOQ116" s="15"/>
      <c r="KOR116" s="15"/>
      <c r="KOS116" s="15"/>
      <c r="KOT116" s="15"/>
      <c r="KOU116" s="15"/>
      <c r="KOV116" s="15"/>
      <c r="KOW116" s="15"/>
      <c r="KOX116" s="15"/>
      <c r="KOY116" s="15"/>
      <c r="KOZ116" s="15"/>
      <c r="KPA116" s="15"/>
      <c r="KPB116" s="14"/>
      <c r="KPC116" s="15"/>
      <c r="KPD116" s="15"/>
      <c r="KPE116" s="15"/>
      <c r="KPF116" s="15"/>
      <c r="KPG116" s="15"/>
      <c r="KPH116" s="15"/>
      <c r="KPI116" s="15"/>
      <c r="KPJ116" s="15"/>
      <c r="KPK116" s="15"/>
      <c r="KPL116" s="15"/>
      <c r="KPM116" s="15"/>
      <c r="KPN116" s="15"/>
      <c r="KPO116" s="15"/>
      <c r="KPP116" s="15"/>
      <c r="KPQ116" s="15"/>
      <c r="KPR116" s="15"/>
      <c r="KPS116" s="15"/>
      <c r="KPT116" s="15"/>
      <c r="KPU116" s="15"/>
      <c r="KPV116" s="15"/>
      <c r="KPW116" s="15"/>
      <c r="KPX116" s="14"/>
      <c r="KPY116" s="15"/>
      <c r="KPZ116" s="15"/>
      <c r="KQA116" s="15"/>
      <c r="KQB116" s="15"/>
      <c r="KQC116" s="15"/>
      <c r="KQD116" s="15"/>
      <c r="KQE116" s="15"/>
      <c r="KQF116" s="15"/>
      <c r="KQG116" s="15"/>
      <c r="KQH116" s="15"/>
      <c r="KQI116" s="15"/>
      <c r="KQJ116" s="15"/>
      <c r="KQK116" s="15"/>
      <c r="KQL116" s="15"/>
      <c r="KQM116" s="15"/>
      <c r="KQN116" s="15"/>
      <c r="KQO116" s="15"/>
      <c r="KQP116" s="15"/>
      <c r="KQQ116" s="15"/>
      <c r="KQR116" s="15"/>
      <c r="KQS116" s="15"/>
      <c r="KQT116" s="14"/>
      <c r="KQU116" s="15"/>
      <c r="KQV116" s="15"/>
      <c r="KQW116" s="15"/>
      <c r="KQX116" s="15"/>
      <c r="KQY116" s="15"/>
      <c r="KQZ116" s="15"/>
      <c r="KRA116" s="15"/>
      <c r="KRB116" s="15"/>
      <c r="KRC116" s="15"/>
      <c r="KRD116" s="15"/>
      <c r="KRE116" s="15"/>
      <c r="KRF116" s="15"/>
      <c r="KRG116" s="15"/>
      <c r="KRH116" s="15"/>
      <c r="KRI116" s="15"/>
      <c r="KRJ116" s="15"/>
      <c r="KRK116" s="15"/>
      <c r="KRL116" s="15"/>
      <c r="KRM116" s="15"/>
      <c r="KRN116" s="15"/>
      <c r="KRO116" s="15"/>
      <c r="KRP116" s="14"/>
      <c r="KRQ116" s="15"/>
      <c r="KRR116" s="15"/>
      <c r="KRS116" s="15"/>
      <c r="KRT116" s="15"/>
      <c r="KRU116" s="15"/>
      <c r="KRV116" s="15"/>
      <c r="KRW116" s="15"/>
      <c r="KRX116" s="15"/>
      <c r="KRY116" s="15"/>
      <c r="KRZ116" s="15"/>
      <c r="KSA116" s="15"/>
      <c r="KSB116" s="15"/>
      <c r="KSC116" s="15"/>
      <c r="KSD116" s="15"/>
      <c r="KSE116" s="15"/>
      <c r="KSF116" s="15"/>
      <c r="KSG116" s="15"/>
      <c r="KSH116" s="15"/>
      <c r="KSI116" s="15"/>
      <c r="KSJ116" s="15"/>
      <c r="KSK116" s="15"/>
      <c r="KSL116" s="14"/>
      <c r="KSM116" s="15"/>
      <c r="KSN116" s="15"/>
      <c r="KSO116" s="15"/>
      <c r="KSP116" s="15"/>
      <c r="KSQ116" s="15"/>
      <c r="KSR116" s="15"/>
      <c r="KSS116" s="15"/>
      <c r="KST116" s="15"/>
      <c r="KSU116" s="15"/>
      <c r="KSV116" s="15"/>
      <c r="KSW116" s="15"/>
      <c r="KSX116" s="15"/>
      <c r="KSY116" s="15"/>
      <c r="KSZ116" s="15"/>
      <c r="KTA116" s="15"/>
      <c r="KTB116" s="15"/>
      <c r="KTC116" s="15"/>
      <c r="KTD116" s="15"/>
      <c r="KTE116" s="15"/>
      <c r="KTF116" s="15"/>
      <c r="KTG116" s="15"/>
      <c r="KTH116" s="14"/>
      <c r="KTI116" s="15"/>
      <c r="KTJ116" s="15"/>
      <c r="KTK116" s="15"/>
      <c r="KTL116" s="15"/>
      <c r="KTM116" s="15"/>
      <c r="KTN116" s="15"/>
      <c r="KTO116" s="15"/>
      <c r="KTP116" s="15"/>
      <c r="KTQ116" s="15"/>
      <c r="KTR116" s="15"/>
      <c r="KTS116" s="15"/>
      <c r="KTT116" s="15"/>
      <c r="KTU116" s="15"/>
      <c r="KTV116" s="15"/>
      <c r="KTW116" s="15"/>
      <c r="KTX116" s="15"/>
      <c r="KTY116" s="15"/>
      <c r="KTZ116" s="15"/>
      <c r="KUA116" s="15"/>
      <c r="KUB116" s="15"/>
      <c r="KUC116" s="15"/>
      <c r="KUD116" s="14"/>
      <c r="KUE116" s="15"/>
      <c r="KUF116" s="15"/>
      <c r="KUG116" s="15"/>
      <c r="KUH116" s="15"/>
      <c r="KUI116" s="15"/>
      <c r="KUJ116" s="15"/>
      <c r="KUK116" s="15"/>
      <c r="KUL116" s="15"/>
      <c r="KUM116" s="15"/>
      <c r="KUN116" s="15"/>
      <c r="KUO116" s="15"/>
      <c r="KUP116" s="15"/>
      <c r="KUQ116" s="15"/>
      <c r="KUR116" s="15"/>
      <c r="KUS116" s="15"/>
      <c r="KUT116" s="15"/>
      <c r="KUU116" s="15"/>
      <c r="KUV116" s="15"/>
      <c r="KUW116" s="15"/>
      <c r="KUX116" s="15"/>
      <c r="KUY116" s="15"/>
      <c r="KUZ116" s="14"/>
      <c r="KVA116" s="15"/>
      <c r="KVB116" s="15"/>
      <c r="KVC116" s="15"/>
      <c r="KVD116" s="15"/>
      <c r="KVE116" s="15"/>
      <c r="KVF116" s="15"/>
      <c r="KVG116" s="15"/>
      <c r="KVH116" s="15"/>
      <c r="KVI116" s="15"/>
      <c r="KVJ116" s="15"/>
      <c r="KVK116" s="15"/>
      <c r="KVL116" s="15"/>
      <c r="KVM116" s="15"/>
      <c r="KVN116" s="15"/>
      <c r="KVO116" s="15"/>
      <c r="KVP116" s="15"/>
      <c r="KVQ116" s="15"/>
      <c r="KVR116" s="15"/>
      <c r="KVS116" s="15"/>
      <c r="KVT116" s="15"/>
      <c r="KVU116" s="15"/>
      <c r="KVV116" s="14"/>
      <c r="KVW116" s="15"/>
      <c r="KVX116" s="15"/>
      <c r="KVY116" s="15"/>
      <c r="KVZ116" s="15"/>
      <c r="KWA116" s="15"/>
      <c r="KWB116" s="15"/>
      <c r="KWC116" s="15"/>
      <c r="KWD116" s="15"/>
      <c r="KWE116" s="15"/>
      <c r="KWF116" s="15"/>
      <c r="KWG116" s="15"/>
      <c r="KWH116" s="15"/>
      <c r="KWI116" s="15"/>
      <c r="KWJ116" s="15"/>
      <c r="KWK116" s="15"/>
      <c r="KWL116" s="15"/>
      <c r="KWM116" s="15"/>
      <c r="KWN116" s="15"/>
      <c r="KWO116" s="15"/>
      <c r="KWP116" s="15"/>
      <c r="KWQ116" s="15"/>
      <c r="KWR116" s="14"/>
      <c r="KWS116" s="15"/>
      <c r="KWT116" s="15"/>
      <c r="KWU116" s="15"/>
      <c r="KWV116" s="15"/>
      <c r="KWW116" s="15"/>
      <c r="KWX116" s="15"/>
      <c r="KWY116" s="15"/>
      <c r="KWZ116" s="15"/>
      <c r="KXA116" s="15"/>
      <c r="KXB116" s="15"/>
      <c r="KXC116" s="15"/>
      <c r="KXD116" s="15"/>
      <c r="KXE116" s="15"/>
      <c r="KXF116" s="15"/>
      <c r="KXG116" s="15"/>
      <c r="KXH116" s="15"/>
      <c r="KXI116" s="15"/>
      <c r="KXJ116" s="15"/>
      <c r="KXK116" s="15"/>
      <c r="KXL116" s="15"/>
      <c r="KXM116" s="15"/>
      <c r="KXN116" s="14"/>
      <c r="KXO116" s="15"/>
      <c r="KXP116" s="15"/>
      <c r="KXQ116" s="15"/>
      <c r="KXR116" s="15"/>
      <c r="KXS116" s="15"/>
      <c r="KXT116" s="15"/>
      <c r="KXU116" s="15"/>
      <c r="KXV116" s="15"/>
      <c r="KXW116" s="15"/>
      <c r="KXX116" s="15"/>
      <c r="KXY116" s="15"/>
      <c r="KXZ116" s="15"/>
      <c r="KYA116" s="15"/>
      <c r="KYB116" s="15"/>
      <c r="KYC116" s="15"/>
      <c r="KYD116" s="15"/>
      <c r="KYE116" s="15"/>
      <c r="KYF116" s="15"/>
      <c r="KYG116" s="15"/>
      <c r="KYH116" s="15"/>
      <c r="KYI116" s="15"/>
      <c r="KYJ116" s="14"/>
      <c r="KYK116" s="15"/>
      <c r="KYL116" s="15"/>
      <c r="KYM116" s="15"/>
      <c r="KYN116" s="15"/>
      <c r="KYO116" s="15"/>
      <c r="KYP116" s="15"/>
      <c r="KYQ116" s="15"/>
      <c r="KYR116" s="15"/>
      <c r="KYS116" s="15"/>
      <c r="KYT116" s="15"/>
      <c r="KYU116" s="15"/>
      <c r="KYV116" s="15"/>
      <c r="KYW116" s="15"/>
      <c r="KYX116" s="15"/>
      <c r="KYY116" s="15"/>
      <c r="KYZ116" s="15"/>
      <c r="KZA116" s="15"/>
      <c r="KZB116" s="15"/>
      <c r="KZC116" s="15"/>
      <c r="KZD116" s="15"/>
      <c r="KZE116" s="15"/>
      <c r="KZF116" s="14"/>
      <c r="KZG116" s="15"/>
      <c r="KZH116" s="15"/>
      <c r="KZI116" s="15"/>
      <c r="KZJ116" s="15"/>
      <c r="KZK116" s="15"/>
      <c r="KZL116" s="15"/>
      <c r="KZM116" s="15"/>
      <c r="KZN116" s="15"/>
      <c r="KZO116" s="15"/>
      <c r="KZP116" s="15"/>
      <c r="KZQ116" s="15"/>
      <c r="KZR116" s="15"/>
      <c r="KZS116" s="15"/>
      <c r="KZT116" s="15"/>
      <c r="KZU116" s="15"/>
      <c r="KZV116" s="15"/>
      <c r="KZW116" s="15"/>
      <c r="KZX116" s="15"/>
      <c r="KZY116" s="15"/>
      <c r="KZZ116" s="15"/>
      <c r="LAA116" s="15"/>
      <c r="LAB116" s="14"/>
      <c r="LAC116" s="15"/>
      <c r="LAD116" s="15"/>
      <c r="LAE116" s="15"/>
      <c r="LAF116" s="15"/>
      <c r="LAG116" s="15"/>
      <c r="LAH116" s="15"/>
      <c r="LAI116" s="15"/>
      <c r="LAJ116" s="15"/>
      <c r="LAK116" s="15"/>
      <c r="LAL116" s="15"/>
      <c r="LAM116" s="15"/>
      <c r="LAN116" s="15"/>
      <c r="LAO116" s="15"/>
      <c r="LAP116" s="15"/>
      <c r="LAQ116" s="15"/>
      <c r="LAR116" s="15"/>
      <c r="LAS116" s="15"/>
      <c r="LAT116" s="15"/>
      <c r="LAU116" s="15"/>
      <c r="LAV116" s="15"/>
      <c r="LAW116" s="15"/>
      <c r="LAX116" s="14"/>
      <c r="LAY116" s="15"/>
      <c r="LAZ116" s="15"/>
      <c r="LBA116" s="15"/>
      <c r="LBB116" s="15"/>
      <c r="LBC116" s="15"/>
      <c r="LBD116" s="15"/>
      <c r="LBE116" s="15"/>
      <c r="LBF116" s="15"/>
      <c r="LBG116" s="15"/>
      <c r="LBH116" s="15"/>
      <c r="LBI116" s="15"/>
      <c r="LBJ116" s="15"/>
      <c r="LBK116" s="15"/>
      <c r="LBL116" s="15"/>
      <c r="LBM116" s="15"/>
      <c r="LBN116" s="15"/>
      <c r="LBO116" s="15"/>
      <c r="LBP116" s="15"/>
      <c r="LBQ116" s="15"/>
      <c r="LBR116" s="15"/>
      <c r="LBS116" s="15"/>
      <c r="LBT116" s="14"/>
      <c r="LBU116" s="15"/>
      <c r="LBV116" s="15"/>
      <c r="LBW116" s="15"/>
      <c r="LBX116" s="15"/>
      <c r="LBY116" s="15"/>
      <c r="LBZ116" s="15"/>
      <c r="LCA116" s="15"/>
      <c r="LCB116" s="15"/>
      <c r="LCC116" s="15"/>
      <c r="LCD116" s="15"/>
      <c r="LCE116" s="15"/>
      <c r="LCF116" s="15"/>
      <c r="LCG116" s="15"/>
      <c r="LCH116" s="15"/>
      <c r="LCI116" s="15"/>
      <c r="LCJ116" s="15"/>
      <c r="LCK116" s="15"/>
      <c r="LCL116" s="15"/>
      <c r="LCM116" s="15"/>
      <c r="LCN116" s="15"/>
      <c r="LCO116" s="15"/>
      <c r="LCP116" s="14"/>
      <c r="LCQ116" s="15"/>
      <c r="LCR116" s="15"/>
      <c r="LCS116" s="15"/>
      <c r="LCT116" s="15"/>
      <c r="LCU116" s="15"/>
      <c r="LCV116" s="15"/>
      <c r="LCW116" s="15"/>
      <c r="LCX116" s="15"/>
      <c r="LCY116" s="15"/>
      <c r="LCZ116" s="15"/>
      <c r="LDA116" s="15"/>
      <c r="LDB116" s="15"/>
      <c r="LDC116" s="15"/>
      <c r="LDD116" s="15"/>
      <c r="LDE116" s="15"/>
      <c r="LDF116" s="15"/>
      <c r="LDG116" s="15"/>
      <c r="LDH116" s="15"/>
      <c r="LDI116" s="15"/>
      <c r="LDJ116" s="15"/>
      <c r="LDK116" s="15"/>
      <c r="LDL116" s="14"/>
      <c r="LDM116" s="15"/>
      <c r="LDN116" s="15"/>
      <c r="LDO116" s="15"/>
      <c r="LDP116" s="15"/>
      <c r="LDQ116" s="15"/>
      <c r="LDR116" s="15"/>
      <c r="LDS116" s="15"/>
      <c r="LDT116" s="15"/>
      <c r="LDU116" s="15"/>
      <c r="LDV116" s="15"/>
      <c r="LDW116" s="15"/>
      <c r="LDX116" s="15"/>
      <c r="LDY116" s="15"/>
      <c r="LDZ116" s="15"/>
      <c r="LEA116" s="15"/>
      <c r="LEB116" s="15"/>
      <c r="LEC116" s="15"/>
      <c r="LED116" s="15"/>
      <c r="LEE116" s="15"/>
      <c r="LEF116" s="15"/>
      <c r="LEG116" s="15"/>
      <c r="LEH116" s="14"/>
      <c r="LEI116" s="15"/>
      <c r="LEJ116" s="15"/>
      <c r="LEK116" s="15"/>
      <c r="LEL116" s="15"/>
      <c r="LEM116" s="15"/>
      <c r="LEN116" s="15"/>
      <c r="LEO116" s="15"/>
      <c r="LEP116" s="15"/>
      <c r="LEQ116" s="15"/>
      <c r="LER116" s="15"/>
      <c r="LES116" s="15"/>
      <c r="LET116" s="15"/>
      <c r="LEU116" s="15"/>
      <c r="LEV116" s="15"/>
      <c r="LEW116" s="15"/>
      <c r="LEX116" s="15"/>
      <c r="LEY116" s="15"/>
      <c r="LEZ116" s="15"/>
      <c r="LFA116" s="15"/>
      <c r="LFB116" s="15"/>
      <c r="LFC116" s="15"/>
      <c r="LFD116" s="14"/>
      <c r="LFE116" s="15"/>
      <c r="LFF116" s="15"/>
      <c r="LFG116" s="15"/>
      <c r="LFH116" s="15"/>
      <c r="LFI116" s="15"/>
      <c r="LFJ116" s="15"/>
      <c r="LFK116" s="15"/>
      <c r="LFL116" s="15"/>
      <c r="LFM116" s="15"/>
      <c r="LFN116" s="15"/>
      <c r="LFO116" s="15"/>
      <c r="LFP116" s="15"/>
      <c r="LFQ116" s="15"/>
      <c r="LFR116" s="15"/>
      <c r="LFS116" s="15"/>
      <c r="LFT116" s="15"/>
      <c r="LFU116" s="15"/>
      <c r="LFV116" s="15"/>
      <c r="LFW116" s="15"/>
      <c r="LFX116" s="15"/>
      <c r="LFY116" s="15"/>
      <c r="LFZ116" s="14"/>
      <c r="LGA116" s="15"/>
      <c r="LGB116" s="15"/>
      <c r="LGC116" s="15"/>
      <c r="LGD116" s="15"/>
      <c r="LGE116" s="15"/>
      <c r="LGF116" s="15"/>
      <c r="LGG116" s="15"/>
      <c r="LGH116" s="15"/>
      <c r="LGI116" s="15"/>
      <c r="LGJ116" s="15"/>
      <c r="LGK116" s="15"/>
      <c r="LGL116" s="15"/>
      <c r="LGM116" s="15"/>
      <c r="LGN116" s="15"/>
      <c r="LGO116" s="15"/>
      <c r="LGP116" s="15"/>
      <c r="LGQ116" s="15"/>
      <c r="LGR116" s="15"/>
      <c r="LGS116" s="15"/>
      <c r="LGT116" s="15"/>
      <c r="LGU116" s="15"/>
      <c r="LGV116" s="14"/>
      <c r="LGW116" s="15"/>
      <c r="LGX116" s="15"/>
      <c r="LGY116" s="15"/>
      <c r="LGZ116" s="15"/>
      <c r="LHA116" s="15"/>
      <c r="LHB116" s="15"/>
      <c r="LHC116" s="15"/>
      <c r="LHD116" s="15"/>
      <c r="LHE116" s="15"/>
      <c r="LHF116" s="15"/>
      <c r="LHG116" s="15"/>
      <c r="LHH116" s="15"/>
      <c r="LHI116" s="15"/>
      <c r="LHJ116" s="15"/>
      <c r="LHK116" s="15"/>
      <c r="LHL116" s="15"/>
      <c r="LHM116" s="15"/>
      <c r="LHN116" s="15"/>
      <c r="LHO116" s="15"/>
      <c r="LHP116" s="15"/>
      <c r="LHQ116" s="15"/>
      <c r="LHR116" s="14"/>
      <c r="LHS116" s="15"/>
      <c r="LHT116" s="15"/>
      <c r="LHU116" s="15"/>
      <c r="LHV116" s="15"/>
      <c r="LHW116" s="15"/>
      <c r="LHX116" s="15"/>
      <c r="LHY116" s="15"/>
      <c r="LHZ116" s="15"/>
      <c r="LIA116" s="15"/>
      <c r="LIB116" s="15"/>
      <c r="LIC116" s="15"/>
      <c r="LID116" s="15"/>
      <c r="LIE116" s="15"/>
      <c r="LIF116" s="15"/>
      <c r="LIG116" s="15"/>
      <c r="LIH116" s="15"/>
      <c r="LII116" s="15"/>
      <c r="LIJ116" s="15"/>
      <c r="LIK116" s="15"/>
      <c r="LIL116" s="15"/>
      <c r="LIM116" s="15"/>
      <c r="LIN116" s="14"/>
      <c r="LIO116" s="15"/>
      <c r="LIP116" s="15"/>
      <c r="LIQ116" s="15"/>
      <c r="LIR116" s="15"/>
      <c r="LIS116" s="15"/>
      <c r="LIT116" s="15"/>
      <c r="LIU116" s="15"/>
      <c r="LIV116" s="15"/>
      <c r="LIW116" s="15"/>
      <c r="LIX116" s="15"/>
      <c r="LIY116" s="15"/>
      <c r="LIZ116" s="15"/>
      <c r="LJA116" s="15"/>
      <c r="LJB116" s="15"/>
      <c r="LJC116" s="15"/>
      <c r="LJD116" s="15"/>
      <c r="LJE116" s="15"/>
      <c r="LJF116" s="15"/>
      <c r="LJG116" s="15"/>
      <c r="LJH116" s="15"/>
      <c r="LJI116" s="15"/>
      <c r="LJJ116" s="14"/>
      <c r="LJK116" s="15"/>
      <c r="LJL116" s="15"/>
      <c r="LJM116" s="15"/>
      <c r="LJN116" s="15"/>
      <c r="LJO116" s="15"/>
      <c r="LJP116" s="15"/>
      <c r="LJQ116" s="15"/>
      <c r="LJR116" s="15"/>
      <c r="LJS116" s="15"/>
      <c r="LJT116" s="15"/>
      <c r="LJU116" s="15"/>
      <c r="LJV116" s="15"/>
      <c r="LJW116" s="15"/>
      <c r="LJX116" s="15"/>
      <c r="LJY116" s="15"/>
      <c r="LJZ116" s="15"/>
      <c r="LKA116" s="15"/>
      <c r="LKB116" s="15"/>
      <c r="LKC116" s="15"/>
      <c r="LKD116" s="15"/>
      <c r="LKE116" s="15"/>
      <c r="LKF116" s="14"/>
      <c r="LKG116" s="15"/>
      <c r="LKH116" s="15"/>
      <c r="LKI116" s="15"/>
      <c r="LKJ116" s="15"/>
      <c r="LKK116" s="15"/>
      <c r="LKL116" s="15"/>
      <c r="LKM116" s="15"/>
      <c r="LKN116" s="15"/>
      <c r="LKO116" s="15"/>
      <c r="LKP116" s="15"/>
      <c r="LKQ116" s="15"/>
      <c r="LKR116" s="15"/>
      <c r="LKS116" s="15"/>
      <c r="LKT116" s="15"/>
      <c r="LKU116" s="15"/>
      <c r="LKV116" s="15"/>
      <c r="LKW116" s="15"/>
      <c r="LKX116" s="15"/>
      <c r="LKY116" s="15"/>
      <c r="LKZ116" s="15"/>
      <c r="LLA116" s="15"/>
      <c r="LLB116" s="14"/>
      <c r="LLC116" s="15"/>
      <c r="LLD116" s="15"/>
      <c r="LLE116" s="15"/>
      <c r="LLF116" s="15"/>
      <c r="LLG116" s="15"/>
      <c r="LLH116" s="15"/>
      <c r="LLI116" s="15"/>
      <c r="LLJ116" s="15"/>
      <c r="LLK116" s="15"/>
      <c r="LLL116" s="15"/>
      <c r="LLM116" s="15"/>
      <c r="LLN116" s="15"/>
      <c r="LLO116" s="15"/>
      <c r="LLP116" s="15"/>
      <c r="LLQ116" s="15"/>
      <c r="LLR116" s="15"/>
      <c r="LLS116" s="15"/>
      <c r="LLT116" s="15"/>
      <c r="LLU116" s="15"/>
      <c r="LLV116" s="15"/>
      <c r="LLW116" s="15"/>
      <c r="LLX116" s="14"/>
      <c r="LLY116" s="15"/>
      <c r="LLZ116" s="15"/>
      <c r="LMA116" s="15"/>
      <c r="LMB116" s="15"/>
      <c r="LMC116" s="15"/>
      <c r="LMD116" s="15"/>
      <c r="LME116" s="15"/>
      <c r="LMF116" s="15"/>
      <c r="LMG116" s="15"/>
      <c r="LMH116" s="15"/>
      <c r="LMI116" s="15"/>
      <c r="LMJ116" s="15"/>
      <c r="LMK116" s="15"/>
      <c r="LML116" s="15"/>
      <c r="LMM116" s="15"/>
      <c r="LMN116" s="15"/>
      <c r="LMO116" s="15"/>
      <c r="LMP116" s="15"/>
      <c r="LMQ116" s="15"/>
      <c r="LMR116" s="15"/>
      <c r="LMS116" s="15"/>
      <c r="LMT116" s="14"/>
      <c r="LMU116" s="15"/>
      <c r="LMV116" s="15"/>
      <c r="LMW116" s="15"/>
      <c r="LMX116" s="15"/>
      <c r="LMY116" s="15"/>
      <c r="LMZ116" s="15"/>
      <c r="LNA116" s="15"/>
      <c r="LNB116" s="15"/>
      <c r="LNC116" s="15"/>
      <c r="LND116" s="15"/>
      <c r="LNE116" s="15"/>
      <c r="LNF116" s="15"/>
      <c r="LNG116" s="15"/>
      <c r="LNH116" s="15"/>
      <c r="LNI116" s="15"/>
      <c r="LNJ116" s="15"/>
      <c r="LNK116" s="15"/>
      <c r="LNL116" s="15"/>
      <c r="LNM116" s="15"/>
      <c r="LNN116" s="15"/>
      <c r="LNO116" s="15"/>
      <c r="LNP116" s="14"/>
      <c r="LNQ116" s="15"/>
      <c r="LNR116" s="15"/>
      <c r="LNS116" s="15"/>
      <c r="LNT116" s="15"/>
      <c r="LNU116" s="15"/>
      <c r="LNV116" s="15"/>
      <c r="LNW116" s="15"/>
      <c r="LNX116" s="15"/>
      <c r="LNY116" s="15"/>
      <c r="LNZ116" s="15"/>
      <c r="LOA116" s="15"/>
      <c r="LOB116" s="15"/>
      <c r="LOC116" s="15"/>
      <c r="LOD116" s="15"/>
      <c r="LOE116" s="15"/>
      <c r="LOF116" s="15"/>
      <c r="LOG116" s="15"/>
      <c r="LOH116" s="15"/>
      <c r="LOI116" s="15"/>
      <c r="LOJ116" s="15"/>
      <c r="LOK116" s="15"/>
      <c r="LOL116" s="14"/>
      <c r="LOM116" s="15"/>
      <c r="LON116" s="15"/>
      <c r="LOO116" s="15"/>
      <c r="LOP116" s="15"/>
      <c r="LOQ116" s="15"/>
      <c r="LOR116" s="15"/>
      <c r="LOS116" s="15"/>
      <c r="LOT116" s="15"/>
      <c r="LOU116" s="15"/>
      <c r="LOV116" s="15"/>
      <c r="LOW116" s="15"/>
      <c r="LOX116" s="15"/>
      <c r="LOY116" s="15"/>
      <c r="LOZ116" s="15"/>
      <c r="LPA116" s="15"/>
      <c r="LPB116" s="15"/>
      <c r="LPC116" s="15"/>
      <c r="LPD116" s="15"/>
      <c r="LPE116" s="15"/>
      <c r="LPF116" s="15"/>
      <c r="LPG116" s="15"/>
      <c r="LPH116" s="14"/>
      <c r="LPI116" s="15"/>
      <c r="LPJ116" s="15"/>
      <c r="LPK116" s="15"/>
      <c r="LPL116" s="15"/>
      <c r="LPM116" s="15"/>
      <c r="LPN116" s="15"/>
      <c r="LPO116" s="15"/>
      <c r="LPP116" s="15"/>
      <c r="LPQ116" s="15"/>
      <c r="LPR116" s="15"/>
      <c r="LPS116" s="15"/>
      <c r="LPT116" s="15"/>
      <c r="LPU116" s="15"/>
      <c r="LPV116" s="15"/>
      <c r="LPW116" s="15"/>
      <c r="LPX116" s="15"/>
      <c r="LPY116" s="15"/>
      <c r="LPZ116" s="15"/>
      <c r="LQA116" s="15"/>
      <c r="LQB116" s="15"/>
      <c r="LQC116" s="15"/>
      <c r="LQD116" s="14"/>
      <c r="LQE116" s="15"/>
      <c r="LQF116" s="15"/>
      <c r="LQG116" s="15"/>
      <c r="LQH116" s="15"/>
      <c r="LQI116" s="15"/>
      <c r="LQJ116" s="15"/>
      <c r="LQK116" s="15"/>
      <c r="LQL116" s="15"/>
      <c r="LQM116" s="15"/>
      <c r="LQN116" s="15"/>
      <c r="LQO116" s="15"/>
      <c r="LQP116" s="15"/>
      <c r="LQQ116" s="15"/>
      <c r="LQR116" s="15"/>
      <c r="LQS116" s="15"/>
      <c r="LQT116" s="15"/>
      <c r="LQU116" s="15"/>
      <c r="LQV116" s="15"/>
      <c r="LQW116" s="15"/>
      <c r="LQX116" s="15"/>
      <c r="LQY116" s="15"/>
      <c r="LQZ116" s="14"/>
      <c r="LRA116" s="15"/>
      <c r="LRB116" s="15"/>
      <c r="LRC116" s="15"/>
      <c r="LRD116" s="15"/>
      <c r="LRE116" s="15"/>
      <c r="LRF116" s="15"/>
      <c r="LRG116" s="15"/>
      <c r="LRH116" s="15"/>
      <c r="LRI116" s="15"/>
      <c r="LRJ116" s="15"/>
      <c r="LRK116" s="15"/>
      <c r="LRL116" s="15"/>
      <c r="LRM116" s="15"/>
      <c r="LRN116" s="15"/>
      <c r="LRO116" s="15"/>
      <c r="LRP116" s="15"/>
      <c r="LRQ116" s="15"/>
      <c r="LRR116" s="15"/>
      <c r="LRS116" s="15"/>
      <c r="LRT116" s="15"/>
      <c r="LRU116" s="15"/>
      <c r="LRV116" s="14"/>
      <c r="LRW116" s="15"/>
      <c r="LRX116" s="15"/>
      <c r="LRY116" s="15"/>
      <c r="LRZ116" s="15"/>
      <c r="LSA116" s="15"/>
      <c r="LSB116" s="15"/>
      <c r="LSC116" s="15"/>
      <c r="LSD116" s="15"/>
      <c r="LSE116" s="15"/>
      <c r="LSF116" s="15"/>
      <c r="LSG116" s="15"/>
      <c r="LSH116" s="15"/>
      <c r="LSI116" s="15"/>
      <c r="LSJ116" s="15"/>
      <c r="LSK116" s="15"/>
      <c r="LSL116" s="15"/>
      <c r="LSM116" s="15"/>
      <c r="LSN116" s="15"/>
      <c r="LSO116" s="15"/>
      <c r="LSP116" s="15"/>
      <c r="LSQ116" s="15"/>
      <c r="LSR116" s="14"/>
      <c r="LSS116" s="15"/>
      <c r="LST116" s="15"/>
      <c r="LSU116" s="15"/>
      <c r="LSV116" s="15"/>
      <c r="LSW116" s="15"/>
      <c r="LSX116" s="15"/>
      <c r="LSY116" s="15"/>
      <c r="LSZ116" s="15"/>
      <c r="LTA116" s="15"/>
      <c r="LTB116" s="15"/>
      <c r="LTC116" s="15"/>
      <c r="LTD116" s="15"/>
      <c r="LTE116" s="15"/>
      <c r="LTF116" s="15"/>
      <c r="LTG116" s="15"/>
      <c r="LTH116" s="15"/>
      <c r="LTI116" s="15"/>
      <c r="LTJ116" s="15"/>
      <c r="LTK116" s="15"/>
      <c r="LTL116" s="15"/>
      <c r="LTM116" s="15"/>
      <c r="LTN116" s="14"/>
      <c r="LTO116" s="15"/>
      <c r="LTP116" s="15"/>
      <c r="LTQ116" s="15"/>
      <c r="LTR116" s="15"/>
      <c r="LTS116" s="15"/>
      <c r="LTT116" s="15"/>
      <c r="LTU116" s="15"/>
      <c r="LTV116" s="15"/>
      <c r="LTW116" s="15"/>
      <c r="LTX116" s="15"/>
      <c r="LTY116" s="15"/>
      <c r="LTZ116" s="15"/>
      <c r="LUA116" s="15"/>
      <c r="LUB116" s="15"/>
      <c r="LUC116" s="15"/>
      <c r="LUD116" s="15"/>
      <c r="LUE116" s="15"/>
      <c r="LUF116" s="15"/>
      <c r="LUG116" s="15"/>
      <c r="LUH116" s="15"/>
      <c r="LUI116" s="15"/>
      <c r="LUJ116" s="14"/>
      <c r="LUK116" s="15"/>
      <c r="LUL116" s="15"/>
      <c r="LUM116" s="15"/>
      <c r="LUN116" s="15"/>
      <c r="LUO116" s="15"/>
      <c r="LUP116" s="15"/>
      <c r="LUQ116" s="15"/>
      <c r="LUR116" s="15"/>
      <c r="LUS116" s="15"/>
      <c r="LUT116" s="15"/>
      <c r="LUU116" s="15"/>
      <c r="LUV116" s="15"/>
      <c r="LUW116" s="15"/>
      <c r="LUX116" s="15"/>
      <c r="LUY116" s="15"/>
      <c r="LUZ116" s="15"/>
      <c r="LVA116" s="15"/>
      <c r="LVB116" s="15"/>
      <c r="LVC116" s="15"/>
      <c r="LVD116" s="15"/>
      <c r="LVE116" s="15"/>
      <c r="LVF116" s="14"/>
      <c r="LVG116" s="15"/>
      <c r="LVH116" s="15"/>
      <c r="LVI116" s="15"/>
      <c r="LVJ116" s="15"/>
      <c r="LVK116" s="15"/>
      <c r="LVL116" s="15"/>
      <c r="LVM116" s="15"/>
      <c r="LVN116" s="15"/>
      <c r="LVO116" s="15"/>
      <c r="LVP116" s="15"/>
      <c r="LVQ116" s="15"/>
      <c r="LVR116" s="15"/>
      <c r="LVS116" s="15"/>
      <c r="LVT116" s="15"/>
      <c r="LVU116" s="15"/>
      <c r="LVV116" s="15"/>
      <c r="LVW116" s="15"/>
      <c r="LVX116" s="15"/>
      <c r="LVY116" s="15"/>
      <c r="LVZ116" s="15"/>
      <c r="LWA116" s="15"/>
      <c r="LWB116" s="14"/>
      <c r="LWC116" s="15"/>
      <c r="LWD116" s="15"/>
      <c r="LWE116" s="15"/>
      <c r="LWF116" s="15"/>
      <c r="LWG116" s="15"/>
      <c r="LWH116" s="15"/>
      <c r="LWI116" s="15"/>
      <c r="LWJ116" s="15"/>
      <c r="LWK116" s="15"/>
      <c r="LWL116" s="15"/>
      <c r="LWM116" s="15"/>
      <c r="LWN116" s="15"/>
      <c r="LWO116" s="15"/>
      <c r="LWP116" s="15"/>
      <c r="LWQ116" s="15"/>
      <c r="LWR116" s="15"/>
      <c r="LWS116" s="15"/>
      <c r="LWT116" s="15"/>
      <c r="LWU116" s="15"/>
      <c r="LWV116" s="15"/>
      <c r="LWW116" s="15"/>
      <c r="LWX116" s="14"/>
      <c r="LWY116" s="15"/>
      <c r="LWZ116" s="15"/>
      <c r="LXA116" s="15"/>
      <c r="LXB116" s="15"/>
      <c r="LXC116" s="15"/>
      <c r="LXD116" s="15"/>
      <c r="LXE116" s="15"/>
      <c r="LXF116" s="15"/>
      <c r="LXG116" s="15"/>
      <c r="LXH116" s="15"/>
      <c r="LXI116" s="15"/>
      <c r="LXJ116" s="15"/>
      <c r="LXK116" s="15"/>
      <c r="LXL116" s="15"/>
      <c r="LXM116" s="15"/>
      <c r="LXN116" s="15"/>
      <c r="LXO116" s="15"/>
      <c r="LXP116" s="15"/>
      <c r="LXQ116" s="15"/>
      <c r="LXR116" s="15"/>
      <c r="LXS116" s="15"/>
      <c r="LXT116" s="14"/>
      <c r="LXU116" s="15"/>
      <c r="LXV116" s="15"/>
      <c r="LXW116" s="15"/>
      <c r="LXX116" s="15"/>
      <c r="LXY116" s="15"/>
      <c r="LXZ116" s="15"/>
      <c r="LYA116" s="15"/>
      <c r="LYB116" s="15"/>
      <c r="LYC116" s="15"/>
      <c r="LYD116" s="15"/>
      <c r="LYE116" s="15"/>
      <c r="LYF116" s="15"/>
      <c r="LYG116" s="15"/>
      <c r="LYH116" s="15"/>
      <c r="LYI116" s="15"/>
      <c r="LYJ116" s="15"/>
      <c r="LYK116" s="15"/>
      <c r="LYL116" s="15"/>
      <c r="LYM116" s="15"/>
      <c r="LYN116" s="15"/>
      <c r="LYO116" s="15"/>
      <c r="LYP116" s="14"/>
      <c r="LYQ116" s="15"/>
      <c r="LYR116" s="15"/>
      <c r="LYS116" s="15"/>
      <c r="LYT116" s="15"/>
      <c r="LYU116" s="15"/>
      <c r="LYV116" s="15"/>
      <c r="LYW116" s="15"/>
      <c r="LYX116" s="15"/>
      <c r="LYY116" s="15"/>
      <c r="LYZ116" s="15"/>
      <c r="LZA116" s="15"/>
      <c r="LZB116" s="15"/>
      <c r="LZC116" s="15"/>
      <c r="LZD116" s="15"/>
      <c r="LZE116" s="15"/>
      <c r="LZF116" s="15"/>
      <c r="LZG116" s="15"/>
      <c r="LZH116" s="15"/>
      <c r="LZI116" s="15"/>
      <c r="LZJ116" s="15"/>
      <c r="LZK116" s="15"/>
      <c r="LZL116" s="14"/>
      <c r="LZM116" s="15"/>
      <c r="LZN116" s="15"/>
      <c r="LZO116" s="15"/>
      <c r="LZP116" s="15"/>
      <c r="LZQ116" s="15"/>
      <c r="LZR116" s="15"/>
      <c r="LZS116" s="15"/>
      <c r="LZT116" s="15"/>
      <c r="LZU116" s="15"/>
      <c r="LZV116" s="15"/>
      <c r="LZW116" s="15"/>
      <c r="LZX116" s="15"/>
      <c r="LZY116" s="15"/>
      <c r="LZZ116" s="15"/>
      <c r="MAA116" s="15"/>
      <c r="MAB116" s="15"/>
      <c r="MAC116" s="15"/>
      <c r="MAD116" s="15"/>
      <c r="MAE116" s="15"/>
      <c r="MAF116" s="15"/>
      <c r="MAG116" s="15"/>
      <c r="MAH116" s="14"/>
      <c r="MAI116" s="15"/>
      <c r="MAJ116" s="15"/>
      <c r="MAK116" s="15"/>
      <c r="MAL116" s="15"/>
      <c r="MAM116" s="15"/>
      <c r="MAN116" s="15"/>
      <c r="MAO116" s="15"/>
      <c r="MAP116" s="15"/>
      <c r="MAQ116" s="15"/>
      <c r="MAR116" s="15"/>
      <c r="MAS116" s="15"/>
      <c r="MAT116" s="15"/>
      <c r="MAU116" s="15"/>
      <c r="MAV116" s="15"/>
      <c r="MAW116" s="15"/>
      <c r="MAX116" s="15"/>
      <c r="MAY116" s="15"/>
      <c r="MAZ116" s="15"/>
      <c r="MBA116" s="15"/>
      <c r="MBB116" s="15"/>
      <c r="MBC116" s="15"/>
      <c r="MBD116" s="14"/>
      <c r="MBE116" s="15"/>
      <c r="MBF116" s="15"/>
      <c r="MBG116" s="15"/>
      <c r="MBH116" s="15"/>
      <c r="MBI116" s="15"/>
      <c r="MBJ116" s="15"/>
      <c r="MBK116" s="15"/>
      <c r="MBL116" s="15"/>
      <c r="MBM116" s="15"/>
      <c r="MBN116" s="15"/>
      <c r="MBO116" s="15"/>
      <c r="MBP116" s="15"/>
      <c r="MBQ116" s="15"/>
      <c r="MBR116" s="15"/>
      <c r="MBS116" s="15"/>
      <c r="MBT116" s="15"/>
      <c r="MBU116" s="15"/>
      <c r="MBV116" s="15"/>
      <c r="MBW116" s="15"/>
      <c r="MBX116" s="15"/>
      <c r="MBY116" s="15"/>
      <c r="MBZ116" s="14"/>
      <c r="MCA116" s="15"/>
      <c r="MCB116" s="15"/>
      <c r="MCC116" s="15"/>
      <c r="MCD116" s="15"/>
      <c r="MCE116" s="15"/>
      <c r="MCF116" s="15"/>
      <c r="MCG116" s="15"/>
      <c r="MCH116" s="15"/>
      <c r="MCI116" s="15"/>
      <c r="MCJ116" s="15"/>
      <c r="MCK116" s="15"/>
      <c r="MCL116" s="15"/>
      <c r="MCM116" s="15"/>
      <c r="MCN116" s="15"/>
      <c r="MCO116" s="15"/>
      <c r="MCP116" s="15"/>
      <c r="MCQ116" s="15"/>
      <c r="MCR116" s="15"/>
      <c r="MCS116" s="15"/>
      <c r="MCT116" s="15"/>
      <c r="MCU116" s="15"/>
      <c r="MCV116" s="14"/>
      <c r="MCW116" s="15"/>
      <c r="MCX116" s="15"/>
      <c r="MCY116" s="15"/>
      <c r="MCZ116" s="15"/>
      <c r="MDA116" s="15"/>
      <c r="MDB116" s="15"/>
      <c r="MDC116" s="15"/>
      <c r="MDD116" s="15"/>
      <c r="MDE116" s="15"/>
      <c r="MDF116" s="15"/>
      <c r="MDG116" s="15"/>
      <c r="MDH116" s="15"/>
      <c r="MDI116" s="15"/>
      <c r="MDJ116" s="15"/>
      <c r="MDK116" s="15"/>
      <c r="MDL116" s="15"/>
      <c r="MDM116" s="15"/>
      <c r="MDN116" s="15"/>
      <c r="MDO116" s="15"/>
      <c r="MDP116" s="15"/>
      <c r="MDQ116" s="15"/>
      <c r="MDR116" s="14"/>
      <c r="MDS116" s="15"/>
      <c r="MDT116" s="15"/>
      <c r="MDU116" s="15"/>
      <c r="MDV116" s="15"/>
      <c r="MDW116" s="15"/>
      <c r="MDX116" s="15"/>
      <c r="MDY116" s="15"/>
      <c r="MDZ116" s="15"/>
      <c r="MEA116" s="15"/>
      <c r="MEB116" s="15"/>
      <c r="MEC116" s="15"/>
      <c r="MED116" s="15"/>
      <c r="MEE116" s="15"/>
      <c r="MEF116" s="15"/>
      <c r="MEG116" s="15"/>
      <c r="MEH116" s="15"/>
      <c r="MEI116" s="15"/>
      <c r="MEJ116" s="15"/>
      <c r="MEK116" s="15"/>
      <c r="MEL116" s="15"/>
      <c r="MEM116" s="15"/>
      <c r="MEN116" s="14"/>
      <c r="MEO116" s="15"/>
      <c r="MEP116" s="15"/>
      <c r="MEQ116" s="15"/>
      <c r="MER116" s="15"/>
      <c r="MES116" s="15"/>
      <c r="MET116" s="15"/>
      <c r="MEU116" s="15"/>
      <c r="MEV116" s="15"/>
      <c r="MEW116" s="15"/>
      <c r="MEX116" s="15"/>
      <c r="MEY116" s="15"/>
      <c r="MEZ116" s="15"/>
      <c r="MFA116" s="15"/>
      <c r="MFB116" s="15"/>
      <c r="MFC116" s="15"/>
      <c r="MFD116" s="15"/>
      <c r="MFE116" s="15"/>
      <c r="MFF116" s="15"/>
      <c r="MFG116" s="15"/>
      <c r="MFH116" s="15"/>
      <c r="MFI116" s="15"/>
      <c r="MFJ116" s="14"/>
      <c r="MFK116" s="15"/>
      <c r="MFL116" s="15"/>
      <c r="MFM116" s="15"/>
      <c r="MFN116" s="15"/>
      <c r="MFO116" s="15"/>
      <c r="MFP116" s="15"/>
      <c r="MFQ116" s="15"/>
      <c r="MFR116" s="15"/>
      <c r="MFS116" s="15"/>
      <c r="MFT116" s="15"/>
      <c r="MFU116" s="15"/>
      <c r="MFV116" s="15"/>
      <c r="MFW116" s="15"/>
      <c r="MFX116" s="15"/>
      <c r="MFY116" s="15"/>
      <c r="MFZ116" s="15"/>
      <c r="MGA116" s="15"/>
      <c r="MGB116" s="15"/>
      <c r="MGC116" s="15"/>
      <c r="MGD116" s="15"/>
      <c r="MGE116" s="15"/>
      <c r="MGF116" s="14"/>
      <c r="MGG116" s="15"/>
      <c r="MGH116" s="15"/>
      <c r="MGI116" s="15"/>
      <c r="MGJ116" s="15"/>
      <c r="MGK116" s="15"/>
      <c r="MGL116" s="15"/>
      <c r="MGM116" s="15"/>
      <c r="MGN116" s="15"/>
      <c r="MGO116" s="15"/>
      <c r="MGP116" s="15"/>
      <c r="MGQ116" s="15"/>
      <c r="MGR116" s="15"/>
      <c r="MGS116" s="15"/>
      <c r="MGT116" s="15"/>
      <c r="MGU116" s="15"/>
      <c r="MGV116" s="15"/>
      <c r="MGW116" s="15"/>
      <c r="MGX116" s="15"/>
      <c r="MGY116" s="15"/>
      <c r="MGZ116" s="15"/>
      <c r="MHA116" s="15"/>
      <c r="MHB116" s="14"/>
      <c r="MHC116" s="15"/>
      <c r="MHD116" s="15"/>
      <c r="MHE116" s="15"/>
      <c r="MHF116" s="15"/>
      <c r="MHG116" s="15"/>
      <c r="MHH116" s="15"/>
      <c r="MHI116" s="15"/>
      <c r="MHJ116" s="15"/>
      <c r="MHK116" s="15"/>
      <c r="MHL116" s="15"/>
      <c r="MHM116" s="15"/>
      <c r="MHN116" s="15"/>
      <c r="MHO116" s="15"/>
      <c r="MHP116" s="15"/>
      <c r="MHQ116" s="15"/>
      <c r="MHR116" s="15"/>
      <c r="MHS116" s="15"/>
      <c r="MHT116" s="15"/>
      <c r="MHU116" s="15"/>
      <c r="MHV116" s="15"/>
      <c r="MHW116" s="15"/>
      <c r="MHX116" s="14"/>
      <c r="MHY116" s="15"/>
      <c r="MHZ116" s="15"/>
      <c r="MIA116" s="15"/>
      <c r="MIB116" s="15"/>
      <c r="MIC116" s="15"/>
      <c r="MID116" s="15"/>
      <c r="MIE116" s="15"/>
      <c r="MIF116" s="15"/>
      <c r="MIG116" s="15"/>
      <c r="MIH116" s="15"/>
      <c r="MII116" s="15"/>
      <c r="MIJ116" s="15"/>
      <c r="MIK116" s="15"/>
      <c r="MIL116" s="15"/>
      <c r="MIM116" s="15"/>
      <c r="MIN116" s="15"/>
      <c r="MIO116" s="15"/>
      <c r="MIP116" s="15"/>
      <c r="MIQ116" s="15"/>
      <c r="MIR116" s="15"/>
      <c r="MIS116" s="15"/>
      <c r="MIT116" s="14"/>
      <c r="MIU116" s="15"/>
      <c r="MIV116" s="15"/>
      <c r="MIW116" s="15"/>
      <c r="MIX116" s="15"/>
      <c r="MIY116" s="15"/>
      <c r="MIZ116" s="15"/>
      <c r="MJA116" s="15"/>
      <c r="MJB116" s="15"/>
      <c r="MJC116" s="15"/>
      <c r="MJD116" s="15"/>
      <c r="MJE116" s="15"/>
      <c r="MJF116" s="15"/>
      <c r="MJG116" s="15"/>
      <c r="MJH116" s="15"/>
      <c r="MJI116" s="15"/>
      <c r="MJJ116" s="15"/>
      <c r="MJK116" s="15"/>
      <c r="MJL116" s="15"/>
      <c r="MJM116" s="15"/>
      <c r="MJN116" s="15"/>
      <c r="MJO116" s="15"/>
      <c r="MJP116" s="14"/>
      <c r="MJQ116" s="15"/>
      <c r="MJR116" s="15"/>
      <c r="MJS116" s="15"/>
      <c r="MJT116" s="15"/>
      <c r="MJU116" s="15"/>
      <c r="MJV116" s="15"/>
      <c r="MJW116" s="15"/>
      <c r="MJX116" s="15"/>
      <c r="MJY116" s="15"/>
      <c r="MJZ116" s="15"/>
      <c r="MKA116" s="15"/>
      <c r="MKB116" s="15"/>
      <c r="MKC116" s="15"/>
      <c r="MKD116" s="15"/>
      <c r="MKE116" s="15"/>
      <c r="MKF116" s="15"/>
      <c r="MKG116" s="15"/>
      <c r="MKH116" s="15"/>
      <c r="MKI116" s="15"/>
      <c r="MKJ116" s="15"/>
      <c r="MKK116" s="15"/>
      <c r="MKL116" s="14"/>
      <c r="MKM116" s="15"/>
      <c r="MKN116" s="15"/>
      <c r="MKO116" s="15"/>
      <c r="MKP116" s="15"/>
      <c r="MKQ116" s="15"/>
      <c r="MKR116" s="15"/>
      <c r="MKS116" s="15"/>
      <c r="MKT116" s="15"/>
      <c r="MKU116" s="15"/>
      <c r="MKV116" s="15"/>
      <c r="MKW116" s="15"/>
      <c r="MKX116" s="15"/>
      <c r="MKY116" s="15"/>
      <c r="MKZ116" s="15"/>
      <c r="MLA116" s="15"/>
      <c r="MLB116" s="15"/>
      <c r="MLC116" s="15"/>
      <c r="MLD116" s="15"/>
      <c r="MLE116" s="15"/>
      <c r="MLF116" s="15"/>
      <c r="MLG116" s="15"/>
      <c r="MLH116" s="14"/>
      <c r="MLI116" s="15"/>
      <c r="MLJ116" s="15"/>
      <c r="MLK116" s="15"/>
      <c r="MLL116" s="15"/>
      <c r="MLM116" s="15"/>
      <c r="MLN116" s="15"/>
      <c r="MLO116" s="15"/>
      <c r="MLP116" s="15"/>
      <c r="MLQ116" s="15"/>
      <c r="MLR116" s="15"/>
      <c r="MLS116" s="15"/>
      <c r="MLT116" s="15"/>
      <c r="MLU116" s="15"/>
      <c r="MLV116" s="15"/>
      <c r="MLW116" s="15"/>
      <c r="MLX116" s="15"/>
      <c r="MLY116" s="15"/>
      <c r="MLZ116" s="15"/>
      <c r="MMA116" s="15"/>
      <c r="MMB116" s="15"/>
      <c r="MMC116" s="15"/>
      <c r="MMD116" s="14"/>
      <c r="MME116" s="15"/>
      <c r="MMF116" s="15"/>
      <c r="MMG116" s="15"/>
      <c r="MMH116" s="15"/>
      <c r="MMI116" s="15"/>
      <c r="MMJ116" s="15"/>
      <c r="MMK116" s="15"/>
      <c r="MML116" s="15"/>
      <c r="MMM116" s="15"/>
      <c r="MMN116" s="15"/>
      <c r="MMO116" s="15"/>
      <c r="MMP116" s="15"/>
      <c r="MMQ116" s="15"/>
      <c r="MMR116" s="15"/>
      <c r="MMS116" s="15"/>
      <c r="MMT116" s="15"/>
      <c r="MMU116" s="15"/>
      <c r="MMV116" s="15"/>
      <c r="MMW116" s="15"/>
      <c r="MMX116" s="15"/>
      <c r="MMY116" s="15"/>
      <c r="MMZ116" s="14"/>
      <c r="MNA116" s="15"/>
      <c r="MNB116" s="15"/>
      <c r="MNC116" s="15"/>
      <c r="MND116" s="15"/>
      <c r="MNE116" s="15"/>
      <c r="MNF116" s="15"/>
      <c r="MNG116" s="15"/>
      <c r="MNH116" s="15"/>
      <c r="MNI116" s="15"/>
      <c r="MNJ116" s="15"/>
      <c r="MNK116" s="15"/>
      <c r="MNL116" s="15"/>
      <c r="MNM116" s="15"/>
      <c r="MNN116" s="15"/>
      <c r="MNO116" s="15"/>
      <c r="MNP116" s="15"/>
      <c r="MNQ116" s="15"/>
      <c r="MNR116" s="15"/>
      <c r="MNS116" s="15"/>
      <c r="MNT116" s="15"/>
      <c r="MNU116" s="15"/>
      <c r="MNV116" s="14"/>
      <c r="MNW116" s="15"/>
      <c r="MNX116" s="15"/>
      <c r="MNY116" s="15"/>
      <c r="MNZ116" s="15"/>
      <c r="MOA116" s="15"/>
      <c r="MOB116" s="15"/>
      <c r="MOC116" s="15"/>
      <c r="MOD116" s="15"/>
      <c r="MOE116" s="15"/>
      <c r="MOF116" s="15"/>
      <c r="MOG116" s="15"/>
      <c r="MOH116" s="15"/>
      <c r="MOI116" s="15"/>
      <c r="MOJ116" s="15"/>
      <c r="MOK116" s="15"/>
      <c r="MOL116" s="15"/>
      <c r="MOM116" s="15"/>
      <c r="MON116" s="15"/>
      <c r="MOO116" s="15"/>
      <c r="MOP116" s="15"/>
      <c r="MOQ116" s="15"/>
      <c r="MOR116" s="14"/>
      <c r="MOS116" s="15"/>
      <c r="MOT116" s="15"/>
      <c r="MOU116" s="15"/>
      <c r="MOV116" s="15"/>
      <c r="MOW116" s="15"/>
      <c r="MOX116" s="15"/>
      <c r="MOY116" s="15"/>
      <c r="MOZ116" s="15"/>
      <c r="MPA116" s="15"/>
      <c r="MPB116" s="15"/>
      <c r="MPC116" s="15"/>
      <c r="MPD116" s="15"/>
      <c r="MPE116" s="15"/>
      <c r="MPF116" s="15"/>
      <c r="MPG116" s="15"/>
      <c r="MPH116" s="15"/>
      <c r="MPI116" s="15"/>
      <c r="MPJ116" s="15"/>
      <c r="MPK116" s="15"/>
      <c r="MPL116" s="15"/>
      <c r="MPM116" s="15"/>
      <c r="MPN116" s="14"/>
      <c r="MPO116" s="15"/>
      <c r="MPP116" s="15"/>
      <c r="MPQ116" s="15"/>
      <c r="MPR116" s="15"/>
      <c r="MPS116" s="15"/>
      <c r="MPT116" s="15"/>
      <c r="MPU116" s="15"/>
      <c r="MPV116" s="15"/>
      <c r="MPW116" s="15"/>
      <c r="MPX116" s="15"/>
      <c r="MPY116" s="15"/>
      <c r="MPZ116" s="15"/>
      <c r="MQA116" s="15"/>
      <c r="MQB116" s="15"/>
      <c r="MQC116" s="15"/>
      <c r="MQD116" s="15"/>
      <c r="MQE116" s="15"/>
      <c r="MQF116" s="15"/>
      <c r="MQG116" s="15"/>
      <c r="MQH116" s="15"/>
      <c r="MQI116" s="15"/>
      <c r="MQJ116" s="14"/>
      <c r="MQK116" s="15"/>
      <c r="MQL116" s="15"/>
      <c r="MQM116" s="15"/>
      <c r="MQN116" s="15"/>
      <c r="MQO116" s="15"/>
      <c r="MQP116" s="15"/>
      <c r="MQQ116" s="15"/>
      <c r="MQR116" s="15"/>
      <c r="MQS116" s="15"/>
      <c r="MQT116" s="15"/>
      <c r="MQU116" s="15"/>
      <c r="MQV116" s="15"/>
      <c r="MQW116" s="15"/>
      <c r="MQX116" s="15"/>
      <c r="MQY116" s="15"/>
      <c r="MQZ116" s="15"/>
      <c r="MRA116" s="15"/>
      <c r="MRB116" s="15"/>
      <c r="MRC116" s="15"/>
      <c r="MRD116" s="15"/>
      <c r="MRE116" s="15"/>
      <c r="MRF116" s="14"/>
      <c r="MRG116" s="15"/>
      <c r="MRH116" s="15"/>
      <c r="MRI116" s="15"/>
      <c r="MRJ116" s="15"/>
      <c r="MRK116" s="15"/>
      <c r="MRL116" s="15"/>
      <c r="MRM116" s="15"/>
      <c r="MRN116" s="15"/>
      <c r="MRO116" s="15"/>
      <c r="MRP116" s="15"/>
      <c r="MRQ116" s="15"/>
      <c r="MRR116" s="15"/>
      <c r="MRS116" s="15"/>
      <c r="MRT116" s="15"/>
      <c r="MRU116" s="15"/>
      <c r="MRV116" s="15"/>
      <c r="MRW116" s="15"/>
      <c r="MRX116" s="15"/>
      <c r="MRY116" s="15"/>
      <c r="MRZ116" s="15"/>
      <c r="MSA116" s="15"/>
      <c r="MSB116" s="14"/>
      <c r="MSC116" s="15"/>
      <c r="MSD116" s="15"/>
      <c r="MSE116" s="15"/>
      <c r="MSF116" s="15"/>
      <c r="MSG116" s="15"/>
      <c r="MSH116" s="15"/>
      <c r="MSI116" s="15"/>
      <c r="MSJ116" s="15"/>
      <c r="MSK116" s="15"/>
      <c r="MSL116" s="15"/>
      <c r="MSM116" s="15"/>
      <c r="MSN116" s="15"/>
      <c r="MSO116" s="15"/>
      <c r="MSP116" s="15"/>
      <c r="MSQ116" s="15"/>
      <c r="MSR116" s="15"/>
      <c r="MSS116" s="15"/>
      <c r="MST116" s="15"/>
      <c r="MSU116" s="15"/>
      <c r="MSV116" s="15"/>
      <c r="MSW116" s="15"/>
      <c r="MSX116" s="14"/>
      <c r="MSY116" s="15"/>
      <c r="MSZ116" s="15"/>
      <c r="MTA116" s="15"/>
      <c r="MTB116" s="15"/>
      <c r="MTC116" s="15"/>
      <c r="MTD116" s="15"/>
      <c r="MTE116" s="15"/>
      <c r="MTF116" s="15"/>
      <c r="MTG116" s="15"/>
      <c r="MTH116" s="15"/>
      <c r="MTI116" s="15"/>
      <c r="MTJ116" s="15"/>
      <c r="MTK116" s="15"/>
      <c r="MTL116" s="15"/>
      <c r="MTM116" s="15"/>
      <c r="MTN116" s="15"/>
      <c r="MTO116" s="15"/>
      <c r="MTP116" s="15"/>
      <c r="MTQ116" s="15"/>
      <c r="MTR116" s="15"/>
      <c r="MTS116" s="15"/>
      <c r="MTT116" s="14"/>
      <c r="MTU116" s="15"/>
      <c r="MTV116" s="15"/>
      <c r="MTW116" s="15"/>
      <c r="MTX116" s="15"/>
      <c r="MTY116" s="15"/>
      <c r="MTZ116" s="15"/>
      <c r="MUA116" s="15"/>
      <c r="MUB116" s="15"/>
      <c r="MUC116" s="15"/>
      <c r="MUD116" s="15"/>
      <c r="MUE116" s="15"/>
      <c r="MUF116" s="15"/>
      <c r="MUG116" s="15"/>
      <c r="MUH116" s="15"/>
      <c r="MUI116" s="15"/>
      <c r="MUJ116" s="15"/>
      <c r="MUK116" s="15"/>
      <c r="MUL116" s="15"/>
      <c r="MUM116" s="15"/>
      <c r="MUN116" s="15"/>
      <c r="MUO116" s="15"/>
      <c r="MUP116" s="14"/>
      <c r="MUQ116" s="15"/>
      <c r="MUR116" s="15"/>
      <c r="MUS116" s="15"/>
      <c r="MUT116" s="15"/>
      <c r="MUU116" s="15"/>
      <c r="MUV116" s="15"/>
      <c r="MUW116" s="15"/>
      <c r="MUX116" s="15"/>
      <c r="MUY116" s="15"/>
      <c r="MUZ116" s="15"/>
      <c r="MVA116" s="15"/>
      <c r="MVB116" s="15"/>
      <c r="MVC116" s="15"/>
      <c r="MVD116" s="15"/>
      <c r="MVE116" s="15"/>
      <c r="MVF116" s="15"/>
      <c r="MVG116" s="15"/>
      <c r="MVH116" s="15"/>
      <c r="MVI116" s="15"/>
      <c r="MVJ116" s="15"/>
      <c r="MVK116" s="15"/>
      <c r="MVL116" s="14"/>
      <c r="MVM116" s="15"/>
      <c r="MVN116" s="15"/>
      <c r="MVO116" s="15"/>
      <c r="MVP116" s="15"/>
      <c r="MVQ116" s="15"/>
      <c r="MVR116" s="15"/>
      <c r="MVS116" s="15"/>
      <c r="MVT116" s="15"/>
      <c r="MVU116" s="15"/>
      <c r="MVV116" s="15"/>
      <c r="MVW116" s="15"/>
      <c r="MVX116" s="15"/>
      <c r="MVY116" s="15"/>
      <c r="MVZ116" s="15"/>
      <c r="MWA116" s="15"/>
      <c r="MWB116" s="15"/>
      <c r="MWC116" s="15"/>
      <c r="MWD116" s="15"/>
      <c r="MWE116" s="15"/>
      <c r="MWF116" s="15"/>
      <c r="MWG116" s="15"/>
      <c r="MWH116" s="14"/>
      <c r="MWI116" s="15"/>
      <c r="MWJ116" s="15"/>
      <c r="MWK116" s="15"/>
      <c r="MWL116" s="15"/>
      <c r="MWM116" s="15"/>
      <c r="MWN116" s="15"/>
      <c r="MWO116" s="15"/>
      <c r="MWP116" s="15"/>
      <c r="MWQ116" s="15"/>
      <c r="MWR116" s="15"/>
      <c r="MWS116" s="15"/>
      <c r="MWT116" s="15"/>
      <c r="MWU116" s="15"/>
      <c r="MWV116" s="15"/>
      <c r="MWW116" s="15"/>
      <c r="MWX116" s="15"/>
      <c r="MWY116" s="15"/>
      <c r="MWZ116" s="15"/>
      <c r="MXA116" s="15"/>
      <c r="MXB116" s="15"/>
      <c r="MXC116" s="15"/>
      <c r="MXD116" s="14"/>
      <c r="MXE116" s="15"/>
      <c r="MXF116" s="15"/>
      <c r="MXG116" s="15"/>
      <c r="MXH116" s="15"/>
      <c r="MXI116" s="15"/>
      <c r="MXJ116" s="15"/>
      <c r="MXK116" s="15"/>
      <c r="MXL116" s="15"/>
      <c r="MXM116" s="15"/>
      <c r="MXN116" s="15"/>
      <c r="MXO116" s="15"/>
      <c r="MXP116" s="15"/>
      <c r="MXQ116" s="15"/>
      <c r="MXR116" s="15"/>
      <c r="MXS116" s="15"/>
      <c r="MXT116" s="15"/>
      <c r="MXU116" s="15"/>
      <c r="MXV116" s="15"/>
      <c r="MXW116" s="15"/>
      <c r="MXX116" s="15"/>
      <c r="MXY116" s="15"/>
      <c r="MXZ116" s="14"/>
      <c r="MYA116" s="15"/>
      <c r="MYB116" s="15"/>
      <c r="MYC116" s="15"/>
      <c r="MYD116" s="15"/>
      <c r="MYE116" s="15"/>
      <c r="MYF116" s="15"/>
      <c r="MYG116" s="15"/>
      <c r="MYH116" s="15"/>
      <c r="MYI116" s="15"/>
      <c r="MYJ116" s="15"/>
      <c r="MYK116" s="15"/>
      <c r="MYL116" s="15"/>
      <c r="MYM116" s="15"/>
      <c r="MYN116" s="15"/>
      <c r="MYO116" s="15"/>
      <c r="MYP116" s="15"/>
      <c r="MYQ116" s="15"/>
      <c r="MYR116" s="15"/>
      <c r="MYS116" s="15"/>
      <c r="MYT116" s="15"/>
      <c r="MYU116" s="15"/>
      <c r="MYV116" s="14"/>
      <c r="MYW116" s="15"/>
      <c r="MYX116" s="15"/>
      <c r="MYY116" s="15"/>
      <c r="MYZ116" s="15"/>
      <c r="MZA116" s="15"/>
      <c r="MZB116" s="15"/>
      <c r="MZC116" s="15"/>
      <c r="MZD116" s="15"/>
      <c r="MZE116" s="15"/>
      <c r="MZF116" s="15"/>
      <c r="MZG116" s="15"/>
      <c r="MZH116" s="15"/>
      <c r="MZI116" s="15"/>
      <c r="MZJ116" s="15"/>
      <c r="MZK116" s="15"/>
      <c r="MZL116" s="15"/>
      <c r="MZM116" s="15"/>
      <c r="MZN116" s="15"/>
      <c r="MZO116" s="15"/>
      <c r="MZP116" s="15"/>
      <c r="MZQ116" s="15"/>
      <c r="MZR116" s="14"/>
      <c r="MZS116" s="15"/>
      <c r="MZT116" s="15"/>
      <c r="MZU116" s="15"/>
      <c r="MZV116" s="15"/>
      <c r="MZW116" s="15"/>
      <c r="MZX116" s="15"/>
      <c r="MZY116" s="15"/>
      <c r="MZZ116" s="15"/>
      <c r="NAA116" s="15"/>
      <c r="NAB116" s="15"/>
      <c r="NAC116" s="15"/>
      <c r="NAD116" s="15"/>
      <c r="NAE116" s="15"/>
      <c r="NAF116" s="15"/>
      <c r="NAG116" s="15"/>
      <c r="NAH116" s="15"/>
      <c r="NAI116" s="15"/>
      <c r="NAJ116" s="15"/>
      <c r="NAK116" s="15"/>
      <c r="NAL116" s="15"/>
      <c r="NAM116" s="15"/>
      <c r="NAN116" s="14"/>
      <c r="NAO116" s="15"/>
      <c r="NAP116" s="15"/>
      <c r="NAQ116" s="15"/>
      <c r="NAR116" s="15"/>
      <c r="NAS116" s="15"/>
      <c r="NAT116" s="15"/>
      <c r="NAU116" s="15"/>
      <c r="NAV116" s="15"/>
      <c r="NAW116" s="15"/>
      <c r="NAX116" s="15"/>
      <c r="NAY116" s="15"/>
      <c r="NAZ116" s="15"/>
      <c r="NBA116" s="15"/>
      <c r="NBB116" s="15"/>
      <c r="NBC116" s="15"/>
      <c r="NBD116" s="15"/>
      <c r="NBE116" s="15"/>
      <c r="NBF116" s="15"/>
      <c r="NBG116" s="15"/>
      <c r="NBH116" s="15"/>
      <c r="NBI116" s="15"/>
      <c r="NBJ116" s="14"/>
      <c r="NBK116" s="15"/>
      <c r="NBL116" s="15"/>
      <c r="NBM116" s="15"/>
      <c r="NBN116" s="15"/>
      <c r="NBO116" s="15"/>
      <c r="NBP116" s="15"/>
      <c r="NBQ116" s="15"/>
      <c r="NBR116" s="15"/>
      <c r="NBS116" s="15"/>
      <c r="NBT116" s="15"/>
      <c r="NBU116" s="15"/>
      <c r="NBV116" s="15"/>
      <c r="NBW116" s="15"/>
      <c r="NBX116" s="15"/>
      <c r="NBY116" s="15"/>
      <c r="NBZ116" s="15"/>
      <c r="NCA116" s="15"/>
      <c r="NCB116" s="15"/>
      <c r="NCC116" s="15"/>
      <c r="NCD116" s="15"/>
      <c r="NCE116" s="15"/>
      <c r="NCF116" s="14"/>
      <c r="NCG116" s="15"/>
      <c r="NCH116" s="15"/>
      <c r="NCI116" s="15"/>
      <c r="NCJ116" s="15"/>
      <c r="NCK116" s="15"/>
      <c r="NCL116" s="15"/>
      <c r="NCM116" s="15"/>
      <c r="NCN116" s="15"/>
      <c r="NCO116" s="15"/>
      <c r="NCP116" s="15"/>
      <c r="NCQ116" s="15"/>
      <c r="NCR116" s="15"/>
      <c r="NCS116" s="15"/>
      <c r="NCT116" s="15"/>
      <c r="NCU116" s="15"/>
      <c r="NCV116" s="15"/>
      <c r="NCW116" s="15"/>
      <c r="NCX116" s="15"/>
      <c r="NCY116" s="15"/>
      <c r="NCZ116" s="15"/>
      <c r="NDA116" s="15"/>
      <c r="NDB116" s="14"/>
      <c r="NDC116" s="15"/>
      <c r="NDD116" s="15"/>
      <c r="NDE116" s="15"/>
      <c r="NDF116" s="15"/>
      <c r="NDG116" s="15"/>
      <c r="NDH116" s="15"/>
      <c r="NDI116" s="15"/>
      <c r="NDJ116" s="15"/>
      <c r="NDK116" s="15"/>
      <c r="NDL116" s="15"/>
      <c r="NDM116" s="15"/>
      <c r="NDN116" s="15"/>
      <c r="NDO116" s="15"/>
      <c r="NDP116" s="15"/>
      <c r="NDQ116" s="15"/>
      <c r="NDR116" s="15"/>
      <c r="NDS116" s="15"/>
      <c r="NDT116" s="15"/>
      <c r="NDU116" s="15"/>
      <c r="NDV116" s="15"/>
      <c r="NDW116" s="15"/>
      <c r="NDX116" s="14"/>
      <c r="NDY116" s="15"/>
      <c r="NDZ116" s="15"/>
      <c r="NEA116" s="15"/>
      <c r="NEB116" s="15"/>
      <c r="NEC116" s="15"/>
      <c r="NED116" s="15"/>
      <c r="NEE116" s="15"/>
      <c r="NEF116" s="15"/>
      <c r="NEG116" s="15"/>
      <c r="NEH116" s="15"/>
      <c r="NEI116" s="15"/>
      <c r="NEJ116" s="15"/>
      <c r="NEK116" s="15"/>
      <c r="NEL116" s="15"/>
      <c r="NEM116" s="15"/>
      <c r="NEN116" s="15"/>
      <c r="NEO116" s="15"/>
      <c r="NEP116" s="15"/>
      <c r="NEQ116" s="15"/>
      <c r="NER116" s="15"/>
      <c r="NES116" s="15"/>
      <c r="NET116" s="14"/>
      <c r="NEU116" s="15"/>
      <c r="NEV116" s="15"/>
      <c r="NEW116" s="15"/>
      <c r="NEX116" s="15"/>
      <c r="NEY116" s="15"/>
      <c r="NEZ116" s="15"/>
      <c r="NFA116" s="15"/>
      <c r="NFB116" s="15"/>
      <c r="NFC116" s="15"/>
      <c r="NFD116" s="15"/>
      <c r="NFE116" s="15"/>
      <c r="NFF116" s="15"/>
      <c r="NFG116" s="15"/>
      <c r="NFH116" s="15"/>
      <c r="NFI116" s="15"/>
      <c r="NFJ116" s="15"/>
      <c r="NFK116" s="15"/>
      <c r="NFL116" s="15"/>
      <c r="NFM116" s="15"/>
      <c r="NFN116" s="15"/>
      <c r="NFO116" s="15"/>
      <c r="NFP116" s="14"/>
      <c r="NFQ116" s="15"/>
      <c r="NFR116" s="15"/>
      <c r="NFS116" s="15"/>
      <c r="NFT116" s="15"/>
      <c r="NFU116" s="15"/>
      <c r="NFV116" s="15"/>
      <c r="NFW116" s="15"/>
      <c r="NFX116" s="15"/>
      <c r="NFY116" s="15"/>
      <c r="NFZ116" s="15"/>
      <c r="NGA116" s="15"/>
      <c r="NGB116" s="15"/>
      <c r="NGC116" s="15"/>
      <c r="NGD116" s="15"/>
      <c r="NGE116" s="15"/>
      <c r="NGF116" s="15"/>
      <c r="NGG116" s="15"/>
      <c r="NGH116" s="15"/>
      <c r="NGI116" s="15"/>
      <c r="NGJ116" s="15"/>
      <c r="NGK116" s="15"/>
      <c r="NGL116" s="14"/>
      <c r="NGM116" s="15"/>
      <c r="NGN116" s="15"/>
      <c r="NGO116" s="15"/>
      <c r="NGP116" s="15"/>
      <c r="NGQ116" s="15"/>
      <c r="NGR116" s="15"/>
      <c r="NGS116" s="15"/>
      <c r="NGT116" s="15"/>
      <c r="NGU116" s="15"/>
      <c r="NGV116" s="15"/>
      <c r="NGW116" s="15"/>
      <c r="NGX116" s="15"/>
      <c r="NGY116" s="15"/>
      <c r="NGZ116" s="15"/>
      <c r="NHA116" s="15"/>
      <c r="NHB116" s="15"/>
      <c r="NHC116" s="15"/>
      <c r="NHD116" s="15"/>
      <c r="NHE116" s="15"/>
      <c r="NHF116" s="15"/>
      <c r="NHG116" s="15"/>
      <c r="NHH116" s="14"/>
      <c r="NHI116" s="15"/>
      <c r="NHJ116" s="15"/>
      <c r="NHK116" s="15"/>
      <c r="NHL116" s="15"/>
      <c r="NHM116" s="15"/>
      <c r="NHN116" s="15"/>
      <c r="NHO116" s="15"/>
      <c r="NHP116" s="15"/>
      <c r="NHQ116" s="15"/>
      <c r="NHR116" s="15"/>
      <c r="NHS116" s="15"/>
      <c r="NHT116" s="15"/>
      <c r="NHU116" s="15"/>
      <c r="NHV116" s="15"/>
      <c r="NHW116" s="15"/>
      <c r="NHX116" s="15"/>
      <c r="NHY116" s="15"/>
      <c r="NHZ116" s="15"/>
      <c r="NIA116" s="15"/>
      <c r="NIB116" s="15"/>
      <c r="NIC116" s="15"/>
      <c r="NID116" s="14"/>
      <c r="NIE116" s="15"/>
      <c r="NIF116" s="15"/>
      <c r="NIG116" s="15"/>
      <c r="NIH116" s="15"/>
      <c r="NII116" s="15"/>
      <c r="NIJ116" s="15"/>
      <c r="NIK116" s="15"/>
      <c r="NIL116" s="15"/>
      <c r="NIM116" s="15"/>
      <c r="NIN116" s="15"/>
      <c r="NIO116" s="15"/>
      <c r="NIP116" s="15"/>
      <c r="NIQ116" s="15"/>
      <c r="NIR116" s="15"/>
      <c r="NIS116" s="15"/>
      <c r="NIT116" s="15"/>
      <c r="NIU116" s="15"/>
      <c r="NIV116" s="15"/>
      <c r="NIW116" s="15"/>
      <c r="NIX116" s="15"/>
      <c r="NIY116" s="15"/>
      <c r="NIZ116" s="14"/>
      <c r="NJA116" s="15"/>
      <c r="NJB116" s="15"/>
      <c r="NJC116" s="15"/>
      <c r="NJD116" s="15"/>
      <c r="NJE116" s="15"/>
      <c r="NJF116" s="15"/>
      <c r="NJG116" s="15"/>
      <c r="NJH116" s="15"/>
      <c r="NJI116" s="15"/>
      <c r="NJJ116" s="15"/>
      <c r="NJK116" s="15"/>
      <c r="NJL116" s="15"/>
      <c r="NJM116" s="15"/>
      <c r="NJN116" s="15"/>
      <c r="NJO116" s="15"/>
      <c r="NJP116" s="15"/>
      <c r="NJQ116" s="15"/>
      <c r="NJR116" s="15"/>
      <c r="NJS116" s="15"/>
      <c r="NJT116" s="15"/>
      <c r="NJU116" s="15"/>
      <c r="NJV116" s="14"/>
      <c r="NJW116" s="15"/>
      <c r="NJX116" s="15"/>
      <c r="NJY116" s="15"/>
      <c r="NJZ116" s="15"/>
      <c r="NKA116" s="15"/>
      <c r="NKB116" s="15"/>
      <c r="NKC116" s="15"/>
      <c r="NKD116" s="15"/>
      <c r="NKE116" s="15"/>
      <c r="NKF116" s="15"/>
      <c r="NKG116" s="15"/>
      <c r="NKH116" s="15"/>
      <c r="NKI116" s="15"/>
      <c r="NKJ116" s="15"/>
      <c r="NKK116" s="15"/>
      <c r="NKL116" s="15"/>
      <c r="NKM116" s="15"/>
      <c r="NKN116" s="15"/>
      <c r="NKO116" s="15"/>
      <c r="NKP116" s="15"/>
      <c r="NKQ116" s="15"/>
      <c r="NKR116" s="14"/>
      <c r="NKS116" s="15"/>
      <c r="NKT116" s="15"/>
      <c r="NKU116" s="15"/>
      <c r="NKV116" s="15"/>
      <c r="NKW116" s="15"/>
      <c r="NKX116" s="15"/>
      <c r="NKY116" s="15"/>
      <c r="NKZ116" s="15"/>
      <c r="NLA116" s="15"/>
      <c r="NLB116" s="15"/>
      <c r="NLC116" s="15"/>
      <c r="NLD116" s="15"/>
      <c r="NLE116" s="15"/>
      <c r="NLF116" s="15"/>
      <c r="NLG116" s="15"/>
      <c r="NLH116" s="15"/>
      <c r="NLI116" s="15"/>
      <c r="NLJ116" s="15"/>
      <c r="NLK116" s="15"/>
      <c r="NLL116" s="15"/>
      <c r="NLM116" s="15"/>
      <c r="NLN116" s="14"/>
      <c r="NLO116" s="15"/>
      <c r="NLP116" s="15"/>
      <c r="NLQ116" s="15"/>
      <c r="NLR116" s="15"/>
      <c r="NLS116" s="15"/>
      <c r="NLT116" s="15"/>
      <c r="NLU116" s="15"/>
      <c r="NLV116" s="15"/>
      <c r="NLW116" s="15"/>
      <c r="NLX116" s="15"/>
      <c r="NLY116" s="15"/>
      <c r="NLZ116" s="15"/>
      <c r="NMA116" s="15"/>
      <c r="NMB116" s="15"/>
      <c r="NMC116" s="15"/>
      <c r="NMD116" s="15"/>
      <c r="NME116" s="15"/>
      <c r="NMF116" s="15"/>
      <c r="NMG116" s="15"/>
      <c r="NMH116" s="15"/>
      <c r="NMI116" s="15"/>
      <c r="NMJ116" s="14"/>
      <c r="NMK116" s="15"/>
      <c r="NML116" s="15"/>
      <c r="NMM116" s="15"/>
      <c r="NMN116" s="15"/>
      <c r="NMO116" s="15"/>
      <c r="NMP116" s="15"/>
      <c r="NMQ116" s="15"/>
      <c r="NMR116" s="15"/>
      <c r="NMS116" s="15"/>
      <c r="NMT116" s="15"/>
      <c r="NMU116" s="15"/>
      <c r="NMV116" s="15"/>
      <c r="NMW116" s="15"/>
      <c r="NMX116" s="15"/>
      <c r="NMY116" s="15"/>
      <c r="NMZ116" s="15"/>
      <c r="NNA116" s="15"/>
      <c r="NNB116" s="15"/>
      <c r="NNC116" s="15"/>
      <c r="NND116" s="15"/>
      <c r="NNE116" s="15"/>
      <c r="NNF116" s="14"/>
      <c r="NNG116" s="15"/>
      <c r="NNH116" s="15"/>
      <c r="NNI116" s="15"/>
      <c r="NNJ116" s="15"/>
      <c r="NNK116" s="15"/>
      <c r="NNL116" s="15"/>
      <c r="NNM116" s="15"/>
      <c r="NNN116" s="15"/>
      <c r="NNO116" s="15"/>
      <c r="NNP116" s="15"/>
      <c r="NNQ116" s="15"/>
      <c r="NNR116" s="15"/>
      <c r="NNS116" s="15"/>
      <c r="NNT116" s="15"/>
      <c r="NNU116" s="15"/>
      <c r="NNV116" s="15"/>
      <c r="NNW116" s="15"/>
      <c r="NNX116" s="15"/>
      <c r="NNY116" s="15"/>
      <c r="NNZ116" s="15"/>
      <c r="NOA116" s="15"/>
      <c r="NOB116" s="14"/>
      <c r="NOC116" s="15"/>
      <c r="NOD116" s="15"/>
      <c r="NOE116" s="15"/>
      <c r="NOF116" s="15"/>
      <c r="NOG116" s="15"/>
      <c r="NOH116" s="15"/>
      <c r="NOI116" s="15"/>
      <c r="NOJ116" s="15"/>
      <c r="NOK116" s="15"/>
      <c r="NOL116" s="15"/>
      <c r="NOM116" s="15"/>
      <c r="NON116" s="15"/>
      <c r="NOO116" s="15"/>
      <c r="NOP116" s="15"/>
      <c r="NOQ116" s="15"/>
      <c r="NOR116" s="15"/>
      <c r="NOS116" s="15"/>
      <c r="NOT116" s="15"/>
      <c r="NOU116" s="15"/>
      <c r="NOV116" s="15"/>
      <c r="NOW116" s="15"/>
      <c r="NOX116" s="14"/>
      <c r="NOY116" s="15"/>
      <c r="NOZ116" s="15"/>
      <c r="NPA116" s="15"/>
      <c r="NPB116" s="15"/>
      <c r="NPC116" s="15"/>
      <c r="NPD116" s="15"/>
      <c r="NPE116" s="15"/>
      <c r="NPF116" s="15"/>
      <c r="NPG116" s="15"/>
      <c r="NPH116" s="15"/>
      <c r="NPI116" s="15"/>
      <c r="NPJ116" s="15"/>
      <c r="NPK116" s="15"/>
      <c r="NPL116" s="15"/>
      <c r="NPM116" s="15"/>
      <c r="NPN116" s="15"/>
      <c r="NPO116" s="15"/>
      <c r="NPP116" s="15"/>
      <c r="NPQ116" s="15"/>
      <c r="NPR116" s="15"/>
      <c r="NPS116" s="15"/>
      <c r="NPT116" s="14"/>
      <c r="NPU116" s="15"/>
      <c r="NPV116" s="15"/>
      <c r="NPW116" s="15"/>
      <c r="NPX116" s="15"/>
      <c r="NPY116" s="15"/>
      <c r="NPZ116" s="15"/>
      <c r="NQA116" s="15"/>
      <c r="NQB116" s="15"/>
      <c r="NQC116" s="15"/>
      <c r="NQD116" s="15"/>
      <c r="NQE116" s="15"/>
      <c r="NQF116" s="15"/>
      <c r="NQG116" s="15"/>
      <c r="NQH116" s="15"/>
      <c r="NQI116" s="15"/>
      <c r="NQJ116" s="15"/>
      <c r="NQK116" s="15"/>
      <c r="NQL116" s="15"/>
      <c r="NQM116" s="15"/>
      <c r="NQN116" s="15"/>
      <c r="NQO116" s="15"/>
      <c r="NQP116" s="14"/>
      <c r="NQQ116" s="15"/>
      <c r="NQR116" s="15"/>
      <c r="NQS116" s="15"/>
      <c r="NQT116" s="15"/>
      <c r="NQU116" s="15"/>
      <c r="NQV116" s="15"/>
      <c r="NQW116" s="15"/>
      <c r="NQX116" s="15"/>
      <c r="NQY116" s="15"/>
      <c r="NQZ116" s="15"/>
      <c r="NRA116" s="15"/>
      <c r="NRB116" s="15"/>
      <c r="NRC116" s="15"/>
      <c r="NRD116" s="15"/>
      <c r="NRE116" s="15"/>
      <c r="NRF116" s="15"/>
      <c r="NRG116" s="15"/>
      <c r="NRH116" s="15"/>
      <c r="NRI116" s="15"/>
      <c r="NRJ116" s="15"/>
      <c r="NRK116" s="15"/>
      <c r="NRL116" s="14"/>
      <c r="NRM116" s="15"/>
      <c r="NRN116" s="15"/>
      <c r="NRO116" s="15"/>
      <c r="NRP116" s="15"/>
      <c r="NRQ116" s="15"/>
      <c r="NRR116" s="15"/>
      <c r="NRS116" s="15"/>
      <c r="NRT116" s="15"/>
      <c r="NRU116" s="15"/>
      <c r="NRV116" s="15"/>
      <c r="NRW116" s="15"/>
      <c r="NRX116" s="15"/>
      <c r="NRY116" s="15"/>
      <c r="NRZ116" s="15"/>
      <c r="NSA116" s="15"/>
      <c r="NSB116" s="15"/>
      <c r="NSC116" s="15"/>
      <c r="NSD116" s="15"/>
      <c r="NSE116" s="15"/>
      <c r="NSF116" s="15"/>
      <c r="NSG116" s="15"/>
      <c r="NSH116" s="14"/>
      <c r="NSI116" s="15"/>
      <c r="NSJ116" s="15"/>
      <c r="NSK116" s="15"/>
      <c r="NSL116" s="15"/>
      <c r="NSM116" s="15"/>
      <c r="NSN116" s="15"/>
      <c r="NSO116" s="15"/>
      <c r="NSP116" s="15"/>
      <c r="NSQ116" s="15"/>
      <c r="NSR116" s="15"/>
      <c r="NSS116" s="15"/>
      <c r="NST116" s="15"/>
      <c r="NSU116" s="15"/>
      <c r="NSV116" s="15"/>
      <c r="NSW116" s="15"/>
      <c r="NSX116" s="15"/>
      <c r="NSY116" s="15"/>
      <c r="NSZ116" s="15"/>
      <c r="NTA116" s="15"/>
      <c r="NTB116" s="15"/>
      <c r="NTC116" s="15"/>
      <c r="NTD116" s="14"/>
      <c r="NTE116" s="15"/>
      <c r="NTF116" s="15"/>
      <c r="NTG116" s="15"/>
      <c r="NTH116" s="15"/>
      <c r="NTI116" s="15"/>
      <c r="NTJ116" s="15"/>
      <c r="NTK116" s="15"/>
      <c r="NTL116" s="15"/>
      <c r="NTM116" s="15"/>
      <c r="NTN116" s="15"/>
      <c r="NTO116" s="15"/>
      <c r="NTP116" s="15"/>
      <c r="NTQ116" s="15"/>
      <c r="NTR116" s="15"/>
      <c r="NTS116" s="15"/>
      <c r="NTT116" s="15"/>
      <c r="NTU116" s="15"/>
      <c r="NTV116" s="15"/>
      <c r="NTW116" s="15"/>
      <c r="NTX116" s="15"/>
      <c r="NTY116" s="15"/>
      <c r="NTZ116" s="14"/>
      <c r="NUA116" s="15"/>
      <c r="NUB116" s="15"/>
      <c r="NUC116" s="15"/>
      <c r="NUD116" s="15"/>
      <c r="NUE116" s="15"/>
      <c r="NUF116" s="15"/>
      <c r="NUG116" s="15"/>
      <c r="NUH116" s="15"/>
      <c r="NUI116" s="15"/>
      <c r="NUJ116" s="15"/>
      <c r="NUK116" s="15"/>
      <c r="NUL116" s="15"/>
      <c r="NUM116" s="15"/>
      <c r="NUN116" s="15"/>
      <c r="NUO116" s="15"/>
      <c r="NUP116" s="15"/>
      <c r="NUQ116" s="15"/>
      <c r="NUR116" s="15"/>
      <c r="NUS116" s="15"/>
      <c r="NUT116" s="15"/>
      <c r="NUU116" s="15"/>
      <c r="NUV116" s="14"/>
      <c r="NUW116" s="15"/>
      <c r="NUX116" s="15"/>
      <c r="NUY116" s="15"/>
      <c r="NUZ116" s="15"/>
      <c r="NVA116" s="15"/>
      <c r="NVB116" s="15"/>
      <c r="NVC116" s="15"/>
      <c r="NVD116" s="15"/>
      <c r="NVE116" s="15"/>
      <c r="NVF116" s="15"/>
      <c r="NVG116" s="15"/>
      <c r="NVH116" s="15"/>
      <c r="NVI116" s="15"/>
      <c r="NVJ116" s="15"/>
      <c r="NVK116" s="15"/>
      <c r="NVL116" s="15"/>
      <c r="NVM116" s="15"/>
      <c r="NVN116" s="15"/>
      <c r="NVO116" s="15"/>
      <c r="NVP116" s="15"/>
      <c r="NVQ116" s="15"/>
      <c r="NVR116" s="14"/>
      <c r="NVS116" s="15"/>
      <c r="NVT116" s="15"/>
      <c r="NVU116" s="15"/>
      <c r="NVV116" s="15"/>
      <c r="NVW116" s="15"/>
      <c r="NVX116" s="15"/>
      <c r="NVY116" s="15"/>
      <c r="NVZ116" s="15"/>
      <c r="NWA116" s="15"/>
      <c r="NWB116" s="15"/>
      <c r="NWC116" s="15"/>
      <c r="NWD116" s="15"/>
      <c r="NWE116" s="15"/>
      <c r="NWF116" s="15"/>
      <c r="NWG116" s="15"/>
      <c r="NWH116" s="15"/>
      <c r="NWI116" s="15"/>
      <c r="NWJ116" s="15"/>
      <c r="NWK116" s="15"/>
      <c r="NWL116" s="15"/>
      <c r="NWM116" s="15"/>
      <c r="NWN116" s="14"/>
      <c r="NWO116" s="15"/>
      <c r="NWP116" s="15"/>
      <c r="NWQ116" s="15"/>
      <c r="NWR116" s="15"/>
      <c r="NWS116" s="15"/>
      <c r="NWT116" s="15"/>
      <c r="NWU116" s="15"/>
      <c r="NWV116" s="15"/>
      <c r="NWW116" s="15"/>
      <c r="NWX116" s="15"/>
      <c r="NWY116" s="15"/>
      <c r="NWZ116" s="15"/>
      <c r="NXA116" s="15"/>
      <c r="NXB116" s="15"/>
      <c r="NXC116" s="15"/>
      <c r="NXD116" s="15"/>
      <c r="NXE116" s="15"/>
      <c r="NXF116" s="15"/>
      <c r="NXG116" s="15"/>
      <c r="NXH116" s="15"/>
      <c r="NXI116" s="15"/>
      <c r="NXJ116" s="14"/>
      <c r="NXK116" s="15"/>
      <c r="NXL116" s="15"/>
      <c r="NXM116" s="15"/>
      <c r="NXN116" s="15"/>
      <c r="NXO116" s="15"/>
      <c r="NXP116" s="15"/>
      <c r="NXQ116" s="15"/>
      <c r="NXR116" s="15"/>
      <c r="NXS116" s="15"/>
      <c r="NXT116" s="15"/>
      <c r="NXU116" s="15"/>
      <c r="NXV116" s="15"/>
      <c r="NXW116" s="15"/>
      <c r="NXX116" s="15"/>
      <c r="NXY116" s="15"/>
      <c r="NXZ116" s="15"/>
      <c r="NYA116" s="15"/>
      <c r="NYB116" s="15"/>
      <c r="NYC116" s="15"/>
      <c r="NYD116" s="15"/>
      <c r="NYE116" s="15"/>
      <c r="NYF116" s="14"/>
      <c r="NYG116" s="15"/>
      <c r="NYH116" s="15"/>
      <c r="NYI116" s="15"/>
      <c r="NYJ116" s="15"/>
      <c r="NYK116" s="15"/>
      <c r="NYL116" s="15"/>
      <c r="NYM116" s="15"/>
      <c r="NYN116" s="15"/>
      <c r="NYO116" s="15"/>
      <c r="NYP116" s="15"/>
      <c r="NYQ116" s="15"/>
      <c r="NYR116" s="15"/>
      <c r="NYS116" s="15"/>
      <c r="NYT116" s="15"/>
      <c r="NYU116" s="15"/>
      <c r="NYV116" s="15"/>
      <c r="NYW116" s="15"/>
      <c r="NYX116" s="15"/>
      <c r="NYY116" s="15"/>
      <c r="NYZ116" s="15"/>
      <c r="NZA116" s="15"/>
      <c r="NZB116" s="14"/>
      <c r="NZC116" s="15"/>
      <c r="NZD116" s="15"/>
      <c r="NZE116" s="15"/>
      <c r="NZF116" s="15"/>
      <c r="NZG116" s="15"/>
      <c r="NZH116" s="15"/>
      <c r="NZI116" s="15"/>
      <c r="NZJ116" s="15"/>
      <c r="NZK116" s="15"/>
      <c r="NZL116" s="15"/>
      <c r="NZM116" s="15"/>
      <c r="NZN116" s="15"/>
      <c r="NZO116" s="15"/>
      <c r="NZP116" s="15"/>
      <c r="NZQ116" s="15"/>
      <c r="NZR116" s="15"/>
      <c r="NZS116" s="15"/>
      <c r="NZT116" s="15"/>
      <c r="NZU116" s="15"/>
      <c r="NZV116" s="15"/>
      <c r="NZW116" s="15"/>
      <c r="NZX116" s="14"/>
      <c r="NZY116" s="15"/>
      <c r="NZZ116" s="15"/>
      <c r="OAA116" s="15"/>
      <c r="OAB116" s="15"/>
      <c r="OAC116" s="15"/>
      <c r="OAD116" s="15"/>
      <c r="OAE116" s="15"/>
      <c r="OAF116" s="15"/>
      <c r="OAG116" s="15"/>
      <c r="OAH116" s="15"/>
      <c r="OAI116" s="15"/>
      <c r="OAJ116" s="15"/>
      <c r="OAK116" s="15"/>
      <c r="OAL116" s="15"/>
      <c r="OAM116" s="15"/>
      <c r="OAN116" s="15"/>
      <c r="OAO116" s="15"/>
      <c r="OAP116" s="15"/>
      <c r="OAQ116" s="15"/>
      <c r="OAR116" s="15"/>
      <c r="OAS116" s="15"/>
      <c r="OAT116" s="14"/>
      <c r="OAU116" s="15"/>
      <c r="OAV116" s="15"/>
      <c r="OAW116" s="15"/>
      <c r="OAX116" s="15"/>
      <c r="OAY116" s="15"/>
      <c r="OAZ116" s="15"/>
      <c r="OBA116" s="15"/>
      <c r="OBB116" s="15"/>
      <c r="OBC116" s="15"/>
      <c r="OBD116" s="15"/>
      <c r="OBE116" s="15"/>
      <c r="OBF116" s="15"/>
      <c r="OBG116" s="15"/>
      <c r="OBH116" s="15"/>
      <c r="OBI116" s="15"/>
      <c r="OBJ116" s="15"/>
      <c r="OBK116" s="15"/>
      <c r="OBL116" s="15"/>
      <c r="OBM116" s="15"/>
      <c r="OBN116" s="15"/>
      <c r="OBO116" s="15"/>
      <c r="OBP116" s="14"/>
      <c r="OBQ116" s="15"/>
      <c r="OBR116" s="15"/>
      <c r="OBS116" s="15"/>
      <c r="OBT116" s="15"/>
      <c r="OBU116" s="15"/>
      <c r="OBV116" s="15"/>
      <c r="OBW116" s="15"/>
      <c r="OBX116" s="15"/>
      <c r="OBY116" s="15"/>
      <c r="OBZ116" s="15"/>
      <c r="OCA116" s="15"/>
      <c r="OCB116" s="15"/>
      <c r="OCC116" s="15"/>
      <c r="OCD116" s="15"/>
      <c r="OCE116" s="15"/>
      <c r="OCF116" s="15"/>
      <c r="OCG116" s="15"/>
      <c r="OCH116" s="15"/>
      <c r="OCI116" s="15"/>
      <c r="OCJ116" s="15"/>
      <c r="OCK116" s="15"/>
      <c r="OCL116" s="14"/>
      <c r="OCM116" s="15"/>
      <c r="OCN116" s="15"/>
      <c r="OCO116" s="15"/>
      <c r="OCP116" s="15"/>
      <c r="OCQ116" s="15"/>
      <c r="OCR116" s="15"/>
      <c r="OCS116" s="15"/>
      <c r="OCT116" s="15"/>
      <c r="OCU116" s="15"/>
      <c r="OCV116" s="15"/>
      <c r="OCW116" s="15"/>
      <c r="OCX116" s="15"/>
      <c r="OCY116" s="15"/>
      <c r="OCZ116" s="15"/>
      <c r="ODA116" s="15"/>
      <c r="ODB116" s="15"/>
      <c r="ODC116" s="15"/>
      <c r="ODD116" s="15"/>
      <c r="ODE116" s="15"/>
      <c r="ODF116" s="15"/>
      <c r="ODG116" s="15"/>
      <c r="ODH116" s="14"/>
      <c r="ODI116" s="15"/>
      <c r="ODJ116" s="15"/>
      <c r="ODK116" s="15"/>
      <c r="ODL116" s="15"/>
      <c r="ODM116" s="15"/>
      <c r="ODN116" s="15"/>
      <c r="ODO116" s="15"/>
      <c r="ODP116" s="15"/>
      <c r="ODQ116" s="15"/>
      <c r="ODR116" s="15"/>
      <c r="ODS116" s="15"/>
      <c r="ODT116" s="15"/>
      <c r="ODU116" s="15"/>
      <c r="ODV116" s="15"/>
      <c r="ODW116" s="15"/>
      <c r="ODX116" s="15"/>
      <c r="ODY116" s="15"/>
      <c r="ODZ116" s="15"/>
      <c r="OEA116" s="15"/>
      <c r="OEB116" s="15"/>
      <c r="OEC116" s="15"/>
      <c r="OED116" s="14"/>
      <c r="OEE116" s="15"/>
      <c r="OEF116" s="15"/>
      <c r="OEG116" s="15"/>
      <c r="OEH116" s="15"/>
      <c r="OEI116" s="15"/>
      <c r="OEJ116" s="15"/>
      <c r="OEK116" s="15"/>
      <c r="OEL116" s="15"/>
      <c r="OEM116" s="15"/>
      <c r="OEN116" s="15"/>
      <c r="OEO116" s="15"/>
      <c r="OEP116" s="15"/>
      <c r="OEQ116" s="15"/>
      <c r="OER116" s="15"/>
      <c r="OES116" s="15"/>
      <c r="OET116" s="15"/>
      <c r="OEU116" s="15"/>
      <c r="OEV116" s="15"/>
      <c r="OEW116" s="15"/>
      <c r="OEX116" s="15"/>
      <c r="OEY116" s="15"/>
      <c r="OEZ116" s="14"/>
      <c r="OFA116" s="15"/>
      <c r="OFB116" s="15"/>
      <c r="OFC116" s="15"/>
      <c r="OFD116" s="15"/>
      <c r="OFE116" s="15"/>
      <c r="OFF116" s="15"/>
      <c r="OFG116" s="15"/>
      <c r="OFH116" s="15"/>
      <c r="OFI116" s="15"/>
      <c r="OFJ116" s="15"/>
      <c r="OFK116" s="15"/>
      <c r="OFL116" s="15"/>
      <c r="OFM116" s="15"/>
      <c r="OFN116" s="15"/>
      <c r="OFO116" s="15"/>
      <c r="OFP116" s="15"/>
      <c r="OFQ116" s="15"/>
      <c r="OFR116" s="15"/>
      <c r="OFS116" s="15"/>
      <c r="OFT116" s="15"/>
      <c r="OFU116" s="15"/>
      <c r="OFV116" s="14"/>
      <c r="OFW116" s="15"/>
      <c r="OFX116" s="15"/>
      <c r="OFY116" s="15"/>
      <c r="OFZ116" s="15"/>
      <c r="OGA116" s="15"/>
      <c r="OGB116" s="15"/>
      <c r="OGC116" s="15"/>
      <c r="OGD116" s="15"/>
      <c r="OGE116" s="15"/>
      <c r="OGF116" s="15"/>
      <c r="OGG116" s="15"/>
      <c r="OGH116" s="15"/>
      <c r="OGI116" s="15"/>
      <c r="OGJ116" s="15"/>
      <c r="OGK116" s="15"/>
      <c r="OGL116" s="15"/>
      <c r="OGM116" s="15"/>
      <c r="OGN116" s="15"/>
      <c r="OGO116" s="15"/>
      <c r="OGP116" s="15"/>
      <c r="OGQ116" s="15"/>
      <c r="OGR116" s="14"/>
      <c r="OGS116" s="15"/>
      <c r="OGT116" s="15"/>
      <c r="OGU116" s="15"/>
      <c r="OGV116" s="15"/>
      <c r="OGW116" s="15"/>
      <c r="OGX116" s="15"/>
      <c r="OGY116" s="15"/>
      <c r="OGZ116" s="15"/>
      <c r="OHA116" s="15"/>
      <c r="OHB116" s="15"/>
      <c r="OHC116" s="15"/>
      <c r="OHD116" s="15"/>
      <c r="OHE116" s="15"/>
      <c r="OHF116" s="15"/>
      <c r="OHG116" s="15"/>
      <c r="OHH116" s="15"/>
      <c r="OHI116" s="15"/>
      <c r="OHJ116" s="15"/>
      <c r="OHK116" s="15"/>
      <c r="OHL116" s="15"/>
      <c r="OHM116" s="15"/>
      <c r="OHN116" s="14"/>
      <c r="OHO116" s="15"/>
      <c r="OHP116" s="15"/>
      <c r="OHQ116" s="15"/>
      <c r="OHR116" s="15"/>
      <c r="OHS116" s="15"/>
      <c r="OHT116" s="15"/>
      <c r="OHU116" s="15"/>
      <c r="OHV116" s="15"/>
      <c r="OHW116" s="15"/>
      <c r="OHX116" s="15"/>
      <c r="OHY116" s="15"/>
      <c r="OHZ116" s="15"/>
      <c r="OIA116" s="15"/>
      <c r="OIB116" s="15"/>
      <c r="OIC116" s="15"/>
      <c r="OID116" s="15"/>
      <c r="OIE116" s="15"/>
      <c r="OIF116" s="15"/>
      <c r="OIG116" s="15"/>
      <c r="OIH116" s="15"/>
      <c r="OII116" s="15"/>
      <c r="OIJ116" s="14"/>
      <c r="OIK116" s="15"/>
      <c r="OIL116" s="15"/>
      <c r="OIM116" s="15"/>
      <c r="OIN116" s="15"/>
      <c r="OIO116" s="15"/>
      <c r="OIP116" s="15"/>
      <c r="OIQ116" s="15"/>
      <c r="OIR116" s="15"/>
      <c r="OIS116" s="15"/>
      <c r="OIT116" s="15"/>
      <c r="OIU116" s="15"/>
      <c r="OIV116" s="15"/>
      <c r="OIW116" s="15"/>
      <c r="OIX116" s="15"/>
      <c r="OIY116" s="15"/>
      <c r="OIZ116" s="15"/>
      <c r="OJA116" s="15"/>
      <c r="OJB116" s="15"/>
      <c r="OJC116" s="15"/>
      <c r="OJD116" s="15"/>
      <c r="OJE116" s="15"/>
      <c r="OJF116" s="14"/>
      <c r="OJG116" s="15"/>
      <c r="OJH116" s="15"/>
      <c r="OJI116" s="15"/>
      <c r="OJJ116" s="15"/>
      <c r="OJK116" s="15"/>
      <c r="OJL116" s="15"/>
      <c r="OJM116" s="15"/>
      <c r="OJN116" s="15"/>
      <c r="OJO116" s="15"/>
      <c r="OJP116" s="15"/>
      <c r="OJQ116" s="15"/>
      <c r="OJR116" s="15"/>
      <c r="OJS116" s="15"/>
      <c r="OJT116" s="15"/>
      <c r="OJU116" s="15"/>
      <c r="OJV116" s="15"/>
      <c r="OJW116" s="15"/>
      <c r="OJX116" s="15"/>
      <c r="OJY116" s="15"/>
      <c r="OJZ116" s="15"/>
      <c r="OKA116" s="15"/>
      <c r="OKB116" s="14"/>
      <c r="OKC116" s="15"/>
      <c r="OKD116" s="15"/>
      <c r="OKE116" s="15"/>
      <c r="OKF116" s="15"/>
      <c r="OKG116" s="15"/>
      <c r="OKH116" s="15"/>
      <c r="OKI116" s="15"/>
      <c r="OKJ116" s="15"/>
      <c r="OKK116" s="15"/>
      <c r="OKL116" s="15"/>
      <c r="OKM116" s="15"/>
      <c r="OKN116" s="15"/>
      <c r="OKO116" s="15"/>
      <c r="OKP116" s="15"/>
      <c r="OKQ116" s="15"/>
      <c r="OKR116" s="15"/>
      <c r="OKS116" s="15"/>
      <c r="OKT116" s="15"/>
      <c r="OKU116" s="15"/>
      <c r="OKV116" s="15"/>
      <c r="OKW116" s="15"/>
      <c r="OKX116" s="14"/>
      <c r="OKY116" s="15"/>
      <c r="OKZ116" s="15"/>
      <c r="OLA116" s="15"/>
      <c r="OLB116" s="15"/>
      <c r="OLC116" s="15"/>
      <c r="OLD116" s="15"/>
      <c r="OLE116" s="15"/>
      <c r="OLF116" s="15"/>
      <c r="OLG116" s="15"/>
      <c r="OLH116" s="15"/>
      <c r="OLI116" s="15"/>
      <c r="OLJ116" s="15"/>
      <c r="OLK116" s="15"/>
      <c r="OLL116" s="15"/>
      <c r="OLM116" s="15"/>
      <c r="OLN116" s="15"/>
      <c r="OLO116" s="15"/>
      <c r="OLP116" s="15"/>
      <c r="OLQ116" s="15"/>
      <c r="OLR116" s="15"/>
      <c r="OLS116" s="15"/>
      <c r="OLT116" s="14"/>
      <c r="OLU116" s="15"/>
      <c r="OLV116" s="15"/>
      <c r="OLW116" s="15"/>
      <c r="OLX116" s="15"/>
      <c r="OLY116" s="15"/>
      <c r="OLZ116" s="15"/>
      <c r="OMA116" s="15"/>
      <c r="OMB116" s="15"/>
      <c r="OMC116" s="15"/>
      <c r="OMD116" s="15"/>
      <c r="OME116" s="15"/>
      <c r="OMF116" s="15"/>
      <c r="OMG116" s="15"/>
      <c r="OMH116" s="15"/>
      <c r="OMI116" s="15"/>
      <c r="OMJ116" s="15"/>
      <c r="OMK116" s="15"/>
      <c r="OML116" s="15"/>
      <c r="OMM116" s="15"/>
      <c r="OMN116" s="15"/>
      <c r="OMO116" s="15"/>
      <c r="OMP116" s="14"/>
      <c r="OMQ116" s="15"/>
      <c r="OMR116" s="15"/>
      <c r="OMS116" s="15"/>
      <c r="OMT116" s="15"/>
      <c r="OMU116" s="15"/>
      <c r="OMV116" s="15"/>
      <c r="OMW116" s="15"/>
      <c r="OMX116" s="15"/>
      <c r="OMY116" s="15"/>
      <c r="OMZ116" s="15"/>
      <c r="ONA116" s="15"/>
      <c r="ONB116" s="15"/>
      <c r="ONC116" s="15"/>
      <c r="OND116" s="15"/>
      <c r="ONE116" s="15"/>
      <c r="ONF116" s="15"/>
      <c r="ONG116" s="15"/>
      <c r="ONH116" s="15"/>
      <c r="ONI116" s="15"/>
      <c r="ONJ116" s="15"/>
      <c r="ONK116" s="15"/>
      <c r="ONL116" s="14"/>
      <c r="ONM116" s="15"/>
      <c r="ONN116" s="15"/>
      <c r="ONO116" s="15"/>
      <c r="ONP116" s="15"/>
      <c r="ONQ116" s="15"/>
      <c r="ONR116" s="15"/>
      <c r="ONS116" s="15"/>
      <c r="ONT116" s="15"/>
      <c r="ONU116" s="15"/>
      <c r="ONV116" s="15"/>
      <c r="ONW116" s="15"/>
      <c r="ONX116" s="15"/>
      <c r="ONY116" s="15"/>
      <c r="ONZ116" s="15"/>
      <c r="OOA116" s="15"/>
      <c r="OOB116" s="15"/>
      <c r="OOC116" s="15"/>
      <c r="OOD116" s="15"/>
      <c r="OOE116" s="15"/>
      <c r="OOF116" s="15"/>
      <c r="OOG116" s="15"/>
      <c r="OOH116" s="14"/>
      <c r="OOI116" s="15"/>
      <c r="OOJ116" s="15"/>
      <c r="OOK116" s="15"/>
      <c r="OOL116" s="15"/>
      <c r="OOM116" s="15"/>
      <c r="OON116" s="15"/>
      <c r="OOO116" s="15"/>
      <c r="OOP116" s="15"/>
      <c r="OOQ116" s="15"/>
      <c r="OOR116" s="15"/>
      <c r="OOS116" s="15"/>
      <c r="OOT116" s="15"/>
      <c r="OOU116" s="15"/>
      <c r="OOV116" s="15"/>
      <c r="OOW116" s="15"/>
      <c r="OOX116" s="15"/>
      <c r="OOY116" s="15"/>
      <c r="OOZ116" s="15"/>
      <c r="OPA116" s="15"/>
      <c r="OPB116" s="15"/>
      <c r="OPC116" s="15"/>
      <c r="OPD116" s="14"/>
      <c r="OPE116" s="15"/>
      <c r="OPF116" s="15"/>
      <c r="OPG116" s="15"/>
      <c r="OPH116" s="15"/>
      <c r="OPI116" s="15"/>
      <c r="OPJ116" s="15"/>
      <c r="OPK116" s="15"/>
      <c r="OPL116" s="15"/>
      <c r="OPM116" s="15"/>
      <c r="OPN116" s="15"/>
      <c r="OPO116" s="15"/>
      <c r="OPP116" s="15"/>
      <c r="OPQ116" s="15"/>
      <c r="OPR116" s="15"/>
      <c r="OPS116" s="15"/>
      <c r="OPT116" s="15"/>
      <c r="OPU116" s="15"/>
      <c r="OPV116" s="15"/>
      <c r="OPW116" s="15"/>
      <c r="OPX116" s="15"/>
      <c r="OPY116" s="15"/>
      <c r="OPZ116" s="14"/>
      <c r="OQA116" s="15"/>
      <c r="OQB116" s="15"/>
      <c r="OQC116" s="15"/>
      <c r="OQD116" s="15"/>
      <c r="OQE116" s="15"/>
      <c r="OQF116" s="15"/>
      <c r="OQG116" s="15"/>
      <c r="OQH116" s="15"/>
      <c r="OQI116" s="15"/>
      <c r="OQJ116" s="15"/>
      <c r="OQK116" s="15"/>
      <c r="OQL116" s="15"/>
      <c r="OQM116" s="15"/>
      <c r="OQN116" s="15"/>
      <c r="OQO116" s="15"/>
      <c r="OQP116" s="15"/>
      <c r="OQQ116" s="15"/>
      <c r="OQR116" s="15"/>
      <c r="OQS116" s="15"/>
      <c r="OQT116" s="15"/>
      <c r="OQU116" s="15"/>
      <c r="OQV116" s="14"/>
      <c r="OQW116" s="15"/>
      <c r="OQX116" s="15"/>
      <c r="OQY116" s="15"/>
      <c r="OQZ116" s="15"/>
      <c r="ORA116" s="15"/>
      <c r="ORB116" s="15"/>
      <c r="ORC116" s="15"/>
      <c r="ORD116" s="15"/>
      <c r="ORE116" s="15"/>
      <c r="ORF116" s="15"/>
      <c r="ORG116" s="15"/>
      <c r="ORH116" s="15"/>
      <c r="ORI116" s="15"/>
      <c r="ORJ116" s="15"/>
      <c r="ORK116" s="15"/>
      <c r="ORL116" s="15"/>
      <c r="ORM116" s="15"/>
      <c r="ORN116" s="15"/>
      <c r="ORO116" s="15"/>
      <c r="ORP116" s="15"/>
      <c r="ORQ116" s="15"/>
      <c r="ORR116" s="14"/>
      <c r="ORS116" s="15"/>
      <c r="ORT116" s="15"/>
      <c r="ORU116" s="15"/>
      <c r="ORV116" s="15"/>
      <c r="ORW116" s="15"/>
      <c r="ORX116" s="15"/>
      <c r="ORY116" s="15"/>
      <c r="ORZ116" s="15"/>
      <c r="OSA116" s="15"/>
      <c r="OSB116" s="15"/>
      <c r="OSC116" s="15"/>
      <c r="OSD116" s="15"/>
      <c r="OSE116" s="15"/>
      <c r="OSF116" s="15"/>
      <c r="OSG116" s="15"/>
      <c r="OSH116" s="15"/>
      <c r="OSI116" s="15"/>
      <c r="OSJ116" s="15"/>
      <c r="OSK116" s="15"/>
      <c r="OSL116" s="15"/>
      <c r="OSM116" s="15"/>
      <c r="OSN116" s="14"/>
      <c r="OSO116" s="15"/>
      <c r="OSP116" s="15"/>
      <c r="OSQ116" s="15"/>
      <c r="OSR116" s="15"/>
      <c r="OSS116" s="15"/>
      <c r="OST116" s="15"/>
      <c r="OSU116" s="15"/>
      <c r="OSV116" s="15"/>
      <c r="OSW116" s="15"/>
      <c r="OSX116" s="15"/>
      <c r="OSY116" s="15"/>
      <c r="OSZ116" s="15"/>
      <c r="OTA116" s="15"/>
      <c r="OTB116" s="15"/>
      <c r="OTC116" s="15"/>
      <c r="OTD116" s="15"/>
      <c r="OTE116" s="15"/>
      <c r="OTF116" s="15"/>
      <c r="OTG116" s="15"/>
      <c r="OTH116" s="15"/>
      <c r="OTI116" s="15"/>
      <c r="OTJ116" s="14"/>
      <c r="OTK116" s="15"/>
      <c r="OTL116" s="15"/>
      <c r="OTM116" s="15"/>
      <c r="OTN116" s="15"/>
      <c r="OTO116" s="15"/>
      <c r="OTP116" s="15"/>
      <c r="OTQ116" s="15"/>
      <c r="OTR116" s="15"/>
      <c r="OTS116" s="15"/>
      <c r="OTT116" s="15"/>
      <c r="OTU116" s="15"/>
      <c r="OTV116" s="15"/>
      <c r="OTW116" s="15"/>
      <c r="OTX116" s="15"/>
      <c r="OTY116" s="15"/>
      <c r="OTZ116" s="15"/>
      <c r="OUA116" s="15"/>
      <c r="OUB116" s="15"/>
      <c r="OUC116" s="15"/>
      <c r="OUD116" s="15"/>
      <c r="OUE116" s="15"/>
      <c r="OUF116" s="14"/>
      <c r="OUG116" s="15"/>
      <c r="OUH116" s="15"/>
      <c r="OUI116" s="15"/>
      <c r="OUJ116" s="15"/>
      <c r="OUK116" s="15"/>
      <c r="OUL116" s="15"/>
      <c r="OUM116" s="15"/>
      <c r="OUN116" s="15"/>
      <c r="OUO116" s="15"/>
      <c r="OUP116" s="15"/>
      <c r="OUQ116" s="15"/>
      <c r="OUR116" s="15"/>
      <c r="OUS116" s="15"/>
      <c r="OUT116" s="15"/>
      <c r="OUU116" s="15"/>
      <c r="OUV116" s="15"/>
      <c r="OUW116" s="15"/>
      <c r="OUX116" s="15"/>
      <c r="OUY116" s="15"/>
      <c r="OUZ116" s="15"/>
      <c r="OVA116" s="15"/>
      <c r="OVB116" s="14"/>
      <c r="OVC116" s="15"/>
      <c r="OVD116" s="15"/>
      <c r="OVE116" s="15"/>
      <c r="OVF116" s="15"/>
      <c r="OVG116" s="15"/>
      <c r="OVH116" s="15"/>
      <c r="OVI116" s="15"/>
      <c r="OVJ116" s="15"/>
      <c r="OVK116" s="15"/>
      <c r="OVL116" s="15"/>
      <c r="OVM116" s="15"/>
      <c r="OVN116" s="15"/>
      <c r="OVO116" s="15"/>
      <c r="OVP116" s="15"/>
      <c r="OVQ116" s="15"/>
      <c r="OVR116" s="15"/>
      <c r="OVS116" s="15"/>
      <c r="OVT116" s="15"/>
      <c r="OVU116" s="15"/>
      <c r="OVV116" s="15"/>
      <c r="OVW116" s="15"/>
      <c r="OVX116" s="14"/>
      <c r="OVY116" s="15"/>
      <c r="OVZ116" s="15"/>
      <c r="OWA116" s="15"/>
      <c r="OWB116" s="15"/>
      <c r="OWC116" s="15"/>
      <c r="OWD116" s="15"/>
      <c r="OWE116" s="15"/>
      <c r="OWF116" s="15"/>
      <c r="OWG116" s="15"/>
      <c r="OWH116" s="15"/>
      <c r="OWI116" s="15"/>
      <c r="OWJ116" s="15"/>
      <c r="OWK116" s="15"/>
      <c r="OWL116" s="15"/>
      <c r="OWM116" s="15"/>
      <c r="OWN116" s="15"/>
      <c r="OWO116" s="15"/>
      <c r="OWP116" s="15"/>
      <c r="OWQ116" s="15"/>
      <c r="OWR116" s="15"/>
      <c r="OWS116" s="15"/>
      <c r="OWT116" s="14"/>
      <c r="OWU116" s="15"/>
      <c r="OWV116" s="15"/>
      <c r="OWW116" s="15"/>
      <c r="OWX116" s="15"/>
      <c r="OWY116" s="15"/>
      <c r="OWZ116" s="15"/>
      <c r="OXA116" s="15"/>
      <c r="OXB116" s="15"/>
      <c r="OXC116" s="15"/>
      <c r="OXD116" s="15"/>
      <c r="OXE116" s="15"/>
      <c r="OXF116" s="15"/>
      <c r="OXG116" s="15"/>
      <c r="OXH116" s="15"/>
      <c r="OXI116" s="15"/>
      <c r="OXJ116" s="15"/>
      <c r="OXK116" s="15"/>
      <c r="OXL116" s="15"/>
      <c r="OXM116" s="15"/>
      <c r="OXN116" s="15"/>
      <c r="OXO116" s="15"/>
      <c r="OXP116" s="14"/>
      <c r="OXQ116" s="15"/>
      <c r="OXR116" s="15"/>
      <c r="OXS116" s="15"/>
      <c r="OXT116" s="15"/>
      <c r="OXU116" s="15"/>
      <c r="OXV116" s="15"/>
      <c r="OXW116" s="15"/>
      <c r="OXX116" s="15"/>
      <c r="OXY116" s="15"/>
      <c r="OXZ116" s="15"/>
      <c r="OYA116" s="15"/>
      <c r="OYB116" s="15"/>
      <c r="OYC116" s="15"/>
      <c r="OYD116" s="15"/>
      <c r="OYE116" s="15"/>
      <c r="OYF116" s="15"/>
      <c r="OYG116" s="15"/>
      <c r="OYH116" s="15"/>
      <c r="OYI116" s="15"/>
      <c r="OYJ116" s="15"/>
      <c r="OYK116" s="15"/>
      <c r="OYL116" s="14"/>
      <c r="OYM116" s="15"/>
      <c r="OYN116" s="15"/>
      <c r="OYO116" s="15"/>
      <c r="OYP116" s="15"/>
      <c r="OYQ116" s="15"/>
      <c r="OYR116" s="15"/>
      <c r="OYS116" s="15"/>
      <c r="OYT116" s="15"/>
      <c r="OYU116" s="15"/>
      <c r="OYV116" s="15"/>
      <c r="OYW116" s="15"/>
      <c r="OYX116" s="15"/>
      <c r="OYY116" s="15"/>
      <c r="OYZ116" s="15"/>
      <c r="OZA116" s="15"/>
      <c r="OZB116" s="15"/>
      <c r="OZC116" s="15"/>
      <c r="OZD116" s="15"/>
      <c r="OZE116" s="15"/>
      <c r="OZF116" s="15"/>
      <c r="OZG116" s="15"/>
      <c r="OZH116" s="14"/>
      <c r="OZI116" s="15"/>
      <c r="OZJ116" s="15"/>
      <c r="OZK116" s="15"/>
      <c r="OZL116" s="15"/>
      <c r="OZM116" s="15"/>
      <c r="OZN116" s="15"/>
      <c r="OZO116" s="15"/>
      <c r="OZP116" s="15"/>
      <c r="OZQ116" s="15"/>
      <c r="OZR116" s="15"/>
      <c r="OZS116" s="15"/>
      <c r="OZT116" s="15"/>
      <c r="OZU116" s="15"/>
      <c r="OZV116" s="15"/>
      <c r="OZW116" s="15"/>
      <c r="OZX116" s="15"/>
      <c r="OZY116" s="15"/>
      <c r="OZZ116" s="15"/>
      <c r="PAA116" s="15"/>
      <c r="PAB116" s="15"/>
      <c r="PAC116" s="15"/>
      <c r="PAD116" s="14"/>
      <c r="PAE116" s="15"/>
      <c r="PAF116" s="15"/>
      <c r="PAG116" s="15"/>
      <c r="PAH116" s="15"/>
      <c r="PAI116" s="15"/>
      <c r="PAJ116" s="15"/>
      <c r="PAK116" s="15"/>
      <c r="PAL116" s="15"/>
      <c r="PAM116" s="15"/>
      <c r="PAN116" s="15"/>
      <c r="PAO116" s="15"/>
      <c r="PAP116" s="15"/>
      <c r="PAQ116" s="15"/>
      <c r="PAR116" s="15"/>
      <c r="PAS116" s="15"/>
      <c r="PAT116" s="15"/>
      <c r="PAU116" s="15"/>
      <c r="PAV116" s="15"/>
      <c r="PAW116" s="15"/>
      <c r="PAX116" s="15"/>
      <c r="PAY116" s="15"/>
      <c r="PAZ116" s="14"/>
      <c r="PBA116" s="15"/>
      <c r="PBB116" s="15"/>
      <c r="PBC116" s="15"/>
      <c r="PBD116" s="15"/>
      <c r="PBE116" s="15"/>
      <c r="PBF116" s="15"/>
      <c r="PBG116" s="15"/>
      <c r="PBH116" s="15"/>
      <c r="PBI116" s="15"/>
      <c r="PBJ116" s="15"/>
      <c r="PBK116" s="15"/>
      <c r="PBL116" s="15"/>
      <c r="PBM116" s="15"/>
      <c r="PBN116" s="15"/>
      <c r="PBO116" s="15"/>
      <c r="PBP116" s="15"/>
      <c r="PBQ116" s="15"/>
      <c r="PBR116" s="15"/>
      <c r="PBS116" s="15"/>
      <c r="PBT116" s="15"/>
      <c r="PBU116" s="15"/>
      <c r="PBV116" s="14"/>
      <c r="PBW116" s="15"/>
      <c r="PBX116" s="15"/>
      <c r="PBY116" s="15"/>
      <c r="PBZ116" s="15"/>
      <c r="PCA116" s="15"/>
      <c r="PCB116" s="15"/>
      <c r="PCC116" s="15"/>
      <c r="PCD116" s="15"/>
      <c r="PCE116" s="15"/>
      <c r="PCF116" s="15"/>
      <c r="PCG116" s="15"/>
      <c r="PCH116" s="15"/>
      <c r="PCI116" s="15"/>
      <c r="PCJ116" s="15"/>
      <c r="PCK116" s="15"/>
      <c r="PCL116" s="15"/>
      <c r="PCM116" s="15"/>
      <c r="PCN116" s="15"/>
      <c r="PCO116" s="15"/>
      <c r="PCP116" s="15"/>
      <c r="PCQ116" s="15"/>
      <c r="PCR116" s="14"/>
      <c r="PCS116" s="15"/>
      <c r="PCT116" s="15"/>
      <c r="PCU116" s="15"/>
      <c r="PCV116" s="15"/>
      <c r="PCW116" s="15"/>
      <c r="PCX116" s="15"/>
      <c r="PCY116" s="15"/>
      <c r="PCZ116" s="15"/>
      <c r="PDA116" s="15"/>
      <c r="PDB116" s="15"/>
      <c r="PDC116" s="15"/>
      <c r="PDD116" s="15"/>
      <c r="PDE116" s="15"/>
      <c r="PDF116" s="15"/>
      <c r="PDG116" s="15"/>
      <c r="PDH116" s="15"/>
      <c r="PDI116" s="15"/>
      <c r="PDJ116" s="15"/>
      <c r="PDK116" s="15"/>
      <c r="PDL116" s="15"/>
      <c r="PDM116" s="15"/>
      <c r="PDN116" s="14"/>
      <c r="PDO116" s="15"/>
      <c r="PDP116" s="15"/>
      <c r="PDQ116" s="15"/>
      <c r="PDR116" s="15"/>
      <c r="PDS116" s="15"/>
      <c r="PDT116" s="15"/>
      <c r="PDU116" s="15"/>
      <c r="PDV116" s="15"/>
      <c r="PDW116" s="15"/>
      <c r="PDX116" s="15"/>
      <c r="PDY116" s="15"/>
      <c r="PDZ116" s="15"/>
      <c r="PEA116" s="15"/>
      <c r="PEB116" s="15"/>
      <c r="PEC116" s="15"/>
      <c r="PED116" s="15"/>
      <c r="PEE116" s="15"/>
      <c r="PEF116" s="15"/>
      <c r="PEG116" s="15"/>
      <c r="PEH116" s="15"/>
      <c r="PEI116" s="15"/>
      <c r="PEJ116" s="14"/>
      <c r="PEK116" s="15"/>
      <c r="PEL116" s="15"/>
      <c r="PEM116" s="15"/>
      <c r="PEN116" s="15"/>
      <c r="PEO116" s="15"/>
      <c r="PEP116" s="15"/>
      <c r="PEQ116" s="15"/>
      <c r="PER116" s="15"/>
      <c r="PES116" s="15"/>
      <c r="PET116" s="15"/>
      <c r="PEU116" s="15"/>
      <c r="PEV116" s="15"/>
      <c r="PEW116" s="15"/>
      <c r="PEX116" s="15"/>
      <c r="PEY116" s="15"/>
      <c r="PEZ116" s="15"/>
      <c r="PFA116" s="15"/>
      <c r="PFB116" s="15"/>
      <c r="PFC116" s="15"/>
      <c r="PFD116" s="15"/>
      <c r="PFE116" s="15"/>
      <c r="PFF116" s="14"/>
      <c r="PFG116" s="15"/>
      <c r="PFH116" s="15"/>
      <c r="PFI116" s="15"/>
      <c r="PFJ116" s="15"/>
      <c r="PFK116" s="15"/>
      <c r="PFL116" s="15"/>
      <c r="PFM116" s="15"/>
      <c r="PFN116" s="15"/>
      <c r="PFO116" s="15"/>
      <c r="PFP116" s="15"/>
      <c r="PFQ116" s="15"/>
      <c r="PFR116" s="15"/>
      <c r="PFS116" s="15"/>
      <c r="PFT116" s="15"/>
      <c r="PFU116" s="15"/>
      <c r="PFV116" s="15"/>
      <c r="PFW116" s="15"/>
      <c r="PFX116" s="15"/>
      <c r="PFY116" s="15"/>
      <c r="PFZ116" s="15"/>
      <c r="PGA116" s="15"/>
      <c r="PGB116" s="14"/>
      <c r="PGC116" s="15"/>
      <c r="PGD116" s="15"/>
      <c r="PGE116" s="15"/>
      <c r="PGF116" s="15"/>
      <c r="PGG116" s="15"/>
      <c r="PGH116" s="15"/>
      <c r="PGI116" s="15"/>
      <c r="PGJ116" s="15"/>
      <c r="PGK116" s="15"/>
      <c r="PGL116" s="15"/>
      <c r="PGM116" s="15"/>
      <c r="PGN116" s="15"/>
      <c r="PGO116" s="15"/>
      <c r="PGP116" s="15"/>
      <c r="PGQ116" s="15"/>
      <c r="PGR116" s="15"/>
      <c r="PGS116" s="15"/>
      <c r="PGT116" s="15"/>
      <c r="PGU116" s="15"/>
      <c r="PGV116" s="15"/>
      <c r="PGW116" s="15"/>
      <c r="PGX116" s="14"/>
      <c r="PGY116" s="15"/>
      <c r="PGZ116" s="15"/>
      <c r="PHA116" s="15"/>
      <c r="PHB116" s="15"/>
      <c r="PHC116" s="15"/>
      <c r="PHD116" s="15"/>
      <c r="PHE116" s="15"/>
      <c r="PHF116" s="15"/>
      <c r="PHG116" s="15"/>
      <c r="PHH116" s="15"/>
      <c r="PHI116" s="15"/>
      <c r="PHJ116" s="15"/>
      <c r="PHK116" s="15"/>
      <c r="PHL116" s="15"/>
      <c r="PHM116" s="15"/>
      <c r="PHN116" s="15"/>
      <c r="PHO116" s="15"/>
      <c r="PHP116" s="15"/>
      <c r="PHQ116" s="15"/>
      <c r="PHR116" s="15"/>
      <c r="PHS116" s="15"/>
      <c r="PHT116" s="14"/>
      <c r="PHU116" s="15"/>
      <c r="PHV116" s="15"/>
      <c r="PHW116" s="15"/>
      <c r="PHX116" s="15"/>
      <c r="PHY116" s="15"/>
      <c r="PHZ116" s="15"/>
      <c r="PIA116" s="15"/>
      <c r="PIB116" s="15"/>
      <c r="PIC116" s="15"/>
      <c r="PID116" s="15"/>
      <c r="PIE116" s="15"/>
      <c r="PIF116" s="15"/>
      <c r="PIG116" s="15"/>
      <c r="PIH116" s="15"/>
      <c r="PII116" s="15"/>
      <c r="PIJ116" s="15"/>
      <c r="PIK116" s="15"/>
      <c r="PIL116" s="15"/>
      <c r="PIM116" s="15"/>
      <c r="PIN116" s="15"/>
      <c r="PIO116" s="15"/>
      <c r="PIP116" s="14"/>
      <c r="PIQ116" s="15"/>
      <c r="PIR116" s="15"/>
      <c r="PIS116" s="15"/>
      <c r="PIT116" s="15"/>
      <c r="PIU116" s="15"/>
      <c r="PIV116" s="15"/>
      <c r="PIW116" s="15"/>
      <c r="PIX116" s="15"/>
      <c r="PIY116" s="15"/>
      <c r="PIZ116" s="15"/>
      <c r="PJA116" s="15"/>
      <c r="PJB116" s="15"/>
      <c r="PJC116" s="15"/>
      <c r="PJD116" s="15"/>
      <c r="PJE116" s="15"/>
      <c r="PJF116" s="15"/>
      <c r="PJG116" s="15"/>
      <c r="PJH116" s="15"/>
      <c r="PJI116" s="15"/>
      <c r="PJJ116" s="15"/>
      <c r="PJK116" s="15"/>
      <c r="PJL116" s="14"/>
      <c r="PJM116" s="15"/>
      <c r="PJN116" s="15"/>
      <c r="PJO116" s="15"/>
      <c r="PJP116" s="15"/>
      <c r="PJQ116" s="15"/>
      <c r="PJR116" s="15"/>
      <c r="PJS116" s="15"/>
      <c r="PJT116" s="15"/>
      <c r="PJU116" s="15"/>
      <c r="PJV116" s="15"/>
      <c r="PJW116" s="15"/>
      <c r="PJX116" s="15"/>
      <c r="PJY116" s="15"/>
      <c r="PJZ116" s="15"/>
      <c r="PKA116" s="15"/>
      <c r="PKB116" s="15"/>
      <c r="PKC116" s="15"/>
      <c r="PKD116" s="15"/>
      <c r="PKE116" s="15"/>
      <c r="PKF116" s="15"/>
      <c r="PKG116" s="15"/>
      <c r="PKH116" s="14"/>
      <c r="PKI116" s="15"/>
      <c r="PKJ116" s="15"/>
      <c r="PKK116" s="15"/>
      <c r="PKL116" s="15"/>
      <c r="PKM116" s="15"/>
      <c r="PKN116" s="15"/>
      <c r="PKO116" s="15"/>
      <c r="PKP116" s="15"/>
      <c r="PKQ116" s="15"/>
      <c r="PKR116" s="15"/>
      <c r="PKS116" s="15"/>
      <c r="PKT116" s="15"/>
      <c r="PKU116" s="15"/>
      <c r="PKV116" s="15"/>
      <c r="PKW116" s="15"/>
      <c r="PKX116" s="15"/>
      <c r="PKY116" s="15"/>
      <c r="PKZ116" s="15"/>
      <c r="PLA116" s="15"/>
      <c r="PLB116" s="15"/>
      <c r="PLC116" s="15"/>
      <c r="PLD116" s="14"/>
      <c r="PLE116" s="15"/>
      <c r="PLF116" s="15"/>
      <c r="PLG116" s="15"/>
      <c r="PLH116" s="15"/>
      <c r="PLI116" s="15"/>
      <c r="PLJ116" s="15"/>
      <c r="PLK116" s="15"/>
      <c r="PLL116" s="15"/>
      <c r="PLM116" s="15"/>
      <c r="PLN116" s="15"/>
      <c r="PLO116" s="15"/>
      <c r="PLP116" s="15"/>
      <c r="PLQ116" s="15"/>
      <c r="PLR116" s="15"/>
      <c r="PLS116" s="15"/>
      <c r="PLT116" s="15"/>
      <c r="PLU116" s="15"/>
      <c r="PLV116" s="15"/>
      <c r="PLW116" s="15"/>
      <c r="PLX116" s="15"/>
      <c r="PLY116" s="15"/>
      <c r="PLZ116" s="14"/>
      <c r="PMA116" s="15"/>
      <c r="PMB116" s="15"/>
      <c r="PMC116" s="15"/>
      <c r="PMD116" s="15"/>
      <c r="PME116" s="15"/>
      <c r="PMF116" s="15"/>
      <c r="PMG116" s="15"/>
      <c r="PMH116" s="15"/>
      <c r="PMI116" s="15"/>
      <c r="PMJ116" s="15"/>
      <c r="PMK116" s="15"/>
      <c r="PML116" s="15"/>
      <c r="PMM116" s="15"/>
      <c r="PMN116" s="15"/>
      <c r="PMO116" s="15"/>
      <c r="PMP116" s="15"/>
      <c r="PMQ116" s="15"/>
      <c r="PMR116" s="15"/>
      <c r="PMS116" s="15"/>
      <c r="PMT116" s="15"/>
      <c r="PMU116" s="15"/>
      <c r="PMV116" s="14"/>
      <c r="PMW116" s="15"/>
      <c r="PMX116" s="15"/>
      <c r="PMY116" s="15"/>
      <c r="PMZ116" s="15"/>
      <c r="PNA116" s="15"/>
      <c r="PNB116" s="15"/>
      <c r="PNC116" s="15"/>
      <c r="PND116" s="15"/>
      <c r="PNE116" s="15"/>
      <c r="PNF116" s="15"/>
      <c r="PNG116" s="15"/>
      <c r="PNH116" s="15"/>
      <c r="PNI116" s="15"/>
      <c r="PNJ116" s="15"/>
      <c r="PNK116" s="15"/>
      <c r="PNL116" s="15"/>
      <c r="PNM116" s="15"/>
      <c r="PNN116" s="15"/>
      <c r="PNO116" s="15"/>
      <c r="PNP116" s="15"/>
      <c r="PNQ116" s="15"/>
      <c r="PNR116" s="14"/>
      <c r="PNS116" s="15"/>
      <c r="PNT116" s="15"/>
      <c r="PNU116" s="15"/>
      <c r="PNV116" s="15"/>
      <c r="PNW116" s="15"/>
      <c r="PNX116" s="15"/>
      <c r="PNY116" s="15"/>
      <c r="PNZ116" s="15"/>
      <c r="POA116" s="15"/>
      <c r="POB116" s="15"/>
      <c r="POC116" s="15"/>
      <c r="POD116" s="15"/>
      <c r="POE116" s="15"/>
      <c r="POF116" s="15"/>
      <c r="POG116" s="15"/>
      <c r="POH116" s="15"/>
      <c r="POI116" s="15"/>
      <c r="POJ116" s="15"/>
      <c r="POK116" s="15"/>
      <c r="POL116" s="15"/>
      <c r="POM116" s="15"/>
      <c r="PON116" s="14"/>
      <c r="POO116" s="15"/>
      <c r="POP116" s="15"/>
      <c r="POQ116" s="15"/>
      <c r="POR116" s="15"/>
      <c r="POS116" s="15"/>
      <c r="POT116" s="15"/>
      <c r="POU116" s="15"/>
      <c r="POV116" s="15"/>
      <c r="POW116" s="15"/>
      <c r="POX116" s="15"/>
      <c r="POY116" s="15"/>
      <c r="POZ116" s="15"/>
      <c r="PPA116" s="15"/>
      <c r="PPB116" s="15"/>
      <c r="PPC116" s="15"/>
      <c r="PPD116" s="15"/>
      <c r="PPE116" s="15"/>
      <c r="PPF116" s="15"/>
      <c r="PPG116" s="15"/>
      <c r="PPH116" s="15"/>
      <c r="PPI116" s="15"/>
      <c r="PPJ116" s="14"/>
      <c r="PPK116" s="15"/>
      <c r="PPL116" s="15"/>
      <c r="PPM116" s="15"/>
      <c r="PPN116" s="15"/>
      <c r="PPO116" s="15"/>
      <c r="PPP116" s="15"/>
      <c r="PPQ116" s="15"/>
      <c r="PPR116" s="15"/>
      <c r="PPS116" s="15"/>
      <c r="PPT116" s="15"/>
      <c r="PPU116" s="15"/>
      <c r="PPV116" s="15"/>
      <c r="PPW116" s="15"/>
      <c r="PPX116" s="15"/>
      <c r="PPY116" s="15"/>
      <c r="PPZ116" s="15"/>
      <c r="PQA116" s="15"/>
      <c r="PQB116" s="15"/>
      <c r="PQC116" s="15"/>
      <c r="PQD116" s="15"/>
      <c r="PQE116" s="15"/>
      <c r="PQF116" s="14"/>
      <c r="PQG116" s="15"/>
      <c r="PQH116" s="15"/>
      <c r="PQI116" s="15"/>
      <c r="PQJ116" s="15"/>
      <c r="PQK116" s="15"/>
      <c r="PQL116" s="15"/>
      <c r="PQM116" s="15"/>
      <c r="PQN116" s="15"/>
      <c r="PQO116" s="15"/>
      <c r="PQP116" s="15"/>
      <c r="PQQ116" s="15"/>
      <c r="PQR116" s="15"/>
      <c r="PQS116" s="15"/>
      <c r="PQT116" s="15"/>
      <c r="PQU116" s="15"/>
      <c r="PQV116" s="15"/>
      <c r="PQW116" s="15"/>
      <c r="PQX116" s="15"/>
      <c r="PQY116" s="15"/>
      <c r="PQZ116" s="15"/>
      <c r="PRA116" s="15"/>
      <c r="PRB116" s="14"/>
      <c r="PRC116" s="15"/>
      <c r="PRD116" s="15"/>
      <c r="PRE116" s="15"/>
      <c r="PRF116" s="15"/>
      <c r="PRG116" s="15"/>
      <c r="PRH116" s="15"/>
      <c r="PRI116" s="15"/>
      <c r="PRJ116" s="15"/>
      <c r="PRK116" s="15"/>
      <c r="PRL116" s="15"/>
      <c r="PRM116" s="15"/>
      <c r="PRN116" s="15"/>
      <c r="PRO116" s="15"/>
      <c r="PRP116" s="15"/>
      <c r="PRQ116" s="15"/>
      <c r="PRR116" s="15"/>
      <c r="PRS116" s="15"/>
      <c r="PRT116" s="15"/>
      <c r="PRU116" s="15"/>
      <c r="PRV116" s="15"/>
      <c r="PRW116" s="15"/>
      <c r="PRX116" s="14"/>
      <c r="PRY116" s="15"/>
      <c r="PRZ116" s="15"/>
      <c r="PSA116" s="15"/>
      <c r="PSB116" s="15"/>
      <c r="PSC116" s="15"/>
      <c r="PSD116" s="15"/>
      <c r="PSE116" s="15"/>
      <c r="PSF116" s="15"/>
      <c r="PSG116" s="15"/>
      <c r="PSH116" s="15"/>
      <c r="PSI116" s="15"/>
      <c r="PSJ116" s="15"/>
      <c r="PSK116" s="15"/>
      <c r="PSL116" s="15"/>
      <c r="PSM116" s="15"/>
      <c r="PSN116" s="15"/>
      <c r="PSO116" s="15"/>
      <c r="PSP116" s="15"/>
      <c r="PSQ116" s="15"/>
      <c r="PSR116" s="15"/>
      <c r="PSS116" s="15"/>
      <c r="PST116" s="14"/>
      <c r="PSU116" s="15"/>
      <c r="PSV116" s="15"/>
      <c r="PSW116" s="15"/>
      <c r="PSX116" s="15"/>
      <c r="PSY116" s="15"/>
      <c r="PSZ116" s="15"/>
      <c r="PTA116" s="15"/>
      <c r="PTB116" s="15"/>
      <c r="PTC116" s="15"/>
      <c r="PTD116" s="15"/>
      <c r="PTE116" s="15"/>
      <c r="PTF116" s="15"/>
      <c r="PTG116" s="15"/>
      <c r="PTH116" s="15"/>
      <c r="PTI116" s="15"/>
      <c r="PTJ116" s="15"/>
      <c r="PTK116" s="15"/>
      <c r="PTL116" s="15"/>
      <c r="PTM116" s="15"/>
      <c r="PTN116" s="15"/>
      <c r="PTO116" s="15"/>
      <c r="PTP116" s="14"/>
      <c r="PTQ116" s="15"/>
      <c r="PTR116" s="15"/>
      <c r="PTS116" s="15"/>
      <c r="PTT116" s="15"/>
      <c r="PTU116" s="15"/>
      <c r="PTV116" s="15"/>
      <c r="PTW116" s="15"/>
      <c r="PTX116" s="15"/>
      <c r="PTY116" s="15"/>
      <c r="PTZ116" s="15"/>
      <c r="PUA116" s="15"/>
      <c r="PUB116" s="15"/>
      <c r="PUC116" s="15"/>
      <c r="PUD116" s="15"/>
      <c r="PUE116" s="15"/>
      <c r="PUF116" s="15"/>
      <c r="PUG116" s="15"/>
      <c r="PUH116" s="15"/>
      <c r="PUI116" s="15"/>
      <c r="PUJ116" s="15"/>
      <c r="PUK116" s="15"/>
      <c r="PUL116" s="14"/>
      <c r="PUM116" s="15"/>
      <c r="PUN116" s="15"/>
      <c r="PUO116" s="15"/>
      <c r="PUP116" s="15"/>
      <c r="PUQ116" s="15"/>
      <c r="PUR116" s="15"/>
      <c r="PUS116" s="15"/>
      <c r="PUT116" s="15"/>
      <c r="PUU116" s="15"/>
      <c r="PUV116" s="15"/>
      <c r="PUW116" s="15"/>
      <c r="PUX116" s="15"/>
      <c r="PUY116" s="15"/>
      <c r="PUZ116" s="15"/>
      <c r="PVA116" s="15"/>
      <c r="PVB116" s="15"/>
      <c r="PVC116" s="15"/>
      <c r="PVD116" s="15"/>
      <c r="PVE116" s="15"/>
      <c r="PVF116" s="15"/>
      <c r="PVG116" s="15"/>
      <c r="PVH116" s="14"/>
      <c r="PVI116" s="15"/>
      <c r="PVJ116" s="15"/>
      <c r="PVK116" s="15"/>
      <c r="PVL116" s="15"/>
      <c r="PVM116" s="15"/>
      <c r="PVN116" s="15"/>
      <c r="PVO116" s="15"/>
      <c r="PVP116" s="15"/>
      <c r="PVQ116" s="15"/>
      <c r="PVR116" s="15"/>
      <c r="PVS116" s="15"/>
      <c r="PVT116" s="15"/>
      <c r="PVU116" s="15"/>
      <c r="PVV116" s="15"/>
      <c r="PVW116" s="15"/>
      <c r="PVX116" s="15"/>
      <c r="PVY116" s="15"/>
      <c r="PVZ116" s="15"/>
      <c r="PWA116" s="15"/>
      <c r="PWB116" s="15"/>
      <c r="PWC116" s="15"/>
      <c r="PWD116" s="14"/>
      <c r="PWE116" s="15"/>
      <c r="PWF116" s="15"/>
      <c r="PWG116" s="15"/>
      <c r="PWH116" s="15"/>
      <c r="PWI116" s="15"/>
      <c r="PWJ116" s="15"/>
      <c r="PWK116" s="15"/>
      <c r="PWL116" s="15"/>
      <c r="PWM116" s="15"/>
      <c r="PWN116" s="15"/>
      <c r="PWO116" s="15"/>
      <c r="PWP116" s="15"/>
      <c r="PWQ116" s="15"/>
      <c r="PWR116" s="15"/>
      <c r="PWS116" s="15"/>
      <c r="PWT116" s="15"/>
      <c r="PWU116" s="15"/>
      <c r="PWV116" s="15"/>
      <c r="PWW116" s="15"/>
      <c r="PWX116" s="15"/>
      <c r="PWY116" s="15"/>
      <c r="PWZ116" s="14"/>
      <c r="PXA116" s="15"/>
      <c r="PXB116" s="15"/>
      <c r="PXC116" s="15"/>
      <c r="PXD116" s="15"/>
      <c r="PXE116" s="15"/>
      <c r="PXF116" s="15"/>
      <c r="PXG116" s="15"/>
      <c r="PXH116" s="15"/>
      <c r="PXI116" s="15"/>
      <c r="PXJ116" s="15"/>
      <c r="PXK116" s="15"/>
      <c r="PXL116" s="15"/>
      <c r="PXM116" s="15"/>
      <c r="PXN116" s="15"/>
      <c r="PXO116" s="15"/>
      <c r="PXP116" s="15"/>
      <c r="PXQ116" s="15"/>
      <c r="PXR116" s="15"/>
      <c r="PXS116" s="15"/>
      <c r="PXT116" s="15"/>
      <c r="PXU116" s="15"/>
      <c r="PXV116" s="14"/>
      <c r="PXW116" s="15"/>
      <c r="PXX116" s="15"/>
      <c r="PXY116" s="15"/>
      <c r="PXZ116" s="15"/>
      <c r="PYA116" s="15"/>
      <c r="PYB116" s="15"/>
      <c r="PYC116" s="15"/>
      <c r="PYD116" s="15"/>
      <c r="PYE116" s="15"/>
      <c r="PYF116" s="15"/>
      <c r="PYG116" s="15"/>
      <c r="PYH116" s="15"/>
      <c r="PYI116" s="15"/>
      <c r="PYJ116" s="15"/>
      <c r="PYK116" s="15"/>
      <c r="PYL116" s="15"/>
      <c r="PYM116" s="15"/>
      <c r="PYN116" s="15"/>
      <c r="PYO116" s="15"/>
      <c r="PYP116" s="15"/>
      <c r="PYQ116" s="15"/>
      <c r="PYR116" s="14"/>
      <c r="PYS116" s="15"/>
      <c r="PYT116" s="15"/>
      <c r="PYU116" s="15"/>
      <c r="PYV116" s="15"/>
      <c r="PYW116" s="15"/>
      <c r="PYX116" s="15"/>
      <c r="PYY116" s="15"/>
      <c r="PYZ116" s="15"/>
      <c r="PZA116" s="15"/>
      <c r="PZB116" s="15"/>
      <c r="PZC116" s="15"/>
      <c r="PZD116" s="15"/>
      <c r="PZE116" s="15"/>
      <c r="PZF116" s="15"/>
      <c r="PZG116" s="15"/>
      <c r="PZH116" s="15"/>
      <c r="PZI116" s="15"/>
      <c r="PZJ116" s="15"/>
      <c r="PZK116" s="15"/>
      <c r="PZL116" s="15"/>
      <c r="PZM116" s="15"/>
      <c r="PZN116" s="14"/>
      <c r="PZO116" s="15"/>
      <c r="PZP116" s="15"/>
      <c r="PZQ116" s="15"/>
      <c r="PZR116" s="15"/>
      <c r="PZS116" s="15"/>
      <c r="PZT116" s="15"/>
      <c r="PZU116" s="15"/>
      <c r="PZV116" s="15"/>
      <c r="PZW116" s="15"/>
      <c r="PZX116" s="15"/>
      <c r="PZY116" s="15"/>
      <c r="PZZ116" s="15"/>
      <c r="QAA116" s="15"/>
      <c r="QAB116" s="15"/>
      <c r="QAC116" s="15"/>
      <c r="QAD116" s="15"/>
      <c r="QAE116" s="15"/>
      <c r="QAF116" s="15"/>
      <c r="QAG116" s="15"/>
      <c r="QAH116" s="15"/>
      <c r="QAI116" s="15"/>
      <c r="QAJ116" s="14"/>
      <c r="QAK116" s="15"/>
      <c r="QAL116" s="15"/>
      <c r="QAM116" s="15"/>
      <c r="QAN116" s="15"/>
      <c r="QAO116" s="15"/>
      <c r="QAP116" s="15"/>
      <c r="QAQ116" s="15"/>
      <c r="QAR116" s="15"/>
      <c r="QAS116" s="15"/>
      <c r="QAT116" s="15"/>
      <c r="QAU116" s="15"/>
      <c r="QAV116" s="15"/>
      <c r="QAW116" s="15"/>
      <c r="QAX116" s="15"/>
      <c r="QAY116" s="15"/>
      <c r="QAZ116" s="15"/>
      <c r="QBA116" s="15"/>
      <c r="QBB116" s="15"/>
      <c r="QBC116" s="15"/>
      <c r="QBD116" s="15"/>
      <c r="QBE116" s="15"/>
      <c r="QBF116" s="14"/>
      <c r="QBG116" s="15"/>
      <c r="QBH116" s="15"/>
      <c r="QBI116" s="15"/>
      <c r="QBJ116" s="15"/>
      <c r="QBK116" s="15"/>
      <c r="QBL116" s="15"/>
      <c r="QBM116" s="15"/>
      <c r="QBN116" s="15"/>
      <c r="QBO116" s="15"/>
      <c r="QBP116" s="15"/>
      <c r="QBQ116" s="15"/>
      <c r="QBR116" s="15"/>
      <c r="QBS116" s="15"/>
      <c r="QBT116" s="15"/>
      <c r="QBU116" s="15"/>
      <c r="QBV116" s="15"/>
      <c r="QBW116" s="15"/>
      <c r="QBX116" s="15"/>
      <c r="QBY116" s="15"/>
      <c r="QBZ116" s="15"/>
      <c r="QCA116" s="15"/>
      <c r="QCB116" s="14"/>
      <c r="QCC116" s="15"/>
      <c r="QCD116" s="15"/>
      <c r="QCE116" s="15"/>
      <c r="QCF116" s="15"/>
      <c r="QCG116" s="15"/>
      <c r="QCH116" s="15"/>
      <c r="QCI116" s="15"/>
      <c r="QCJ116" s="15"/>
      <c r="QCK116" s="15"/>
      <c r="QCL116" s="15"/>
      <c r="QCM116" s="15"/>
      <c r="QCN116" s="15"/>
      <c r="QCO116" s="15"/>
      <c r="QCP116" s="15"/>
      <c r="QCQ116" s="15"/>
      <c r="QCR116" s="15"/>
      <c r="QCS116" s="15"/>
      <c r="QCT116" s="15"/>
      <c r="QCU116" s="15"/>
      <c r="QCV116" s="15"/>
      <c r="QCW116" s="15"/>
      <c r="QCX116" s="14"/>
      <c r="QCY116" s="15"/>
      <c r="QCZ116" s="15"/>
      <c r="QDA116" s="15"/>
      <c r="QDB116" s="15"/>
      <c r="QDC116" s="15"/>
      <c r="QDD116" s="15"/>
      <c r="QDE116" s="15"/>
      <c r="QDF116" s="15"/>
      <c r="QDG116" s="15"/>
      <c r="QDH116" s="15"/>
      <c r="QDI116" s="15"/>
      <c r="QDJ116" s="15"/>
      <c r="QDK116" s="15"/>
      <c r="QDL116" s="15"/>
      <c r="QDM116" s="15"/>
      <c r="QDN116" s="15"/>
      <c r="QDO116" s="15"/>
      <c r="QDP116" s="15"/>
      <c r="QDQ116" s="15"/>
      <c r="QDR116" s="15"/>
      <c r="QDS116" s="15"/>
      <c r="QDT116" s="14"/>
      <c r="QDU116" s="15"/>
      <c r="QDV116" s="15"/>
      <c r="QDW116" s="15"/>
      <c r="QDX116" s="15"/>
      <c r="QDY116" s="15"/>
      <c r="QDZ116" s="15"/>
      <c r="QEA116" s="15"/>
      <c r="QEB116" s="15"/>
      <c r="QEC116" s="15"/>
      <c r="QED116" s="15"/>
      <c r="QEE116" s="15"/>
      <c r="QEF116" s="15"/>
      <c r="QEG116" s="15"/>
      <c r="QEH116" s="15"/>
      <c r="QEI116" s="15"/>
      <c r="QEJ116" s="15"/>
      <c r="QEK116" s="15"/>
      <c r="QEL116" s="15"/>
      <c r="QEM116" s="15"/>
      <c r="QEN116" s="15"/>
      <c r="QEO116" s="15"/>
      <c r="QEP116" s="14"/>
      <c r="QEQ116" s="15"/>
      <c r="QER116" s="15"/>
      <c r="QES116" s="15"/>
      <c r="QET116" s="15"/>
      <c r="QEU116" s="15"/>
      <c r="QEV116" s="15"/>
      <c r="QEW116" s="15"/>
      <c r="QEX116" s="15"/>
      <c r="QEY116" s="15"/>
      <c r="QEZ116" s="15"/>
      <c r="QFA116" s="15"/>
      <c r="QFB116" s="15"/>
      <c r="QFC116" s="15"/>
      <c r="QFD116" s="15"/>
      <c r="QFE116" s="15"/>
      <c r="QFF116" s="15"/>
      <c r="QFG116" s="15"/>
      <c r="QFH116" s="15"/>
      <c r="QFI116" s="15"/>
      <c r="QFJ116" s="15"/>
      <c r="QFK116" s="15"/>
      <c r="QFL116" s="14"/>
      <c r="QFM116" s="15"/>
      <c r="QFN116" s="15"/>
      <c r="QFO116" s="15"/>
      <c r="QFP116" s="15"/>
      <c r="QFQ116" s="15"/>
      <c r="QFR116" s="15"/>
      <c r="QFS116" s="15"/>
      <c r="QFT116" s="15"/>
      <c r="QFU116" s="15"/>
      <c r="QFV116" s="15"/>
      <c r="QFW116" s="15"/>
      <c r="QFX116" s="15"/>
      <c r="QFY116" s="15"/>
      <c r="QFZ116" s="15"/>
      <c r="QGA116" s="15"/>
      <c r="QGB116" s="15"/>
      <c r="QGC116" s="15"/>
      <c r="QGD116" s="15"/>
      <c r="QGE116" s="15"/>
      <c r="QGF116" s="15"/>
      <c r="QGG116" s="15"/>
      <c r="QGH116" s="14"/>
      <c r="QGI116" s="15"/>
      <c r="QGJ116" s="15"/>
      <c r="QGK116" s="15"/>
      <c r="QGL116" s="15"/>
      <c r="QGM116" s="15"/>
      <c r="QGN116" s="15"/>
      <c r="QGO116" s="15"/>
      <c r="QGP116" s="15"/>
      <c r="QGQ116" s="15"/>
      <c r="QGR116" s="15"/>
      <c r="QGS116" s="15"/>
      <c r="QGT116" s="15"/>
      <c r="QGU116" s="15"/>
      <c r="QGV116" s="15"/>
      <c r="QGW116" s="15"/>
      <c r="QGX116" s="15"/>
      <c r="QGY116" s="15"/>
      <c r="QGZ116" s="15"/>
      <c r="QHA116" s="15"/>
      <c r="QHB116" s="15"/>
      <c r="QHC116" s="15"/>
      <c r="QHD116" s="14"/>
      <c r="QHE116" s="15"/>
      <c r="QHF116" s="15"/>
      <c r="QHG116" s="15"/>
      <c r="QHH116" s="15"/>
      <c r="QHI116" s="15"/>
      <c r="QHJ116" s="15"/>
      <c r="QHK116" s="15"/>
      <c r="QHL116" s="15"/>
      <c r="QHM116" s="15"/>
      <c r="QHN116" s="15"/>
      <c r="QHO116" s="15"/>
      <c r="QHP116" s="15"/>
      <c r="QHQ116" s="15"/>
      <c r="QHR116" s="15"/>
      <c r="QHS116" s="15"/>
      <c r="QHT116" s="15"/>
      <c r="QHU116" s="15"/>
      <c r="QHV116" s="15"/>
      <c r="QHW116" s="15"/>
      <c r="QHX116" s="15"/>
      <c r="QHY116" s="15"/>
      <c r="QHZ116" s="14"/>
      <c r="QIA116" s="15"/>
      <c r="QIB116" s="15"/>
      <c r="QIC116" s="15"/>
      <c r="QID116" s="15"/>
      <c r="QIE116" s="15"/>
      <c r="QIF116" s="15"/>
      <c r="QIG116" s="15"/>
      <c r="QIH116" s="15"/>
      <c r="QII116" s="15"/>
      <c r="QIJ116" s="15"/>
      <c r="QIK116" s="15"/>
      <c r="QIL116" s="15"/>
      <c r="QIM116" s="15"/>
      <c r="QIN116" s="15"/>
      <c r="QIO116" s="15"/>
      <c r="QIP116" s="15"/>
      <c r="QIQ116" s="15"/>
      <c r="QIR116" s="15"/>
      <c r="QIS116" s="15"/>
      <c r="QIT116" s="15"/>
      <c r="QIU116" s="15"/>
      <c r="QIV116" s="14"/>
      <c r="QIW116" s="15"/>
      <c r="QIX116" s="15"/>
      <c r="QIY116" s="15"/>
      <c r="QIZ116" s="15"/>
      <c r="QJA116" s="15"/>
      <c r="QJB116" s="15"/>
      <c r="QJC116" s="15"/>
      <c r="QJD116" s="15"/>
      <c r="QJE116" s="15"/>
      <c r="QJF116" s="15"/>
      <c r="QJG116" s="15"/>
      <c r="QJH116" s="15"/>
      <c r="QJI116" s="15"/>
      <c r="QJJ116" s="15"/>
      <c r="QJK116" s="15"/>
      <c r="QJL116" s="15"/>
      <c r="QJM116" s="15"/>
      <c r="QJN116" s="15"/>
      <c r="QJO116" s="15"/>
      <c r="QJP116" s="15"/>
      <c r="QJQ116" s="15"/>
      <c r="QJR116" s="14"/>
      <c r="QJS116" s="15"/>
      <c r="QJT116" s="15"/>
      <c r="QJU116" s="15"/>
      <c r="QJV116" s="15"/>
      <c r="QJW116" s="15"/>
      <c r="QJX116" s="15"/>
      <c r="QJY116" s="15"/>
      <c r="QJZ116" s="15"/>
      <c r="QKA116" s="15"/>
      <c r="QKB116" s="15"/>
      <c r="QKC116" s="15"/>
      <c r="QKD116" s="15"/>
      <c r="QKE116" s="15"/>
      <c r="QKF116" s="15"/>
      <c r="QKG116" s="15"/>
      <c r="QKH116" s="15"/>
      <c r="QKI116" s="15"/>
      <c r="QKJ116" s="15"/>
      <c r="QKK116" s="15"/>
      <c r="QKL116" s="15"/>
      <c r="QKM116" s="15"/>
      <c r="QKN116" s="14"/>
      <c r="QKO116" s="15"/>
      <c r="QKP116" s="15"/>
      <c r="QKQ116" s="15"/>
      <c r="QKR116" s="15"/>
      <c r="QKS116" s="15"/>
      <c r="QKT116" s="15"/>
      <c r="QKU116" s="15"/>
      <c r="QKV116" s="15"/>
      <c r="QKW116" s="15"/>
      <c r="QKX116" s="15"/>
      <c r="QKY116" s="15"/>
      <c r="QKZ116" s="15"/>
      <c r="QLA116" s="15"/>
      <c r="QLB116" s="15"/>
      <c r="QLC116" s="15"/>
      <c r="QLD116" s="15"/>
      <c r="QLE116" s="15"/>
      <c r="QLF116" s="15"/>
      <c r="QLG116" s="15"/>
      <c r="QLH116" s="15"/>
      <c r="QLI116" s="15"/>
      <c r="QLJ116" s="14"/>
      <c r="QLK116" s="15"/>
      <c r="QLL116" s="15"/>
      <c r="QLM116" s="15"/>
      <c r="QLN116" s="15"/>
      <c r="QLO116" s="15"/>
      <c r="QLP116" s="15"/>
      <c r="QLQ116" s="15"/>
      <c r="QLR116" s="15"/>
      <c r="QLS116" s="15"/>
      <c r="QLT116" s="15"/>
      <c r="QLU116" s="15"/>
      <c r="QLV116" s="15"/>
      <c r="QLW116" s="15"/>
      <c r="QLX116" s="15"/>
      <c r="QLY116" s="15"/>
      <c r="QLZ116" s="15"/>
      <c r="QMA116" s="15"/>
      <c r="QMB116" s="15"/>
      <c r="QMC116" s="15"/>
      <c r="QMD116" s="15"/>
      <c r="QME116" s="15"/>
      <c r="QMF116" s="14"/>
      <c r="QMG116" s="15"/>
      <c r="QMH116" s="15"/>
      <c r="QMI116" s="15"/>
      <c r="QMJ116" s="15"/>
      <c r="QMK116" s="15"/>
      <c r="QML116" s="15"/>
      <c r="QMM116" s="15"/>
      <c r="QMN116" s="15"/>
      <c r="QMO116" s="15"/>
      <c r="QMP116" s="15"/>
      <c r="QMQ116" s="15"/>
      <c r="QMR116" s="15"/>
      <c r="QMS116" s="15"/>
      <c r="QMT116" s="15"/>
      <c r="QMU116" s="15"/>
      <c r="QMV116" s="15"/>
      <c r="QMW116" s="15"/>
      <c r="QMX116" s="15"/>
      <c r="QMY116" s="15"/>
      <c r="QMZ116" s="15"/>
      <c r="QNA116" s="15"/>
      <c r="QNB116" s="14"/>
      <c r="QNC116" s="15"/>
      <c r="QND116" s="15"/>
      <c r="QNE116" s="15"/>
      <c r="QNF116" s="15"/>
      <c r="QNG116" s="15"/>
      <c r="QNH116" s="15"/>
      <c r="QNI116" s="15"/>
      <c r="QNJ116" s="15"/>
      <c r="QNK116" s="15"/>
      <c r="QNL116" s="15"/>
      <c r="QNM116" s="15"/>
      <c r="QNN116" s="15"/>
      <c r="QNO116" s="15"/>
      <c r="QNP116" s="15"/>
      <c r="QNQ116" s="15"/>
      <c r="QNR116" s="15"/>
      <c r="QNS116" s="15"/>
      <c r="QNT116" s="15"/>
      <c r="QNU116" s="15"/>
      <c r="QNV116" s="15"/>
      <c r="QNW116" s="15"/>
      <c r="QNX116" s="14"/>
      <c r="QNY116" s="15"/>
      <c r="QNZ116" s="15"/>
      <c r="QOA116" s="15"/>
      <c r="QOB116" s="15"/>
      <c r="QOC116" s="15"/>
      <c r="QOD116" s="15"/>
      <c r="QOE116" s="15"/>
      <c r="QOF116" s="15"/>
      <c r="QOG116" s="15"/>
      <c r="QOH116" s="15"/>
      <c r="QOI116" s="15"/>
      <c r="QOJ116" s="15"/>
      <c r="QOK116" s="15"/>
      <c r="QOL116" s="15"/>
      <c r="QOM116" s="15"/>
      <c r="QON116" s="15"/>
      <c r="QOO116" s="15"/>
      <c r="QOP116" s="15"/>
      <c r="QOQ116" s="15"/>
      <c r="QOR116" s="15"/>
      <c r="QOS116" s="15"/>
      <c r="QOT116" s="14"/>
      <c r="QOU116" s="15"/>
      <c r="QOV116" s="15"/>
      <c r="QOW116" s="15"/>
      <c r="QOX116" s="15"/>
      <c r="QOY116" s="15"/>
      <c r="QOZ116" s="15"/>
      <c r="QPA116" s="15"/>
      <c r="QPB116" s="15"/>
      <c r="QPC116" s="15"/>
      <c r="QPD116" s="15"/>
      <c r="QPE116" s="15"/>
      <c r="QPF116" s="15"/>
      <c r="QPG116" s="15"/>
      <c r="QPH116" s="15"/>
      <c r="QPI116" s="15"/>
      <c r="QPJ116" s="15"/>
      <c r="QPK116" s="15"/>
      <c r="QPL116" s="15"/>
      <c r="QPM116" s="15"/>
      <c r="QPN116" s="15"/>
      <c r="QPO116" s="15"/>
      <c r="QPP116" s="14"/>
      <c r="QPQ116" s="15"/>
      <c r="QPR116" s="15"/>
      <c r="QPS116" s="15"/>
      <c r="QPT116" s="15"/>
      <c r="QPU116" s="15"/>
      <c r="QPV116" s="15"/>
      <c r="QPW116" s="15"/>
      <c r="QPX116" s="15"/>
      <c r="QPY116" s="15"/>
      <c r="QPZ116" s="15"/>
      <c r="QQA116" s="15"/>
      <c r="QQB116" s="15"/>
      <c r="QQC116" s="15"/>
      <c r="QQD116" s="15"/>
      <c r="QQE116" s="15"/>
      <c r="QQF116" s="15"/>
      <c r="QQG116" s="15"/>
      <c r="QQH116" s="15"/>
      <c r="QQI116" s="15"/>
      <c r="QQJ116" s="15"/>
      <c r="QQK116" s="15"/>
      <c r="QQL116" s="14"/>
      <c r="QQM116" s="15"/>
      <c r="QQN116" s="15"/>
      <c r="QQO116" s="15"/>
      <c r="QQP116" s="15"/>
      <c r="QQQ116" s="15"/>
      <c r="QQR116" s="15"/>
      <c r="QQS116" s="15"/>
      <c r="QQT116" s="15"/>
      <c r="QQU116" s="15"/>
      <c r="QQV116" s="15"/>
      <c r="QQW116" s="15"/>
      <c r="QQX116" s="15"/>
      <c r="QQY116" s="15"/>
      <c r="QQZ116" s="15"/>
      <c r="QRA116" s="15"/>
      <c r="QRB116" s="15"/>
      <c r="QRC116" s="15"/>
      <c r="QRD116" s="15"/>
      <c r="QRE116" s="15"/>
      <c r="QRF116" s="15"/>
      <c r="QRG116" s="15"/>
      <c r="QRH116" s="14"/>
      <c r="QRI116" s="15"/>
      <c r="QRJ116" s="15"/>
      <c r="QRK116" s="15"/>
      <c r="QRL116" s="15"/>
      <c r="QRM116" s="15"/>
      <c r="QRN116" s="15"/>
      <c r="QRO116" s="15"/>
      <c r="QRP116" s="15"/>
      <c r="QRQ116" s="15"/>
      <c r="QRR116" s="15"/>
      <c r="QRS116" s="15"/>
      <c r="QRT116" s="15"/>
      <c r="QRU116" s="15"/>
      <c r="QRV116" s="15"/>
      <c r="QRW116" s="15"/>
      <c r="QRX116" s="15"/>
      <c r="QRY116" s="15"/>
      <c r="QRZ116" s="15"/>
      <c r="QSA116" s="15"/>
      <c r="QSB116" s="15"/>
      <c r="QSC116" s="15"/>
      <c r="QSD116" s="14"/>
      <c r="QSE116" s="15"/>
      <c r="QSF116" s="15"/>
      <c r="QSG116" s="15"/>
      <c r="QSH116" s="15"/>
      <c r="QSI116" s="15"/>
      <c r="QSJ116" s="15"/>
      <c r="QSK116" s="15"/>
      <c r="QSL116" s="15"/>
      <c r="QSM116" s="15"/>
      <c r="QSN116" s="15"/>
      <c r="QSO116" s="15"/>
      <c r="QSP116" s="15"/>
      <c r="QSQ116" s="15"/>
      <c r="QSR116" s="15"/>
      <c r="QSS116" s="15"/>
      <c r="QST116" s="15"/>
      <c r="QSU116" s="15"/>
      <c r="QSV116" s="15"/>
      <c r="QSW116" s="15"/>
      <c r="QSX116" s="15"/>
      <c r="QSY116" s="15"/>
      <c r="QSZ116" s="14"/>
      <c r="QTA116" s="15"/>
      <c r="QTB116" s="15"/>
      <c r="QTC116" s="15"/>
      <c r="QTD116" s="15"/>
      <c r="QTE116" s="15"/>
      <c r="QTF116" s="15"/>
      <c r="QTG116" s="15"/>
      <c r="QTH116" s="15"/>
      <c r="QTI116" s="15"/>
      <c r="QTJ116" s="15"/>
      <c r="QTK116" s="15"/>
      <c r="QTL116" s="15"/>
      <c r="QTM116" s="15"/>
      <c r="QTN116" s="15"/>
      <c r="QTO116" s="15"/>
      <c r="QTP116" s="15"/>
      <c r="QTQ116" s="15"/>
      <c r="QTR116" s="15"/>
      <c r="QTS116" s="15"/>
      <c r="QTT116" s="15"/>
      <c r="QTU116" s="15"/>
      <c r="QTV116" s="14"/>
      <c r="QTW116" s="15"/>
      <c r="QTX116" s="15"/>
      <c r="QTY116" s="15"/>
      <c r="QTZ116" s="15"/>
      <c r="QUA116" s="15"/>
      <c r="QUB116" s="15"/>
      <c r="QUC116" s="15"/>
      <c r="QUD116" s="15"/>
      <c r="QUE116" s="15"/>
      <c r="QUF116" s="15"/>
      <c r="QUG116" s="15"/>
      <c r="QUH116" s="15"/>
      <c r="QUI116" s="15"/>
      <c r="QUJ116" s="15"/>
      <c r="QUK116" s="15"/>
      <c r="QUL116" s="15"/>
      <c r="QUM116" s="15"/>
      <c r="QUN116" s="15"/>
      <c r="QUO116" s="15"/>
      <c r="QUP116" s="15"/>
      <c r="QUQ116" s="15"/>
      <c r="QUR116" s="14"/>
      <c r="QUS116" s="15"/>
      <c r="QUT116" s="15"/>
      <c r="QUU116" s="15"/>
      <c r="QUV116" s="15"/>
      <c r="QUW116" s="15"/>
      <c r="QUX116" s="15"/>
      <c r="QUY116" s="15"/>
      <c r="QUZ116" s="15"/>
      <c r="QVA116" s="15"/>
      <c r="QVB116" s="15"/>
      <c r="QVC116" s="15"/>
      <c r="QVD116" s="15"/>
      <c r="QVE116" s="15"/>
      <c r="QVF116" s="15"/>
      <c r="QVG116" s="15"/>
      <c r="QVH116" s="15"/>
      <c r="QVI116" s="15"/>
      <c r="QVJ116" s="15"/>
      <c r="QVK116" s="15"/>
      <c r="QVL116" s="15"/>
      <c r="QVM116" s="15"/>
      <c r="QVN116" s="14"/>
      <c r="QVO116" s="15"/>
      <c r="QVP116" s="15"/>
      <c r="QVQ116" s="15"/>
      <c r="QVR116" s="15"/>
      <c r="QVS116" s="15"/>
      <c r="QVT116" s="15"/>
      <c r="QVU116" s="15"/>
      <c r="QVV116" s="15"/>
      <c r="QVW116" s="15"/>
      <c r="QVX116" s="15"/>
      <c r="QVY116" s="15"/>
      <c r="QVZ116" s="15"/>
      <c r="QWA116" s="15"/>
      <c r="QWB116" s="15"/>
      <c r="QWC116" s="15"/>
      <c r="QWD116" s="15"/>
      <c r="QWE116" s="15"/>
      <c r="QWF116" s="15"/>
      <c r="QWG116" s="15"/>
      <c r="QWH116" s="15"/>
      <c r="QWI116" s="15"/>
      <c r="QWJ116" s="14"/>
      <c r="QWK116" s="15"/>
      <c r="QWL116" s="15"/>
      <c r="QWM116" s="15"/>
      <c r="QWN116" s="15"/>
      <c r="QWO116" s="15"/>
      <c r="QWP116" s="15"/>
      <c r="QWQ116" s="15"/>
      <c r="QWR116" s="15"/>
      <c r="QWS116" s="15"/>
      <c r="QWT116" s="15"/>
      <c r="QWU116" s="15"/>
      <c r="QWV116" s="15"/>
      <c r="QWW116" s="15"/>
      <c r="QWX116" s="15"/>
      <c r="QWY116" s="15"/>
      <c r="QWZ116" s="15"/>
      <c r="QXA116" s="15"/>
      <c r="QXB116" s="15"/>
      <c r="QXC116" s="15"/>
      <c r="QXD116" s="15"/>
      <c r="QXE116" s="15"/>
      <c r="QXF116" s="14"/>
      <c r="QXG116" s="15"/>
      <c r="QXH116" s="15"/>
      <c r="QXI116" s="15"/>
      <c r="QXJ116" s="15"/>
      <c r="QXK116" s="15"/>
      <c r="QXL116" s="15"/>
      <c r="QXM116" s="15"/>
      <c r="QXN116" s="15"/>
      <c r="QXO116" s="15"/>
      <c r="QXP116" s="15"/>
      <c r="QXQ116" s="15"/>
      <c r="QXR116" s="15"/>
      <c r="QXS116" s="15"/>
      <c r="QXT116" s="15"/>
      <c r="QXU116" s="15"/>
      <c r="QXV116" s="15"/>
      <c r="QXW116" s="15"/>
      <c r="QXX116" s="15"/>
      <c r="QXY116" s="15"/>
      <c r="QXZ116" s="15"/>
      <c r="QYA116" s="15"/>
      <c r="QYB116" s="14"/>
      <c r="QYC116" s="15"/>
      <c r="QYD116" s="15"/>
      <c r="QYE116" s="15"/>
      <c r="QYF116" s="15"/>
      <c r="QYG116" s="15"/>
      <c r="QYH116" s="15"/>
      <c r="QYI116" s="15"/>
      <c r="QYJ116" s="15"/>
      <c r="QYK116" s="15"/>
      <c r="QYL116" s="15"/>
      <c r="QYM116" s="15"/>
      <c r="QYN116" s="15"/>
      <c r="QYO116" s="15"/>
      <c r="QYP116" s="15"/>
      <c r="QYQ116" s="15"/>
      <c r="QYR116" s="15"/>
      <c r="QYS116" s="15"/>
      <c r="QYT116" s="15"/>
      <c r="QYU116" s="15"/>
      <c r="QYV116" s="15"/>
      <c r="QYW116" s="15"/>
      <c r="QYX116" s="14"/>
      <c r="QYY116" s="15"/>
      <c r="QYZ116" s="15"/>
      <c r="QZA116" s="15"/>
      <c r="QZB116" s="15"/>
      <c r="QZC116" s="15"/>
      <c r="QZD116" s="15"/>
      <c r="QZE116" s="15"/>
      <c r="QZF116" s="15"/>
      <c r="QZG116" s="15"/>
      <c r="QZH116" s="15"/>
      <c r="QZI116" s="15"/>
      <c r="QZJ116" s="15"/>
      <c r="QZK116" s="15"/>
      <c r="QZL116" s="15"/>
      <c r="QZM116" s="15"/>
      <c r="QZN116" s="15"/>
      <c r="QZO116" s="15"/>
      <c r="QZP116" s="15"/>
      <c r="QZQ116" s="15"/>
      <c r="QZR116" s="15"/>
      <c r="QZS116" s="15"/>
      <c r="QZT116" s="14"/>
      <c r="QZU116" s="15"/>
      <c r="QZV116" s="15"/>
      <c r="QZW116" s="15"/>
      <c r="QZX116" s="15"/>
      <c r="QZY116" s="15"/>
      <c r="QZZ116" s="15"/>
      <c r="RAA116" s="15"/>
      <c r="RAB116" s="15"/>
      <c r="RAC116" s="15"/>
      <c r="RAD116" s="15"/>
      <c r="RAE116" s="15"/>
      <c r="RAF116" s="15"/>
      <c r="RAG116" s="15"/>
      <c r="RAH116" s="15"/>
      <c r="RAI116" s="15"/>
      <c r="RAJ116" s="15"/>
      <c r="RAK116" s="15"/>
      <c r="RAL116" s="15"/>
      <c r="RAM116" s="15"/>
      <c r="RAN116" s="15"/>
      <c r="RAO116" s="15"/>
      <c r="RAP116" s="14"/>
      <c r="RAQ116" s="15"/>
      <c r="RAR116" s="15"/>
      <c r="RAS116" s="15"/>
      <c r="RAT116" s="15"/>
      <c r="RAU116" s="15"/>
      <c r="RAV116" s="15"/>
      <c r="RAW116" s="15"/>
      <c r="RAX116" s="15"/>
      <c r="RAY116" s="15"/>
      <c r="RAZ116" s="15"/>
      <c r="RBA116" s="15"/>
      <c r="RBB116" s="15"/>
      <c r="RBC116" s="15"/>
      <c r="RBD116" s="15"/>
      <c r="RBE116" s="15"/>
      <c r="RBF116" s="15"/>
      <c r="RBG116" s="15"/>
      <c r="RBH116" s="15"/>
      <c r="RBI116" s="15"/>
      <c r="RBJ116" s="15"/>
      <c r="RBK116" s="15"/>
      <c r="RBL116" s="14"/>
      <c r="RBM116" s="15"/>
      <c r="RBN116" s="15"/>
      <c r="RBO116" s="15"/>
      <c r="RBP116" s="15"/>
      <c r="RBQ116" s="15"/>
      <c r="RBR116" s="15"/>
      <c r="RBS116" s="15"/>
      <c r="RBT116" s="15"/>
      <c r="RBU116" s="15"/>
      <c r="RBV116" s="15"/>
      <c r="RBW116" s="15"/>
      <c r="RBX116" s="15"/>
      <c r="RBY116" s="15"/>
      <c r="RBZ116" s="15"/>
      <c r="RCA116" s="15"/>
      <c r="RCB116" s="15"/>
      <c r="RCC116" s="15"/>
      <c r="RCD116" s="15"/>
      <c r="RCE116" s="15"/>
      <c r="RCF116" s="15"/>
      <c r="RCG116" s="15"/>
      <c r="RCH116" s="14"/>
      <c r="RCI116" s="15"/>
      <c r="RCJ116" s="15"/>
      <c r="RCK116" s="15"/>
      <c r="RCL116" s="15"/>
      <c r="RCM116" s="15"/>
      <c r="RCN116" s="15"/>
      <c r="RCO116" s="15"/>
      <c r="RCP116" s="15"/>
      <c r="RCQ116" s="15"/>
      <c r="RCR116" s="15"/>
      <c r="RCS116" s="15"/>
      <c r="RCT116" s="15"/>
      <c r="RCU116" s="15"/>
      <c r="RCV116" s="15"/>
      <c r="RCW116" s="15"/>
      <c r="RCX116" s="15"/>
      <c r="RCY116" s="15"/>
      <c r="RCZ116" s="15"/>
      <c r="RDA116" s="15"/>
      <c r="RDB116" s="15"/>
      <c r="RDC116" s="15"/>
      <c r="RDD116" s="14"/>
      <c r="RDE116" s="15"/>
      <c r="RDF116" s="15"/>
      <c r="RDG116" s="15"/>
      <c r="RDH116" s="15"/>
      <c r="RDI116" s="15"/>
      <c r="RDJ116" s="15"/>
      <c r="RDK116" s="15"/>
      <c r="RDL116" s="15"/>
      <c r="RDM116" s="15"/>
      <c r="RDN116" s="15"/>
      <c r="RDO116" s="15"/>
      <c r="RDP116" s="15"/>
      <c r="RDQ116" s="15"/>
      <c r="RDR116" s="15"/>
      <c r="RDS116" s="15"/>
      <c r="RDT116" s="15"/>
      <c r="RDU116" s="15"/>
      <c r="RDV116" s="15"/>
      <c r="RDW116" s="15"/>
      <c r="RDX116" s="15"/>
      <c r="RDY116" s="15"/>
      <c r="RDZ116" s="14"/>
      <c r="REA116" s="15"/>
      <c r="REB116" s="15"/>
      <c r="REC116" s="15"/>
      <c r="RED116" s="15"/>
      <c r="REE116" s="15"/>
      <c r="REF116" s="15"/>
      <c r="REG116" s="15"/>
      <c r="REH116" s="15"/>
      <c r="REI116" s="15"/>
      <c r="REJ116" s="15"/>
      <c r="REK116" s="15"/>
      <c r="REL116" s="15"/>
      <c r="REM116" s="15"/>
      <c r="REN116" s="15"/>
      <c r="REO116" s="15"/>
      <c r="REP116" s="15"/>
      <c r="REQ116" s="15"/>
      <c r="RER116" s="15"/>
      <c r="RES116" s="15"/>
      <c r="RET116" s="15"/>
      <c r="REU116" s="15"/>
      <c r="REV116" s="14"/>
      <c r="REW116" s="15"/>
      <c r="REX116" s="15"/>
      <c r="REY116" s="15"/>
      <c r="REZ116" s="15"/>
      <c r="RFA116" s="15"/>
      <c r="RFB116" s="15"/>
      <c r="RFC116" s="15"/>
      <c r="RFD116" s="15"/>
      <c r="RFE116" s="15"/>
      <c r="RFF116" s="15"/>
      <c r="RFG116" s="15"/>
      <c r="RFH116" s="15"/>
      <c r="RFI116" s="15"/>
      <c r="RFJ116" s="15"/>
      <c r="RFK116" s="15"/>
      <c r="RFL116" s="15"/>
      <c r="RFM116" s="15"/>
      <c r="RFN116" s="15"/>
      <c r="RFO116" s="15"/>
      <c r="RFP116" s="15"/>
      <c r="RFQ116" s="15"/>
      <c r="RFR116" s="14"/>
      <c r="RFS116" s="15"/>
      <c r="RFT116" s="15"/>
      <c r="RFU116" s="15"/>
      <c r="RFV116" s="15"/>
      <c r="RFW116" s="15"/>
      <c r="RFX116" s="15"/>
      <c r="RFY116" s="15"/>
      <c r="RFZ116" s="15"/>
      <c r="RGA116" s="15"/>
      <c r="RGB116" s="15"/>
      <c r="RGC116" s="15"/>
      <c r="RGD116" s="15"/>
      <c r="RGE116" s="15"/>
      <c r="RGF116" s="15"/>
      <c r="RGG116" s="15"/>
      <c r="RGH116" s="15"/>
      <c r="RGI116" s="15"/>
      <c r="RGJ116" s="15"/>
      <c r="RGK116" s="15"/>
      <c r="RGL116" s="15"/>
      <c r="RGM116" s="15"/>
      <c r="RGN116" s="14"/>
      <c r="RGO116" s="15"/>
      <c r="RGP116" s="15"/>
      <c r="RGQ116" s="15"/>
      <c r="RGR116" s="15"/>
      <c r="RGS116" s="15"/>
      <c r="RGT116" s="15"/>
      <c r="RGU116" s="15"/>
      <c r="RGV116" s="15"/>
      <c r="RGW116" s="15"/>
      <c r="RGX116" s="15"/>
      <c r="RGY116" s="15"/>
      <c r="RGZ116" s="15"/>
      <c r="RHA116" s="15"/>
      <c r="RHB116" s="15"/>
      <c r="RHC116" s="15"/>
      <c r="RHD116" s="15"/>
      <c r="RHE116" s="15"/>
      <c r="RHF116" s="15"/>
      <c r="RHG116" s="15"/>
      <c r="RHH116" s="15"/>
      <c r="RHI116" s="15"/>
      <c r="RHJ116" s="14"/>
      <c r="RHK116" s="15"/>
      <c r="RHL116" s="15"/>
      <c r="RHM116" s="15"/>
      <c r="RHN116" s="15"/>
      <c r="RHO116" s="15"/>
      <c r="RHP116" s="15"/>
      <c r="RHQ116" s="15"/>
      <c r="RHR116" s="15"/>
      <c r="RHS116" s="15"/>
      <c r="RHT116" s="15"/>
      <c r="RHU116" s="15"/>
      <c r="RHV116" s="15"/>
      <c r="RHW116" s="15"/>
      <c r="RHX116" s="15"/>
      <c r="RHY116" s="15"/>
      <c r="RHZ116" s="15"/>
      <c r="RIA116" s="15"/>
      <c r="RIB116" s="15"/>
      <c r="RIC116" s="15"/>
      <c r="RID116" s="15"/>
      <c r="RIE116" s="15"/>
      <c r="RIF116" s="14"/>
      <c r="RIG116" s="15"/>
      <c r="RIH116" s="15"/>
      <c r="RII116" s="15"/>
      <c r="RIJ116" s="15"/>
      <c r="RIK116" s="15"/>
      <c r="RIL116" s="15"/>
      <c r="RIM116" s="15"/>
      <c r="RIN116" s="15"/>
      <c r="RIO116" s="15"/>
      <c r="RIP116" s="15"/>
      <c r="RIQ116" s="15"/>
      <c r="RIR116" s="15"/>
      <c r="RIS116" s="15"/>
      <c r="RIT116" s="15"/>
      <c r="RIU116" s="15"/>
      <c r="RIV116" s="15"/>
      <c r="RIW116" s="15"/>
      <c r="RIX116" s="15"/>
      <c r="RIY116" s="15"/>
      <c r="RIZ116" s="15"/>
      <c r="RJA116" s="15"/>
      <c r="RJB116" s="14"/>
      <c r="RJC116" s="15"/>
      <c r="RJD116" s="15"/>
      <c r="RJE116" s="15"/>
      <c r="RJF116" s="15"/>
      <c r="RJG116" s="15"/>
      <c r="RJH116" s="15"/>
      <c r="RJI116" s="15"/>
      <c r="RJJ116" s="15"/>
      <c r="RJK116" s="15"/>
      <c r="RJL116" s="15"/>
      <c r="RJM116" s="15"/>
      <c r="RJN116" s="15"/>
      <c r="RJO116" s="15"/>
      <c r="RJP116" s="15"/>
      <c r="RJQ116" s="15"/>
      <c r="RJR116" s="15"/>
      <c r="RJS116" s="15"/>
      <c r="RJT116" s="15"/>
      <c r="RJU116" s="15"/>
      <c r="RJV116" s="15"/>
      <c r="RJW116" s="15"/>
      <c r="RJX116" s="14"/>
      <c r="RJY116" s="15"/>
      <c r="RJZ116" s="15"/>
      <c r="RKA116" s="15"/>
      <c r="RKB116" s="15"/>
      <c r="RKC116" s="15"/>
      <c r="RKD116" s="15"/>
      <c r="RKE116" s="15"/>
      <c r="RKF116" s="15"/>
      <c r="RKG116" s="15"/>
      <c r="RKH116" s="15"/>
      <c r="RKI116" s="15"/>
      <c r="RKJ116" s="15"/>
      <c r="RKK116" s="15"/>
      <c r="RKL116" s="15"/>
      <c r="RKM116" s="15"/>
      <c r="RKN116" s="15"/>
      <c r="RKO116" s="15"/>
      <c r="RKP116" s="15"/>
      <c r="RKQ116" s="15"/>
      <c r="RKR116" s="15"/>
      <c r="RKS116" s="15"/>
      <c r="RKT116" s="14"/>
      <c r="RKU116" s="15"/>
      <c r="RKV116" s="15"/>
      <c r="RKW116" s="15"/>
      <c r="RKX116" s="15"/>
      <c r="RKY116" s="15"/>
      <c r="RKZ116" s="15"/>
      <c r="RLA116" s="15"/>
      <c r="RLB116" s="15"/>
      <c r="RLC116" s="15"/>
      <c r="RLD116" s="15"/>
      <c r="RLE116" s="15"/>
      <c r="RLF116" s="15"/>
      <c r="RLG116" s="15"/>
      <c r="RLH116" s="15"/>
      <c r="RLI116" s="15"/>
      <c r="RLJ116" s="15"/>
      <c r="RLK116" s="15"/>
      <c r="RLL116" s="15"/>
      <c r="RLM116" s="15"/>
      <c r="RLN116" s="15"/>
      <c r="RLO116" s="15"/>
      <c r="RLP116" s="14"/>
      <c r="RLQ116" s="15"/>
      <c r="RLR116" s="15"/>
      <c r="RLS116" s="15"/>
      <c r="RLT116" s="15"/>
      <c r="RLU116" s="15"/>
      <c r="RLV116" s="15"/>
      <c r="RLW116" s="15"/>
      <c r="RLX116" s="15"/>
      <c r="RLY116" s="15"/>
      <c r="RLZ116" s="15"/>
      <c r="RMA116" s="15"/>
      <c r="RMB116" s="15"/>
      <c r="RMC116" s="15"/>
      <c r="RMD116" s="15"/>
      <c r="RME116" s="15"/>
      <c r="RMF116" s="15"/>
      <c r="RMG116" s="15"/>
      <c r="RMH116" s="15"/>
      <c r="RMI116" s="15"/>
      <c r="RMJ116" s="15"/>
      <c r="RMK116" s="15"/>
      <c r="RML116" s="14"/>
      <c r="RMM116" s="15"/>
      <c r="RMN116" s="15"/>
      <c r="RMO116" s="15"/>
      <c r="RMP116" s="15"/>
      <c r="RMQ116" s="15"/>
      <c r="RMR116" s="15"/>
      <c r="RMS116" s="15"/>
      <c r="RMT116" s="15"/>
      <c r="RMU116" s="15"/>
      <c r="RMV116" s="15"/>
      <c r="RMW116" s="15"/>
      <c r="RMX116" s="15"/>
      <c r="RMY116" s="15"/>
      <c r="RMZ116" s="15"/>
      <c r="RNA116" s="15"/>
      <c r="RNB116" s="15"/>
      <c r="RNC116" s="15"/>
      <c r="RND116" s="15"/>
      <c r="RNE116" s="15"/>
      <c r="RNF116" s="15"/>
      <c r="RNG116" s="15"/>
      <c r="RNH116" s="14"/>
      <c r="RNI116" s="15"/>
      <c r="RNJ116" s="15"/>
      <c r="RNK116" s="15"/>
      <c r="RNL116" s="15"/>
      <c r="RNM116" s="15"/>
      <c r="RNN116" s="15"/>
      <c r="RNO116" s="15"/>
      <c r="RNP116" s="15"/>
      <c r="RNQ116" s="15"/>
      <c r="RNR116" s="15"/>
      <c r="RNS116" s="15"/>
      <c r="RNT116" s="15"/>
      <c r="RNU116" s="15"/>
      <c r="RNV116" s="15"/>
      <c r="RNW116" s="15"/>
      <c r="RNX116" s="15"/>
      <c r="RNY116" s="15"/>
      <c r="RNZ116" s="15"/>
      <c r="ROA116" s="15"/>
      <c r="ROB116" s="15"/>
      <c r="ROC116" s="15"/>
      <c r="ROD116" s="14"/>
      <c r="ROE116" s="15"/>
      <c r="ROF116" s="15"/>
      <c r="ROG116" s="15"/>
      <c r="ROH116" s="15"/>
      <c r="ROI116" s="15"/>
      <c r="ROJ116" s="15"/>
      <c r="ROK116" s="15"/>
      <c r="ROL116" s="15"/>
      <c r="ROM116" s="15"/>
      <c r="RON116" s="15"/>
      <c r="ROO116" s="15"/>
      <c r="ROP116" s="15"/>
      <c r="ROQ116" s="15"/>
      <c r="ROR116" s="15"/>
      <c r="ROS116" s="15"/>
      <c r="ROT116" s="15"/>
      <c r="ROU116" s="15"/>
      <c r="ROV116" s="15"/>
      <c r="ROW116" s="15"/>
      <c r="ROX116" s="15"/>
      <c r="ROY116" s="15"/>
      <c r="ROZ116" s="14"/>
      <c r="RPA116" s="15"/>
      <c r="RPB116" s="15"/>
      <c r="RPC116" s="15"/>
      <c r="RPD116" s="15"/>
      <c r="RPE116" s="15"/>
      <c r="RPF116" s="15"/>
      <c r="RPG116" s="15"/>
      <c r="RPH116" s="15"/>
      <c r="RPI116" s="15"/>
      <c r="RPJ116" s="15"/>
      <c r="RPK116" s="15"/>
      <c r="RPL116" s="15"/>
      <c r="RPM116" s="15"/>
      <c r="RPN116" s="15"/>
      <c r="RPO116" s="15"/>
      <c r="RPP116" s="15"/>
      <c r="RPQ116" s="15"/>
      <c r="RPR116" s="15"/>
      <c r="RPS116" s="15"/>
      <c r="RPT116" s="15"/>
      <c r="RPU116" s="15"/>
      <c r="RPV116" s="14"/>
      <c r="RPW116" s="15"/>
      <c r="RPX116" s="15"/>
      <c r="RPY116" s="15"/>
      <c r="RPZ116" s="15"/>
      <c r="RQA116" s="15"/>
      <c r="RQB116" s="15"/>
      <c r="RQC116" s="15"/>
      <c r="RQD116" s="15"/>
      <c r="RQE116" s="15"/>
      <c r="RQF116" s="15"/>
      <c r="RQG116" s="15"/>
      <c r="RQH116" s="15"/>
      <c r="RQI116" s="15"/>
      <c r="RQJ116" s="15"/>
      <c r="RQK116" s="15"/>
      <c r="RQL116" s="15"/>
      <c r="RQM116" s="15"/>
      <c r="RQN116" s="15"/>
      <c r="RQO116" s="15"/>
      <c r="RQP116" s="15"/>
      <c r="RQQ116" s="15"/>
      <c r="RQR116" s="14"/>
      <c r="RQS116" s="15"/>
      <c r="RQT116" s="15"/>
      <c r="RQU116" s="15"/>
      <c r="RQV116" s="15"/>
      <c r="RQW116" s="15"/>
      <c r="RQX116" s="15"/>
      <c r="RQY116" s="15"/>
      <c r="RQZ116" s="15"/>
      <c r="RRA116" s="15"/>
      <c r="RRB116" s="15"/>
      <c r="RRC116" s="15"/>
      <c r="RRD116" s="15"/>
      <c r="RRE116" s="15"/>
      <c r="RRF116" s="15"/>
      <c r="RRG116" s="15"/>
      <c r="RRH116" s="15"/>
      <c r="RRI116" s="15"/>
      <c r="RRJ116" s="15"/>
      <c r="RRK116" s="15"/>
      <c r="RRL116" s="15"/>
      <c r="RRM116" s="15"/>
      <c r="RRN116" s="14"/>
      <c r="RRO116" s="15"/>
      <c r="RRP116" s="15"/>
      <c r="RRQ116" s="15"/>
      <c r="RRR116" s="15"/>
      <c r="RRS116" s="15"/>
      <c r="RRT116" s="15"/>
      <c r="RRU116" s="15"/>
      <c r="RRV116" s="15"/>
      <c r="RRW116" s="15"/>
      <c r="RRX116" s="15"/>
      <c r="RRY116" s="15"/>
      <c r="RRZ116" s="15"/>
      <c r="RSA116" s="15"/>
      <c r="RSB116" s="15"/>
      <c r="RSC116" s="15"/>
      <c r="RSD116" s="15"/>
      <c r="RSE116" s="15"/>
      <c r="RSF116" s="15"/>
      <c r="RSG116" s="15"/>
      <c r="RSH116" s="15"/>
      <c r="RSI116" s="15"/>
      <c r="RSJ116" s="14"/>
      <c r="RSK116" s="15"/>
      <c r="RSL116" s="15"/>
      <c r="RSM116" s="15"/>
      <c r="RSN116" s="15"/>
      <c r="RSO116" s="15"/>
      <c r="RSP116" s="15"/>
      <c r="RSQ116" s="15"/>
      <c r="RSR116" s="15"/>
      <c r="RSS116" s="15"/>
      <c r="RST116" s="15"/>
      <c r="RSU116" s="15"/>
      <c r="RSV116" s="15"/>
      <c r="RSW116" s="15"/>
      <c r="RSX116" s="15"/>
      <c r="RSY116" s="15"/>
      <c r="RSZ116" s="15"/>
      <c r="RTA116" s="15"/>
      <c r="RTB116" s="15"/>
      <c r="RTC116" s="15"/>
      <c r="RTD116" s="15"/>
      <c r="RTE116" s="15"/>
      <c r="RTF116" s="14"/>
      <c r="RTG116" s="15"/>
      <c r="RTH116" s="15"/>
      <c r="RTI116" s="15"/>
      <c r="RTJ116" s="15"/>
      <c r="RTK116" s="15"/>
      <c r="RTL116" s="15"/>
      <c r="RTM116" s="15"/>
      <c r="RTN116" s="15"/>
      <c r="RTO116" s="15"/>
      <c r="RTP116" s="15"/>
      <c r="RTQ116" s="15"/>
      <c r="RTR116" s="15"/>
      <c r="RTS116" s="15"/>
      <c r="RTT116" s="15"/>
      <c r="RTU116" s="15"/>
      <c r="RTV116" s="15"/>
      <c r="RTW116" s="15"/>
      <c r="RTX116" s="15"/>
      <c r="RTY116" s="15"/>
      <c r="RTZ116" s="15"/>
      <c r="RUA116" s="15"/>
      <c r="RUB116" s="14"/>
      <c r="RUC116" s="15"/>
      <c r="RUD116" s="15"/>
      <c r="RUE116" s="15"/>
      <c r="RUF116" s="15"/>
      <c r="RUG116" s="15"/>
      <c r="RUH116" s="15"/>
      <c r="RUI116" s="15"/>
      <c r="RUJ116" s="15"/>
      <c r="RUK116" s="15"/>
      <c r="RUL116" s="15"/>
      <c r="RUM116" s="15"/>
      <c r="RUN116" s="15"/>
      <c r="RUO116" s="15"/>
      <c r="RUP116" s="15"/>
      <c r="RUQ116" s="15"/>
      <c r="RUR116" s="15"/>
      <c r="RUS116" s="15"/>
      <c r="RUT116" s="15"/>
      <c r="RUU116" s="15"/>
      <c r="RUV116" s="15"/>
      <c r="RUW116" s="15"/>
      <c r="RUX116" s="14"/>
      <c r="RUY116" s="15"/>
      <c r="RUZ116" s="15"/>
      <c r="RVA116" s="15"/>
      <c r="RVB116" s="15"/>
      <c r="RVC116" s="15"/>
      <c r="RVD116" s="15"/>
      <c r="RVE116" s="15"/>
      <c r="RVF116" s="15"/>
      <c r="RVG116" s="15"/>
      <c r="RVH116" s="15"/>
      <c r="RVI116" s="15"/>
      <c r="RVJ116" s="15"/>
      <c r="RVK116" s="15"/>
      <c r="RVL116" s="15"/>
      <c r="RVM116" s="15"/>
      <c r="RVN116" s="15"/>
      <c r="RVO116" s="15"/>
      <c r="RVP116" s="15"/>
      <c r="RVQ116" s="15"/>
      <c r="RVR116" s="15"/>
      <c r="RVS116" s="15"/>
      <c r="RVT116" s="14"/>
      <c r="RVU116" s="15"/>
      <c r="RVV116" s="15"/>
      <c r="RVW116" s="15"/>
      <c r="RVX116" s="15"/>
      <c r="RVY116" s="15"/>
      <c r="RVZ116" s="15"/>
      <c r="RWA116" s="15"/>
      <c r="RWB116" s="15"/>
      <c r="RWC116" s="15"/>
      <c r="RWD116" s="15"/>
      <c r="RWE116" s="15"/>
      <c r="RWF116" s="15"/>
      <c r="RWG116" s="15"/>
      <c r="RWH116" s="15"/>
      <c r="RWI116" s="15"/>
      <c r="RWJ116" s="15"/>
      <c r="RWK116" s="15"/>
      <c r="RWL116" s="15"/>
      <c r="RWM116" s="15"/>
      <c r="RWN116" s="15"/>
      <c r="RWO116" s="15"/>
      <c r="RWP116" s="14"/>
      <c r="RWQ116" s="15"/>
      <c r="RWR116" s="15"/>
      <c r="RWS116" s="15"/>
      <c r="RWT116" s="15"/>
      <c r="RWU116" s="15"/>
      <c r="RWV116" s="15"/>
      <c r="RWW116" s="15"/>
      <c r="RWX116" s="15"/>
      <c r="RWY116" s="15"/>
      <c r="RWZ116" s="15"/>
      <c r="RXA116" s="15"/>
      <c r="RXB116" s="15"/>
      <c r="RXC116" s="15"/>
      <c r="RXD116" s="15"/>
      <c r="RXE116" s="15"/>
      <c r="RXF116" s="15"/>
      <c r="RXG116" s="15"/>
      <c r="RXH116" s="15"/>
      <c r="RXI116" s="15"/>
      <c r="RXJ116" s="15"/>
      <c r="RXK116" s="15"/>
      <c r="RXL116" s="14"/>
      <c r="RXM116" s="15"/>
      <c r="RXN116" s="15"/>
      <c r="RXO116" s="15"/>
      <c r="RXP116" s="15"/>
      <c r="RXQ116" s="15"/>
      <c r="RXR116" s="15"/>
      <c r="RXS116" s="15"/>
      <c r="RXT116" s="15"/>
      <c r="RXU116" s="15"/>
      <c r="RXV116" s="15"/>
      <c r="RXW116" s="15"/>
      <c r="RXX116" s="15"/>
      <c r="RXY116" s="15"/>
      <c r="RXZ116" s="15"/>
      <c r="RYA116" s="15"/>
      <c r="RYB116" s="15"/>
      <c r="RYC116" s="15"/>
      <c r="RYD116" s="15"/>
      <c r="RYE116" s="15"/>
      <c r="RYF116" s="15"/>
      <c r="RYG116" s="15"/>
      <c r="RYH116" s="14"/>
      <c r="RYI116" s="15"/>
      <c r="RYJ116" s="15"/>
      <c r="RYK116" s="15"/>
      <c r="RYL116" s="15"/>
      <c r="RYM116" s="15"/>
      <c r="RYN116" s="15"/>
      <c r="RYO116" s="15"/>
      <c r="RYP116" s="15"/>
      <c r="RYQ116" s="15"/>
      <c r="RYR116" s="15"/>
      <c r="RYS116" s="15"/>
      <c r="RYT116" s="15"/>
      <c r="RYU116" s="15"/>
      <c r="RYV116" s="15"/>
      <c r="RYW116" s="15"/>
      <c r="RYX116" s="15"/>
      <c r="RYY116" s="15"/>
      <c r="RYZ116" s="15"/>
      <c r="RZA116" s="15"/>
      <c r="RZB116" s="15"/>
      <c r="RZC116" s="15"/>
      <c r="RZD116" s="14"/>
      <c r="RZE116" s="15"/>
      <c r="RZF116" s="15"/>
      <c r="RZG116" s="15"/>
      <c r="RZH116" s="15"/>
      <c r="RZI116" s="15"/>
      <c r="RZJ116" s="15"/>
      <c r="RZK116" s="15"/>
      <c r="RZL116" s="15"/>
      <c r="RZM116" s="15"/>
      <c r="RZN116" s="15"/>
      <c r="RZO116" s="15"/>
      <c r="RZP116" s="15"/>
      <c r="RZQ116" s="15"/>
      <c r="RZR116" s="15"/>
      <c r="RZS116" s="15"/>
      <c r="RZT116" s="15"/>
      <c r="RZU116" s="15"/>
      <c r="RZV116" s="15"/>
      <c r="RZW116" s="15"/>
      <c r="RZX116" s="15"/>
      <c r="RZY116" s="15"/>
      <c r="RZZ116" s="14"/>
      <c r="SAA116" s="15"/>
      <c r="SAB116" s="15"/>
      <c r="SAC116" s="15"/>
      <c r="SAD116" s="15"/>
      <c r="SAE116" s="15"/>
      <c r="SAF116" s="15"/>
      <c r="SAG116" s="15"/>
      <c r="SAH116" s="15"/>
      <c r="SAI116" s="15"/>
      <c r="SAJ116" s="15"/>
      <c r="SAK116" s="15"/>
      <c r="SAL116" s="15"/>
      <c r="SAM116" s="15"/>
      <c r="SAN116" s="15"/>
      <c r="SAO116" s="15"/>
      <c r="SAP116" s="15"/>
      <c r="SAQ116" s="15"/>
      <c r="SAR116" s="15"/>
      <c r="SAS116" s="15"/>
      <c r="SAT116" s="15"/>
      <c r="SAU116" s="15"/>
      <c r="SAV116" s="14"/>
      <c r="SAW116" s="15"/>
      <c r="SAX116" s="15"/>
      <c r="SAY116" s="15"/>
      <c r="SAZ116" s="15"/>
      <c r="SBA116" s="15"/>
      <c r="SBB116" s="15"/>
      <c r="SBC116" s="15"/>
      <c r="SBD116" s="15"/>
      <c r="SBE116" s="15"/>
      <c r="SBF116" s="15"/>
      <c r="SBG116" s="15"/>
      <c r="SBH116" s="15"/>
      <c r="SBI116" s="15"/>
      <c r="SBJ116" s="15"/>
      <c r="SBK116" s="15"/>
      <c r="SBL116" s="15"/>
      <c r="SBM116" s="15"/>
      <c r="SBN116" s="15"/>
      <c r="SBO116" s="15"/>
      <c r="SBP116" s="15"/>
      <c r="SBQ116" s="15"/>
      <c r="SBR116" s="14"/>
      <c r="SBS116" s="15"/>
      <c r="SBT116" s="15"/>
      <c r="SBU116" s="15"/>
      <c r="SBV116" s="15"/>
      <c r="SBW116" s="15"/>
      <c r="SBX116" s="15"/>
      <c r="SBY116" s="15"/>
      <c r="SBZ116" s="15"/>
      <c r="SCA116" s="15"/>
      <c r="SCB116" s="15"/>
      <c r="SCC116" s="15"/>
      <c r="SCD116" s="15"/>
      <c r="SCE116" s="15"/>
      <c r="SCF116" s="15"/>
      <c r="SCG116" s="15"/>
      <c r="SCH116" s="15"/>
      <c r="SCI116" s="15"/>
      <c r="SCJ116" s="15"/>
      <c r="SCK116" s="15"/>
      <c r="SCL116" s="15"/>
      <c r="SCM116" s="15"/>
      <c r="SCN116" s="14"/>
      <c r="SCO116" s="15"/>
      <c r="SCP116" s="15"/>
      <c r="SCQ116" s="15"/>
      <c r="SCR116" s="15"/>
      <c r="SCS116" s="15"/>
      <c r="SCT116" s="15"/>
      <c r="SCU116" s="15"/>
      <c r="SCV116" s="15"/>
      <c r="SCW116" s="15"/>
      <c r="SCX116" s="15"/>
      <c r="SCY116" s="15"/>
      <c r="SCZ116" s="15"/>
      <c r="SDA116" s="15"/>
      <c r="SDB116" s="15"/>
      <c r="SDC116" s="15"/>
      <c r="SDD116" s="15"/>
      <c r="SDE116" s="15"/>
      <c r="SDF116" s="15"/>
      <c r="SDG116" s="15"/>
      <c r="SDH116" s="15"/>
      <c r="SDI116" s="15"/>
      <c r="SDJ116" s="14"/>
      <c r="SDK116" s="15"/>
      <c r="SDL116" s="15"/>
      <c r="SDM116" s="15"/>
      <c r="SDN116" s="15"/>
      <c r="SDO116" s="15"/>
      <c r="SDP116" s="15"/>
      <c r="SDQ116" s="15"/>
      <c r="SDR116" s="15"/>
      <c r="SDS116" s="15"/>
      <c r="SDT116" s="15"/>
      <c r="SDU116" s="15"/>
      <c r="SDV116" s="15"/>
      <c r="SDW116" s="15"/>
      <c r="SDX116" s="15"/>
      <c r="SDY116" s="15"/>
      <c r="SDZ116" s="15"/>
      <c r="SEA116" s="15"/>
      <c r="SEB116" s="15"/>
      <c r="SEC116" s="15"/>
      <c r="SED116" s="15"/>
      <c r="SEE116" s="15"/>
      <c r="SEF116" s="14"/>
      <c r="SEG116" s="15"/>
      <c r="SEH116" s="15"/>
      <c r="SEI116" s="15"/>
      <c r="SEJ116" s="15"/>
      <c r="SEK116" s="15"/>
      <c r="SEL116" s="15"/>
      <c r="SEM116" s="15"/>
      <c r="SEN116" s="15"/>
      <c r="SEO116" s="15"/>
      <c r="SEP116" s="15"/>
      <c r="SEQ116" s="15"/>
      <c r="SER116" s="15"/>
      <c r="SES116" s="15"/>
      <c r="SET116" s="15"/>
      <c r="SEU116" s="15"/>
      <c r="SEV116" s="15"/>
      <c r="SEW116" s="15"/>
      <c r="SEX116" s="15"/>
      <c r="SEY116" s="15"/>
      <c r="SEZ116" s="15"/>
      <c r="SFA116" s="15"/>
      <c r="SFB116" s="14"/>
      <c r="SFC116" s="15"/>
      <c r="SFD116" s="15"/>
      <c r="SFE116" s="15"/>
      <c r="SFF116" s="15"/>
      <c r="SFG116" s="15"/>
      <c r="SFH116" s="15"/>
      <c r="SFI116" s="15"/>
      <c r="SFJ116" s="15"/>
      <c r="SFK116" s="15"/>
      <c r="SFL116" s="15"/>
      <c r="SFM116" s="15"/>
      <c r="SFN116" s="15"/>
      <c r="SFO116" s="15"/>
      <c r="SFP116" s="15"/>
      <c r="SFQ116" s="15"/>
      <c r="SFR116" s="15"/>
      <c r="SFS116" s="15"/>
      <c r="SFT116" s="15"/>
      <c r="SFU116" s="15"/>
      <c r="SFV116" s="15"/>
      <c r="SFW116" s="15"/>
      <c r="SFX116" s="14"/>
      <c r="SFY116" s="15"/>
      <c r="SFZ116" s="15"/>
      <c r="SGA116" s="15"/>
      <c r="SGB116" s="15"/>
      <c r="SGC116" s="15"/>
      <c r="SGD116" s="15"/>
      <c r="SGE116" s="15"/>
      <c r="SGF116" s="15"/>
      <c r="SGG116" s="15"/>
      <c r="SGH116" s="15"/>
      <c r="SGI116" s="15"/>
      <c r="SGJ116" s="15"/>
      <c r="SGK116" s="15"/>
      <c r="SGL116" s="15"/>
      <c r="SGM116" s="15"/>
      <c r="SGN116" s="15"/>
      <c r="SGO116" s="15"/>
      <c r="SGP116" s="15"/>
      <c r="SGQ116" s="15"/>
      <c r="SGR116" s="15"/>
      <c r="SGS116" s="15"/>
      <c r="SGT116" s="14"/>
      <c r="SGU116" s="15"/>
      <c r="SGV116" s="15"/>
      <c r="SGW116" s="15"/>
      <c r="SGX116" s="15"/>
      <c r="SGY116" s="15"/>
      <c r="SGZ116" s="15"/>
      <c r="SHA116" s="15"/>
      <c r="SHB116" s="15"/>
      <c r="SHC116" s="15"/>
      <c r="SHD116" s="15"/>
      <c r="SHE116" s="15"/>
      <c r="SHF116" s="15"/>
      <c r="SHG116" s="15"/>
      <c r="SHH116" s="15"/>
      <c r="SHI116" s="15"/>
      <c r="SHJ116" s="15"/>
      <c r="SHK116" s="15"/>
      <c r="SHL116" s="15"/>
      <c r="SHM116" s="15"/>
      <c r="SHN116" s="15"/>
      <c r="SHO116" s="15"/>
      <c r="SHP116" s="14"/>
      <c r="SHQ116" s="15"/>
      <c r="SHR116" s="15"/>
      <c r="SHS116" s="15"/>
      <c r="SHT116" s="15"/>
      <c r="SHU116" s="15"/>
      <c r="SHV116" s="15"/>
      <c r="SHW116" s="15"/>
      <c r="SHX116" s="15"/>
      <c r="SHY116" s="15"/>
      <c r="SHZ116" s="15"/>
      <c r="SIA116" s="15"/>
      <c r="SIB116" s="15"/>
      <c r="SIC116" s="15"/>
      <c r="SID116" s="15"/>
      <c r="SIE116" s="15"/>
      <c r="SIF116" s="15"/>
      <c r="SIG116" s="15"/>
      <c r="SIH116" s="15"/>
      <c r="SII116" s="15"/>
      <c r="SIJ116" s="15"/>
      <c r="SIK116" s="15"/>
      <c r="SIL116" s="14"/>
      <c r="SIM116" s="15"/>
      <c r="SIN116" s="15"/>
      <c r="SIO116" s="15"/>
      <c r="SIP116" s="15"/>
      <c r="SIQ116" s="15"/>
      <c r="SIR116" s="15"/>
      <c r="SIS116" s="15"/>
      <c r="SIT116" s="15"/>
      <c r="SIU116" s="15"/>
      <c r="SIV116" s="15"/>
      <c r="SIW116" s="15"/>
      <c r="SIX116" s="15"/>
      <c r="SIY116" s="15"/>
      <c r="SIZ116" s="15"/>
      <c r="SJA116" s="15"/>
      <c r="SJB116" s="15"/>
      <c r="SJC116" s="15"/>
      <c r="SJD116" s="15"/>
      <c r="SJE116" s="15"/>
      <c r="SJF116" s="15"/>
      <c r="SJG116" s="15"/>
      <c r="SJH116" s="14"/>
      <c r="SJI116" s="15"/>
      <c r="SJJ116" s="15"/>
      <c r="SJK116" s="15"/>
      <c r="SJL116" s="15"/>
      <c r="SJM116" s="15"/>
      <c r="SJN116" s="15"/>
      <c r="SJO116" s="15"/>
      <c r="SJP116" s="15"/>
      <c r="SJQ116" s="15"/>
      <c r="SJR116" s="15"/>
      <c r="SJS116" s="15"/>
      <c r="SJT116" s="15"/>
      <c r="SJU116" s="15"/>
      <c r="SJV116" s="15"/>
      <c r="SJW116" s="15"/>
      <c r="SJX116" s="15"/>
      <c r="SJY116" s="15"/>
      <c r="SJZ116" s="15"/>
      <c r="SKA116" s="15"/>
      <c r="SKB116" s="15"/>
      <c r="SKC116" s="15"/>
      <c r="SKD116" s="14"/>
      <c r="SKE116" s="15"/>
      <c r="SKF116" s="15"/>
      <c r="SKG116" s="15"/>
      <c r="SKH116" s="15"/>
      <c r="SKI116" s="15"/>
      <c r="SKJ116" s="15"/>
      <c r="SKK116" s="15"/>
      <c r="SKL116" s="15"/>
      <c r="SKM116" s="15"/>
      <c r="SKN116" s="15"/>
      <c r="SKO116" s="15"/>
      <c r="SKP116" s="15"/>
      <c r="SKQ116" s="15"/>
      <c r="SKR116" s="15"/>
      <c r="SKS116" s="15"/>
      <c r="SKT116" s="15"/>
      <c r="SKU116" s="15"/>
      <c r="SKV116" s="15"/>
      <c r="SKW116" s="15"/>
      <c r="SKX116" s="15"/>
      <c r="SKY116" s="15"/>
      <c r="SKZ116" s="14"/>
      <c r="SLA116" s="15"/>
      <c r="SLB116" s="15"/>
      <c r="SLC116" s="15"/>
      <c r="SLD116" s="15"/>
      <c r="SLE116" s="15"/>
      <c r="SLF116" s="15"/>
      <c r="SLG116" s="15"/>
      <c r="SLH116" s="15"/>
      <c r="SLI116" s="15"/>
      <c r="SLJ116" s="15"/>
      <c r="SLK116" s="15"/>
      <c r="SLL116" s="15"/>
      <c r="SLM116" s="15"/>
      <c r="SLN116" s="15"/>
      <c r="SLO116" s="15"/>
      <c r="SLP116" s="15"/>
      <c r="SLQ116" s="15"/>
      <c r="SLR116" s="15"/>
      <c r="SLS116" s="15"/>
      <c r="SLT116" s="15"/>
      <c r="SLU116" s="15"/>
      <c r="SLV116" s="14"/>
      <c r="SLW116" s="15"/>
      <c r="SLX116" s="15"/>
      <c r="SLY116" s="15"/>
      <c r="SLZ116" s="15"/>
      <c r="SMA116" s="15"/>
      <c r="SMB116" s="15"/>
      <c r="SMC116" s="15"/>
      <c r="SMD116" s="15"/>
      <c r="SME116" s="15"/>
      <c r="SMF116" s="15"/>
      <c r="SMG116" s="15"/>
      <c r="SMH116" s="15"/>
      <c r="SMI116" s="15"/>
      <c r="SMJ116" s="15"/>
      <c r="SMK116" s="15"/>
      <c r="SML116" s="15"/>
      <c r="SMM116" s="15"/>
      <c r="SMN116" s="15"/>
      <c r="SMO116" s="15"/>
      <c r="SMP116" s="15"/>
      <c r="SMQ116" s="15"/>
      <c r="SMR116" s="14"/>
      <c r="SMS116" s="15"/>
      <c r="SMT116" s="15"/>
      <c r="SMU116" s="15"/>
      <c r="SMV116" s="15"/>
      <c r="SMW116" s="15"/>
      <c r="SMX116" s="15"/>
      <c r="SMY116" s="15"/>
      <c r="SMZ116" s="15"/>
      <c r="SNA116" s="15"/>
      <c r="SNB116" s="15"/>
      <c r="SNC116" s="15"/>
      <c r="SND116" s="15"/>
      <c r="SNE116" s="15"/>
      <c r="SNF116" s="15"/>
      <c r="SNG116" s="15"/>
      <c r="SNH116" s="15"/>
      <c r="SNI116" s="15"/>
      <c r="SNJ116" s="15"/>
      <c r="SNK116" s="15"/>
      <c r="SNL116" s="15"/>
      <c r="SNM116" s="15"/>
      <c r="SNN116" s="14"/>
      <c r="SNO116" s="15"/>
      <c r="SNP116" s="15"/>
      <c r="SNQ116" s="15"/>
      <c r="SNR116" s="15"/>
      <c r="SNS116" s="15"/>
      <c r="SNT116" s="15"/>
      <c r="SNU116" s="15"/>
      <c r="SNV116" s="15"/>
      <c r="SNW116" s="15"/>
      <c r="SNX116" s="15"/>
      <c r="SNY116" s="15"/>
      <c r="SNZ116" s="15"/>
      <c r="SOA116" s="15"/>
      <c r="SOB116" s="15"/>
      <c r="SOC116" s="15"/>
      <c r="SOD116" s="15"/>
      <c r="SOE116" s="15"/>
      <c r="SOF116" s="15"/>
      <c r="SOG116" s="15"/>
      <c r="SOH116" s="15"/>
      <c r="SOI116" s="15"/>
      <c r="SOJ116" s="14"/>
      <c r="SOK116" s="15"/>
      <c r="SOL116" s="15"/>
      <c r="SOM116" s="15"/>
      <c r="SON116" s="15"/>
      <c r="SOO116" s="15"/>
      <c r="SOP116" s="15"/>
      <c r="SOQ116" s="15"/>
      <c r="SOR116" s="15"/>
      <c r="SOS116" s="15"/>
      <c r="SOT116" s="15"/>
      <c r="SOU116" s="15"/>
      <c r="SOV116" s="15"/>
      <c r="SOW116" s="15"/>
      <c r="SOX116" s="15"/>
      <c r="SOY116" s="15"/>
      <c r="SOZ116" s="15"/>
      <c r="SPA116" s="15"/>
      <c r="SPB116" s="15"/>
      <c r="SPC116" s="15"/>
      <c r="SPD116" s="15"/>
      <c r="SPE116" s="15"/>
      <c r="SPF116" s="14"/>
      <c r="SPG116" s="15"/>
      <c r="SPH116" s="15"/>
      <c r="SPI116" s="15"/>
      <c r="SPJ116" s="15"/>
      <c r="SPK116" s="15"/>
      <c r="SPL116" s="15"/>
      <c r="SPM116" s="15"/>
      <c r="SPN116" s="15"/>
      <c r="SPO116" s="15"/>
      <c r="SPP116" s="15"/>
      <c r="SPQ116" s="15"/>
      <c r="SPR116" s="15"/>
      <c r="SPS116" s="15"/>
      <c r="SPT116" s="15"/>
      <c r="SPU116" s="15"/>
      <c r="SPV116" s="15"/>
      <c r="SPW116" s="15"/>
      <c r="SPX116" s="15"/>
      <c r="SPY116" s="15"/>
      <c r="SPZ116" s="15"/>
      <c r="SQA116" s="15"/>
      <c r="SQB116" s="14"/>
      <c r="SQC116" s="15"/>
      <c r="SQD116" s="15"/>
      <c r="SQE116" s="15"/>
      <c r="SQF116" s="15"/>
      <c r="SQG116" s="15"/>
      <c r="SQH116" s="15"/>
      <c r="SQI116" s="15"/>
      <c r="SQJ116" s="15"/>
      <c r="SQK116" s="15"/>
      <c r="SQL116" s="15"/>
      <c r="SQM116" s="15"/>
      <c r="SQN116" s="15"/>
      <c r="SQO116" s="15"/>
      <c r="SQP116" s="15"/>
      <c r="SQQ116" s="15"/>
      <c r="SQR116" s="15"/>
      <c r="SQS116" s="15"/>
      <c r="SQT116" s="15"/>
      <c r="SQU116" s="15"/>
      <c r="SQV116" s="15"/>
      <c r="SQW116" s="15"/>
      <c r="SQX116" s="14"/>
      <c r="SQY116" s="15"/>
      <c r="SQZ116" s="15"/>
      <c r="SRA116" s="15"/>
      <c r="SRB116" s="15"/>
      <c r="SRC116" s="15"/>
      <c r="SRD116" s="15"/>
      <c r="SRE116" s="15"/>
      <c r="SRF116" s="15"/>
      <c r="SRG116" s="15"/>
      <c r="SRH116" s="15"/>
      <c r="SRI116" s="15"/>
      <c r="SRJ116" s="15"/>
      <c r="SRK116" s="15"/>
      <c r="SRL116" s="15"/>
      <c r="SRM116" s="15"/>
      <c r="SRN116" s="15"/>
      <c r="SRO116" s="15"/>
      <c r="SRP116" s="15"/>
      <c r="SRQ116" s="15"/>
      <c r="SRR116" s="15"/>
      <c r="SRS116" s="15"/>
      <c r="SRT116" s="14"/>
      <c r="SRU116" s="15"/>
      <c r="SRV116" s="15"/>
      <c r="SRW116" s="15"/>
      <c r="SRX116" s="15"/>
      <c r="SRY116" s="15"/>
      <c r="SRZ116" s="15"/>
      <c r="SSA116" s="15"/>
      <c r="SSB116" s="15"/>
      <c r="SSC116" s="15"/>
      <c r="SSD116" s="15"/>
      <c r="SSE116" s="15"/>
      <c r="SSF116" s="15"/>
      <c r="SSG116" s="15"/>
      <c r="SSH116" s="15"/>
      <c r="SSI116" s="15"/>
      <c r="SSJ116" s="15"/>
      <c r="SSK116" s="15"/>
      <c r="SSL116" s="15"/>
      <c r="SSM116" s="15"/>
      <c r="SSN116" s="15"/>
      <c r="SSO116" s="15"/>
      <c r="SSP116" s="14"/>
      <c r="SSQ116" s="15"/>
      <c r="SSR116" s="15"/>
      <c r="SSS116" s="15"/>
      <c r="SST116" s="15"/>
      <c r="SSU116" s="15"/>
      <c r="SSV116" s="15"/>
      <c r="SSW116" s="15"/>
      <c r="SSX116" s="15"/>
      <c r="SSY116" s="15"/>
      <c r="SSZ116" s="15"/>
      <c r="STA116" s="15"/>
      <c r="STB116" s="15"/>
      <c r="STC116" s="15"/>
      <c r="STD116" s="15"/>
      <c r="STE116" s="15"/>
      <c r="STF116" s="15"/>
      <c r="STG116" s="15"/>
      <c r="STH116" s="15"/>
      <c r="STI116" s="15"/>
      <c r="STJ116" s="15"/>
      <c r="STK116" s="15"/>
      <c r="STL116" s="14"/>
      <c r="STM116" s="15"/>
      <c r="STN116" s="15"/>
      <c r="STO116" s="15"/>
      <c r="STP116" s="15"/>
      <c r="STQ116" s="15"/>
      <c r="STR116" s="15"/>
      <c r="STS116" s="15"/>
      <c r="STT116" s="15"/>
      <c r="STU116" s="15"/>
      <c r="STV116" s="15"/>
      <c r="STW116" s="15"/>
      <c r="STX116" s="15"/>
      <c r="STY116" s="15"/>
      <c r="STZ116" s="15"/>
      <c r="SUA116" s="15"/>
      <c r="SUB116" s="15"/>
      <c r="SUC116" s="15"/>
      <c r="SUD116" s="15"/>
      <c r="SUE116" s="15"/>
      <c r="SUF116" s="15"/>
      <c r="SUG116" s="15"/>
      <c r="SUH116" s="14"/>
      <c r="SUI116" s="15"/>
      <c r="SUJ116" s="15"/>
      <c r="SUK116" s="15"/>
      <c r="SUL116" s="15"/>
      <c r="SUM116" s="15"/>
      <c r="SUN116" s="15"/>
      <c r="SUO116" s="15"/>
      <c r="SUP116" s="15"/>
      <c r="SUQ116" s="15"/>
      <c r="SUR116" s="15"/>
      <c r="SUS116" s="15"/>
      <c r="SUT116" s="15"/>
      <c r="SUU116" s="15"/>
      <c r="SUV116" s="15"/>
      <c r="SUW116" s="15"/>
      <c r="SUX116" s="15"/>
      <c r="SUY116" s="15"/>
      <c r="SUZ116" s="15"/>
      <c r="SVA116" s="15"/>
      <c r="SVB116" s="15"/>
      <c r="SVC116" s="15"/>
      <c r="SVD116" s="14"/>
      <c r="SVE116" s="15"/>
      <c r="SVF116" s="15"/>
      <c r="SVG116" s="15"/>
      <c r="SVH116" s="15"/>
      <c r="SVI116" s="15"/>
      <c r="SVJ116" s="15"/>
      <c r="SVK116" s="15"/>
      <c r="SVL116" s="15"/>
      <c r="SVM116" s="15"/>
      <c r="SVN116" s="15"/>
      <c r="SVO116" s="15"/>
      <c r="SVP116" s="15"/>
      <c r="SVQ116" s="15"/>
      <c r="SVR116" s="15"/>
      <c r="SVS116" s="15"/>
      <c r="SVT116" s="15"/>
      <c r="SVU116" s="15"/>
      <c r="SVV116" s="15"/>
      <c r="SVW116" s="15"/>
      <c r="SVX116" s="15"/>
      <c r="SVY116" s="15"/>
      <c r="SVZ116" s="14"/>
      <c r="SWA116" s="15"/>
      <c r="SWB116" s="15"/>
      <c r="SWC116" s="15"/>
      <c r="SWD116" s="15"/>
      <c r="SWE116" s="15"/>
      <c r="SWF116" s="15"/>
      <c r="SWG116" s="15"/>
      <c r="SWH116" s="15"/>
      <c r="SWI116" s="15"/>
      <c r="SWJ116" s="15"/>
      <c r="SWK116" s="15"/>
      <c r="SWL116" s="15"/>
      <c r="SWM116" s="15"/>
      <c r="SWN116" s="15"/>
      <c r="SWO116" s="15"/>
      <c r="SWP116" s="15"/>
      <c r="SWQ116" s="15"/>
      <c r="SWR116" s="15"/>
      <c r="SWS116" s="15"/>
      <c r="SWT116" s="15"/>
      <c r="SWU116" s="15"/>
      <c r="SWV116" s="14"/>
      <c r="SWW116" s="15"/>
      <c r="SWX116" s="15"/>
      <c r="SWY116" s="15"/>
      <c r="SWZ116" s="15"/>
      <c r="SXA116" s="15"/>
      <c r="SXB116" s="15"/>
      <c r="SXC116" s="15"/>
      <c r="SXD116" s="15"/>
      <c r="SXE116" s="15"/>
      <c r="SXF116" s="15"/>
      <c r="SXG116" s="15"/>
      <c r="SXH116" s="15"/>
      <c r="SXI116" s="15"/>
      <c r="SXJ116" s="15"/>
      <c r="SXK116" s="15"/>
      <c r="SXL116" s="15"/>
      <c r="SXM116" s="15"/>
      <c r="SXN116" s="15"/>
      <c r="SXO116" s="15"/>
      <c r="SXP116" s="15"/>
      <c r="SXQ116" s="15"/>
      <c r="SXR116" s="14"/>
      <c r="SXS116" s="15"/>
      <c r="SXT116" s="15"/>
      <c r="SXU116" s="15"/>
      <c r="SXV116" s="15"/>
      <c r="SXW116" s="15"/>
      <c r="SXX116" s="15"/>
      <c r="SXY116" s="15"/>
      <c r="SXZ116" s="15"/>
      <c r="SYA116" s="15"/>
      <c r="SYB116" s="15"/>
      <c r="SYC116" s="15"/>
      <c r="SYD116" s="15"/>
      <c r="SYE116" s="15"/>
      <c r="SYF116" s="15"/>
      <c r="SYG116" s="15"/>
      <c r="SYH116" s="15"/>
      <c r="SYI116" s="15"/>
      <c r="SYJ116" s="15"/>
      <c r="SYK116" s="15"/>
      <c r="SYL116" s="15"/>
      <c r="SYM116" s="15"/>
      <c r="SYN116" s="14"/>
      <c r="SYO116" s="15"/>
      <c r="SYP116" s="15"/>
      <c r="SYQ116" s="15"/>
      <c r="SYR116" s="15"/>
      <c r="SYS116" s="15"/>
      <c r="SYT116" s="15"/>
      <c r="SYU116" s="15"/>
      <c r="SYV116" s="15"/>
      <c r="SYW116" s="15"/>
      <c r="SYX116" s="15"/>
      <c r="SYY116" s="15"/>
      <c r="SYZ116" s="15"/>
      <c r="SZA116" s="15"/>
      <c r="SZB116" s="15"/>
      <c r="SZC116" s="15"/>
      <c r="SZD116" s="15"/>
      <c r="SZE116" s="15"/>
      <c r="SZF116" s="15"/>
      <c r="SZG116" s="15"/>
      <c r="SZH116" s="15"/>
      <c r="SZI116" s="15"/>
      <c r="SZJ116" s="14"/>
      <c r="SZK116" s="15"/>
      <c r="SZL116" s="15"/>
      <c r="SZM116" s="15"/>
      <c r="SZN116" s="15"/>
      <c r="SZO116" s="15"/>
      <c r="SZP116" s="15"/>
      <c r="SZQ116" s="15"/>
      <c r="SZR116" s="15"/>
      <c r="SZS116" s="15"/>
      <c r="SZT116" s="15"/>
      <c r="SZU116" s="15"/>
      <c r="SZV116" s="15"/>
      <c r="SZW116" s="15"/>
      <c r="SZX116" s="15"/>
      <c r="SZY116" s="15"/>
      <c r="SZZ116" s="15"/>
      <c r="TAA116" s="15"/>
      <c r="TAB116" s="15"/>
      <c r="TAC116" s="15"/>
      <c r="TAD116" s="15"/>
      <c r="TAE116" s="15"/>
      <c r="TAF116" s="14"/>
      <c r="TAG116" s="15"/>
      <c r="TAH116" s="15"/>
      <c r="TAI116" s="15"/>
      <c r="TAJ116" s="15"/>
      <c r="TAK116" s="15"/>
      <c r="TAL116" s="15"/>
      <c r="TAM116" s="15"/>
      <c r="TAN116" s="15"/>
      <c r="TAO116" s="15"/>
      <c r="TAP116" s="15"/>
      <c r="TAQ116" s="15"/>
      <c r="TAR116" s="15"/>
      <c r="TAS116" s="15"/>
      <c r="TAT116" s="15"/>
      <c r="TAU116" s="15"/>
      <c r="TAV116" s="15"/>
      <c r="TAW116" s="15"/>
      <c r="TAX116" s="15"/>
      <c r="TAY116" s="15"/>
      <c r="TAZ116" s="15"/>
      <c r="TBA116" s="15"/>
      <c r="TBB116" s="14"/>
      <c r="TBC116" s="15"/>
      <c r="TBD116" s="15"/>
      <c r="TBE116" s="15"/>
      <c r="TBF116" s="15"/>
      <c r="TBG116" s="15"/>
      <c r="TBH116" s="15"/>
      <c r="TBI116" s="15"/>
      <c r="TBJ116" s="15"/>
      <c r="TBK116" s="15"/>
      <c r="TBL116" s="15"/>
      <c r="TBM116" s="15"/>
      <c r="TBN116" s="15"/>
      <c r="TBO116" s="15"/>
      <c r="TBP116" s="15"/>
      <c r="TBQ116" s="15"/>
      <c r="TBR116" s="15"/>
      <c r="TBS116" s="15"/>
      <c r="TBT116" s="15"/>
      <c r="TBU116" s="15"/>
      <c r="TBV116" s="15"/>
      <c r="TBW116" s="15"/>
      <c r="TBX116" s="14"/>
      <c r="TBY116" s="15"/>
      <c r="TBZ116" s="15"/>
      <c r="TCA116" s="15"/>
      <c r="TCB116" s="15"/>
      <c r="TCC116" s="15"/>
      <c r="TCD116" s="15"/>
      <c r="TCE116" s="15"/>
      <c r="TCF116" s="15"/>
      <c r="TCG116" s="15"/>
      <c r="TCH116" s="15"/>
      <c r="TCI116" s="15"/>
      <c r="TCJ116" s="15"/>
      <c r="TCK116" s="15"/>
      <c r="TCL116" s="15"/>
      <c r="TCM116" s="15"/>
      <c r="TCN116" s="15"/>
      <c r="TCO116" s="15"/>
      <c r="TCP116" s="15"/>
      <c r="TCQ116" s="15"/>
      <c r="TCR116" s="15"/>
      <c r="TCS116" s="15"/>
      <c r="TCT116" s="14"/>
      <c r="TCU116" s="15"/>
      <c r="TCV116" s="15"/>
      <c r="TCW116" s="15"/>
      <c r="TCX116" s="15"/>
      <c r="TCY116" s="15"/>
      <c r="TCZ116" s="15"/>
      <c r="TDA116" s="15"/>
      <c r="TDB116" s="15"/>
      <c r="TDC116" s="15"/>
      <c r="TDD116" s="15"/>
      <c r="TDE116" s="15"/>
      <c r="TDF116" s="15"/>
      <c r="TDG116" s="15"/>
      <c r="TDH116" s="15"/>
      <c r="TDI116" s="15"/>
      <c r="TDJ116" s="15"/>
      <c r="TDK116" s="15"/>
      <c r="TDL116" s="15"/>
      <c r="TDM116" s="15"/>
      <c r="TDN116" s="15"/>
      <c r="TDO116" s="15"/>
      <c r="TDP116" s="14"/>
      <c r="TDQ116" s="15"/>
      <c r="TDR116" s="15"/>
      <c r="TDS116" s="15"/>
      <c r="TDT116" s="15"/>
      <c r="TDU116" s="15"/>
      <c r="TDV116" s="15"/>
      <c r="TDW116" s="15"/>
      <c r="TDX116" s="15"/>
      <c r="TDY116" s="15"/>
      <c r="TDZ116" s="15"/>
      <c r="TEA116" s="15"/>
      <c r="TEB116" s="15"/>
      <c r="TEC116" s="15"/>
      <c r="TED116" s="15"/>
      <c r="TEE116" s="15"/>
      <c r="TEF116" s="15"/>
      <c r="TEG116" s="15"/>
      <c r="TEH116" s="15"/>
      <c r="TEI116" s="15"/>
      <c r="TEJ116" s="15"/>
      <c r="TEK116" s="15"/>
      <c r="TEL116" s="14"/>
      <c r="TEM116" s="15"/>
      <c r="TEN116" s="15"/>
      <c r="TEO116" s="15"/>
      <c r="TEP116" s="15"/>
      <c r="TEQ116" s="15"/>
      <c r="TER116" s="15"/>
      <c r="TES116" s="15"/>
      <c r="TET116" s="15"/>
      <c r="TEU116" s="15"/>
      <c r="TEV116" s="15"/>
      <c r="TEW116" s="15"/>
      <c r="TEX116" s="15"/>
      <c r="TEY116" s="15"/>
      <c r="TEZ116" s="15"/>
      <c r="TFA116" s="15"/>
      <c r="TFB116" s="15"/>
      <c r="TFC116" s="15"/>
      <c r="TFD116" s="15"/>
      <c r="TFE116" s="15"/>
      <c r="TFF116" s="15"/>
      <c r="TFG116" s="15"/>
      <c r="TFH116" s="14"/>
      <c r="TFI116" s="15"/>
      <c r="TFJ116" s="15"/>
      <c r="TFK116" s="15"/>
      <c r="TFL116" s="15"/>
      <c r="TFM116" s="15"/>
      <c r="TFN116" s="15"/>
      <c r="TFO116" s="15"/>
      <c r="TFP116" s="15"/>
      <c r="TFQ116" s="15"/>
      <c r="TFR116" s="15"/>
      <c r="TFS116" s="15"/>
      <c r="TFT116" s="15"/>
      <c r="TFU116" s="15"/>
      <c r="TFV116" s="15"/>
      <c r="TFW116" s="15"/>
      <c r="TFX116" s="15"/>
      <c r="TFY116" s="15"/>
      <c r="TFZ116" s="15"/>
      <c r="TGA116" s="15"/>
      <c r="TGB116" s="15"/>
      <c r="TGC116" s="15"/>
      <c r="TGD116" s="14"/>
      <c r="TGE116" s="15"/>
      <c r="TGF116" s="15"/>
      <c r="TGG116" s="15"/>
      <c r="TGH116" s="15"/>
      <c r="TGI116" s="15"/>
      <c r="TGJ116" s="15"/>
      <c r="TGK116" s="15"/>
      <c r="TGL116" s="15"/>
      <c r="TGM116" s="15"/>
      <c r="TGN116" s="15"/>
      <c r="TGO116" s="15"/>
      <c r="TGP116" s="15"/>
      <c r="TGQ116" s="15"/>
      <c r="TGR116" s="15"/>
      <c r="TGS116" s="15"/>
      <c r="TGT116" s="15"/>
      <c r="TGU116" s="15"/>
      <c r="TGV116" s="15"/>
      <c r="TGW116" s="15"/>
      <c r="TGX116" s="15"/>
      <c r="TGY116" s="15"/>
      <c r="TGZ116" s="14"/>
      <c r="THA116" s="15"/>
      <c r="THB116" s="15"/>
      <c r="THC116" s="15"/>
      <c r="THD116" s="15"/>
      <c r="THE116" s="15"/>
      <c r="THF116" s="15"/>
      <c r="THG116" s="15"/>
      <c r="THH116" s="15"/>
      <c r="THI116" s="15"/>
      <c r="THJ116" s="15"/>
      <c r="THK116" s="15"/>
      <c r="THL116" s="15"/>
      <c r="THM116" s="15"/>
      <c r="THN116" s="15"/>
      <c r="THO116" s="15"/>
      <c r="THP116" s="15"/>
      <c r="THQ116" s="15"/>
      <c r="THR116" s="15"/>
      <c r="THS116" s="15"/>
      <c r="THT116" s="15"/>
      <c r="THU116" s="15"/>
      <c r="THV116" s="14"/>
      <c r="THW116" s="15"/>
      <c r="THX116" s="15"/>
      <c r="THY116" s="15"/>
      <c r="THZ116" s="15"/>
      <c r="TIA116" s="15"/>
      <c r="TIB116" s="15"/>
      <c r="TIC116" s="15"/>
      <c r="TID116" s="15"/>
      <c r="TIE116" s="15"/>
      <c r="TIF116" s="15"/>
      <c r="TIG116" s="15"/>
      <c r="TIH116" s="15"/>
      <c r="TII116" s="15"/>
      <c r="TIJ116" s="15"/>
      <c r="TIK116" s="15"/>
      <c r="TIL116" s="15"/>
      <c r="TIM116" s="15"/>
      <c r="TIN116" s="15"/>
      <c r="TIO116" s="15"/>
      <c r="TIP116" s="15"/>
      <c r="TIQ116" s="15"/>
      <c r="TIR116" s="14"/>
      <c r="TIS116" s="15"/>
      <c r="TIT116" s="15"/>
      <c r="TIU116" s="15"/>
      <c r="TIV116" s="15"/>
      <c r="TIW116" s="15"/>
      <c r="TIX116" s="15"/>
      <c r="TIY116" s="15"/>
      <c r="TIZ116" s="15"/>
      <c r="TJA116" s="15"/>
      <c r="TJB116" s="15"/>
      <c r="TJC116" s="15"/>
      <c r="TJD116" s="15"/>
      <c r="TJE116" s="15"/>
      <c r="TJF116" s="15"/>
      <c r="TJG116" s="15"/>
      <c r="TJH116" s="15"/>
      <c r="TJI116" s="15"/>
      <c r="TJJ116" s="15"/>
      <c r="TJK116" s="15"/>
      <c r="TJL116" s="15"/>
      <c r="TJM116" s="15"/>
      <c r="TJN116" s="14"/>
      <c r="TJO116" s="15"/>
      <c r="TJP116" s="15"/>
      <c r="TJQ116" s="15"/>
      <c r="TJR116" s="15"/>
      <c r="TJS116" s="15"/>
      <c r="TJT116" s="15"/>
      <c r="TJU116" s="15"/>
      <c r="TJV116" s="15"/>
      <c r="TJW116" s="15"/>
      <c r="TJX116" s="15"/>
      <c r="TJY116" s="15"/>
      <c r="TJZ116" s="15"/>
      <c r="TKA116" s="15"/>
      <c r="TKB116" s="15"/>
      <c r="TKC116" s="15"/>
      <c r="TKD116" s="15"/>
      <c r="TKE116" s="15"/>
      <c r="TKF116" s="15"/>
      <c r="TKG116" s="15"/>
      <c r="TKH116" s="15"/>
      <c r="TKI116" s="15"/>
      <c r="TKJ116" s="14"/>
      <c r="TKK116" s="15"/>
      <c r="TKL116" s="15"/>
      <c r="TKM116" s="15"/>
      <c r="TKN116" s="15"/>
      <c r="TKO116" s="15"/>
      <c r="TKP116" s="15"/>
      <c r="TKQ116" s="15"/>
      <c r="TKR116" s="15"/>
      <c r="TKS116" s="15"/>
      <c r="TKT116" s="15"/>
      <c r="TKU116" s="15"/>
      <c r="TKV116" s="15"/>
      <c r="TKW116" s="15"/>
      <c r="TKX116" s="15"/>
      <c r="TKY116" s="15"/>
      <c r="TKZ116" s="15"/>
      <c r="TLA116" s="15"/>
      <c r="TLB116" s="15"/>
      <c r="TLC116" s="15"/>
      <c r="TLD116" s="15"/>
      <c r="TLE116" s="15"/>
      <c r="TLF116" s="14"/>
      <c r="TLG116" s="15"/>
      <c r="TLH116" s="15"/>
      <c r="TLI116" s="15"/>
      <c r="TLJ116" s="15"/>
      <c r="TLK116" s="15"/>
      <c r="TLL116" s="15"/>
      <c r="TLM116" s="15"/>
      <c r="TLN116" s="15"/>
      <c r="TLO116" s="15"/>
      <c r="TLP116" s="15"/>
      <c r="TLQ116" s="15"/>
      <c r="TLR116" s="15"/>
      <c r="TLS116" s="15"/>
      <c r="TLT116" s="15"/>
      <c r="TLU116" s="15"/>
      <c r="TLV116" s="15"/>
      <c r="TLW116" s="15"/>
      <c r="TLX116" s="15"/>
      <c r="TLY116" s="15"/>
      <c r="TLZ116" s="15"/>
      <c r="TMA116" s="15"/>
      <c r="TMB116" s="14"/>
      <c r="TMC116" s="15"/>
      <c r="TMD116" s="15"/>
      <c r="TME116" s="15"/>
      <c r="TMF116" s="15"/>
      <c r="TMG116" s="15"/>
      <c r="TMH116" s="15"/>
      <c r="TMI116" s="15"/>
      <c r="TMJ116" s="15"/>
      <c r="TMK116" s="15"/>
      <c r="TML116" s="15"/>
      <c r="TMM116" s="15"/>
      <c r="TMN116" s="15"/>
      <c r="TMO116" s="15"/>
      <c r="TMP116" s="15"/>
      <c r="TMQ116" s="15"/>
      <c r="TMR116" s="15"/>
      <c r="TMS116" s="15"/>
      <c r="TMT116" s="15"/>
      <c r="TMU116" s="15"/>
      <c r="TMV116" s="15"/>
      <c r="TMW116" s="15"/>
      <c r="TMX116" s="14"/>
      <c r="TMY116" s="15"/>
      <c r="TMZ116" s="15"/>
      <c r="TNA116" s="15"/>
      <c r="TNB116" s="15"/>
      <c r="TNC116" s="15"/>
      <c r="TND116" s="15"/>
      <c r="TNE116" s="15"/>
      <c r="TNF116" s="15"/>
      <c r="TNG116" s="15"/>
      <c r="TNH116" s="15"/>
      <c r="TNI116" s="15"/>
      <c r="TNJ116" s="15"/>
      <c r="TNK116" s="15"/>
      <c r="TNL116" s="15"/>
      <c r="TNM116" s="15"/>
      <c r="TNN116" s="15"/>
      <c r="TNO116" s="15"/>
      <c r="TNP116" s="15"/>
      <c r="TNQ116" s="15"/>
      <c r="TNR116" s="15"/>
      <c r="TNS116" s="15"/>
      <c r="TNT116" s="14"/>
      <c r="TNU116" s="15"/>
      <c r="TNV116" s="15"/>
      <c r="TNW116" s="15"/>
      <c r="TNX116" s="15"/>
      <c r="TNY116" s="15"/>
      <c r="TNZ116" s="15"/>
      <c r="TOA116" s="15"/>
      <c r="TOB116" s="15"/>
      <c r="TOC116" s="15"/>
      <c r="TOD116" s="15"/>
      <c r="TOE116" s="15"/>
      <c r="TOF116" s="15"/>
      <c r="TOG116" s="15"/>
      <c r="TOH116" s="15"/>
      <c r="TOI116" s="15"/>
      <c r="TOJ116" s="15"/>
      <c r="TOK116" s="15"/>
      <c r="TOL116" s="15"/>
      <c r="TOM116" s="15"/>
      <c r="TON116" s="15"/>
      <c r="TOO116" s="15"/>
      <c r="TOP116" s="14"/>
      <c r="TOQ116" s="15"/>
      <c r="TOR116" s="15"/>
      <c r="TOS116" s="15"/>
      <c r="TOT116" s="15"/>
      <c r="TOU116" s="15"/>
      <c r="TOV116" s="15"/>
      <c r="TOW116" s="15"/>
      <c r="TOX116" s="15"/>
      <c r="TOY116" s="15"/>
      <c r="TOZ116" s="15"/>
      <c r="TPA116" s="15"/>
      <c r="TPB116" s="15"/>
      <c r="TPC116" s="15"/>
      <c r="TPD116" s="15"/>
      <c r="TPE116" s="15"/>
      <c r="TPF116" s="15"/>
      <c r="TPG116" s="15"/>
      <c r="TPH116" s="15"/>
      <c r="TPI116" s="15"/>
      <c r="TPJ116" s="15"/>
      <c r="TPK116" s="15"/>
      <c r="TPL116" s="14"/>
      <c r="TPM116" s="15"/>
      <c r="TPN116" s="15"/>
      <c r="TPO116" s="15"/>
      <c r="TPP116" s="15"/>
      <c r="TPQ116" s="15"/>
      <c r="TPR116" s="15"/>
      <c r="TPS116" s="15"/>
      <c r="TPT116" s="15"/>
      <c r="TPU116" s="15"/>
      <c r="TPV116" s="15"/>
      <c r="TPW116" s="15"/>
      <c r="TPX116" s="15"/>
      <c r="TPY116" s="15"/>
      <c r="TPZ116" s="15"/>
      <c r="TQA116" s="15"/>
      <c r="TQB116" s="15"/>
      <c r="TQC116" s="15"/>
      <c r="TQD116" s="15"/>
      <c r="TQE116" s="15"/>
      <c r="TQF116" s="15"/>
      <c r="TQG116" s="15"/>
      <c r="TQH116" s="14"/>
      <c r="TQI116" s="15"/>
      <c r="TQJ116" s="15"/>
      <c r="TQK116" s="15"/>
      <c r="TQL116" s="15"/>
      <c r="TQM116" s="15"/>
      <c r="TQN116" s="15"/>
      <c r="TQO116" s="15"/>
      <c r="TQP116" s="15"/>
      <c r="TQQ116" s="15"/>
      <c r="TQR116" s="15"/>
      <c r="TQS116" s="15"/>
      <c r="TQT116" s="15"/>
      <c r="TQU116" s="15"/>
      <c r="TQV116" s="15"/>
      <c r="TQW116" s="15"/>
      <c r="TQX116" s="15"/>
      <c r="TQY116" s="15"/>
      <c r="TQZ116" s="15"/>
      <c r="TRA116" s="15"/>
      <c r="TRB116" s="15"/>
      <c r="TRC116" s="15"/>
      <c r="TRD116" s="14"/>
      <c r="TRE116" s="15"/>
      <c r="TRF116" s="15"/>
      <c r="TRG116" s="15"/>
      <c r="TRH116" s="15"/>
      <c r="TRI116" s="15"/>
      <c r="TRJ116" s="15"/>
      <c r="TRK116" s="15"/>
      <c r="TRL116" s="15"/>
      <c r="TRM116" s="15"/>
      <c r="TRN116" s="15"/>
      <c r="TRO116" s="15"/>
      <c r="TRP116" s="15"/>
      <c r="TRQ116" s="15"/>
      <c r="TRR116" s="15"/>
      <c r="TRS116" s="15"/>
      <c r="TRT116" s="15"/>
      <c r="TRU116" s="15"/>
      <c r="TRV116" s="15"/>
      <c r="TRW116" s="15"/>
      <c r="TRX116" s="15"/>
      <c r="TRY116" s="15"/>
      <c r="TRZ116" s="14"/>
      <c r="TSA116" s="15"/>
      <c r="TSB116" s="15"/>
      <c r="TSC116" s="15"/>
      <c r="TSD116" s="15"/>
      <c r="TSE116" s="15"/>
      <c r="TSF116" s="15"/>
      <c r="TSG116" s="15"/>
      <c r="TSH116" s="15"/>
      <c r="TSI116" s="15"/>
      <c r="TSJ116" s="15"/>
      <c r="TSK116" s="15"/>
      <c r="TSL116" s="15"/>
      <c r="TSM116" s="15"/>
      <c r="TSN116" s="15"/>
      <c r="TSO116" s="15"/>
      <c r="TSP116" s="15"/>
      <c r="TSQ116" s="15"/>
      <c r="TSR116" s="15"/>
      <c r="TSS116" s="15"/>
      <c r="TST116" s="15"/>
      <c r="TSU116" s="15"/>
      <c r="TSV116" s="14"/>
      <c r="TSW116" s="15"/>
      <c r="TSX116" s="15"/>
      <c r="TSY116" s="15"/>
      <c r="TSZ116" s="15"/>
      <c r="TTA116" s="15"/>
      <c r="TTB116" s="15"/>
      <c r="TTC116" s="15"/>
      <c r="TTD116" s="15"/>
      <c r="TTE116" s="15"/>
      <c r="TTF116" s="15"/>
      <c r="TTG116" s="15"/>
      <c r="TTH116" s="15"/>
      <c r="TTI116" s="15"/>
      <c r="TTJ116" s="15"/>
      <c r="TTK116" s="15"/>
      <c r="TTL116" s="15"/>
      <c r="TTM116" s="15"/>
      <c r="TTN116" s="15"/>
      <c r="TTO116" s="15"/>
      <c r="TTP116" s="15"/>
      <c r="TTQ116" s="15"/>
      <c r="TTR116" s="14"/>
      <c r="TTS116" s="15"/>
      <c r="TTT116" s="15"/>
      <c r="TTU116" s="15"/>
      <c r="TTV116" s="15"/>
      <c r="TTW116" s="15"/>
      <c r="TTX116" s="15"/>
      <c r="TTY116" s="15"/>
      <c r="TTZ116" s="15"/>
      <c r="TUA116" s="15"/>
      <c r="TUB116" s="15"/>
      <c r="TUC116" s="15"/>
      <c r="TUD116" s="15"/>
      <c r="TUE116" s="15"/>
      <c r="TUF116" s="15"/>
      <c r="TUG116" s="15"/>
      <c r="TUH116" s="15"/>
      <c r="TUI116" s="15"/>
      <c r="TUJ116" s="15"/>
      <c r="TUK116" s="15"/>
      <c r="TUL116" s="15"/>
      <c r="TUM116" s="15"/>
      <c r="TUN116" s="14"/>
      <c r="TUO116" s="15"/>
      <c r="TUP116" s="15"/>
      <c r="TUQ116" s="15"/>
      <c r="TUR116" s="15"/>
      <c r="TUS116" s="15"/>
      <c r="TUT116" s="15"/>
      <c r="TUU116" s="15"/>
      <c r="TUV116" s="15"/>
      <c r="TUW116" s="15"/>
      <c r="TUX116" s="15"/>
      <c r="TUY116" s="15"/>
      <c r="TUZ116" s="15"/>
      <c r="TVA116" s="15"/>
      <c r="TVB116" s="15"/>
      <c r="TVC116" s="15"/>
      <c r="TVD116" s="15"/>
      <c r="TVE116" s="15"/>
      <c r="TVF116" s="15"/>
      <c r="TVG116" s="15"/>
      <c r="TVH116" s="15"/>
      <c r="TVI116" s="15"/>
      <c r="TVJ116" s="14"/>
      <c r="TVK116" s="15"/>
      <c r="TVL116" s="15"/>
      <c r="TVM116" s="15"/>
      <c r="TVN116" s="15"/>
      <c r="TVO116" s="15"/>
      <c r="TVP116" s="15"/>
      <c r="TVQ116" s="15"/>
      <c r="TVR116" s="15"/>
      <c r="TVS116" s="15"/>
      <c r="TVT116" s="15"/>
      <c r="TVU116" s="15"/>
      <c r="TVV116" s="15"/>
      <c r="TVW116" s="15"/>
      <c r="TVX116" s="15"/>
      <c r="TVY116" s="15"/>
      <c r="TVZ116" s="15"/>
      <c r="TWA116" s="15"/>
      <c r="TWB116" s="15"/>
      <c r="TWC116" s="15"/>
      <c r="TWD116" s="15"/>
      <c r="TWE116" s="15"/>
      <c r="TWF116" s="14"/>
      <c r="TWG116" s="15"/>
      <c r="TWH116" s="15"/>
      <c r="TWI116" s="15"/>
      <c r="TWJ116" s="15"/>
      <c r="TWK116" s="15"/>
      <c r="TWL116" s="15"/>
      <c r="TWM116" s="15"/>
      <c r="TWN116" s="15"/>
      <c r="TWO116" s="15"/>
      <c r="TWP116" s="15"/>
      <c r="TWQ116" s="15"/>
      <c r="TWR116" s="15"/>
      <c r="TWS116" s="15"/>
      <c r="TWT116" s="15"/>
      <c r="TWU116" s="15"/>
      <c r="TWV116" s="15"/>
      <c r="TWW116" s="15"/>
      <c r="TWX116" s="15"/>
      <c r="TWY116" s="15"/>
      <c r="TWZ116" s="15"/>
      <c r="TXA116" s="15"/>
      <c r="TXB116" s="14"/>
      <c r="TXC116" s="15"/>
      <c r="TXD116" s="15"/>
      <c r="TXE116" s="15"/>
      <c r="TXF116" s="15"/>
      <c r="TXG116" s="15"/>
      <c r="TXH116" s="15"/>
      <c r="TXI116" s="15"/>
      <c r="TXJ116" s="15"/>
      <c r="TXK116" s="15"/>
      <c r="TXL116" s="15"/>
      <c r="TXM116" s="15"/>
      <c r="TXN116" s="15"/>
      <c r="TXO116" s="15"/>
      <c r="TXP116" s="15"/>
      <c r="TXQ116" s="15"/>
      <c r="TXR116" s="15"/>
      <c r="TXS116" s="15"/>
      <c r="TXT116" s="15"/>
      <c r="TXU116" s="15"/>
      <c r="TXV116" s="15"/>
      <c r="TXW116" s="15"/>
      <c r="TXX116" s="14"/>
      <c r="TXY116" s="15"/>
      <c r="TXZ116" s="15"/>
      <c r="TYA116" s="15"/>
      <c r="TYB116" s="15"/>
      <c r="TYC116" s="15"/>
      <c r="TYD116" s="15"/>
      <c r="TYE116" s="15"/>
      <c r="TYF116" s="15"/>
      <c r="TYG116" s="15"/>
      <c r="TYH116" s="15"/>
      <c r="TYI116" s="15"/>
      <c r="TYJ116" s="15"/>
      <c r="TYK116" s="15"/>
      <c r="TYL116" s="15"/>
      <c r="TYM116" s="15"/>
      <c r="TYN116" s="15"/>
      <c r="TYO116" s="15"/>
      <c r="TYP116" s="15"/>
      <c r="TYQ116" s="15"/>
      <c r="TYR116" s="15"/>
      <c r="TYS116" s="15"/>
      <c r="TYT116" s="14"/>
      <c r="TYU116" s="15"/>
      <c r="TYV116" s="15"/>
      <c r="TYW116" s="15"/>
      <c r="TYX116" s="15"/>
      <c r="TYY116" s="15"/>
      <c r="TYZ116" s="15"/>
      <c r="TZA116" s="15"/>
      <c r="TZB116" s="15"/>
      <c r="TZC116" s="15"/>
      <c r="TZD116" s="15"/>
      <c r="TZE116" s="15"/>
      <c r="TZF116" s="15"/>
      <c r="TZG116" s="15"/>
      <c r="TZH116" s="15"/>
      <c r="TZI116" s="15"/>
      <c r="TZJ116" s="15"/>
      <c r="TZK116" s="15"/>
      <c r="TZL116" s="15"/>
      <c r="TZM116" s="15"/>
      <c r="TZN116" s="15"/>
      <c r="TZO116" s="15"/>
      <c r="TZP116" s="14"/>
      <c r="TZQ116" s="15"/>
      <c r="TZR116" s="15"/>
      <c r="TZS116" s="15"/>
      <c r="TZT116" s="15"/>
      <c r="TZU116" s="15"/>
      <c r="TZV116" s="15"/>
      <c r="TZW116" s="15"/>
      <c r="TZX116" s="15"/>
      <c r="TZY116" s="15"/>
      <c r="TZZ116" s="15"/>
      <c r="UAA116" s="15"/>
      <c r="UAB116" s="15"/>
      <c r="UAC116" s="15"/>
      <c r="UAD116" s="15"/>
      <c r="UAE116" s="15"/>
      <c r="UAF116" s="15"/>
      <c r="UAG116" s="15"/>
      <c r="UAH116" s="15"/>
      <c r="UAI116" s="15"/>
      <c r="UAJ116" s="15"/>
      <c r="UAK116" s="15"/>
      <c r="UAL116" s="14"/>
      <c r="UAM116" s="15"/>
      <c r="UAN116" s="15"/>
      <c r="UAO116" s="15"/>
      <c r="UAP116" s="15"/>
      <c r="UAQ116" s="15"/>
      <c r="UAR116" s="15"/>
      <c r="UAS116" s="15"/>
      <c r="UAT116" s="15"/>
      <c r="UAU116" s="15"/>
      <c r="UAV116" s="15"/>
      <c r="UAW116" s="15"/>
      <c r="UAX116" s="15"/>
      <c r="UAY116" s="15"/>
      <c r="UAZ116" s="15"/>
      <c r="UBA116" s="15"/>
      <c r="UBB116" s="15"/>
      <c r="UBC116" s="15"/>
      <c r="UBD116" s="15"/>
      <c r="UBE116" s="15"/>
      <c r="UBF116" s="15"/>
      <c r="UBG116" s="15"/>
      <c r="UBH116" s="14"/>
      <c r="UBI116" s="15"/>
      <c r="UBJ116" s="15"/>
      <c r="UBK116" s="15"/>
      <c r="UBL116" s="15"/>
      <c r="UBM116" s="15"/>
      <c r="UBN116" s="15"/>
      <c r="UBO116" s="15"/>
      <c r="UBP116" s="15"/>
      <c r="UBQ116" s="15"/>
      <c r="UBR116" s="15"/>
      <c r="UBS116" s="15"/>
      <c r="UBT116" s="15"/>
      <c r="UBU116" s="15"/>
      <c r="UBV116" s="15"/>
      <c r="UBW116" s="15"/>
      <c r="UBX116" s="15"/>
      <c r="UBY116" s="15"/>
      <c r="UBZ116" s="15"/>
      <c r="UCA116" s="15"/>
      <c r="UCB116" s="15"/>
      <c r="UCC116" s="15"/>
      <c r="UCD116" s="14"/>
      <c r="UCE116" s="15"/>
      <c r="UCF116" s="15"/>
      <c r="UCG116" s="15"/>
      <c r="UCH116" s="15"/>
      <c r="UCI116" s="15"/>
      <c r="UCJ116" s="15"/>
      <c r="UCK116" s="15"/>
      <c r="UCL116" s="15"/>
      <c r="UCM116" s="15"/>
      <c r="UCN116" s="15"/>
      <c r="UCO116" s="15"/>
      <c r="UCP116" s="15"/>
      <c r="UCQ116" s="15"/>
      <c r="UCR116" s="15"/>
      <c r="UCS116" s="15"/>
      <c r="UCT116" s="15"/>
      <c r="UCU116" s="15"/>
      <c r="UCV116" s="15"/>
      <c r="UCW116" s="15"/>
      <c r="UCX116" s="15"/>
      <c r="UCY116" s="15"/>
      <c r="UCZ116" s="14"/>
      <c r="UDA116" s="15"/>
      <c r="UDB116" s="15"/>
      <c r="UDC116" s="15"/>
      <c r="UDD116" s="15"/>
      <c r="UDE116" s="15"/>
      <c r="UDF116" s="15"/>
      <c r="UDG116" s="15"/>
      <c r="UDH116" s="15"/>
      <c r="UDI116" s="15"/>
      <c r="UDJ116" s="15"/>
      <c r="UDK116" s="15"/>
      <c r="UDL116" s="15"/>
      <c r="UDM116" s="15"/>
      <c r="UDN116" s="15"/>
      <c r="UDO116" s="15"/>
      <c r="UDP116" s="15"/>
      <c r="UDQ116" s="15"/>
      <c r="UDR116" s="15"/>
      <c r="UDS116" s="15"/>
      <c r="UDT116" s="15"/>
      <c r="UDU116" s="15"/>
      <c r="UDV116" s="14"/>
      <c r="UDW116" s="15"/>
      <c r="UDX116" s="15"/>
      <c r="UDY116" s="15"/>
      <c r="UDZ116" s="15"/>
      <c r="UEA116" s="15"/>
      <c r="UEB116" s="15"/>
      <c r="UEC116" s="15"/>
      <c r="UED116" s="15"/>
      <c r="UEE116" s="15"/>
      <c r="UEF116" s="15"/>
      <c r="UEG116" s="15"/>
      <c r="UEH116" s="15"/>
      <c r="UEI116" s="15"/>
      <c r="UEJ116" s="15"/>
      <c r="UEK116" s="15"/>
      <c r="UEL116" s="15"/>
      <c r="UEM116" s="15"/>
      <c r="UEN116" s="15"/>
      <c r="UEO116" s="15"/>
      <c r="UEP116" s="15"/>
      <c r="UEQ116" s="15"/>
      <c r="UER116" s="14"/>
      <c r="UES116" s="15"/>
      <c r="UET116" s="15"/>
      <c r="UEU116" s="15"/>
      <c r="UEV116" s="15"/>
      <c r="UEW116" s="15"/>
      <c r="UEX116" s="15"/>
      <c r="UEY116" s="15"/>
      <c r="UEZ116" s="15"/>
      <c r="UFA116" s="15"/>
      <c r="UFB116" s="15"/>
      <c r="UFC116" s="15"/>
      <c r="UFD116" s="15"/>
      <c r="UFE116" s="15"/>
      <c r="UFF116" s="15"/>
      <c r="UFG116" s="15"/>
      <c r="UFH116" s="15"/>
      <c r="UFI116" s="15"/>
      <c r="UFJ116" s="15"/>
      <c r="UFK116" s="15"/>
      <c r="UFL116" s="15"/>
      <c r="UFM116" s="15"/>
      <c r="UFN116" s="14"/>
      <c r="UFO116" s="15"/>
      <c r="UFP116" s="15"/>
      <c r="UFQ116" s="15"/>
      <c r="UFR116" s="15"/>
      <c r="UFS116" s="15"/>
      <c r="UFT116" s="15"/>
      <c r="UFU116" s="15"/>
      <c r="UFV116" s="15"/>
      <c r="UFW116" s="15"/>
      <c r="UFX116" s="15"/>
      <c r="UFY116" s="15"/>
      <c r="UFZ116" s="15"/>
      <c r="UGA116" s="15"/>
      <c r="UGB116" s="15"/>
      <c r="UGC116" s="15"/>
      <c r="UGD116" s="15"/>
      <c r="UGE116" s="15"/>
      <c r="UGF116" s="15"/>
      <c r="UGG116" s="15"/>
      <c r="UGH116" s="15"/>
      <c r="UGI116" s="15"/>
      <c r="UGJ116" s="14"/>
      <c r="UGK116" s="15"/>
      <c r="UGL116" s="15"/>
      <c r="UGM116" s="15"/>
      <c r="UGN116" s="15"/>
      <c r="UGO116" s="15"/>
      <c r="UGP116" s="15"/>
      <c r="UGQ116" s="15"/>
      <c r="UGR116" s="15"/>
      <c r="UGS116" s="15"/>
      <c r="UGT116" s="15"/>
      <c r="UGU116" s="15"/>
      <c r="UGV116" s="15"/>
      <c r="UGW116" s="15"/>
      <c r="UGX116" s="15"/>
      <c r="UGY116" s="15"/>
      <c r="UGZ116" s="15"/>
      <c r="UHA116" s="15"/>
      <c r="UHB116" s="15"/>
      <c r="UHC116" s="15"/>
      <c r="UHD116" s="15"/>
      <c r="UHE116" s="15"/>
      <c r="UHF116" s="14"/>
      <c r="UHG116" s="15"/>
      <c r="UHH116" s="15"/>
      <c r="UHI116" s="15"/>
      <c r="UHJ116" s="15"/>
      <c r="UHK116" s="15"/>
      <c r="UHL116" s="15"/>
      <c r="UHM116" s="15"/>
      <c r="UHN116" s="15"/>
      <c r="UHO116" s="15"/>
      <c r="UHP116" s="15"/>
      <c r="UHQ116" s="15"/>
      <c r="UHR116" s="15"/>
      <c r="UHS116" s="15"/>
      <c r="UHT116" s="15"/>
      <c r="UHU116" s="15"/>
      <c r="UHV116" s="15"/>
      <c r="UHW116" s="15"/>
      <c r="UHX116" s="15"/>
      <c r="UHY116" s="15"/>
      <c r="UHZ116" s="15"/>
      <c r="UIA116" s="15"/>
      <c r="UIB116" s="14"/>
      <c r="UIC116" s="15"/>
      <c r="UID116" s="15"/>
      <c r="UIE116" s="15"/>
      <c r="UIF116" s="15"/>
      <c r="UIG116" s="15"/>
      <c r="UIH116" s="15"/>
      <c r="UII116" s="15"/>
      <c r="UIJ116" s="15"/>
      <c r="UIK116" s="15"/>
      <c r="UIL116" s="15"/>
      <c r="UIM116" s="15"/>
      <c r="UIN116" s="15"/>
      <c r="UIO116" s="15"/>
      <c r="UIP116" s="15"/>
      <c r="UIQ116" s="15"/>
      <c r="UIR116" s="15"/>
      <c r="UIS116" s="15"/>
      <c r="UIT116" s="15"/>
      <c r="UIU116" s="15"/>
      <c r="UIV116" s="15"/>
      <c r="UIW116" s="15"/>
      <c r="UIX116" s="14"/>
      <c r="UIY116" s="15"/>
      <c r="UIZ116" s="15"/>
      <c r="UJA116" s="15"/>
      <c r="UJB116" s="15"/>
      <c r="UJC116" s="15"/>
      <c r="UJD116" s="15"/>
      <c r="UJE116" s="15"/>
      <c r="UJF116" s="15"/>
      <c r="UJG116" s="15"/>
      <c r="UJH116" s="15"/>
      <c r="UJI116" s="15"/>
      <c r="UJJ116" s="15"/>
      <c r="UJK116" s="15"/>
      <c r="UJL116" s="15"/>
      <c r="UJM116" s="15"/>
      <c r="UJN116" s="15"/>
      <c r="UJO116" s="15"/>
      <c r="UJP116" s="15"/>
      <c r="UJQ116" s="15"/>
      <c r="UJR116" s="15"/>
      <c r="UJS116" s="15"/>
      <c r="UJT116" s="14"/>
      <c r="UJU116" s="15"/>
      <c r="UJV116" s="15"/>
      <c r="UJW116" s="15"/>
      <c r="UJX116" s="15"/>
      <c r="UJY116" s="15"/>
      <c r="UJZ116" s="15"/>
      <c r="UKA116" s="15"/>
      <c r="UKB116" s="15"/>
      <c r="UKC116" s="15"/>
      <c r="UKD116" s="15"/>
      <c r="UKE116" s="15"/>
      <c r="UKF116" s="15"/>
      <c r="UKG116" s="15"/>
      <c r="UKH116" s="15"/>
      <c r="UKI116" s="15"/>
      <c r="UKJ116" s="15"/>
      <c r="UKK116" s="15"/>
      <c r="UKL116" s="15"/>
      <c r="UKM116" s="15"/>
      <c r="UKN116" s="15"/>
      <c r="UKO116" s="15"/>
      <c r="UKP116" s="14"/>
      <c r="UKQ116" s="15"/>
      <c r="UKR116" s="15"/>
      <c r="UKS116" s="15"/>
      <c r="UKT116" s="15"/>
      <c r="UKU116" s="15"/>
      <c r="UKV116" s="15"/>
      <c r="UKW116" s="15"/>
      <c r="UKX116" s="15"/>
      <c r="UKY116" s="15"/>
      <c r="UKZ116" s="15"/>
      <c r="ULA116" s="15"/>
      <c r="ULB116" s="15"/>
      <c r="ULC116" s="15"/>
      <c r="ULD116" s="15"/>
      <c r="ULE116" s="15"/>
      <c r="ULF116" s="15"/>
      <c r="ULG116" s="15"/>
      <c r="ULH116" s="15"/>
      <c r="ULI116" s="15"/>
      <c r="ULJ116" s="15"/>
      <c r="ULK116" s="15"/>
      <c r="ULL116" s="14"/>
      <c r="ULM116" s="15"/>
      <c r="ULN116" s="15"/>
      <c r="ULO116" s="15"/>
      <c r="ULP116" s="15"/>
      <c r="ULQ116" s="15"/>
      <c r="ULR116" s="15"/>
      <c r="ULS116" s="15"/>
      <c r="ULT116" s="15"/>
      <c r="ULU116" s="15"/>
      <c r="ULV116" s="15"/>
      <c r="ULW116" s="15"/>
      <c r="ULX116" s="15"/>
      <c r="ULY116" s="15"/>
      <c r="ULZ116" s="15"/>
      <c r="UMA116" s="15"/>
      <c r="UMB116" s="15"/>
      <c r="UMC116" s="15"/>
      <c r="UMD116" s="15"/>
      <c r="UME116" s="15"/>
      <c r="UMF116" s="15"/>
      <c r="UMG116" s="15"/>
      <c r="UMH116" s="14"/>
      <c r="UMI116" s="15"/>
      <c r="UMJ116" s="15"/>
      <c r="UMK116" s="15"/>
      <c r="UML116" s="15"/>
      <c r="UMM116" s="15"/>
      <c r="UMN116" s="15"/>
      <c r="UMO116" s="15"/>
      <c r="UMP116" s="15"/>
      <c r="UMQ116" s="15"/>
      <c r="UMR116" s="15"/>
      <c r="UMS116" s="15"/>
      <c r="UMT116" s="15"/>
      <c r="UMU116" s="15"/>
      <c r="UMV116" s="15"/>
      <c r="UMW116" s="15"/>
      <c r="UMX116" s="15"/>
      <c r="UMY116" s="15"/>
      <c r="UMZ116" s="15"/>
      <c r="UNA116" s="15"/>
      <c r="UNB116" s="15"/>
      <c r="UNC116" s="15"/>
      <c r="UND116" s="14"/>
      <c r="UNE116" s="15"/>
      <c r="UNF116" s="15"/>
      <c r="UNG116" s="15"/>
      <c r="UNH116" s="15"/>
      <c r="UNI116" s="15"/>
      <c r="UNJ116" s="15"/>
      <c r="UNK116" s="15"/>
      <c r="UNL116" s="15"/>
      <c r="UNM116" s="15"/>
      <c r="UNN116" s="15"/>
      <c r="UNO116" s="15"/>
      <c r="UNP116" s="15"/>
      <c r="UNQ116" s="15"/>
      <c r="UNR116" s="15"/>
      <c r="UNS116" s="15"/>
      <c r="UNT116" s="15"/>
      <c r="UNU116" s="15"/>
      <c r="UNV116" s="15"/>
      <c r="UNW116" s="15"/>
      <c r="UNX116" s="15"/>
      <c r="UNY116" s="15"/>
      <c r="UNZ116" s="14"/>
      <c r="UOA116" s="15"/>
      <c r="UOB116" s="15"/>
      <c r="UOC116" s="15"/>
      <c r="UOD116" s="15"/>
      <c r="UOE116" s="15"/>
      <c r="UOF116" s="15"/>
      <c r="UOG116" s="15"/>
      <c r="UOH116" s="15"/>
      <c r="UOI116" s="15"/>
      <c r="UOJ116" s="15"/>
      <c r="UOK116" s="15"/>
      <c r="UOL116" s="15"/>
      <c r="UOM116" s="15"/>
      <c r="UON116" s="15"/>
      <c r="UOO116" s="15"/>
      <c r="UOP116" s="15"/>
      <c r="UOQ116" s="15"/>
      <c r="UOR116" s="15"/>
      <c r="UOS116" s="15"/>
      <c r="UOT116" s="15"/>
      <c r="UOU116" s="15"/>
      <c r="UOV116" s="14"/>
      <c r="UOW116" s="15"/>
      <c r="UOX116" s="15"/>
      <c r="UOY116" s="15"/>
      <c r="UOZ116" s="15"/>
      <c r="UPA116" s="15"/>
      <c r="UPB116" s="15"/>
      <c r="UPC116" s="15"/>
      <c r="UPD116" s="15"/>
      <c r="UPE116" s="15"/>
      <c r="UPF116" s="15"/>
      <c r="UPG116" s="15"/>
      <c r="UPH116" s="15"/>
      <c r="UPI116" s="15"/>
      <c r="UPJ116" s="15"/>
      <c r="UPK116" s="15"/>
      <c r="UPL116" s="15"/>
      <c r="UPM116" s="15"/>
      <c r="UPN116" s="15"/>
      <c r="UPO116" s="15"/>
      <c r="UPP116" s="15"/>
      <c r="UPQ116" s="15"/>
      <c r="UPR116" s="14"/>
      <c r="UPS116" s="15"/>
      <c r="UPT116" s="15"/>
      <c r="UPU116" s="15"/>
      <c r="UPV116" s="15"/>
      <c r="UPW116" s="15"/>
      <c r="UPX116" s="15"/>
      <c r="UPY116" s="15"/>
      <c r="UPZ116" s="15"/>
      <c r="UQA116" s="15"/>
      <c r="UQB116" s="15"/>
      <c r="UQC116" s="15"/>
      <c r="UQD116" s="15"/>
      <c r="UQE116" s="15"/>
      <c r="UQF116" s="15"/>
      <c r="UQG116" s="15"/>
      <c r="UQH116" s="15"/>
      <c r="UQI116" s="15"/>
      <c r="UQJ116" s="15"/>
      <c r="UQK116" s="15"/>
      <c r="UQL116" s="15"/>
      <c r="UQM116" s="15"/>
      <c r="UQN116" s="14"/>
      <c r="UQO116" s="15"/>
      <c r="UQP116" s="15"/>
      <c r="UQQ116" s="15"/>
      <c r="UQR116" s="15"/>
      <c r="UQS116" s="15"/>
      <c r="UQT116" s="15"/>
      <c r="UQU116" s="15"/>
      <c r="UQV116" s="15"/>
      <c r="UQW116" s="15"/>
      <c r="UQX116" s="15"/>
      <c r="UQY116" s="15"/>
      <c r="UQZ116" s="15"/>
      <c r="URA116" s="15"/>
      <c r="URB116" s="15"/>
      <c r="URC116" s="15"/>
      <c r="URD116" s="15"/>
      <c r="URE116" s="15"/>
      <c r="URF116" s="15"/>
      <c r="URG116" s="15"/>
      <c r="URH116" s="15"/>
      <c r="URI116" s="15"/>
      <c r="URJ116" s="14"/>
      <c r="URK116" s="15"/>
      <c r="URL116" s="15"/>
      <c r="URM116" s="15"/>
      <c r="URN116" s="15"/>
      <c r="URO116" s="15"/>
      <c r="URP116" s="15"/>
      <c r="URQ116" s="15"/>
      <c r="URR116" s="15"/>
      <c r="URS116" s="15"/>
      <c r="URT116" s="15"/>
      <c r="URU116" s="15"/>
      <c r="URV116" s="15"/>
      <c r="URW116" s="15"/>
      <c r="URX116" s="15"/>
      <c r="URY116" s="15"/>
      <c r="URZ116" s="15"/>
      <c r="USA116" s="15"/>
      <c r="USB116" s="15"/>
      <c r="USC116" s="15"/>
      <c r="USD116" s="15"/>
      <c r="USE116" s="15"/>
      <c r="USF116" s="14"/>
      <c r="USG116" s="15"/>
      <c r="USH116" s="15"/>
      <c r="USI116" s="15"/>
      <c r="USJ116" s="15"/>
      <c r="USK116" s="15"/>
      <c r="USL116" s="15"/>
      <c r="USM116" s="15"/>
      <c r="USN116" s="15"/>
      <c r="USO116" s="15"/>
      <c r="USP116" s="15"/>
      <c r="USQ116" s="15"/>
      <c r="USR116" s="15"/>
      <c r="USS116" s="15"/>
      <c r="UST116" s="15"/>
      <c r="USU116" s="15"/>
      <c r="USV116" s="15"/>
      <c r="USW116" s="15"/>
      <c r="USX116" s="15"/>
      <c r="USY116" s="15"/>
      <c r="USZ116" s="15"/>
      <c r="UTA116" s="15"/>
      <c r="UTB116" s="14"/>
      <c r="UTC116" s="15"/>
      <c r="UTD116" s="15"/>
      <c r="UTE116" s="15"/>
      <c r="UTF116" s="15"/>
      <c r="UTG116" s="15"/>
      <c r="UTH116" s="15"/>
      <c r="UTI116" s="15"/>
      <c r="UTJ116" s="15"/>
      <c r="UTK116" s="15"/>
      <c r="UTL116" s="15"/>
      <c r="UTM116" s="15"/>
      <c r="UTN116" s="15"/>
      <c r="UTO116" s="15"/>
      <c r="UTP116" s="15"/>
      <c r="UTQ116" s="15"/>
      <c r="UTR116" s="15"/>
      <c r="UTS116" s="15"/>
      <c r="UTT116" s="15"/>
      <c r="UTU116" s="15"/>
      <c r="UTV116" s="15"/>
      <c r="UTW116" s="15"/>
      <c r="UTX116" s="14"/>
      <c r="UTY116" s="15"/>
      <c r="UTZ116" s="15"/>
      <c r="UUA116" s="15"/>
      <c r="UUB116" s="15"/>
      <c r="UUC116" s="15"/>
      <c r="UUD116" s="15"/>
      <c r="UUE116" s="15"/>
      <c r="UUF116" s="15"/>
      <c r="UUG116" s="15"/>
      <c r="UUH116" s="15"/>
      <c r="UUI116" s="15"/>
      <c r="UUJ116" s="15"/>
      <c r="UUK116" s="15"/>
      <c r="UUL116" s="15"/>
      <c r="UUM116" s="15"/>
      <c r="UUN116" s="15"/>
      <c r="UUO116" s="15"/>
      <c r="UUP116" s="15"/>
      <c r="UUQ116" s="15"/>
      <c r="UUR116" s="15"/>
      <c r="UUS116" s="15"/>
      <c r="UUT116" s="14"/>
      <c r="UUU116" s="15"/>
      <c r="UUV116" s="15"/>
      <c r="UUW116" s="15"/>
      <c r="UUX116" s="15"/>
      <c r="UUY116" s="15"/>
      <c r="UUZ116" s="15"/>
      <c r="UVA116" s="15"/>
      <c r="UVB116" s="15"/>
      <c r="UVC116" s="15"/>
      <c r="UVD116" s="15"/>
      <c r="UVE116" s="15"/>
      <c r="UVF116" s="15"/>
      <c r="UVG116" s="15"/>
      <c r="UVH116" s="15"/>
      <c r="UVI116" s="15"/>
      <c r="UVJ116" s="15"/>
      <c r="UVK116" s="15"/>
      <c r="UVL116" s="15"/>
      <c r="UVM116" s="15"/>
      <c r="UVN116" s="15"/>
      <c r="UVO116" s="15"/>
      <c r="UVP116" s="14"/>
      <c r="UVQ116" s="15"/>
      <c r="UVR116" s="15"/>
      <c r="UVS116" s="15"/>
      <c r="UVT116" s="15"/>
      <c r="UVU116" s="15"/>
      <c r="UVV116" s="15"/>
      <c r="UVW116" s="15"/>
      <c r="UVX116" s="15"/>
      <c r="UVY116" s="15"/>
      <c r="UVZ116" s="15"/>
      <c r="UWA116" s="15"/>
      <c r="UWB116" s="15"/>
      <c r="UWC116" s="15"/>
      <c r="UWD116" s="15"/>
      <c r="UWE116" s="15"/>
      <c r="UWF116" s="15"/>
      <c r="UWG116" s="15"/>
      <c r="UWH116" s="15"/>
      <c r="UWI116" s="15"/>
      <c r="UWJ116" s="15"/>
      <c r="UWK116" s="15"/>
      <c r="UWL116" s="14"/>
      <c r="UWM116" s="15"/>
      <c r="UWN116" s="15"/>
      <c r="UWO116" s="15"/>
      <c r="UWP116" s="15"/>
      <c r="UWQ116" s="15"/>
      <c r="UWR116" s="15"/>
      <c r="UWS116" s="15"/>
      <c r="UWT116" s="15"/>
      <c r="UWU116" s="15"/>
      <c r="UWV116" s="15"/>
      <c r="UWW116" s="15"/>
      <c r="UWX116" s="15"/>
      <c r="UWY116" s="15"/>
      <c r="UWZ116" s="15"/>
      <c r="UXA116" s="15"/>
      <c r="UXB116" s="15"/>
      <c r="UXC116" s="15"/>
      <c r="UXD116" s="15"/>
      <c r="UXE116" s="15"/>
      <c r="UXF116" s="15"/>
      <c r="UXG116" s="15"/>
      <c r="UXH116" s="14"/>
      <c r="UXI116" s="15"/>
      <c r="UXJ116" s="15"/>
      <c r="UXK116" s="15"/>
      <c r="UXL116" s="15"/>
      <c r="UXM116" s="15"/>
      <c r="UXN116" s="15"/>
      <c r="UXO116" s="15"/>
      <c r="UXP116" s="15"/>
      <c r="UXQ116" s="15"/>
      <c r="UXR116" s="15"/>
      <c r="UXS116" s="15"/>
      <c r="UXT116" s="15"/>
      <c r="UXU116" s="15"/>
      <c r="UXV116" s="15"/>
      <c r="UXW116" s="15"/>
      <c r="UXX116" s="15"/>
      <c r="UXY116" s="15"/>
      <c r="UXZ116" s="15"/>
      <c r="UYA116" s="15"/>
      <c r="UYB116" s="15"/>
      <c r="UYC116" s="15"/>
      <c r="UYD116" s="14"/>
      <c r="UYE116" s="15"/>
      <c r="UYF116" s="15"/>
      <c r="UYG116" s="15"/>
      <c r="UYH116" s="15"/>
      <c r="UYI116" s="15"/>
      <c r="UYJ116" s="15"/>
      <c r="UYK116" s="15"/>
      <c r="UYL116" s="15"/>
      <c r="UYM116" s="15"/>
      <c r="UYN116" s="15"/>
      <c r="UYO116" s="15"/>
      <c r="UYP116" s="15"/>
      <c r="UYQ116" s="15"/>
      <c r="UYR116" s="15"/>
      <c r="UYS116" s="15"/>
      <c r="UYT116" s="15"/>
      <c r="UYU116" s="15"/>
      <c r="UYV116" s="15"/>
      <c r="UYW116" s="15"/>
      <c r="UYX116" s="15"/>
      <c r="UYY116" s="15"/>
      <c r="UYZ116" s="14"/>
      <c r="UZA116" s="15"/>
      <c r="UZB116" s="15"/>
      <c r="UZC116" s="15"/>
      <c r="UZD116" s="15"/>
      <c r="UZE116" s="15"/>
      <c r="UZF116" s="15"/>
      <c r="UZG116" s="15"/>
      <c r="UZH116" s="15"/>
      <c r="UZI116" s="15"/>
      <c r="UZJ116" s="15"/>
      <c r="UZK116" s="15"/>
      <c r="UZL116" s="15"/>
      <c r="UZM116" s="15"/>
      <c r="UZN116" s="15"/>
      <c r="UZO116" s="15"/>
      <c r="UZP116" s="15"/>
      <c r="UZQ116" s="15"/>
      <c r="UZR116" s="15"/>
      <c r="UZS116" s="15"/>
      <c r="UZT116" s="15"/>
      <c r="UZU116" s="15"/>
      <c r="UZV116" s="14"/>
      <c r="UZW116" s="15"/>
      <c r="UZX116" s="15"/>
      <c r="UZY116" s="15"/>
      <c r="UZZ116" s="15"/>
      <c r="VAA116" s="15"/>
      <c r="VAB116" s="15"/>
      <c r="VAC116" s="15"/>
      <c r="VAD116" s="15"/>
      <c r="VAE116" s="15"/>
      <c r="VAF116" s="15"/>
      <c r="VAG116" s="15"/>
      <c r="VAH116" s="15"/>
      <c r="VAI116" s="15"/>
      <c r="VAJ116" s="15"/>
      <c r="VAK116" s="15"/>
      <c r="VAL116" s="15"/>
      <c r="VAM116" s="15"/>
      <c r="VAN116" s="15"/>
      <c r="VAO116" s="15"/>
      <c r="VAP116" s="15"/>
      <c r="VAQ116" s="15"/>
      <c r="VAR116" s="14"/>
      <c r="VAS116" s="15"/>
      <c r="VAT116" s="15"/>
      <c r="VAU116" s="15"/>
      <c r="VAV116" s="15"/>
      <c r="VAW116" s="15"/>
      <c r="VAX116" s="15"/>
      <c r="VAY116" s="15"/>
      <c r="VAZ116" s="15"/>
      <c r="VBA116" s="15"/>
      <c r="VBB116" s="15"/>
      <c r="VBC116" s="15"/>
      <c r="VBD116" s="15"/>
      <c r="VBE116" s="15"/>
      <c r="VBF116" s="15"/>
      <c r="VBG116" s="15"/>
      <c r="VBH116" s="15"/>
      <c r="VBI116" s="15"/>
      <c r="VBJ116" s="15"/>
      <c r="VBK116" s="15"/>
      <c r="VBL116" s="15"/>
      <c r="VBM116" s="15"/>
      <c r="VBN116" s="14"/>
      <c r="VBO116" s="15"/>
      <c r="VBP116" s="15"/>
      <c r="VBQ116" s="15"/>
      <c r="VBR116" s="15"/>
      <c r="VBS116" s="15"/>
      <c r="VBT116" s="15"/>
      <c r="VBU116" s="15"/>
      <c r="VBV116" s="15"/>
      <c r="VBW116" s="15"/>
      <c r="VBX116" s="15"/>
      <c r="VBY116" s="15"/>
      <c r="VBZ116" s="15"/>
      <c r="VCA116" s="15"/>
      <c r="VCB116" s="15"/>
      <c r="VCC116" s="15"/>
      <c r="VCD116" s="15"/>
      <c r="VCE116" s="15"/>
      <c r="VCF116" s="15"/>
      <c r="VCG116" s="15"/>
      <c r="VCH116" s="15"/>
      <c r="VCI116" s="15"/>
      <c r="VCJ116" s="14"/>
      <c r="VCK116" s="15"/>
      <c r="VCL116" s="15"/>
      <c r="VCM116" s="15"/>
      <c r="VCN116" s="15"/>
      <c r="VCO116" s="15"/>
      <c r="VCP116" s="15"/>
      <c r="VCQ116" s="15"/>
      <c r="VCR116" s="15"/>
      <c r="VCS116" s="15"/>
      <c r="VCT116" s="15"/>
      <c r="VCU116" s="15"/>
      <c r="VCV116" s="15"/>
      <c r="VCW116" s="15"/>
      <c r="VCX116" s="15"/>
      <c r="VCY116" s="15"/>
      <c r="VCZ116" s="15"/>
      <c r="VDA116" s="15"/>
      <c r="VDB116" s="15"/>
      <c r="VDC116" s="15"/>
      <c r="VDD116" s="15"/>
      <c r="VDE116" s="15"/>
      <c r="VDF116" s="14"/>
      <c r="VDG116" s="15"/>
      <c r="VDH116" s="15"/>
      <c r="VDI116" s="15"/>
      <c r="VDJ116" s="15"/>
      <c r="VDK116" s="15"/>
      <c r="VDL116" s="15"/>
      <c r="VDM116" s="15"/>
      <c r="VDN116" s="15"/>
      <c r="VDO116" s="15"/>
      <c r="VDP116" s="15"/>
      <c r="VDQ116" s="15"/>
      <c r="VDR116" s="15"/>
      <c r="VDS116" s="15"/>
      <c r="VDT116" s="15"/>
      <c r="VDU116" s="15"/>
      <c r="VDV116" s="15"/>
      <c r="VDW116" s="15"/>
      <c r="VDX116" s="15"/>
      <c r="VDY116" s="15"/>
      <c r="VDZ116" s="15"/>
      <c r="VEA116" s="15"/>
      <c r="VEB116" s="14"/>
      <c r="VEC116" s="15"/>
      <c r="VED116" s="15"/>
      <c r="VEE116" s="15"/>
      <c r="VEF116" s="15"/>
      <c r="VEG116" s="15"/>
      <c r="VEH116" s="15"/>
      <c r="VEI116" s="15"/>
      <c r="VEJ116" s="15"/>
      <c r="VEK116" s="15"/>
      <c r="VEL116" s="15"/>
      <c r="VEM116" s="15"/>
      <c r="VEN116" s="15"/>
      <c r="VEO116" s="15"/>
      <c r="VEP116" s="15"/>
      <c r="VEQ116" s="15"/>
      <c r="VER116" s="15"/>
      <c r="VES116" s="15"/>
      <c r="VET116" s="15"/>
      <c r="VEU116" s="15"/>
      <c r="VEV116" s="15"/>
      <c r="VEW116" s="15"/>
      <c r="VEX116" s="14"/>
      <c r="VEY116" s="15"/>
      <c r="VEZ116" s="15"/>
      <c r="VFA116" s="15"/>
      <c r="VFB116" s="15"/>
      <c r="VFC116" s="15"/>
      <c r="VFD116" s="15"/>
      <c r="VFE116" s="15"/>
      <c r="VFF116" s="15"/>
      <c r="VFG116" s="15"/>
      <c r="VFH116" s="15"/>
      <c r="VFI116" s="15"/>
      <c r="VFJ116" s="15"/>
      <c r="VFK116" s="15"/>
      <c r="VFL116" s="15"/>
      <c r="VFM116" s="15"/>
      <c r="VFN116" s="15"/>
      <c r="VFO116" s="15"/>
      <c r="VFP116" s="15"/>
      <c r="VFQ116" s="15"/>
      <c r="VFR116" s="15"/>
      <c r="VFS116" s="15"/>
      <c r="VFT116" s="14"/>
      <c r="VFU116" s="15"/>
      <c r="VFV116" s="15"/>
      <c r="VFW116" s="15"/>
      <c r="VFX116" s="15"/>
      <c r="VFY116" s="15"/>
      <c r="VFZ116" s="15"/>
      <c r="VGA116" s="15"/>
      <c r="VGB116" s="15"/>
      <c r="VGC116" s="15"/>
      <c r="VGD116" s="15"/>
      <c r="VGE116" s="15"/>
      <c r="VGF116" s="15"/>
      <c r="VGG116" s="15"/>
      <c r="VGH116" s="15"/>
      <c r="VGI116" s="15"/>
      <c r="VGJ116" s="15"/>
      <c r="VGK116" s="15"/>
      <c r="VGL116" s="15"/>
      <c r="VGM116" s="15"/>
      <c r="VGN116" s="15"/>
      <c r="VGO116" s="15"/>
      <c r="VGP116" s="14"/>
      <c r="VGQ116" s="15"/>
      <c r="VGR116" s="15"/>
      <c r="VGS116" s="15"/>
      <c r="VGT116" s="15"/>
      <c r="VGU116" s="15"/>
      <c r="VGV116" s="15"/>
      <c r="VGW116" s="15"/>
      <c r="VGX116" s="15"/>
      <c r="VGY116" s="15"/>
      <c r="VGZ116" s="15"/>
      <c r="VHA116" s="15"/>
      <c r="VHB116" s="15"/>
      <c r="VHC116" s="15"/>
      <c r="VHD116" s="15"/>
      <c r="VHE116" s="15"/>
      <c r="VHF116" s="15"/>
      <c r="VHG116" s="15"/>
      <c r="VHH116" s="15"/>
      <c r="VHI116" s="15"/>
      <c r="VHJ116" s="15"/>
      <c r="VHK116" s="15"/>
      <c r="VHL116" s="14"/>
      <c r="VHM116" s="15"/>
      <c r="VHN116" s="15"/>
      <c r="VHO116" s="15"/>
      <c r="VHP116" s="15"/>
      <c r="VHQ116" s="15"/>
      <c r="VHR116" s="15"/>
      <c r="VHS116" s="15"/>
      <c r="VHT116" s="15"/>
      <c r="VHU116" s="15"/>
      <c r="VHV116" s="15"/>
      <c r="VHW116" s="15"/>
      <c r="VHX116" s="15"/>
      <c r="VHY116" s="15"/>
      <c r="VHZ116" s="15"/>
      <c r="VIA116" s="15"/>
      <c r="VIB116" s="15"/>
      <c r="VIC116" s="15"/>
      <c r="VID116" s="15"/>
      <c r="VIE116" s="15"/>
      <c r="VIF116" s="15"/>
      <c r="VIG116" s="15"/>
      <c r="VIH116" s="14"/>
      <c r="VII116" s="15"/>
      <c r="VIJ116" s="15"/>
      <c r="VIK116" s="15"/>
      <c r="VIL116" s="15"/>
      <c r="VIM116" s="15"/>
      <c r="VIN116" s="15"/>
      <c r="VIO116" s="15"/>
      <c r="VIP116" s="15"/>
      <c r="VIQ116" s="15"/>
      <c r="VIR116" s="15"/>
      <c r="VIS116" s="15"/>
      <c r="VIT116" s="15"/>
      <c r="VIU116" s="15"/>
      <c r="VIV116" s="15"/>
      <c r="VIW116" s="15"/>
      <c r="VIX116" s="15"/>
      <c r="VIY116" s="15"/>
      <c r="VIZ116" s="15"/>
      <c r="VJA116" s="15"/>
      <c r="VJB116" s="15"/>
      <c r="VJC116" s="15"/>
      <c r="VJD116" s="14"/>
      <c r="VJE116" s="15"/>
      <c r="VJF116" s="15"/>
      <c r="VJG116" s="15"/>
      <c r="VJH116" s="15"/>
      <c r="VJI116" s="15"/>
      <c r="VJJ116" s="15"/>
      <c r="VJK116" s="15"/>
      <c r="VJL116" s="15"/>
      <c r="VJM116" s="15"/>
      <c r="VJN116" s="15"/>
      <c r="VJO116" s="15"/>
      <c r="VJP116" s="15"/>
      <c r="VJQ116" s="15"/>
      <c r="VJR116" s="15"/>
      <c r="VJS116" s="15"/>
      <c r="VJT116" s="15"/>
      <c r="VJU116" s="15"/>
      <c r="VJV116" s="15"/>
      <c r="VJW116" s="15"/>
      <c r="VJX116" s="15"/>
      <c r="VJY116" s="15"/>
      <c r="VJZ116" s="14"/>
      <c r="VKA116" s="15"/>
      <c r="VKB116" s="15"/>
      <c r="VKC116" s="15"/>
      <c r="VKD116" s="15"/>
      <c r="VKE116" s="15"/>
      <c r="VKF116" s="15"/>
      <c r="VKG116" s="15"/>
      <c r="VKH116" s="15"/>
      <c r="VKI116" s="15"/>
      <c r="VKJ116" s="15"/>
      <c r="VKK116" s="15"/>
      <c r="VKL116" s="15"/>
      <c r="VKM116" s="15"/>
      <c r="VKN116" s="15"/>
      <c r="VKO116" s="15"/>
      <c r="VKP116" s="15"/>
      <c r="VKQ116" s="15"/>
      <c r="VKR116" s="15"/>
      <c r="VKS116" s="15"/>
      <c r="VKT116" s="15"/>
      <c r="VKU116" s="15"/>
      <c r="VKV116" s="14"/>
      <c r="VKW116" s="15"/>
      <c r="VKX116" s="15"/>
      <c r="VKY116" s="15"/>
      <c r="VKZ116" s="15"/>
      <c r="VLA116" s="15"/>
      <c r="VLB116" s="15"/>
      <c r="VLC116" s="15"/>
      <c r="VLD116" s="15"/>
      <c r="VLE116" s="15"/>
      <c r="VLF116" s="15"/>
      <c r="VLG116" s="15"/>
      <c r="VLH116" s="15"/>
      <c r="VLI116" s="15"/>
      <c r="VLJ116" s="15"/>
      <c r="VLK116" s="15"/>
      <c r="VLL116" s="15"/>
      <c r="VLM116" s="15"/>
      <c r="VLN116" s="15"/>
      <c r="VLO116" s="15"/>
      <c r="VLP116" s="15"/>
      <c r="VLQ116" s="15"/>
      <c r="VLR116" s="14"/>
      <c r="VLS116" s="15"/>
      <c r="VLT116" s="15"/>
      <c r="VLU116" s="15"/>
      <c r="VLV116" s="15"/>
      <c r="VLW116" s="15"/>
      <c r="VLX116" s="15"/>
      <c r="VLY116" s="15"/>
      <c r="VLZ116" s="15"/>
      <c r="VMA116" s="15"/>
      <c r="VMB116" s="15"/>
      <c r="VMC116" s="15"/>
      <c r="VMD116" s="15"/>
      <c r="VME116" s="15"/>
      <c r="VMF116" s="15"/>
      <c r="VMG116" s="15"/>
      <c r="VMH116" s="15"/>
      <c r="VMI116" s="15"/>
      <c r="VMJ116" s="15"/>
      <c r="VMK116" s="15"/>
      <c r="VML116" s="15"/>
      <c r="VMM116" s="15"/>
      <c r="VMN116" s="14"/>
      <c r="VMO116" s="15"/>
      <c r="VMP116" s="15"/>
      <c r="VMQ116" s="15"/>
      <c r="VMR116" s="15"/>
      <c r="VMS116" s="15"/>
      <c r="VMT116" s="15"/>
      <c r="VMU116" s="15"/>
      <c r="VMV116" s="15"/>
      <c r="VMW116" s="15"/>
      <c r="VMX116" s="15"/>
      <c r="VMY116" s="15"/>
      <c r="VMZ116" s="15"/>
      <c r="VNA116" s="15"/>
      <c r="VNB116" s="15"/>
      <c r="VNC116" s="15"/>
      <c r="VND116" s="15"/>
      <c r="VNE116" s="15"/>
      <c r="VNF116" s="15"/>
      <c r="VNG116" s="15"/>
      <c r="VNH116" s="15"/>
      <c r="VNI116" s="15"/>
      <c r="VNJ116" s="14"/>
      <c r="VNK116" s="15"/>
      <c r="VNL116" s="15"/>
      <c r="VNM116" s="15"/>
      <c r="VNN116" s="15"/>
      <c r="VNO116" s="15"/>
      <c r="VNP116" s="15"/>
      <c r="VNQ116" s="15"/>
      <c r="VNR116" s="15"/>
      <c r="VNS116" s="15"/>
      <c r="VNT116" s="15"/>
      <c r="VNU116" s="15"/>
      <c r="VNV116" s="15"/>
      <c r="VNW116" s="15"/>
      <c r="VNX116" s="15"/>
      <c r="VNY116" s="15"/>
      <c r="VNZ116" s="15"/>
      <c r="VOA116" s="15"/>
      <c r="VOB116" s="15"/>
      <c r="VOC116" s="15"/>
      <c r="VOD116" s="15"/>
      <c r="VOE116" s="15"/>
      <c r="VOF116" s="14"/>
      <c r="VOG116" s="15"/>
      <c r="VOH116" s="15"/>
      <c r="VOI116" s="15"/>
      <c r="VOJ116" s="15"/>
      <c r="VOK116" s="15"/>
      <c r="VOL116" s="15"/>
      <c r="VOM116" s="15"/>
      <c r="VON116" s="15"/>
      <c r="VOO116" s="15"/>
      <c r="VOP116" s="15"/>
      <c r="VOQ116" s="15"/>
      <c r="VOR116" s="15"/>
      <c r="VOS116" s="15"/>
      <c r="VOT116" s="15"/>
      <c r="VOU116" s="15"/>
      <c r="VOV116" s="15"/>
      <c r="VOW116" s="15"/>
      <c r="VOX116" s="15"/>
      <c r="VOY116" s="15"/>
      <c r="VOZ116" s="15"/>
      <c r="VPA116" s="15"/>
      <c r="VPB116" s="14"/>
      <c r="VPC116" s="15"/>
      <c r="VPD116" s="15"/>
      <c r="VPE116" s="15"/>
      <c r="VPF116" s="15"/>
      <c r="VPG116" s="15"/>
      <c r="VPH116" s="15"/>
      <c r="VPI116" s="15"/>
      <c r="VPJ116" s="15"/>
      <c r="VPK116" s="15"/>
      <c r="VPL116" s="15"/>
      <c r="VPM116" s="15"/>
      <c r="VPN116" s="15"/>
      <c r="VPO116" s="15"/>
      <c r="VPP116" s="15"/>
      <c r="VPQ116" s="15"/>
      <c r="VPR116" s="15"/>
      <c r="VPS116" s="15"/>
      <c r="VPT116" s="15"/>
      <c r="VPU116" s="15"/>
      <c r="VPV116" s="15"/>
      <c r="VPW116" s="15"/>
      <c r="VPX116" s="14"/>
      <c r="VPY116" s="15"/>
      <c r="VPZ116" s="15"/>
      <c r="VQA116" s="15"/>
      <c r="VQB116" s="15"/>
      <c r="VQC116" s="15"/>
      <c r="VQD116" s="15"/>
      <c r="VQE116" s="15"/>
      <c r="VQF116" s="15"/>
      <c r="VQG116" s="15"/>
      <c r="VQH116" s="15"/>
      <c r="VQI116" s="15"/>
      <c r="VQJ116" s="15"/>
      <c r="VQK116" s="15"/>
      <c r="VQL116" s="15"/>
      <c r="VQM116" s="15"/>
      <c r="VQN116" s="15"/>
      <c r="VQO116" s="15"/>
      <c r="VQP116" s="15"/>
      <c r="VQQ116" s="15"/>
      <c r="VQR116" s="15"/>
      <c r="VQS116" s="15"/>
      <c r="VQT116" s="14"/>
      <c r="VQU116" s="15"/>
      <c r="VQV116" s="15"/>
      <c r="VQW116" s="15"/>
      <c r="VQX116" s="15"/>
      <c r="VQY116" s="15"/>
      <c r="VQZ116" s="15"/>
      <c r="VRA116" s="15"/>
      <c r="VRB116" s="15"/>
      <c r="VRC116" s="15"/>
      <c r="VRD116" s="15"/>
      <c r="VRE116" s="15"/>
      <c r="VRF116" s="15"/>
      <c r="VRG116" s="15"/>
      <c r="VRH116" s="15"/>
      <c r="VRI116" s="15"/>
      <c r="VRJ116" s="15"/>
      <c r="VRK116" s="15"/>
      <c r="VRL116" s="15"/>
      <c r="VRM116" s="15"/>
      <c r="VRN116" s="15"/>
      <c r="VRO116" s="15"/>
      <c r="VRP116" s="14"/>
      <c r="VRQ116" s="15"/>
      <c r="VRR116" s="15"/>
      <c r="VRS116" s="15"/>
      <c r="VRT116" s="15"/>
      <c r="VRU116" s="15"/>
      <c r="VRV116" s="15"/>
      <c r="VRW116" s="15"/>
      <c r="VRX116" s="15"/>
      <c r="VRY116" s="15"/>
      <c r="VRZ116" s="15"/>
      <c r="VSA116" s="15"/>
      <c r="VSB116" s="15"/>
      <c r="VSC116" s="15"/>
      <c r="VSD116" s="15"/>
      <c r="VSE116" s="15"/>
      <c r="VSF116" s="15"/>
      <c r="VSG116" s="15"/>
      <c r="VSH116" s="15"/>
      <c r="VSI116" s="15"/>
      <c r="VSJ116" s="15"/>
      <c r="VSK116" s="15"/>
      <c r="VSL116" s="14"/>
      <c r="VSM116" s="15"/>
      <c r="VSN116" s="15"/>
      <c r="VSO116" s="15"/>
      <c r="VSP116" s="15"/>
      <c r="VSQ116" s="15"/>
      <c r="VSR116" s="15"/>
      <c r="VSS116" s="15"/>
      <c r="VST116" s="15"/>
      <c r="VSU116" s="15"/>
      <c r="VSV116" s="15"/>
      <c r="VSW116" s="15"/>
      <c r="VSX116" s="15"/>
      <c r="VSY116" s="15"/>
      <c r="VSZ116" s="15"/>
      <c r="VTA116" s="15"/>
      <c r="VTB116" s="15"/>
      <c r="VTC116" s="15"/>
      <c r="VTD116" s="15"/>
      <c r="VTE116" s="15"/>
      <c r="VTF116" s="15"/>
      <c r="VTG116" s="15"/>
      <c r="VTH116" s="14"/>
      <c r="VTI116" s="15"/>
      <c r="VTJ116" s="15"/>
      <c r="VTK116" s="15"/>
      <c r="VTL116" s="15"/>
      <c r="VTM116" s="15"/>
      <c r="VTN116" s="15"/>
      <c r="VTO116" s="15"/>
      <c r="VTP116" s="15"/>
      <c r="VTQ116" s="15"/>
      <c r="VTR116" s="15"/>
      <c r="VTS116" s="15"/>
      <c r="VTT116" s="15"/>
      <c r="VTU116" s="15"/>
      <c r="VTV116" s="15"/>
      <c r="VTW116" s="15"/>
      <c r="VTX116" s="15"/>
      <c r="VTY116" s="15"/>
      <c r="VTZ116" s="15"/>
      <c r="VUA116" s="15"/>
      <c r="VUB116" s="15"/>
      <c r="VUC116" s="15"/>
      <c r="VUD116" s="14"/>
      <c r="VUE116" s="15"/>
      <c r="VUF116" s="15"/>
      <c r="VUG116" s="15"/>
      <c r="VUH116" s="15"/>
      <c r="VUI116" s="15"/>
      <c r="VUJ116" s="15"/>
      <c r="VUK116" s="15"/>
      <c r="VUL116" s="15"/>
      <c r="VUM116" s="15"/>
      <c r="VUN116" s="15"/>
      <c r="VUO116" s="15"/>
      <c r="VUP116" s="15"/>
      <c r="VUQ116" s="15"/>
      <c r="VUR116" s="15"/>
      <c r="VUS116" s="15"/>
      <c r="VUT116" s="15"/>
      <c r="VUU116" s="15"/>
      <c r="VUV116" s="15"/>
      <c r="VUW116" s="15"/>
      <c r="VUX116" s="15"/>
      <c r="VUY116" s="15"/>
      <c r="VUZ116" s="14"/>
      <c r="VVA116" s="15"/>
      <c r="VVB116" s="15"/>
      <c r="VVC116" s="15"/>
      <c r="VVD116" s="15"/>
      <c r="VVE116" s="15"/>
      <c r="VVF116" s="15"/>
      <c r="VVG116" s="15"/>
      <c r="VVH116" s="15"/>
      <c r="VVI116" s="15"/>
      <c r="VVJ116" s="15"/>
      <c r="VVK116" s="15"/>
      <c r="VVL116" s="15"/>
      <c r="VVM116" s="15"/>
      <c r="VVN116" s="15"/>
      <c r="VVO116" s="15"/>
      <c r="VVP116" s="15"/>
      <c r="VVQ116" s="15"/>
      <c r="VVR116" s="15"/>
      <c r="VVS116" s="15"/>
      <c r="VVT116" s="15"/>
      <c r="VVU116" s="15"/>
      <c r="VVV116" s="14"/>
      <c r="VVW116" s="15"/>
      <c r="VVX116" s="15"/>
      <c r="VVY116" s="15"/>
      <c r="VVZ116" s="15"/>
      <c r="VWA116" s="15"/>
      <c r="VWB116" s="15"/>
      <c r="VWC116" s="15"/>
      <c r="VWD116" s="15"/>
      <c r="VWE116" s="15"/>
      <c r="VWF116" s="15"/>
      <c r="VWG116" s="15"/>
      <c r="VWH116" s="15"/>
      <c r="VWI116" s="15"/>
      <c r="VWJ116" s="15"/>
      <c r="VWK116" s="15"/>
      <c r="VWL116" s="15"/>
      <c r="VWM116" s="15"/>
      <c r="VWN116" s="15"/>
      <c r="VWO116" s="15"/>
      <c r="VWP116" s="15"/>
      <c r="VWQ116" s="15"/>
      <c r="VWR116" s="14"/>
      <c r="VWS116" s="15"/>
      <c r="VWT116" s="15"/>
      <c r="VWU116" s="15"/>
      <c r="VWV116" s="15"/>
      <c r="VWW116" s="15"/>
      <c r="VWX116" s="15"/>
      <c r="VWY116" s="15"/>
      <c r="VWZ116" s="15"/>
      <c r="VXA116" s="15"/>
      <c r="VXB116" s="15"/>
      <c r="VXC116" s="15"/>
      <c r="VXD116" s="15"/>
      <c r="VXE116" s="15"/>
      <c r="VXF116" s="15"/>
      <c r="VXG116" s="15"/>
      <c r="VXH116" s="15"/>
      <c r="VXI116" s="15"/>
      <c r="VXJ116" s="15"/>
      <c r="VXK116" s="15"/>
      <c r="VXL116" s="15"/>
      <c r="VXM116" s="15"/>
      <c r="VXN116" s="14"/>
      <c r="VXO116" s="15"/>
      <c r="VXP116" s="15"/>
      <c r="VXQ116" s="15"/>
      <c r="VXR116" s="15"/>
      <c r="VXS116" s="15"/>
      <c r="VXT116" s="15"/>
      <c r="VXU116" s="15"/>
      <c r="VXV116" s="15"/>
      <c r="VXW116" s="15"/>
      <c r="VXX116" s="15"/>
      <c r="VXY116" s="15"/>
      <c r="VXZ116" s="15"/>
      <c r="VYA116" s="15"/>
      <c r="VYB116" s="15"/>
      <c r="VYC116" s="15"/>
      <c r="VYD116" s="15"/>
      <c r="VYE116" s="15"/>
      <c r="VYF116" s="15"/>
      <c r="VYG116" s="15"/>
      <c r="VYH116" s="15"/>
      <c r="VYI116" s="15"/>
      <c r="VYJ116" s="14"/>
      <c r="VYK116" s="15"/>
      <c r="VYL116" s="15"/>
      <c r="VYM116" s="15"/>
      <c r="VYN116" s="15"/>
      <c r="VYO116" s="15"/>
      <c r="VYP116" s="15"/>
      <c r="VYQ116" s="15"/>
      <c r="VYR116" s="15"/>
      <c r="VYS116" s="15"/>
      <c r="VYT116" s="15"/>
      <c r="VYU116" s="15"/>
      <c r="VYV116" s="15"/>
      <c r="VYW116" s="15"/>
      <c r="VYX116" s="15"/>
      <c r="VYY116" s="15"/>
      <c r="VYZ116" s="15"/>
      <c r="VZA116" s="15"/>
      <c r="VZB116" s="15"/>
      <c r="VZC116" s="15"/>
      <c r="VZD116" s="15"/>
      <c r="VZE116" s="15"/>
      <c r="VZF116" s="14"/>
      <c r="VZG116" s="15"/>
      <c r="VZH116" s="15"/>
      <c r="VZI116" s="15"/>
      <c r="VZJ116" s="15"/>
      <c r="VZK116" s="15"/>
      <c r="VZL116" s="15"/>
      <c r="VZM116" s="15"/>
      <c r="VZN116" s="15"/>
      <c r="VZO116" s="15"/>
      <c r="VZP116" s="15"/>
      <c r="VZQ116" s="15"/>
      <c r="VZR116" s="15"/>
      <c r="VZS116" s="15"/>
      <c r="VZT116" s="15"/>
      <c r="VZU116" s="15"/>
      <c r="VZV116" s="15"/>
      <c r="VZW116" s="15"/>
      <c r="VZX116" s="15"/>
      <c r="VZY116" s="15"/>
      <c r="VZZ116" s="15"/>
      <c r="WAA116" s="15"/>
      <c r="WAB116" s="14"/>
      <c r="WAC116" s="15"/>
      <c r="WAD116" s="15"/>
      <c r="WAE116" s="15"/>
      <c r="WAF116" s="15"/>
      <c r="WAG116" s="15"/>
      <c r="WAH116" s="15"/>
      <c r="WAI116" s="15"/>
      <c r="WAJ116" s="15"/>
      <c r="WAK116" s="15"/>
      <c r="WAL116" s="15"/>
      <c r="WAM116" s="15"/>
      <c r="WAN116" s="15"/>
      <c r="WAO116" s="15"/>
      <c r="WAP116" s="15"/>
      <c r="WAQ116" s="15"/>
      <c r="WAR116" s="15"/>
      <c r="WAS116" s="15"/>
      <c r="WAT116" s="15"/>
      <c r="WAU116" s="15"/>
      <c r="WAV116" s="15"/>
      <c r="WAW116" s="15"/>
      <c r="WAX116" s="14"/>
      <c r="WAY116" s="15"/>
      <c r="WAZ116" s="15"/>
      <c r="WBA116" s="15"/>
      <c r="WBB116" s="15"/>
      <c r="WBC116" s="15"/>
      <c r="WBD116" s="15"/>
      <c r="WBE116" s="15"/>
      <c r="WBF116" s="15"/>
      <c r="WBG116" s="15"/>
      <c r="WBH116" s="15"/>
      <c r="WBI116" s="15"/>
      <c r="WBJ116" s="15"/>
      <c r="WBK116" s="15"/>
      <c r="WBL116" s="15"/>
      <c r="WBM116" s="15"/>
      <c r="WBN116" s="15"/>
      <c r="WBO116" s="15"/>
      <c r="WBP116" s="15"/>
      <c r="WBQ116" s="15"/>
      <c r="WBR116" s="15"/>
      <c r="WBS116" s="15"/>
      <c r="WBT116" s="14"/>
      <c r="WBU116" s="15"/>
      <c r="WBV116" s="15"/>
      <c r="WBW116" s="15"/>
      <c r="WBX116" s="15"/>
      <c r="WBY116" s="15"/>
      <c r="WBZ116" s="15"/>
      <c r="WCA116" s="15"/>
      <c r="WCB116" s="15"/>
      <c r="WCC116" s="15"/>
      <c r="WCD116" s="15"/>
      <c r="WCE116" s="15"/>
      <c r="WCF116" s="15"/>
      <c r="WCG116" s="15"/>
      <c r="WCH116" s="15"/>
      <c r="WCI116" s="15"/>
      <c r="WCJ116" s="15"/>
      <c r="WCK116" s="15"/>
      <c r="WCL116" s="15"/>
      <c r="WCM116" s="15"/>
      <c r="WCN116" s="15"/>
      <c r="WCO116" s="15"/>
      <c r="WCP116" s="14"/>
      <c r="WCQ116" s="15"/>
      <c r="WCR116" s="15"/>
      <c r="WCS116" s="15"/>
      <c r="WCT116" s="15"/>
      <c r="WCU116" s="15"/>
      <c r="WCV116" s="15"/>
      <c r="WCW116" s="15"/>
      <c r="WCX116" s="15"/>
      <c r="WCY116" s="15"/>
      <c r="WCZ116" s="15"/>
      <c r="WDA116" s="15"/>
      <c r="WDB116" s="15"/>
      <c r="WDC116" s="15"/>
      <c r="WDD116" s="15"/>
      <c r="WDE116" s="15"/>
      <c r="WDF116" s="15"/>
      <c r="WDG116" s="15"/>
      <c r="WDH116" s="15"/>
      <c r="WDI116" s="15"/>
      <c r="WDJ116" s="15"/>
      <c r="WDK116" s="15"/>
      <c r="WDL116" s="14"/>
      <c r="WDM116" s="15"/>
      <c r="WDN116" s="15"/>
      <c r="WDO116" s="15"/>
      <c r="WDP116" s="15"/>
      <c r="WDQ116" s="15"/>
      <c r="WDR116" s="15"/>
      <c r="WDS116" s="15"/>
      <c r="WDT116" s="15"/>
      <c r="WDU116" s="15"/>
      <c r="WDV116" s="15"/>
      <c r="WDW116" s="15"/>
      <c r="WDX116" s="15"/>
      <c r="WDY116" s="15"/>
      <c r="WDZ116" s="15"/>
      <c r="WEA116" s="15"/>
      <c r="WEB116" s="15"/>
      <c r="WEC116" s="15"/>
      <c r="WED116" s="15"/>
      <c r="WEE116" s="15"/>
      <c r="WEF116" s="15"/>
      <c r="WEG116" s="15"/>
      <c r="WEH116" s="14"/>
      <c r="WEI116" s="15"/>
      <c r="WEJ116" s="15"/>
      <c r="WEK116" s="15"/>
      <c r="WEL116" s="15"/>
      <c r="WEM116" s="15"/>
      <c r="WEN116" s="15"/>
      <c r="WEO116" s="15"/>
      <c r="WEP116" s="15"/>
      <c r="WEQ116" s="15"/>
      <c r="WER116" s="15"/>
      <c r="WES116" s="15"/>
      <c r="WET116" s="15"/>
      <c r="WEU116" s="15"/>
      <c r="WEV116" s="15"/>
      <c r="WEW116" s="15"/>
      <c r="WEX116" s="15"/>
      <c r="WEY116" s="15"/>
      <c r="WEZ116" s="15"/>
      <c r="WFA116" s="15"/>
      <c r="WFB116" s="15"/>
      <c r="WFC116" s="15"/>
      <c r="WFD116" s="14"/>
      <c r="WFE116" s="15"/>
      <c r="WFF116" s="15"/>
      <c r="WFG116" s="15"/>
      <c r="WFH116" s="15"/>
      <c r="WFI116" s="15"/>
      <c r="WFJ116" s="15"/>
      <c r="WFK116" s="15"/>
      <c r="WFL116" s="15"/>
      <c r="WFM116" s="15"/>
      <c r="WFN116" s="15"/>
      <c r="WFO116" s="15"/>
      <c r="WFP116" s="15"/>
      <c r="WFQ116" s="15"/>
      <c r="WFR116" s="15"/>
      <c r="WFS116" s="15"/>
      <c r="WFT116" s="15"/>
      <c r="WFU116" s="15"/>
      <c r="WFV116" s="15"/>
      <c r="WFW116" s="15"/>
      <c r="WFX116" s="15"/>
      <c r="WFY116" s="15"/>
      <c r="WFZ116" s="14"/>
      <c r="WGA116" s="15"/>
      <c r="WGB116" s="15"/>
      <c r="WGC116" s="15"/>
      <c r="WGD116" s="15"/>
      <c r="WGE116" s="15"/>
      <c r="WGF116" s="15"/>
      <c r="WGG116" s="15"/>
      <c r="WGH116" s="15"/>
      <c r="WGI116" s="15"/>
      <c r="WGJ116" s="15"/>
      <c r="WGK116" s="15"/>
      <c r="WGL116" s="15"/>
      <c r="WGM116" s="15"/>
      <c r="WGN116" s="15"/>
      <c r="WGO116" s="15"/>
      <c r="WGP116" s="15"/>
      <c r="WGQ116" s="15"/>
      <c r="WGR116" s="15"/>
      <c r="WGS116" s="15"/>
      <c r="WGT116" s="15"/>
      <c r="WGU116" s="15"/>
      <c r="WGV116" s="14"/>
      <c r="WGW116" s="15"/>
      <c r="WGX116" s="15"/>
      <c r="WGY116" s="15"/>
      <c r="WGZ116" s="15"/>
      <c r="WHA116" s="15"/>
      <c r="WHB116" s="15"/>
      <c r="WHC116" s="15"/>
      <c r="WHD116" s="15"/>
      <c r="WHE116" s="15"/>
      <c r="WHF116" s="15"/>
      <c r="WHG116" s="15"/>
      <c r="WHH116" s="15"/>
      <c r="WHI116" s="15"/>
      <c r="WHJ116" s="15"/>
      <c r="WHK116" s="15"/>
      <c r="WHL116" s="15"/>
      <c r="WHM116" s="15"/>
      <c r="WHN116" s="15"/>
      <c r="WHO116" s="15"/>
      <c r="WHP116" s="15"/>
      <c r="WHQ116" s="15"/>
      <c r="WHR116" s="14"/>
      <c r="WHS116" s="15"/>
      <c r="WHT116" s="15"/>
      <c r="WHU116" s="15"/>
      <c r="WHV116" s="15"/>
      <c r="WHW116" s="15"/>
      <c r="WHX116" s="15"/>
      <c r="WHY116" s="15"/>
      <c r="WHZ116" s="15"/>
      <c r="WIA116" s="15"/>
      <c r="WIB116" s="15"/>
      <c r="WIC116" s="15"/>
      <c r="WID116" s="15"/>
      <c r="WIE116" s="15"/>
      <c r="WIF116" s="15"/>
      <c r="WIG116" s="15"/>
      <c r="WIH116" s="15"/>
      <c r="WII116" s="15"/>
      <c r="WIJ116" s="15"/>
      <c r="WIK116" s="15"/>
      <c r="WIL116" s="15"/>
      <c r="WIM116" s="15"/>
      <c r="WIN116" s="14"/>
      <c r="WIO116" s="15"/>
      <c r="WIP116" s="15"/>
      <c r="WIQ116" s="15"/>
      <c r="WIR116" s="15"/>
      <c r="WIS116" s="15"/>
      <c r="WIT116" s="15"/>
      <c r="WIU116" s="15"/>
      <c r="WIV116" s="15"/>
      <c r="WIW116" s="15"/>
      <c r="WIX116" s="15"/>
      <c r="WIY116" s="15"/>
      <c r="WIZ116" s="15"/>
      <c r="WJA116" s="15"/>
      <c r="WJB116" s="15"/>
      <c r="WJC116" s="15"/>
      <c r="WJD116" s="15"/>
      <c r="WJE116" s="15"/>
      <c r="WJF116" s="15"/>
      <c r="WJG116" s="15"/>
      <c r="WJH116" s="15"/>
      <c r="WJI116" s="15"/>
      <c r="WJJ116" s="14"/>
      <c r="WJK116" s="15"/>
      <c r="WJL116" s="15"/>
      <c r="WJM116" s="15"/>
      <c r="WJN116" s="15"/>
      <c r="WJO116" s="15"/>
      <c r="WJP116" s="15"/>
      <c r="WJQ116" s="15"/>
      <c r="WJR116" s="15"/>
      <c r="WJS116" s="15"/>
      <c r="WJT116" s="15"/>
      <c r="WJU116" s="15"/>
      <c r="WJV116" s="15"/>
      <c r="WJW116" s="15"/>
      <c r="WJX116" s="15"/>
      <c r="WJY116" s="15"/>
      <c r="WJZ116" s="15"/>
      <c r="WKA116" s="15"/>
      <c r="WKB116" s="15"/>
      <c r="WKC116" s="15"/>
      <c r="WKD116" s="15"/>
      <c r="WKE116" s="15"/>
      <c r="WKF116" s="14"/>
      <c r="WKG116" s="15"/>
      <c r="WKH116" s="15"/>
      <c r="WKI116" s="15"/>
      <c r="WKJ116" s="15"/>
      <c r="WKK116" s="15"/>
      <c r="WKL116" s="15"/>
      <c r="WKM116" s="15"/>
      <c r="WKN116" s="15"/>
      <c r="WKO116" s="15"/>
      <c r="WKP116" s="15"/>
      <c r="WKQ116" s="15"/>
      <c r="WKR116" s="15"/>
      <c r="WKS116" s="15"/>
      <c r="WKT116" s="15"/>
      <c r="WKU116" s="15"/>
      <c r="WKV116" s="15"/>
      <c r="WKW116" s="15"/>
      <c r="WKX116" s="15"/>
      <c r="WKY116" s="15"/>
      <c r="WKZ116" s="15"/>
      <c r="WLA116" s="15"/>
      <c r="WLB116" s="14"/>
      <c r="WLC116" s="15"/>
      <c r="WLD116" s="15"/>
      <c r="WLE116" s="15"/>
      <c r="WLF116" s="15"/>
      <c r="WLG116" s="15"/>
      <c r="WLH116" s="15"/>
      <c r="WLI116" s="15"/>
      <c r="WLJ116" s="15"/>
      <c r="WLK116" s="15"/>
      <c r="WLL116" s="15"/>
      <c r="WLM116" s="15"/>
      <c r="WLN116" s="15"/>
      <c r="WLO116" s="15"/>
      <c r="WLP116" s="15"/>
      <c r="WLQ116" s="15"/>
      <c r="WLR116" s="15"/>
      <c r="WLS116" s="15"/>
      <c r="WLT116" s="15"/>
      <c r="WLU116" s="15"/>
      <c r="WLV116" s="15"/>
      <c r="WLW116" s="15"/>
      <c r="WLX116" s="14"/>
      <c r="WLY116" s="15"/>
      <c r="WLZ116" s="15"/>
      <c r="WMA116" s="15"/>
      <c r="WMB116" s="15"/>
      <c r="WMC116" s="15"/>
      <c r="WMD116" s="15"/>
      <c r="WME116" s="15"/>
      <c r="WMF116" s="15"/>
      <c r="WMG116" s="15"/>
      <c r="WMH116" s="15"/>
      <c r="WMI116" s="15"/>
      <c r="WMJ116" s="15"/>
      <c r="WMK116" s="15"/>
      <c r="WML116" s="15"/>
      <c r="WMM116" s="15"/>
      <c r="WMN116" s="15"/>
      <c r="WMO116" s="15"/>
      <c r="WMP116" s="15"/>
      <c r="WMQ116" s="15"/>
      <c r="WMR116" s="15"/>
      <c r="WMS116" s="15"/>
      <c r="WMT116" s="14"/>
      <c r="WMU116" s="15"/>
      <c r="WMV116" s="15"/>
      <c r="WMW116" s="15"/>
      <c r="WMX116" s="15"/>
      <c r="WMY116" s="15"/>
      <c r="WMZ116" s="15"/>
      <c r="WNA116" s="15"/>
      <c r="WNB116" s="15"/>
      <c r="WNC116" s="15"/>
      <c r="WND116" s="15"/>
      <c r="WNE116" s="15"/>
      <c r="WNF116" s="15"/>
      <c r="WNG116" s="15"/>
      <c r="WNH116" s="15"/>
      <c r="WNI116" s="15"/>
      <c r="WNJ116" s="15"/>
      <c r="WNK116" s="15"/>
      <c r="WNL116" s="15"/>
      <c r="WNM116" s="15"/>
      <c r="WNN116" s="15"/>
      <c r="WNO116" s="15"/>
      <c r="WNP116" s="14"/>
      <c r="WNQ116" s="15"/>
      <c r="WNR116" s="15"/>
      <c r="WNS116" s="15"/>
      <c r="WNT116" s="15"/>
      <c r="WNU116" s="15"/>
      <c r="WNV116" s="15"/>
      <c r="WNW116" s="15"/>
      <c r="WNX116" s="15"/>
      <c r="WNY116" s="15"/>
      <c r="WNZ116" s="15"/>
      <c r="WOA116" s="15"/>
      <c r="WOB116" s="15"/>
      <c r="WOC116" s="15"/>
      <c r="WOD116" s="15"/>
      <c r="WOE116" s="15"/>
      <c r="WOF116" s="15"/>
      <c r="WOG116" s="15"/>
      <c r="WOH116" s="15"/>
      <c r="WOI116" s="15"/>
      <c r="WOJ116" s="15"/>
      <c r="WOK116" s="15"/>
      <c r="WOL116" s="14"/>
      <c r="WOM116" s="15"/>
      <c r="WON116" s="15"/>
      <c r="WOO116" s="15"/>
      <c r="WOP116" s="15"/>
      <c r="WOQ116" s="15"/>
      <c r="WOR116" s="15"/>
      <c r="WOS116" s="15"/>
      <c r="WOT116" s="15"/>
      <c r="WOU116" s="15"/>
      <c r="WOV116" s="15"/>
      <c r="WOW116" s="15"/>
      <c r="WOX116" s="15"/>
      <c r="WOY116" s="15"/>
      <c r="WOZ116" s="15"/>
      <c r="WPA116" s="15"/>
      <c r="WPB116" s="15"/>
      <c r="WPC116" s="15"/>
      <c r="WPD116" s="15"/>
      <c r="WPE116" s="15"/>
      <c r="WPF116" s="15"/>
      <c r="WPG116" s="15"/>
      <c r="WPH116" s="14"/>
      <c r="WPI116" s="15"/>
      <c r="WPJ116" s="15"/>
      <c r="WPK116" s="15"/>
      <c r="WPL116" s="15"/>
      <c r="WPM116" s="15"/>
      <c r="WPN116" s="15"/>
      <c r="WPO116" s="15"/>
      <c r="WPP116" s="15"/>
      <c r="WPQ116" s="15"/>
      <c r="WPR116" s="15"/>
      <c r="WPS116" s="15"/>
      <c r="WPT116" s="15"/>
      <c r="WPU116" s="15"/>
      <c r="WPV116" s="15"/>
      <c r="WPW116" s="15"/>
      <c r="WPX116" s="15"/>
      <c r="WPY116" s="15"/>
      <c r="WPZ116" s="15"/>
      <c r="WQA116" s="15"/>
      <c r="WQB116" s="15"/>
      <c r="WQC116" s="15"/>
      <c r="WQD116" s="14"/>
      <c r="WQE116" s="15"/>
      <c r="WQF116" s="15"/>
      <c r="WQG116" s="15"/>
      <c r="WQH116" s="15"/>
      <c r="WQI116" s="15"/>
      <c r="WQJ116" s="15"/>
      <c r="WQK116" s="15"/>
      <c r="WQL116" s="15"/>
      <c r="WQM116" s="15"/>
      <c r="WQN116" s="15"/>
      <c r="WQO116" s="15"/>
      <c r="WQP116" s="15"/>
      <c r="WQQ116" s="15"/>
      <c r="WQR116" s="15"/>
      <c r="WQS116" s="15"/>
      <c r="WQT116" s="15"/>
      <c r="WQU116" s="15"/>
      <c r="WQV116" s="15"/>
      <c r="WQW116" s="15"/>
      <c r="WQX116" s="15"/>
      <c r="WQY116" s="15"/>
      <c r="WQZ116" s="14"/>
      <c r="WRA116" s="15"/>
      <c r="WRB116" s="15"/>
      <c r="WRC116" s="15"/>
      <c r="WRD116" s="15"/>
      <c r="WRE116" s="15"/>
      <c r="WRF116" s="15"/>
      <c r="WRG116" s="15"/>
      <c r="WRH116" s="15"/>
      <c r="WRI116" s="15"/>
      <c r="WRJ116" s="15"/>
      <c r="WRK116" s="15"/>
      <c r="WRL116" s="15"/>
      <c r="WRM116" s="15"/>
      <c r="WRN116" s="15"/>
      <c r="WRO116" s="15"/>
      <c r="WRP116" s="15"/>
      <c r="WRQ116" s="15"/>
      <c r="WRR116" s="15"/>
      <c r="WRS116" s="15"/>
      <c r="WRT116" s="15"/>
      <c r="WRU116" s="15"/>
      <c r="WRV116" s="14"/>
      <c r="WRW116" s="15"/>
      <c r="WRX116" s="15"/>
      <c r="WRY116" s="15"/>
      <c r="WRZ116" s="15"/>
      <c r="WSA116" s="15"/>
      <c r="WSB116" s="15"/>
      <c r="WSC116" s="15"/>
      <c r="WSD116" s="15"/>
      <c r="WSE116" s="15"/>
      <c r="WSF116" s="15"/>
      <c r="WSG116" s="15"/>
      <c r="WSH116" s="15"/>
      <c r="WSI116" s="15"/>
      <c r="WSJ116" s="15"/>
      <c r="WSK116" s="15"/>
      <c r="WSL116" s="15"/>
      <c r="WSM116" s="15"/>
      <c r="WSN116" s="15"/>
      <c r="WSO116" s="15"/>
      <c r="WSP116" s="15"/>
      <c r="WSQ116" s="15"/>
      <c r="WSR116" s="14"/>
      <c r="WSS116" s="15"/>
      <c r="WST116" s="15"/>
      <c r="WSU116" s="15"/>
      <c r="WSV116" s="15"/>
      <c r="WSW116" s="15"/>
      <c r="WSX116" s="15"/>
      <c r="WSY116" s="15"/>
      <c r="WSZ116" s="15"/>
      <c r="WTA116" s="15"/>
      <c r="WTB116" s="15"/>
      <c r="WTC116" s="15"/>
      <c r="WTD116" s="15"/>
      <c r="WTE116" s="15"/>
      <c r="WTF116" s="15"/>
      <c r="WTG116" s="15"/>
      <c r="WTH116" s="15"/>
      <c r="WTI116" s="15"/>
      <c r="WTJ116" s="15"/>
      <c r="WTK116" s="15"/>
      <c r="WTL116" s="15"/>
      <c r="WTM116" s="15"/>
      <c r="WTN116" s="14"/>
      <c r="WTO116" s="15"/>
      <c r="WTP116" s="15"/>
      <c r="WTQ116" s="15"/>
      <c r="WTR116" s="15"/>
      <c r="WTS116" s="15"/>
      <c r="WTT116" s="15"/>
      <c r="WTU116" s="15"/>
      <c r="WTV116" s="15"/>
      <c r="WTW116" s="15"/>
      <c r="WTX116" s="15"/>
      <c r="WTY116" s="15"/>
      <c r="WTZ116" s="15"/>
      <c r="WUA116" s="15"/>
      <c r="WUB116" s="15"/>
      <c r="WUC116" s="15"/>
      <c r="WUD116" s="15"/>
      <c r="WUE116" s="15"/>
      <c r="WUF116" s="15"/>
      <c r="WUG116" s="15"/>
      <c r="WUH116" s="15"/>
      <c r="WUI116" s="15"/>
      <c r="WUJ116" s="14"/>
      <c r="WUK116" s="15"/>
      <c r="WUL116" s="15"/>
      <c r="WUM116" s="15"/>
      <c r="WUN116" s="15"/>
      <c r="WUO116" s="15"/>
      <c r="WUP116" s="15"/>
      <c r="WUQ116" s="15"/>
      <c r="WUR116" s="15"/>
      <c r="WUS116" s="15"/>
      <c r="WUT116" s="15"/>
      <c r="WUU116" s="15"/>
      <c r="WUV116" s="15"/>
      <c r="WUW116" s="15"/>
      <c r="WUX116" s="15"/>
      <c r="WUY116" s="15"/>
      <c r="WUZ116" s="15"/>
      <c r="WVA116" s="15"/>
      <c r="WVB116" s="15"/>
      <c r="WVC116" s="15"/>
      <c r="WVD116" s="15"/>
      <c r="WVE116" s="15"/>
      <c r="WVF116" s="14"/>
      <c r="WVG116" s="15"/>
      <c r="WVH116" s="15"/>
      <c r="WVI116" s="15"/>
      <c r="WVJ116" s="15"/>
      <c r="WVK116" s="15"/>
      <c r="WVL116" s="15"/>
      <c r="WVM116" s="15"/>
      <c r="WVN116" s="15"/>
      <c r="WVO116" s="15"/>
      <c r="WVP116" s="15"/>
      <c r="WVQ116" s="15"/>
      <c r="WVR116" s="15"/>
      <c r="WVS116" s="15"/>
      <c r="WVT116" s="15"/>
      <c r="WVU116" s="15"/>
      <c r="WVV116" s="15"/>
      <c r="WVW116" s="15"/>
      <c r="WVX116" s="15"/>
      <c r="WVY116" s="15"/>
      <c r="WVZ116" s="15"/>
      <c r="WWA116" s="15"/>
      <c r="WWB116" s="14"/>
      <c r="WWC116" s="15"/>
      <c r="WWD116" s="15"/>
      <c r="WWE116" s="15"/>
      <c r="WWF116" s="15"/>
      <c r="WWG116" s="15"/>
      <c r="WWH116" s="15"/>
      <c r="WWI116" s="15"/>
      <c r="WWJ116" s="15"/>
      <c r="WWK116" s="15"/>
      <c r="WWL116" s="15"/>
      <c r="WWM116" s="15"/>
      <c r="WWN116" s="15"/>
      <c r="WWO116" s="15"/>
      <c r="WWP116" s="15"/>
      <c r="WWQ116" s="15"/>
      <c r="WWR116" s="15"/>
      <c r="WWS116" s="15"/>
      <c r="WWT116" s="15"/>
      <c r="WWU116" s="15"/>
      <c r="WWV116" s="15"/>
      <c r="WWW116" s="15"/>
      <c r="WWX116" s="14"/>
      <c r="WWY116" s="15"/>
      <c r="WWZ116" s="15"/>
      <c r="WXA116" s="15"/>
      <c r="WXB116" s="15"/>
      <c r="WXC116" s="15"/>
      <c r="WXD116" s="15"/>
      <c r="WXE116" s="15"/>
      <c r="WXF116" s="15"/>
      <c r="WXG116" s="15"/>
      <c r="WXH116" s="15"/>
      <c r="WXI116" s="15"/>
      <c r="WXJ116" s="15"/>
      <c r="WXK116" s="15"/>
      <c r="WXL116" s="15"/>
      <c r="WXM116" s="15"/>
      <c r="WXN116" s="15"/>
      <c r="WXO116" s="15"/>
      <c r="WXP116" s="15"/>
      <c r="WXQ116" s="15"/>
      <c r="WXR116" s="15"/>
      <c r="WXS116" s="15"/>
      <c r="WXT116" s="14"/>
      <c r="WXU116" s="15"/>
      <c r="WXV116" s="15"/>
      <c r="WXW116" s="15"/>
      <c r="WXX116" s="15"/>
      <c r="WXY116" s="15"/>
      <c r="WXZ116" s="15"/>
      <c r="WYA116" s="15"/>
      <c r="WYB116" s="15"/>
      <c r="WYC116" s="15"/>
      <c r="WYD116" s="15"/>
      <c r="WYE116" s="15"/>
      <c r="WYF116" s="15"/>
      <c r="WYG116" s="15"/>
      <c r="WYH116" s="15"/>
      <c r="WYI116" s="15"/>
      <c r="WYJ116" s="15"/>
      <c r="WYK116" s="15"/>
      <c r="WYL116" s="15"/>
      <c r="WYM116" s="15"/>
      <c r="WYN116" s="15"/>
      <c r="WYO116" s="15"/>
      <c r="WYP116" s="14"/>
      <c r="WYQ116" s="15"/>
      <c r="WYR116" s="15"/>
      <c r="WYS116" s="15"/>
      <c r="WYT116" s="15"/>
      <c r="WYU116" s="15"/>
      <c r="WYV116" s="15"/>
      <c r="WYW116" s="15"/>
      <c r="WYX116" s="15"/>
      <c r="WYY116" s="15"/>
      <c r="WYZ116" s="15"/>
      <c r="WZA116" s="15"/>
      <c r="WZB116" s="15"/>
      <c r="WZC116" s="15"/>
      <c r="WZD116" s="15"/>
      <c r="WZE116" s="15"/>
      <c r="WZF116" s="15"/>
      <c r="WZG116" s="15"/>
      <c r="WZH116" s="15"/>
      <c r="WZI116" s="15"/>
      <c r="WZJ116" s="15"/>
      <c r="WZK116" s="15"/>
      <c r="WZL116" s="14"/>
      <c r="WZM116" s="15"/>
      <c r="WZN116" s="15"/>
      <c r="WZO116" s="15"/>
      <c r="WZP116" s="15"/>
      <c r="WZQ116" s="15"/>
      <c r="WZR116" s="15"/>
      <c r="WZS116" s="15"/>
      <c r="WZT116" s="15"/>
      <c r="WZU116" s="15"/>
      <c r="WZV116" s="15"/>
      <c r="WZW116" s="15"/>
      <c r="WZX116" s="15"/>
      <c r="WZY116" s="15"/>
      <c r="WZZ116" s="15"/>
      <c r="XAA116" s="15"/>
      <c r="XAB116" s="15"/>
      <c r="XAC116" s="15"/>
      <c r="XAD116" s="15"/>
      <c r="XAE116" s="15"/>
      <c r="XAF116" s="15"/>
      <c r="XAG116" s="15"/>
      <c r="XAH116" s="14"/>
      <c r="XAI116" s="15"/>
      <c r="XAJ116" s="15"/>
      <c r="XAK116" s="15"/>
      <c r="XAL116" s="15"/>
      <c r="XAM116" s="15"/>
      <c r="XAN116" s="15"/>
      <c r="XAO116" s="15"/>
      <c r="XAP116" s="15"/>
      <c r="XAQ116" s="15"/>
      <c r="XAR116" s="15"/>
      <c r="XAS116" s="15"/>
      <c r="XAT116" s="15"/>
      <c r="XAU116" s="15"/>
      <c r="XAV116" s="15"/>
      <c r="XAW116" s="15"/>
      <c r="XAX116" s="15"/>
      <c r="XAY116" s="15"/>
      <c r="XAZ116" s="15"/>
      <c r="XBA116" s="15"/>
      <c r="XBB116" s="15"/>
      <c r="XBC116" s="15"/>
      <c r="XBD116" s="14"/>
      <c r="XBE116" s="15"/>
      <c r="XBF116" s="15"/>
      <c r="XBG116" s="15"/>
      <c r="XBH116" s="15"/>
      <c r="XBI116" s="15"/>
      <c r="XBJ116" s="15"/>
      <c r="XBK116" s="15"/>
      <c r="XBL116" s="15"/>
      <c r="XBM116" s="15"/>
      <c r="XBN116" s="15"/>
      <c r="XBO116" s="15"/>
      <c r="XBP116" s="15"/>
      <c r="XBQ116" s="15"/>
      <c r="XBR116" s="15"/>
      <c r="XBS116" s="15"/>
      <c r="XBT116" s="15"/>
      <c r="XBU116" s="15"/>
      <c r="XBV116" s="15"/>
      <c r="XBW116" s="15"/>
      <c r="XBX116" s="15"/>
      <c r="XBY116" s="15"/>
      <c r="XBZ116" s="14"/>
      <c r="XCA116" s="15"/>
      <c r="XCB116" s="15"/>
      <c r="XCC116" s="15"/>
      <c r="XCD116" s="15"/>
      <c r="XCE116" s="15"/>
      <c r="XCF116" s="15"/>
      <c r="XCG116" s="15"/>
      <c r="XCH116" s="15"/>
      <c r="XCI116" s="15"/>
      <c r="XCJ116" s="15"/>
      <c r="XCK116" s="15"/>
      <c r="XCL116" s="15"/>
      <c r="XCM116" s="15"/>
      <c r="XCN116" s="15"/>
      <c r="XCO116" s="15"/>
      <c r="XCP116" s="15"/>
      <c r="XCQ116" s="15"/>
      <c r="XCR116" s="15"/>
      <c r="XCS116" s="15"/>
      <c r="XCT116" s="15"/>
      <c r="XCU116" s="15"/>
      <c r="XCV116" s="14"/>
      <c r="XCW116" s="15"/>
      <c r="XCX116" s="15"/>
      <c r="XCY116" s="15"/>
      <c r="XCZ116" s="15"/>
      <c r="XDA116" s="15"/>
      <c r="XDB116" s="15"/>
      <c r="XDC116" s="15"/>
      <c r="XDD116" s="15"/>
      <c r="XDE116" s="15"/>
      <c r="XDF116" s="15"/>
      <c r="XDG116" s="15"/>
      <c r="XDH116" s="15"/>
      <c r="XDI116" s="15"/>
      <c r="XDJ116" s="15"/>
      <c r="XDK116" s="15"/>
      <c r="XDL116" s="15"/>
      <c r="XDM116" s="15"/>
      <c r="XDN116" s="15"/>
      <c r="XDO116" s="15"/>
      <c r="XDP116" s="15"/>
      <c r="XDQ116" s="15"/>
      <c r="XDR116" s="14"/>
      <c r="XDS116" s="15"/>
      <c r="XDT116" s="15"/>
      <c r="XDU116" s="15"/>
      <c r="XDV116" s="15"/>
      <c r="XDW116" s="15"/>
      <c r="XDX116" s="15"/>
      <c r="XDY116" s="15"/>
      <c r="XDZ116" s="15"/>
      <c r="XEA116" s="15"/>
      <c r="XEB116" s="15"/>
      <c r="XEC116" s="15"/>
      <c r="XED116" s="15"/>
      <c r="XEE116" s="15"/>
      <c r="XEF116" s="15"/>
      <c r="XEG116" s="15"/>
      <c r="XEH116" s="15"/>
      <c r="XEI116" s="15"/>
      <c r="XEJ116" s="15"/>
      <c r="XEK116" s="15"/>
      <c r="XEL116" s="15"/>
      <c r="XEM116" s="15"/>
      <c r="XEN116" s="14"/>
      <c r="XEO116" s="14"/>
      <c r="XEP116" s="14"/>
      <c r="XEQ116" s="14"/>
      <c r="XER116" s="14"/>
      <c r="XES116" s="14"/>
      <c r="XET116" s="14"/>
      <c r="XEU116" s="14"/>
      <c r="XEV116" s="14"/>
      <c r="XEW116" s="14"/>
      <c r="XEX116" s="14"/>
      <c r="XEY116" s="14"/>
      <c r="XEZ116" s="14"/>
      <c r="XFA116" s="14"/>
      <c r="XFB116" s="14"/>
      <c r="XFC116" s="14"/>
    </row>
    <row r="117" spans="1:16383" s="13" customFormat="1" ht="10.5" customHeight="1" thickTop="1">
      <c r="A117" s="14"/>
      <c r="B117" s="17"/>
      <c r="C117" s="18"/>
      <c r="D117" s="19"/>
      <c r="E117" s="19"/>
      <c r="F117" s="19"/>
      <c r="G117" s="19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4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4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4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4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4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4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4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4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4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4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  <c r="IV117" s="15"/>
      <c r="IW117" s="15"/>
      <c r="IX117" s="15"/>
      <c r="IY117" s="15"/>
      <c r="IZ117" s="15"/>
      <c r="JA117" s="15"/>
      <c r="JB117" s="15"/>
      <c r="JC117" s="15"/>
      <c r="JD117" s="14"/>
      <c r="JE117" s="15"/>
      <c r="JF117" s="15"/>
      <c r="JG117" s="15"/>
      <c r="JH117" s="15"/>
      <c r="JI117" s="15"/>
      <c r="JJ117" s="15"/>
      <c r="JK117" s="15"/>
      <c r="JL117" s="15"/>
      <c r="JM117" s="15"/>
      <c r="JN117" s="15"/>
      <c r="JO117" s="15"/>
      <c r="JP117" s="15"/>
      <c r="JQ117" s="15"/>
      <c r="JR117" s="15"/>
      <c r="JS117" s="15"/>
      <c r="JT117" s="15"/>
      <c r="JU117" s="15"/>
      <c r="JV117" s="15"/>
      <c r="JW117" s="15"/>
      <c r="JX117" s="15"/>
      <c r="JY117" s="15"/>
      <c r="JZ117" s="14"/>
      <c r="KA117" s="15"/>
      <c r="KB117" s="15"/>
      <c r="KC117" s="15"/>
      <c r="KD117" s="15"/>
      <c r="KE117" s="15"/>
      <c r="KF117" s="15"/>
      <c r="KG117" s="15"/>
      <c r="KH117" s="15"/>
      <c r="KI117" s="15"/>
      <c r="KJ117" s="15"/>
      <c r="KK117" s="15"/>
      <c r="KL117" s="15"/>
      <c r="KM117" s="15"/>
      <c r="KN117" s="15"/>
      <c r="KO117" s="15"/>
      <c r="KP117" s="15"/>
      <c r="KQ117" s="15"/>
      <c r="KR117" s="15"/>
      <c r="KS117" s="15"/>
      <c r="KT117" s="15"/>
      <c r="KU117" s="15"/>
      <c r="KV117" s="14"/>
      <c r="KW117" s="15"/>
      <c r="KX117" s="15"/>
      <c r="KY117" s="15"/>
      <c r="KZ117" s="15"/>
      <c r="LA117" s="15"/>
      <c r="LB117" s="15"/>
      <c r="LC117" s="15"/>
      <c r="LD117" s="15"/>
      <c r="LE117" s="15"/>
      <c r="LF117" s="15"/>
      <c r="LG117" s="15"/>
      <c r="LH117" s="15"/>
      <c r="LI117" s="15"/>
      <c r="LJ117" s="15"/>
      <c r="LK117" s="15"/>
      <c r="LL117" s="15"/>
      <c r="LM117" s="15"/>
      <c r="LN117" s="15"/>
      <c r="LO117" s="15"/>
      <c r="LP117" s="15"/>
      <c r="LQ117" s="15"/>
      <c r="LR117" s="14"/>
      <c r="LS117" s="15"/>
      <c r="LT117" s="15"/>
      <c r="LU117" s="15"/>
      <c r="LV117" s="15"/>
      <c r="LW117" s="15"/>
      <c r="LX117" s="15"/>
      <c r="LY117" s="15"/>
      <c r="LZ117" s="15"/>
      <c r="MA117" s="15"/>
      <c r="MB117" s="15"/>
      <c r="MC117" s="15"/>
      <c r="MD117" s="15"/>
      <c r="ME117" s="15"/>
      <c r="MF117" s="15"/>
      <c r="MG117" s="15"/>
      <c r="MH117" s="15"/>
      <c r="MI117" s="15"/>
      <c r="MJ117" s="15"/>
      <c r="MK117" s="15"/>
      <c r="ML117" s="15"/>
      <c r="MM117" s="15"/>
      <c r="MN117" s="14"/>
      <c r="MO117" s="15"/>
      <c r="MP117" s="15"/>
      <c r="MQ117" s="15"/>
      <c r="MR117" s="15"/>
      <c r="MS117" s="15"/>
      <c r="MT117" s="15"/>
      <c r="MU117" s="15"/>
      <c r="MV117" s="15"/>
      <c r="MW117" s="15"/>
      <c r="MX117" s="15"/>
      <c r="MY117" s="15"/>
      <c r="MZ117" s="15"/>
      <c r="NA117" s="15"/>
      <c r="NB117" s="15"/>
      <c r="NC117" s="15"/>
      <c r="ND117" s="15"/>
      <c r="NE117" s="15"/>
      <c r="NF117" s="15"/>
      <c r="NG117" s="15"/>
      <c r="NH117" s="15"/>
      <c r="NI117" s="15"/>
      <c r="NJ117" s="14"/>
      <c r="NK117" s="15"/>
      <c r="NL117" s="15"/>
      <c r="NM117" s="15"/>
      <c r="NN117" s="15"/>
      <c r="NO117" s="15"/>
      <c r="NP117" s="15"/>
      <c r="NQ117" s="15"/>
      <c r="NR117" s="15"/>
      <c r="NS117" s="15"/>
      <c r="NT117" s="15"/>
      <c r="NU117" s="15"/>
      <c r="NV117" s="15"/>
      <c r="NW117" s="15"/>
      <c r="NX117" s="15"/>
      <c r="NY117" s="15"/>
      <c r="NZ117" s="15"/>
      <c r="OA117" s="15"/>
      <c r="OB117" s="15"/>
      <c r="OC117" s="15"/>
      <c r="OD117" s="15"/>
      <c r="OE117" s="15"/>
      <c r="OF117" s="14"/>
      <c r="OG117" s="15"/>
      <c r="OH117" s="15"/>
      <c r="OI117" s="15"/>
      <c r="OJ117" s="15"/>
      <c r="OK117" s="15"/>
      <c r="OL117" s="15"/>
      <c r="OM117" s="15"/>
      <c r="ON117" s="15"/>
      <c r="OO117" s="15"/>
      <c r="OP117" s="15"/>
      <c r="OQ117" s="15"/>
      <c r="OR117" s="15"/>
      <c r="OS117" s="15"/>
      <c r="OT117" s="15"/>
      <c r="OU117" s="15"/>
      <c r="OV117" s="15"/>
      <c r="OW117" s="15"/>
      <c r="OX117" s="15"/>
      <c r="OY117" s="15"/>
      <c r="OZ117" s="15"/>
      <c r="PA117" s="15"/>
      <c r="PB117" s="14"/>
      <c r="PC117" s="15"/>
      <c r="PD117" s="15"/>
      <c r="PE117" s="15"/>
      <c r="PF117" s="15"/>
      <c r="PG117" s="15"/>
      <c r="PH117" s="15"/>
      <c r="PI117" s="15"/>
      <c r="PJ117" s="15"/>
      <c r="PK117" s="15"/>
      <c r="PL117" s="15"/>
      <c r="PM117" s="15"/>
      <c r="PN117" s="15"/>
      <c r="PO117" s="15"/>
      <c r="PP117" s="15"/>
      <c r="PQ117" s="15"/>
      <c r="PR117" s="15"/>
      <c r="PS117" s="15"/>
      <c r="PT117" s="15"/>
      <c r="PU117" s="15"/>
      <c r="PV117" s="15"/>
      <c r="PW117" s="15"/>
      <c r="PX117" s="14"/>
      <c r="PY117" s="15"/>
      <c r="PZ117" s="15"/>
      <c r="QA117" s="15"/>
      <c r="QB117" s="15"/>
      <c r="QC117" s="15"/>
      <c r="QD117" s="15"/>
      <c r="QE117" s="15"/>
      <c r="QF117" s="15"/>
      <c r="QG117" s="15"/>
      <c r="QH117" s="15"/>
      <c r="QI117" s="15"/>
      <c r="QJ117" s="15"/>
      <c r="QK117" s="15"/>
      <c r="QL117" s="15"/>
      <c r="QM117" s="15"/>
      <c r="QN117" s="15"/>
      <c r="QO117" s="15"/>
      <c r="QP117" s="15"/>
      <c r="QQ117" s="15"/>
      <c r="QR117" s="15"/>
      <c r="QS117" s="15"/>
      <c r="QT117" s="14"/>
      <c r="QU117" s="15"/>
      <c r="QV117" s="15"/>
      <c r="QW117" s="15"/>
      <c r="QX117" s="15"/>
      <c r="QY117" s="15"/>
      <c r="QZ117" s="15"/>
      <c r="RA117" s="15"/>
      <c r="RB117" s="15"/>
      <c r="RC117" s="15"/>
      <c r="RD117" s="15"/>
      <c r="RE117" s="15"/>
      <c r="RF117" s="15"/>
      <c r="RG117" s="15"/>
      <c r="RH117" s="15"/>
      <c r="RI117" s="15"/>
      <c r="RJ117" s="15"/>
      <c r="RK117" s="15"/>
      <c r="RL117" s="15"/>
      <c r="RM117" s="15"/>
      <c r="RN117" s="15"/>
      <c r="RO117" s="15"/>
      <c r="RP117" s="14"/>
      <c r="RQ117" s="15"/>
      <c r="RR117" s="15"/>
      <c r="RS117" s="15"/>
      <c r="RT117" s="15"/>
      <c r="RU117" s="15"/>
      <c r="RV117" s="15"/>
      <c r="RW117" s="15"/>
      <c r="RX117" s="15"/>
      <c r="RY117" s="15"/>
      <c r="RZ117" s="15"/>
      <c r="SA117" s="15"/>
      <c r="SB117" s="15"/>
      <c r="SC117" s="15"/>
      <c r="SD117" s="15"/>
      <c r="SE117" s="15"/>
      <c r="SF117" s="15"/>
      <c r="SG117" s="15"/>
      <c r="SH117" s="15"/>
      <c r="SI117" s="15"/>
      <c r="SJ117" s="15"/>
      <c r="SK117" s="15"/>
      <c r="SL117" s="14"/>
      <c r="SM117" s="15"/>
      <c r="SN117" s="15"/>
      <c r="SO117" s="15"/>
      <c r="SP117" s="15"/>
      <c r="SQ117" s="15"/>
      <c r="SR117" s="15"/>
      <c r="SS117" s="15"/>
      <c r="ST117" s="15"/>
      <c r="SU117" s="15"/>
      <c r="SV117" s="15"/>
      <c r="SW117" s="15"/>
      <c r="SX117" s="15"/>
      <c r="SY117" s="15"/>
      <c r="SZ117" s="15"/>
      <c r="TA117" s="15"/>
      <c r="TB117" s="15"/>
      <c r="TC117" s="15"/>
      <c r="TD117" s="15"/>
      <c r="TE117" s="15"/>
      <c r="TF117" s="15"/>
      <c r="TG117" s="15"/>
      <c r="TH117" s="14"/>
      <c r="TI117" s="15"/>
      <c r="TJ117" s="15"/>
      <c r="TK117" s="15"/>
      <c r="TL117" s="15"/>
      <c r="TM117" s="15"/>
      <c r="TN117" s="15"/>
      <c r="TO117" s="15"/>
      <c r="TP117" s="15"/>
      <c r="TQ117" s="15"/>
      <c r="TR117" s="15"/>
      <c r="TS117" s="15"/>
      <c r="TT117" s="15"/>
      <c r="TU117" s="15"/>
      <c r="TV117" s="15"/>
      <c r="TW117" s="15"/>
      <c r="TX117" s="15"/>
      <c r="TY117" s="15"/>
      <c r="TZ117" s="15"/>
      <c r="UA117" s="15"/>
      <c r="UB117" s="15"/>
      <c r="UC117" s="15"/>
      <c r="UD117" s="14"/>
      <c r="UE117" s="15"/>
      <c r="UF117" s="15"/>
      <c r="UG117" s="15"/>
      <c r="UH117" s="15"/>
      <c r="UI117" s="15"/>
      <c r="UJ117" s="15"/>
      <c r="UK117" s="15"/>
      <c r="UL117" s="15"/>
      <c r="UM117" s="15"/>
      <c r="UN117" s="15"/>
      <c r="UO117" s="15"/>
      <c r="UP117" s="15"/>
      <c r="UQ117" s="15"/>
      <c r="UR117" s="15"/>
      <c r="US117" s="15"/>
      <c r="UT117" s="15"/>
      <c r="UU117" s="15"/>
      <c r="UV117" s="15"/>
      <c r="UW117" s="15"/>
      <c r="UX117" s="15"/>
      <c r="UY117" s="15"/>
      <c r="UZ117" s="14"/>
      <c r="VA117" s="15"/>
      <c r="VB117" s="15"/>
      <c r="VC117" s="15"/>
      <c r="VD117" s="15"/>
      <c r="VE117" s="15"/>
      <c r="VF117" s="15"/>
      <c r="VG117" s="15"/>
      <c r="VH117" s="15"/>
      <c r="VI117" s="15"/>
      <c r="VJ117" s="15"/>
      <c r="VK117" s="15"/>
      <c r="VL117" s="15"/>
      <c r="VM117" s="15"/>
      <c r="VN117" s="15"/>
      <c r="VO117" s="15"/>
      <c r="VP117" s="15"/>
      <c r="VQ117" s="15"/>
      <c r="VR117" s="15"/>
      <c r="VS117" s="15"/>
      <c r="VT117" s="15"/>
      <c r="VU117" s="15"/>
      <c r="VV117" s="14"/>
      <c r="VW117" s="15"/>
      <c r="VX117" s="15"/>
      <c r="VY117" s="15"/>
      <c r="VZ117" s="15"/>
      <c r="WA117" s="15"/>
      <c r="WB117" s="15"/>
      <c r="WC117" s="15"/>
      <c r="WD117" s="15"/>
      <c r="WE117" s="15"/>
      <c r="WF117" s="15"/>
      <c r="WG117" s="15"/>
      <c r="WH117" s="15"/>
      <c r="WI117" s="15"/>
      <c r="WJ117" s="15"/>
      <c r="WK117" s="15"/>
      <c r="WL117" s="15"/>
      <c r="WM117" s="15"/>
      <c r="WN117" s="15"/>
      <c r="WO117" s="15"/>
      <c r="WP117" s="15"/>
      <c r="WQ117" s="15"/>
      <c r="WR117" s="14"/>
      <c r="WS117" s="15"/>
      <c r="WT117" s="15"/>
      <c r="WU117" s="15"/>
      <c r="WV117" s="15"/>
      <c r="WW117" s="15"/>
      <c r="WX117" s="15"/>
      <c r="WY117" s="15"/>
      <c r="WZ117" s="15"/>
      <c r="XA117" s="15"/>
      <c r="XB117" s="15"/>
      <c r="XC117" s="15"/>
      <c r="XD117" s="15"/>
      <c r="XE117" s="15"/>
      <c r="XF117" s="15"/>
      <c r="XG117" s="15"/>
      <c r="XH117" s="15"/>
      <c r="XI117" s="15"/>
      <c r="XJ117" s="15"/>
      <c r="XK117" s="15"/>
      <c r="XL117" s="15"/>
      <c r="XM117" s="15"/>
      <c r="XN117" s="14"/>
      <c r="XO117" s="15"/>
      <c r="XP117" s="15"/>
      <c r="XQ117" s="15"/>
      <c r="XR117" s="15"/>
      <c r="XS117" s="15"/>
      <c r="XT117" s="15"/>
      <c r="XU117" s="15"/>
      <c r="XV117" s="15"/>
      <c r="XW117" s="15"/>
      <c r="XX117" s="15"/>
      <c r="XY117" s="15"/>
      <c r="XZ117" s="15"/>
      <c r="YA117" s="15"/>
      <c r="YB117" s="15"/>
      <c r="YC117" s="15"/>
      <c r="YD117" s="15"/>
      <c r="YE117" s="15"/>
      <c r="YF117" s="15"/>
      <c r="YG117" s="15"/>
      <c r="YH117" s="15"/>
      <c r="YI117" s="15"/>
      <c r="YJ117" s="14"/>
      <c r="YK117" s="15"/>
      <c r="YL117" s="15"/>
      <c r="YM117" s="15"/>
      <c r="YN117" s="15"/>
      <c r="YO117" s="15"/>
      <c r="YP117" s="15"/>
      <c r="YQ117" s="15"/>
      <c r="YR117" s="15"/>
      <c r="YS117" s="15"/>
      <c r="YT117" s="15"/>
      <c r="YU117" s="15"/>
      <c r="YV117" s="15"/>
      <c r="YW117" s="15"/>
      <c r="YX117" s="15"/>
      <c r="YY117" s="15"/>
      <c r="YZ117" s="15"/>
      <c r="ZA117" s="15"/>
      <c r="ZB117" s="15"/>
      <c r="ZC117" s="15"/>
      <c r="ZD117" s="15"/>
      <c r="ZE117" s="15"/>
      <c r="ZF117" s="14"/>
      <c r="ZG117" s="15"/>
      <c r="ZH117" s="15"/>
      <c r="ZI117" s="15"/>
      <c r="ZJ117" s="15"/>
      <c r="ZK117" s="15"/>
      <c r="ZL117" s="15"/>
      <c r="ZM117" s="15"/>
      <c r="ZN117" s="15"/>
      <c r="ZO117" s="15"/>
      <c r="ZP117" s="15"/>
      <c r="ZQ117" s="15"/>
      <c r="ZR117" s="15"/>
      <c r="ZS117" s="15"/>
      <c r="ZT117" s="15"/>
      <c r="ZU117" s="15"/>
      <c r="ZV117" s="15"/>
      <c r="ZW117" s="15"/>
      <c r="ZX117" s="15"/>
      <c r="ZY117" s="15"/>
      <c r="ZZ117" s="15"/>
      <c r="AAA117" s="15"/>
      <c r="AAB117" s="14"/>
      <c r="AAC117" s="15"/>
      <c r="AAD117" s="15"/>
      <c r="AAE117" s="15"/>
      <c r="AAF117" s="15"/>
      <c r="AAG117" s="15"/>
      <c r="AAH117" s="15"/>
      <c r="AAI117" s="15"/>
      <c r="AAJ117" s="15"/>
      <c r="AAK117" s="15"/>
      <c r="AAL117" s="15"/>
      <c r="AAM117" s="15"/>
      <c r="AAN117" s="15"/>
      <c r="AAO117" s="15"/>
      <c r="AAP117" s="15"/>
      <c r="AAQ117" s="15"/>
      <c r="AAR117" s="15"/>
      <c r="AAS117" s="15"/>
      <c r="AAT117" s="15"/>
      <c r="AAU117" s="15"/>
      <c r="AAV117" s="15"/>
      <c r="AAW117" s="15"/>
      <c r="AAX117" s="14"/>
      <c r="AAY117" s="15"/>
      <c r="AAZ117" s="15"/>
      <c r="ABA117" s="15"/>
      <c r="ABB117" s="15"/>
      <c r="ABC117" s="15"/>
      <c r="ABD117" s="15"/>
      <c r="ABE117" s="15"/>
      <c r="ABF117" s="15"/>
      <c r="ABG117" s="15"/>
      <c r="ABH117" s="15"/>
      <c r="ABI117" s="15"/>
      <c r="ABJ117" s="15"/>
      <c r="ABK117" s="15"/>
      <c r="ABL117" s="15"/>
      <c r="ABM117" s="15"/>
      <c r="ABN117" s="15"/>
      <c r="ABO117" s="15"/>
      <c r="ABP117" s="15"/>
      <c r="ABQ117" s="15"/>
      <c r="ABR117" s="15"/>
      <c r="ABS117" s="15"/>
      <c r="ABT117" s="14"/>
      <c r="ABU117" s="15"/>
      <c r="ABV117" s="15"/>
      <c r="ABW117" s="15"/>
      <c r="ABX117" s="15"/>
      <c r="ABY117" s="15"/>
      <c r="ABZ117" s="15"/>
      <c r="ACA117" s="15"/>
      <c r="ACB117" s="15"/>
      <c r="ACC117" s="15"/>
      <c r="ACD117" s="15"/>
      <c r="ACE117" s="15"/>
      <c r="ACF117" s="15"/>
      <c r="ACG117" s="15"/>
      <c r="ACH117" s="15"/>
      <c r="ACI117" s="15"/>
      <c r="ACJ117" s="15"/>
      <c r="ACK117" s="15"/>
      <c r="ACL117" s="15"/>
      <c r="ACM117" s="15"/>
      <c r="ACN117" s="15"/>
      <c r="ACO117" s="15"/>
      <c r="ACP117" s="14"/>
      <c r="ACQ117" s="15"/>
      <c r="ACR117" s="15"/>
      <c r="ACS117" s="15"/>
      <c r="ACT117" s="15"/>
      <c r="ACU117" s="15"/>
      <c r="ACV117" s="15"/>
      <c r="ACW117" s="15"/>
      <c r="ACX117" s="15"/>
      <c r="ACY117" s="15"/>
      <c r="ACZ117" s="15"/>
      <c r="ADA117" s="15"/>
      <c r="ADB117" s="15"/>
      <c r="ADC117" s="15"/>
      <c r="ADD117" s="15"/>
      <c r="ADE117" s="15"/>
      <c r="ADF117" s="15"/>
      <c r="ADG117" s="15"/>
      <c r="ADH117" s="15"/>
      <c r="ADI117" s="15"/>
      <c r="ADJ117" s="15"/>
      <c r="ADK117" s="15"/>
      <c r="ADL117" s="14"/>
      <c r="ADM117" s="15"/>
      <c r="ADN117" s="15"/>
      <c r="ADO117" s="15"/>
      <c r="ADP117" s="15"/>
      <c r="ADQ117" s="15"/>
      <c r="ADR117" s="15"/>
      <c r="ADS117" s="15"/>
      <c r="ADT117" s="15"/>
      <c r="ADU117" s="15"/>
      <c r="ADV117" s="15"/>
      <c r="ADW117" s="15"/>
      <c r="ADX117" s="15"/>
      <c r="ADY117" s="15"/>
      <c r="ADZ117" s="15"/>
      <c r="AEA117" s="15"/>
      <c r="AEB117" s="15"/>
      <c r="AEC117" s="15"/>
      <c r="AED117" s="15"/>
      <c r="AEE117" s="15"/>
      <c r="AEF117" s="15"/>
      <c r="AEG117" s="15"/>
      <c r="AEH117" s="14"/>
      <c r="AEI117" s="15"/>
      <c r="AEJ117" s="15"/>
      <c r="AEK117" s="15"/>
      <c r="AEL117" s="15"/>
      <c r="AEM117" s="15"/>
      <c r="AEN117" s="15"/>
      <c r="AEO117" s="15"/>
      <c r="AEP117" s="15"/>
      <c r="AEQ117" s="15"/>
      <c r="AER117" s="15"/>
      <c r="AES117" s="15"/>
      <c r="AET117" s="15"/>
      <c r="AEU117" s="15"/>
      <c r="AEV117" s="15"/>
      <c r="AEW117" s="15"/>
      <c r="AEX117" s="15"/>
      <c r="AEY117" s="15"/>
      <c r="AEZ117" s="15"/>
      <c r="AFA117" s="15"/>
      <c r="AFB117" s="15"/>
      <c r="AFC117" s="15"/>
      <c r="AFD117" s="14"/>
      <c r="AFE117" s="15"/>
      <c r="AFF117" s="15"/>
      <c r="AFG117" s="15"/>
      <c r="AFH117" s="15"/>
      <c r="AFI117" s="15"/>
      <c r="AFJ117" s="15"/>
      <c r="AFK117" s="15"/>
      <c r="AFL117" s="15"/>
      <c r="AFM117" s="15"/>
      <c r="AFN117" s="15"/>
      <c r="AFO117" s="15"/>
      <c r="AFP117" s="15"/>
      <c r="AFQ117" s="15"/>
      <c r="AFR117" s="15"/>
      <c r="AFS117" s="15"/>
      <c r="AFT117" s="15"/>
      <c r="AFU117" s="15"/>
      <c r="AFV117" s="15"/>
      <c r="AFW117" s="15"/>
      <c r="AFX117" s="15"/>
      <c r="AFY117" s="15"/>
      <c r="AFZ117" s="14"/>
      <c r="AGA117" s="15"/>
      <c r="AGB117" s="15"/>
      <c r="AGC117" s="15"/>
      <c r="AGD117" s="15"/>
      <c r="AGE117" s="15"/>
      <c r="AGF117" s="15"/>
      <c r="AGG117" s="15"/>
      <c r="AGH117" s="15"/>
      <c r="AGI117" s="15"/>
      <c r="AGJ117" s="15"/>
      <c r="AGK117" s="15"/>
      <c r="AGL117" s="15"/>
      <c r="AGM117" s="15"/>
      <c r="AGN117" s="15"/>
      <c r="AGO117" s="15"/>
      <c r="AGP117" s="15"/>
      <c r="AGQ117" s="15"/>
      <c r="AGR117" s="15"/>
      <c r="AGS117" s="15"/>
      <c r="AGT117" s="15"/>
      <c r="AGU117" s="15"/>
      <c r="AGV117" s="14"/>
      <c r="AGW117" s="15"/>
      <c r="AGX117" s="15"/>
      <c r="AGY117" s="15"/>
      <c r="AGZ117" s="15"/>
      <c r="AHA117" s="15"/>
      <c r="AHB117" s="15"/>
      <c r="AHC117" s="15"/>
      <c r="AHD117" s="15"/>
      <c r="AHE117" s="15"/>
      <c r="AHF117" s="15"/>
      <c r="AHG117" s="15"/>
      <c r="AHH117" s="15"/>
      <c r="AHI117" s="15"/>
      <c r="AHJ117" s="15"/>
      <c r="AHK117" s="15"/>
      <c r="AHL117" s="15"/>
      <c r="AHM117" s="15"/>
      <c r="AHN117" s="15"/>
      <c r="AHO117" s="15"/>
      <c r="AHP117" s="15"/>
      <c r="AHQ117" s="15"/>
      <c r="AHR117" s="14"/>
      <c r="AHS117" s="15"/>
      <c r="AHT117" s="15"/>
      <c r="AHU117" s="15"/>
      <c r="AHV117" s="15"/>
      <c r="AHW117" s="15"/>
      <c r="AHX117" s="15"/>
      <c r="AHY117" s="15"/>
      <c r="AHZ117" s="15"/>
      <c r="AIA117" s="15"/>
      <c r="AIB117" s="15"/>
      <c r="AIC117" s="15"/>
      <c r="AID117" s="15"/>
      <c r="AIE117" s="15"/>
      <c r="AIF117" s="15"/>
      <c r="AIG117" s="15"/>
      <c r="AIH117" s="15"/>
      <c r="AII117" s="15"/>
      <c r="AIJ117" s="15"/>
      <c r="AIK117" s="15"/>
      <c r="AIL117" s="15"/>
      <c r="AIM117" s="15"/>
      <c r="AIN117" s="14"/>
      <c r="AIO117" s="15"/>
      <c r="AIP117" s="15"/>
      <c r="AIQ117" s="15"/>
      <c r="AIR117" s="15"/>
      <c r="AIS117" s="15"/>
      <c r="AIT117" s="15"/>
      <c r="AIU117" s="15"/>
      <c r="AIV117" s="15"/>
      <c r="AIW117" s="15"/>
      <c r="AIX117" s="15"/>
      <c r="AIY117" s="15"/>
      <c r="AIZ117" s="15"/>
      <c r="AJA117" s="15"/>
      <c r="AJB117" s="15"/>
      <c r="AJC117" s="15"/>
      <c r="AJD117" s="15"/>
      <c r="AJE117" s="15"/>
      <c r="AJF117" s="15"/>
      <c r="AJG117" s="15"/>
      <c r="AJH117" s="15"/>
      <c r="AJI117" s="15"/>
      <c r="AJJ117" s="14"/>
      <c r="AJK117" s="15"/>
      <c r="AJL117" s="15"/>
      <c r="AJM117" s="15"/>
      <c r="AJN117" s="15"/>
      <c r="AJO117" s="15"/>
      <c r="AJP117" s="15"/>
      <c r="AJQ117" s="15"/>
      <c r="AJR117" s="15"/>
      <c r="AJS117" s="15"/>
      <c r="AJT117" s="15"/>
      <c r="AJU117" s="15"/>
      <c r="AJV117" s="15"/>
      <c r="AJW117" s="15"/>
      <c r="AJX117" s="15"/>
      <c r="AJY117" s="15"/>
      <c r="AJZ117" s="15"/>
      <c r="AKA117" s="15"/>
      <c r="AKB117" s="15"/>
      <c r="AKC117" s="15"/>
      <c r="AKD117" s="15"/>
      <c r="AKE117" s="15"/>
      <c r="AKF117" s="14"/>
      <c r="AKG117" s="15"/>
      <c r="AKH117" s="15"/>
      <c r="AKI117" s="15"/>
      <c r="AKJ117" s="15"/>
      <c r="AKK117" s="15"/>
      <c r="AKL117" s="15"/>
      <c r="AKM117" s="15"/>
      <c r="AKN117" s="15"/>
      <c r="AKO117" s="15"/>
      <c r="AKP117" s="15"/>
      <c r="AKQ117" s="15"/>
      <c r="AKR117" s="15"/>
      <c r="AKS117" s="15"/>
      <c r="AKT117" s="15"/>
      <c r="AKU117" s="15"/>
      <c r="AKV117" s="15"/>
      <c r="AKW117" s="15"/>
      <c r="AKX117" s="15"/>
      <c r="AKY117" s="15"/>
      <c r="AKZ117" s="15"/>
      <c r="ALA117" s="15"/>
      <c r="ALB117" s="14"/>
      <c r="ALC117" s="15"/>
      <c r="ALD117" s="15"/>
      <c r="ALE117" s="15"/>
      <c r="ALF117" s="15"/>
      <c r="ALG117" s="15"/>
      <c r="ALH117" s="15"/>
      <c r="ALI117" s="15"/>
      <c r="ALJ117" s="15"/>
      <c r="ALK117" s="15"/>
      <c r="ALL117" s="15"/>
      <c r="ALM117" s="15"/>
      <c r="ALN117" s="15"/>
      <c r="ALO117" s="15"/>
      <c r="ALP117" s="15"/>
      <c r="ALQ117" s="15"/>
      <c r="ALR117" s="15"/>
      <c r="ALS117" s="15"/>
      <c r="ALT117" s="15"/>
      <c r="ALU117" s="15"/>
      <c r="ALV117" s="15"/>
      <c r="ALW117" s="15"/>
      <c r="ALX117" s="14"/>
      <c r="ALY117" s="15"/>
      <c r="ALZ117" s="15"/>
      <c r="AMA117" s="15"/>
      <c r="AMB117" s="15"/>
      <c r="AMC117" s="15"/>
      <c r="AMD117" s="15"/>
      <c r="AME117" s="15"/>
      <c r="AMF117" s="15"/>
      <c r="AMG117" s="15"/>
      <c r="AMH117" s="15"/>
      <c r="AMI117" s="15"/>
      <c r="AMJ117" s="15"/>
      <c r="AMK117" s="15"/>
      <c r="AML117" s="15"/>
      <c r="AMM117" s="15"/>
      <c r="AMN117" s="15"/>
      <c r="AMO117" s="15"/>
      <c r="AMP117" s="15"/>
      <c r="AMQ117" s="15"/>
      <c r="AMR117" s="15"/>
      <c r="AMS117" s="15"/>
      <c r="AMT117" s="14"/>
      <c r="AMU117" s="15"/>
      <c r="AMV117" s="15"/>
      <c r="AMW117" s="15"/>
      <c r="AMX117" s="15"/>
      <c r="AMY117" s="15"/>
      <c r="AMZ117" s="15"/>
      <c r="ANA117" s="15"/>
      <c r="ANB117" s="15"/>
      <c r="ANC117" s="15"/>
      <c r="AND117" s="15"/>
      <c r="ANE117" s="15"/>
      <c r="ANF117" s="15"/>
      <c r="ANG117" s="15"/>
      <c r="ANH117" s="15"/>
      <c r="ANI117" s="15"/>
      <c r="ANJ117" s="15"/>
      <c r="ANK117" s="15"/>
      <c r="ANL117" s="15"/>
      <c r="ANM117" s="15"/>
      <c r="ANN117" s="15"/>
      <c r="ANO117" s="15"/>
      <c r="ANP117" s="14"/>
      <c r="ANQ117" s="15"/>
      <c r="ANR117" s="15"/>
      <c r="ANS117" s="15"/>
      <c r="ANT117" s="15"/>
      <c r="ANU117" s="15"/>
      <c r="ANV117" s="15"/>
      <c r="ANW117" s="15"/>
      <c r="ANX117" s="15"/>
      <c r="ANY117" s="15"/>
      <c r="ANZ117" s="15"/>
      <c r="AOA117" s="15"/>
      <c r="AOB117" s="15"/>
      <c r="AOC117" s="15"/>
      <c r="AOD117" s="15"/>
      <c r="AOE117" s="15"/>
      <c r="AOF117" s="15"/>
      <c r="AOG117" s="15"/>
      <c r="AOH117" s="15"/>
      <c r="AOI117" s="15"/>
      <c r="AOJ117" s="15"/>
      <c r="AOK117" s="15"/>
      <c r="AOL117" s="14"/>
      <c r="AOM117" s="15"/>
      <c r="AON117" s="15"/>
      <c r="AOO117" s="15"/>
      <c r="AOP117" s="15"/>
      <c r="AOQ117" s="15"/>
      <c r="AOR117" s="15"/>
      <c r="AOS117" s="15"/>
      <c r="AOT117" s="15"/>
      <c r="AOU117" s="15"/>
      <c r="AOV117" s="15"/>
      <c r="AOW117" s="15"/>
      <c r="AOX117" s="15"/>
      <c r="AOY117" s="15"/>
      <c r="AOZ117" s="15"/>
      <c r="APA117" s="15"/>
      <c r="APB117" s="15"/>
      <c r="APC117" s="15"/>
      <c r="APD117" s="15"/>
      <c r="APE117" s="15"/>
      <c r="APF117" s="15"/>
      <c r="APG117" s="15"/>
      <c r="APH117" s="14"/>
      <c r="API117" s="15"/>
      <c r="APJ117" s="15"/>
      <c r="APK117" s="15"/>
      <c r="APL117" s="15"/>
      <c r="APM117" s="15"/>
      <c r="APN117" s="15"/>
      <c r="APO117" s="15"/>
      <c r="APP117" s="15"/>
      <c r="APQ117" s="15"/>
      <c r="APR117" s="15"/>
      <c r="APS117" s="15"/>
      <c r="APT117" s="15"/>
      <c r="APU117" s="15"/>
      <c r="APV117" s="15"/>
      <c r="APW117" s="15"/>
      <c r="APX117" s="15"/>
      <c r="APY117" s="15"/>
      <c r="APZ117" s="15"/>
      <c r="AQA117" s="15"/>
      <c r="AQB117" s="15"/>
      <c r="AQC117" s="15"/>
      <c r="AQD117" s="14"/>
      <c r="AQE117" s="15"/>
      <c r="AQF117" s="15"/>
      <c r="AQG117" s="15"/>
      <c r="AQH117" s="15"/>
      <c r="AQI117" s="15"/>
      <c r="AQJ117" s="15"/>
      <c r="AQK117" s="15"/>
      <c r="AQL117" s="15"/>
      <c r="AQM117" s="15"/>
      <c r="AQN117" s="15"/>
      <c r="AQO117" s="15"/>
      <c r="AQP117" s="15"/>
      <c r="AQQ117" s="15"/>
      <c r="AQR117" s="15"/>
      <c r="AQS117" s="15"/>
      <c r="AQT117" s="15"/>
      <c r="AQU117" s="15"/>
      <c r="AQV117" s="15"/>
      <c r="AQW117" s="15"/>
      <c r="AQX117" s="15"/>
      <c r="AQY117" s="15"/>
      <c r="AQZ117" s="14"/>
      <c r="ARA117" s="15"/>
      <c r="ARB117" s="15"/>
      <c r="ARC117" s="15"/>
      <c r="ARD117" s="15"/>
      <c r="ARE117" s="15"/>
      <c r="ARF117" s="15"/>
      <c r="ARG117" s="15"/>
      <c r="ARH117" s="15"/>
      <c r="ARI117" s="15"/>
      <c r="ARJ117" s="15"/>
      <c r="ARK117" s="15"/>
      <c r="ARL117" s="15"/>
      <c r="ARM117" s="15"/>
      <c r="ARN117" s="15"/>
      <c r="ARO117" s="15"/>
      <c r="ARP117" s="15"/>
      <c r="ARQ117" s="15"/>
      <c r="ARR117" s="15"/>
      <c r="ARS117" s="15"/>
      <c r="ART117" s="15"/>
      <c r="ARU117" s="15"/>
      <c r="ARV117" s="14"/>
      <c r="ARW117" s="15"/>
      <c r="ARX117" s="15"/>
      <c r="ARY117" s="15"/>
      <c r="ARZ117" s="15"/>
      <c r="ASA117" s="15"/>
      <c r="ASB117" s="15"/>
      <c r="ASC117" s="15"/>
      <c r="ASD117" s="15"/>
      <c r="ASE117" s="15"/>
      <c r="ASF117" s="15"/>
      <c r="ASG117" s="15"/>
      <c r="ASH117" s="15"/>
      <c r="ASI117" s="15"/>
      <c r="ASJ117" s="15"/>
      <c r="ASK117" s="15"/>
      <c r="ASL117" s="15"/>
      <c r="ASM117" s="15"/>
      <c r="ASN117" s="15"/>
      <c r="ASO117" s="15"/>
      <c r="ASP117" s="15"/>
      <c r="ASQ117" s="15"/>
      <c r="ASR117" s="14"/>
      <c r="ASS117" s="15"/>
      <c r="AST117" s="15"/>
      <c r="ASU117" s="15"/>
      <c r="ASV117" s="15"/>
      <c r="ASW117" s="15"/>
      <c r="ASX117" s="15"/>
      <c r="ASY117" s="15"/>
      <c r="ASZ117" s="15"/>
      <c r="ATA117" s="15"/>
      <c r="ATB117" s="15"/>
      <c r="ATC117" s="15"/>
      <c r="ATD117" s="15"/>
      <c r="ATE117" s="15"/>
      <c r="ATF117" s="15"/>
      <c r="ATG117" s="15"/>
      <c r="ATH117" s="15"/>
      <c r="ATI117" s="15"/>
      <c r="ATJ117" s="15"/>
      <c r="ATK117" s="15"/>
      <c r="ATL117" s="15"/>
      <c r="ATM117" s="15"/>
      <c r="ATN117" s="14"/>
      <c r="ATO117" s="15"/>
      <c r="ATP117" s="15"/>
      <c r="ATQ117" s="15"/>
      <c r="ATR117" s="15"/>
      <c r="ATS117" s="15"/>
      <c r="ATT117" s="15"/>
      <c r="ATU117" s="15"/>
      <c r="ATV117" s="15"/>
      <c r="ATW117" s="15"/>
      <c r="ATX117" s="15"/>
      <c r="ATY117" s="15"/>
      <c r="ATZ117" s="15"/>
      <c r="AUA117" s="15"/>
      <c r="AUB117" s="15"/>
      <c r="AUC117" s="15"/>
      <c r="AUD117" s="15"/>
      <c r="AUE117" s="15"/>
      <c r="AUF117" s="15"/>
      <c r="AUG117" s="15"/>
      <c r="AUH117" s="15"/>
      <c r="AUI117" s="15"/>
      <c r="AUJ117" s="14"/>
      <c r="AUK117" s="15"/>
      <c r="AUL117" s="15"/>
      <c r="AUM117" s="15"/>
      <c r="AUN117" s="15"/>
      <c r="AUO117" s="15"/>
      <c r="AUP117" s="15"/>
      <c r="AUQ117" s="15"/>
      <c r="AUR117" s="15"/>
      <c r="AUS117" s="15"/>
      <c r="AUT117" s="15"/>
      <c r="AUU117" s="15"/>
      <c r="AUV117" s="15"/>
      <c r="AUW117" s="15"/>
      <c r="AUX117" s="15"/>
      <c r="AUY117" s="15"/>
      <c r="AUZ117" s="15"/>
      <c r="AVA117" s="15"/>
      <c r="AVB117" s="15"/>
      <c r="AVC117" s="15"/>
      <c r="AVD117" s="15"/>
      <c r="AVE117" s="15"/>
      <c r="AVF117" s="14"/>
      <c r="AVG117" s="15"/>
      <c r="AVH117" s="15"/>
      <c r="AVI117" s="15"/>
      <c r="AVJ117" s="15"/>
      <c r="AVK117" s="15"/>
      <c r="AVL117" s="15"/>
      <c r="AVM117" s="15"/>
      <c r="AVN117" s="15"/>
      <c r="AVO117" s="15"/>
      <c r="AVP117" s="15"/>
      <c r="AVQ117" s="15"/>
      <c r="AVR117" s="15"/>
      <c r="AVS117" s="15"/>
      <c r="AVT117" s="15"/>
      <c r="AVU117" s="15"/>
      <c r="AVV117" s="15"/>
      <c r="AVW117" s="15"/>
      <c r="AVX117" s="15"/>
      <c r="AVY117" s="15"/>
      <c r="AVZ117" s="15"/>
      <c r="AWA117" s="15"/>
      <c r="AWB117" s="14"/>
      <c r="AWC117" s="15"/>
      <c r="AWD117" s="15"/>
      <c r="AWE117" s="15"/>
      <c r="AWF117" s="15"/>
      <c r="AWG117" s="15"/>
      <c r="AWH117" s="15"/>
      <c r="AWI117" s="15"/>
      <c r="AWJ117" s="15"/>
      <c r="AWK117" s="15"/>
      <c r="AWL117" s="15"/>
      <c r="AWM117" s="15"/>
      <c r="AWN117" s="15"/>
      <c r="AWO117" s="15"/>
      <c r="AWP117" s="15"/>
      <c r="AWQ117" s="15"/>
      <c r="AWR117" s="15"/>
      <c r="AWS117" s="15"/>
      <c r="AWT117" s="15"/>
      <c r="AWU117" s="15"/>
      <c r="AWV117" s="15"/>
      <c r="AWW117" s="15"/>
      <c r="AWX117" s="14"/>
      <c r="AWY117" s="15"/>
      <c r="AWZ117" s="15"/>
      <c r="AXA117" s="15"/>
      <c r="AXB117" s="15"/>
      <c r="AXC117" s="15"/>
      <c r="AXD117" s="15"/>
      <c r="AXE117" s="15"/>
      <c r="AXF117" s="15"/>
      <c r="AXG117" s="15"/>
      <c r="AXH117" s="15"/>
      <c r="AXI117" s="15"/>
      <c r="AXJ117" s="15"/>
      <c r="AXK117" s="15"/>
      <c r="AXL117" s="15"/>
      <c r="AXM117" s="15"/>
      <c r="AXN117" s="15"/>
      <c r="AXO117" s="15"/>
      <c r="AXP117" s="15"/>
      <c r="AXQ117" s="15"/>
      <c r="AXR117" s="15"/>
      <c r="AXS117" s="15"/>
      <c r="AXT117" s="14"/>
      <c r="AXU117" s="15"/>
      <c r="AXV117" s="15"/>
      <c r="AXW117" s="15"/>
      <c r="AXX117" s="15"/>
      <c r="AXY117" s="15"/>
      <c r="AXZ117" s="15"/>
      <c r="AYA117" s="15"/>
      <c r="AYB117" s="15"/>
      <c r="AYC117" s="15"/>
      <c r="AYD117" s="15"/>
      <c r="AYE117" s="15"/>
      <c r="AYF117" s="15"/>
      <c r="AYG117" s="15"/>
      <c r="AYH117" s="15"/>
      <c r="AYI117" s="15"/>
      <c r="AYJ117" s="15"/>
      <c r="AYK117" s="15"/>
      <c r="AYL117" s="15"/>
      <c r="AYM117" s="15"/>
      <c r="AYN117" s="15"/>
      <c r="AYO117" s="15"/>
      <c r="AYP117" s="14"/>
      <c r="AYQ117" s="15"/>
      <c r="AYR117" s="15"/>
      <c r="AYS117" s="15"/>
      <c r="AYT117" s="15"/>
      <c r="AYU117" s="15"/>
      <c r="AYV117" s="15"/>
      <c r="AYW117" s="15"/>
      <c r="AYX117" s="15"/>
      <c r="AYY117" s="15"/>
      <c r="AYZ117" s="15"/>
      <c r="AZA117" s="15"/>
      <c r="AZB117" s="15"/>
      <c r="AZC117" s="15"/>
      <c r="AZD117" s="15"/>
      <c r="AZE117" s="15"/>
      <c r="AZF117" s="15"/>
      <c r="AZG117" s="15"/>
      <c r="AZH117" s="15"/>
      <c r="AZI117" s="15"/>
      <c r="AZJ117" s="15"/>
      <c r="AZK117" s="15"/>
      <c r="AZL117" s="14"/>
      <c r="AZM117" s="15"/>
      <c r="AZN117" s="15"/>
      <c r="AZO117" s="15"/>
      <c r="AZP117" s="15"/>
      <c r="AZQ117" s="15"/>
      <c r="AZR117" s="15"/>
      <c r="AZS117" s="15"/>
      <c r="AZT117" s="15"/>
      <c r="AZU117" s="15"/>
      <c r="AZV117" s="15"/>
      <c r="AZW117" s="15"/>
      <c r="AZX117" s="15"/>
      <c r="AZY117" s="15"/>
      <c r="AZZ117" s="15"/>
      <c r="BAA117" s="15"/>
      <c r="BAB117" s="15"/>
      <c r="BAC117" s="15"/>
      <c r="BAD117" s="15"/>
      <c r="BAE117" s="15"/>
      <c r="BAF117" s="15"/>
      <c r="BAG117" s="15"/>
      <c r="BAH117" s="14"/>
      <c r="BAI117" s="15"/>
      <c r="BAJ117" s="15"/>
      <c r="BAK117" s="15"/>
      <c r="BAL117" s="15"/>
      <c r="BAM117" s="15"/>
      <c r="BAN117" s="15"/>
      <c r="BAO117" s="15"/>
      <c r="BAP117" s="15"/>
      <c r="BAQ117" s="15"/>
      <c r="BAR117" s="15"/>
      <c r="BAS117" s="15"/>
      <c r="BAT117" s="15"/>
      <c r="BAU117" s="15"/>
      <c r="BAV117" s="15"/>
      <c r="BAW117" s="15"/>
      <c r="BAX117" s="15"/>
      <c r="BAY117" s="15"/>
      <c r="BAZ117" s="15"/>
      <c r="BBA117" s="15"/>
      <c r="BBB117" s="15"/>
      <c r="BBC117" s="15"/>
      <c r="BBD117" s="14"/>
      <c r="BBE117" s="15"/>
      <c r="BBF117" s="15"/>
      <c r="BBG117" s="15"/>
      <c r="BBH117" s="15"/>
      <c r="BBI117" s="15"/>
      <c r="BBJ117" s="15"/>
      <c r="BBK117" s="15"/>
      <c r="BBL117" s="15"/>
      <c r="BBM117" s="15"/>
      <c r="BBN117" s="15"/>
      <c r="BBO117" s="15"/>
      <c r="BBP117" s="15"/>
      <c r="BBQ117" s="15"/>
      <c r="BBR117" s="15"/>
      <c r="BBS117" s="15"/>
      <c r="BBT117" s="15"/>
      <c r="BBU117" s="15"/>
      <c r="BBV117" s="15"/>
      <c r="BBW117" s="15"/>
      <c r="BBX117" s="15"/>
      <c r="BBY117" s="15"/>
      <c r="BBZ117" s="14"/>
      <c r="BCA117" s="15"/>
      <c r="BCB117" s="15"/>
      <c r="BCC117" s="15"/>
      <c r="BCD117" s="15"/>
      <c r="BCE117" s="15"/>
      <c r="BCF117" s="15"/>
      <c r="BCG117" s="15"/>
      <c r="BCH117" s="15"/>
      <c r="BCI117" s="15"/>
      <c r="BCJ117" s="15"/>
      <c r="BCK117" s="15"/>
      <c r="BCL117" s="15"/>
      <c r="BCM117" s="15"/>
      <c r="BCN117" s="15"/>
      <c r="BCO117" s="15"/>
      <c r="BCP117" s="15"/>
      <c r="BCQ117" s="15"/>
      <c r="BCR117" s="15"/>
      <c r="BCS117" s="15"/>
      <c r="BCT117" s="15"/>
      <c r="BCU117" s="15"/>
      <c r="BCV117" s="14"/>
      <c r="BCW117" s="15"/>
      <c r="BCX117" s="15"/>
      <c r="BCY117" s="15"/>
      <c r="BCZ117" s="15"/>
      <c r="BDA117" s="15"/>
      <c r="BDB117" s="15"/>
      <c r="BDC117" s="15"/>
      <c r="BDD117" s="15"/>
      <c r="BDE117" s="15"/>
      <c r="BDF117" s="15"/>
      <c r="BDG117" s="15"/>
      <c r="BDH117" s="15"/>
      <c r="BDI117" s="15"/>
      <c r="BDJ117" s="15"/>
      <c r="BDK117" s="15"/>
      <c r="BDL117" s="15"/>
      <c r="BDM117" s="15"/>
      <c r="BDN117" s="15"/>
      <c r="BDO117" s="15"/>
      <c r="BDP117" s="15"/>
      <c r="BDQ117" s="15"/>
      <c r="BDR117" s="14"/>
      <c r="BDS117" s="15"/>
      <c r="BDT117" s="15"/>
      <c r="BDU117" s="15"/>
      <c r="BDV117" s="15"/>
      <c r="BDW117" s="15"/>
      <c r="BDX117" s="15"/>
      <c r="BDY117" s="15"/>
      <c r="BDZ117" s="15"/>
      <c r="BEA117" s="15"/>
      <c r="BEB117" s="15"/>
      <c r="BEC117" s="15"/>
      <c r="BED117" s="15"/>
      <c r="BEE117" s="15"/>
      <c r="BEF117" s="15"/>
      <c r="BEG117" s="15"/>
      <c r="BEH117" s="15"/>
      <c r="BEI117" s="15"/>
      <c r="BEJ117" s="15"/>
      <c r="BEK117" s="15"/>
      <c r="BEL117" s="15"/>
      <c r="BEM117" s="15"/>
      <c r="BEN117" s="14"/>
      <c r="BEO117" s="15"/>
      <c r="BEP117" s="15"/>
      <c r="BEQ117" s="15"/>
      <c r="BER117" s="15"/>
      <c r="BES117" s="15"/>
      <c r="BET117" s="15"/>
      <c r="BEU117" s="15"/>
      <c r="BEV117" s="15"/>
      <c r="BEW117" s="15"/>
      <c r="BEX117" s="15"/>
      <c r="BEY117" s="15"/>
      <c r="BEZ117" s="15"/>
      <c r="BFA117" s="15"/>
      <c r="BFB117" s="15"/>
      <c r="BFC117" s="15"/>
      <c r="BFD117" s="15"/>
      <c r="BFE117" s="15"/>
      <c r="BFF117" s="15"/>
      <c r="BFG117" s="15"/>
      <c r="BFH117" s="15"/>
      <c r="BFI117" s="15"/>
      <c r="BFJ117" s="14"/>
      <c r="BFK117" s="15"/>
      <c r="BFL117" s="15"/>
      <c r="BFM117" s="15"/>
      <c r="BFN117" s="15"/>
      <c r="BFO117" s="15"/>
      <c r="BFP117" s="15"/>
      <c r="BFQ117" s="15"/>
      <c r="BFR117" s="15"/>
      <c r="BFS117" s="15"/>
      <c r="BFT117" s="15"/>
      <c r="BFU117" s="15"/>
      <c r="BFV117" s="15"/>
      <c r="BFW117" s="15"/>
      <c r="BFX117" s="15"/>
      <c r="BFY117" s="15"/>
      <c r="BFZ117" s="15"/>
      <c r="BGA117" s="15"/>
      <c r="BGB117" s="15"/>
      <c r="BGC117" s="15"/>
      <c r="BGD117" s="15"/>
      <c r="BGE117" s="15"/>
      <c r="BGF117" s="14"/>
      <c r="BGG117" s="15"/>
      <c r="BGH117" s="15"/>
      <c r="BGI117" s="15"/>
      <c r="BGJ117" s="15"/>
      <c r="BGK117" s="15"/>
      <c r="BGL117" s="15"/>
      <c r="BGM117" s="15"/>
      <c r="BGN117" s="15"/>
      <c r="BGO117" s="15"/>
      <c r="BGP117" s="15"/>
      <c r="BGQ117" s="15"/>
      <c r="BGR117" s="15"/>
      <c r="BGS117" s="15"/>
      <c r="BGT117" s="15"/>
      <c r="BGU117" s="15"/>
      <c r="BGV117" s="15"/>
      <c r="BGW117" s="15"/>
      <c r="BGX117" s="15"/>
      <c r="BGY117" s="15"/>
      <c r="BGZ117" s="15"/>
      <c r="BHA117" s="15"/>
      <c r="BHB117" s="14"/>
      <c r="BHC117" s="15"/>
      <c r="BHD117" s="15"/>
      <c r="BHE117" s="15"/>
      <c r="BHF117" s="15"/>
      <c r="BHG117" s="15"/>
      <c r="BHH117" s="15"/>
      <c r="BHI117" s="15"/>
      <c r="BHJ117" s="15"/>
      <c r="BHK117" s="15"/>
      <c r="BHL117" s="15"/>
      <c r="BHM117" s="15"/>
      <c r="BHN117" s="15"/>
      <c r="BHO117" s="15"/>
      <c r="BHP117" s="15"/>
      <c r="BHQ117" s="15"/>
      <c r="BHR117" s="15"/>
      <c r="BHS117" s="15"/>
      <c r="BHT117" s="15"/>
      <c r="BHU117" s="15"/>
      <c r="BHV117" s="15"/>
      <c r="BHW117" s="15"/>
      <c r="BHX117" s="14"/>
      <c r="BHY117" s="15"/>
      <c r="BHZ117" s="15"/>
      <c r="BIA117" s="15"/>
      <c r="BIB117" s="15"/>
      <c r="BIC117" s="15"/>
      <c r="BID117" s="15"/>
      <c r="BIE117" s="15"/>
      <c r="BIF117" s="15"/>
      <c r="BIG117" s="15"/>
      <c r="BIH117" s="15"/>
      <c r="BII117" s="15"/>
      <c r="BIJ117" s="15"/>
      <c r="BIK117" s="15"/>
      <c r="BIL117" s="15"/>
      <c r="BIM117" s="15"/>
      <c r="BIN117" s="15"/>
      <c r="BIO117" s="15"/>
      <c r="BIP117" s="15"/>
      <c r="BIQ117" s="15"/>
      <c r="BIR117" s="15"/>
      <c r="BIS117" s="15"/>
      <c r="BIT117" s="14"/>
      <c r="BIU117" s="15"/>
      <c r="BIV117" s="15"/>
      <c r="BIW117" s="15"/>
      <c r="BIX117" s="15"/>
      <c r="BIY117" s="15"/>
      <c r="BIZ117" s="15"/>
      <c r="BJA117" s="15"/>
      <c r="BJB117" s="15"/>
      <c r="BJC117" s="15"/>
      <c r="BJD117" s="15"/>
      <c r="BJE117" s="15"/>
      <c r="BJF117" s="15"/>
      <c r="BJG117" s="15"/>
      <c r="BJH117" s="15"/>
      <c r="BJI117" s="15"/>
      <c r="BJJ117" s="15"/>
      <c r="BJK117" s="15"/>
      <c r="BJL117" s="15"/>
      <c r="BJM117" s="15"/>
      <c r="BJN117" s="15"/>
      <c r="BJO117" s="15"/>
      <c r="BJP117" s="14"/>
      <c r="BJQ117" s="15"/>
      <c r="BJR117" s="15"/>
      <c r="BJS117" s="15"/>
      <c r="BJT117" s="15"/>
      <c r="BJU117" s="15"/>
      <c r="BJV117" s="15"/>
      <c r="BJW117" s="15"/>
      <c r="BJX117" s="15"/>
      <c r="BJY117" s="15"/>
      <c r="BJZ117" s="15"/>
      <c r="BKA117" s="15"/>
      <c r="BKB117" s="15"/>
      <c r="BKC117" s="15"/>
      <c r="BKD117" s="15"/>
      <c r="BKE117" s="15"/>
      <c r="BKF117" s="15"/>
      <c r="BKG117" s="15"/>
      <c r="BKH117" s="15"/>
      <c r="BKI117" s="15"/>
      <c r="BKJ117" s="15"/>
      <c r="BKK117" s="15"/>
      <c r="BKL117" s="14"/>
      <c r="BKM117" s="15"/>
      <c r="BKN117" s="15"/>
      <c r="BKO117" s="15"/>
      <c r="BKP117" s="15"/>
      <c r="BKQ117" s="15"/>
      <c r="BKR117" s="15"/>
      <c r="BKS117" s="15"/>
      <c r="BKT117" s="15"/>
      <c r="BKU117" s="15"/>
      <c r="BKV117" s="15"/>
      <c r="BKW117" s="15"/>
      <c r="BKX117" s="15"/>
      <c r="BKY117" s="15"/>
      <c r="BKZ117" s="15"/>
      <c r="BLA117" s="15"/>
      <c r="BLB117" s="15"/>
      <c r="BLC117" s="15"/>
      <c r="BLD117" s="15"/>
      <c r="BLE117" s="15"/>
      <c r="BLF117" s="15"/>
      <c r="BLG117" s="15"/>
      <c r="BLH117" s="14"/>
      <c r="BLI117" s="15"/>
      <c r="BLJ117" s="15"/>
      <c r="BLK117" s="15"/>
      <c r="BLL117" s="15"/>
      <c r="BLM117" s="15"/>
      <c r="BLN117" s="15"/>
      <c r="BLO117" s="15"/>
      <c r="BLP117" s="15"/>
      <c r="BLQ117" s="15"/>
      <c r="BLR117" s="15"/>
      <c r="BLS117" s="15"/>
      <c r="BLT117" s="15"/>
      <c r="BLU117" s="15"/>
      <c r="BLV117" s="15"/>
      <c r="BLW117" s="15"/>
      <c r="BLX117" s="15"/>
      <c r="BLY117" s="15"/>
      <c r="BLZ117" s="15"/>
      <c r="BMA117" s="15"/>
      <c r="BMB117" s="15"/>
      <c r="BMC117" s="15"/>
      <c r="BMD117" s="14"/>
      <c r="BME117" s="15"/>
      <c r="BMF117" s="15"/>
      <c r="BMG117" s="15"/>
      <c r="BMH117" s="15"/>
      <c r="BMI117" s="15"/>
      <c r="BMJ117" s="15"/>
      <c r="BMK117" s="15"/>
      <c r="BML117" s="15"/>
      <c r="BMM117" s="15"/>
      <c r="BMN117" s="15"/>
      <c r="BMO117" s="15"/>
      <c r="BMP117" s="15"/>
      <c r="BMQ117" s="15"/>
      <c r="BMR117" s="15"/>
      <c r="BMS117" s="15"/>
      <c r="BMT117" s="15"/>
      <c r="BMU117" s="15"/>
      <c r="BMV117" s="15"/>
      <c r="BMW117" s="15"/>
      <c r="BMX117" s="15"/>
      <c r="BMY117" s="15"/>
      <c r="BMZ117" s="14"/>
      <c r="BNA117" s="15"/>
      <c r="BNB117" s="15"/>
      <c r="BNC117" s="15"/>
      <c r="BND117" s="15"/>
      <c r="BNE117" s="15"/>
      <c r="BNF117" s="15"/>
      <c r="BNG117" s="15"/>
      <c r="BNH117" s="15"/>
      <c r="BNI117" s="15"/>
      <c r="BNJ117" s="15"/>
      <c r="BNK117" s="15"/>
      <c r="BNL117" s="15"/>
      <c r="BNM117" s="15"/>
      <c r="BNN117" s="15"/>
      <c r="BNO117" s="15"/>
      <c r="BNP117" s="15"/>
      <c r="BNQ117" s="15"/>
      <c r="BNR117" s="15"/>
      <c r="BNS117" s="15"/>
      <c r="BNT117" s="15"/>
      <c r="BNU117" s="15"/>
      <c r="BNV117" s="14"/>
      <c r="BNW117" s="15"/>
      <c r="BNX117" s="15"/>
      <c r="BNY117" s="15"/>
      <c r="BNZ117" s="15"/>
      <c r="BOA117" s="15"/>
      <c r="BOB117" s="15"/>
      <c r="BOC117" s="15"/>
      <c r="BOD117" s="15"/>
      <c r="BOE117" s="15"/>
      <c r="BOF117" s="15"/>
      <c r="BOG117" s="15"/>
      <c r="BOH117" s="15"/>
      <c r="BOI117" s="15"/>
      <c r="BOJ117" s="15"/>
      <c r="BOK117" s="15"/>
      <c r="BOL117" s="15"/>
      <c r="BOM117" s="15"/>
      <c r="BON117" s="15"/>
      <c r="BOO117" s="15"/>
      <c r="BOP117" s="15"/>
      <c r="BOQ117" s="15"/>
      <c r="BOR117" s="14"/>
      <c r="BOS117" s="15"/>
      <c r="BOT117" s="15"/>
      <c r="BOU117" s="15"/>
      <c r="BOV117" s="15"/>
      <c r="BOW117" s="15"/>
      <c r="BOX117" s="15"/>
      <c r="BOY117" s="15"/>
      <c r="BOZ117" s="15"/>
      <c r="BPA117" s="15"/>
      <c r="BPB117" s="15"/>
      <c r="BPC117" s="15"/>
      <c r="BPD117" s="15"/>
      <c r="BPE117" s="15"/>
      <c r="BPF117" s="15"/>
      <c r="BPG117" s="15"/>
      <c r="BPH117" s="15"/>
      <c r="BPI117" s="15"/>
      <c r="BPJ117" s="15"/>
      <c r="BPK117" s="15"/>
      <c r="BPL117" s="15"/>
      <c r="BPM117" s="15"/>
      <c r="BPN117" s="14"/>
      <c r="BPO117" s="15"/>
      <c r="BPP117" s="15"/>
      <c r="BPQ117" s="15"/>
      <c r="BPR117" s="15"/>
      <c r="BPS117" s="15"/>
      <c r="BPT117" s="15"/>
      <c r="BPU117" s="15"/>
      <c r="BPV117" s="15"/>
      <c r="BPW117" s="15"/>
      <c r="BPX117" s="15"/>
      <c r="BPY117" s="15"/>
      <c r="BPZ117" s="15"/>
      <c r="BQA117" s="15"/>
      <c r="BQB117" s="15"/>
      <c r="BQC117" s="15"/>
      <c r="BQD117" s="15"/>
      <c r="BQE117" s="15"/>
      <c r="BQF117" s="15"/>
      <c r="BQG117" s="15"/>
      <c r="BQH117" s="15"/>
      <c r="BQI117" s="15"/>
      <c r="BQJ117" s="14"/>
      <c r="BQK117" s="15"/>
      <c r="BQL117" s="15"/>
      <c r="BQM117" s="15"/>
      <c r="BQN117" s="15"/>
      <c r="BQO117" s="15"/>
      <c r="BQP117" s="15"/>
      <c r="BQQ117" s="15"/>
      <c r="BQR117" s="15"/>
      <c r="BQS117" s="15"/>
      <c r="BQT117" s="15"/>
      <c r="BQU117" s="15"/>
      <c r="BQV117" s="15"/>
      <c r="BQW117" s="15"/>
      <c r="BQX117" s="15"/>
      <c r="BQY117" s="15"/>
      <c r="BQZ117" s="15"/>
      <c r="BRA117" s="15"/>
      <c r="BRB117" s="15"/>
      <c r="BRC117" s="15"/>
      <c r="BRD117" s="15"/>
      <c r="BRE117" s="15"/>
      <c r="BRF117" s="14"/>
      <c r="BRG117" s="15"/>
      <c r="BRH117" s="15"/>
      <c r="BRI117" s="15"/>
      <c r="BRJ117" s="15"/>
      <c r="BRK117" s="15"/>
      <c r="BRL117" s="15"/>
      <c r="BRM117" s="15"/>
      <c r="BRN117" s="15"/>
      <c r="BRO117" s="15"/>
      <c r="BRP117" s="15"/>
      <c r="BRQ117" s="15"/>
      <c r="BRR117" s="15"/>
      <c r="BRS117" s="15"/>
      <c r="BRT117" s="15"/>
      <c r="BRU117" s="15"/>
      <c r="BRV117" s="15"/>
      <c r="BRW117" s="15"/>
      <c r="BRX117" s="15"/>
      <c r="BRY117" s="15"/>
      <c r="BRZ117" s="15"/>
      <c r="BSA117" s="15"/>
      <c r="BSB117" s="14"/>
      <c r="BSC117" s="15"/>
      <c r="BSD117" s="15"/>
      <c r="BSE117" s="15"/>
      <c r="BSF117" s="15"/>
      <c r="BSG117" s="15"/>
      <c r="BSH117" s="15"/>
      <c r="BSI117" s="15"/>
      <c r="BSJ117" s="15"/>
      <c r="BSK117" s="15"/>
      <c r="BSL117" s="15"/>
      <c r="BSM117" s="15"/>
      <c r="BSN117" s="15"/>
      <c r="BSO117" s="15"/>
      <c r="BSP117" s="15"/>
      <c r="BSQ117" s="15"/>
      <c r="BSR117" s="15"/>
      <c r="BSS117" s="15"/>
      <c r="BST117" s="15"/>
      <c r="BSU117" s="15"/>
      <c r="BSV117" s="15"/>
      <c r="BSW117" s="15"/>
      <c r="BSX117" s="14"/>
      <c r="BSY117" s="15"/>
      <c r="BSZ117" s="15"/>
      <c r="BTA117" s="15"/>
      <c r="BTB117" s="15"/>
      <c r="BTC117" s="15"/>
      <c r="BTD117" s="15"/>
      <c r="BTE117" s="15"/>
      <c r="BTF117" s="15"/>
      <c r="BTG117" s="15"/>
      <c r="BTH117" s="15"/>
      <c r="BTI117" s="15"/>
      <c r="BTJ117" s="15"/>
      <c r="BTK117" s="15"/>
      <c r="BTL117" s="15"/>
      <c r="BTM117" s="15"/>
      <c r="BTN117" s="15"/>
      <c r="BTO117" s="15"/>
      <c r="BTP117" s="15"/>
      <c r="BTQ117" s="15"/>
      <c r="BTR117" s="15"/>
      <c r="BTS117" s="15"/>
      <c r="BTT117" s="14"/>
      <c r="BTU117" s="15"/>
      <c r="BTV117" s="15"/>
      <c r="BTW117" s="15"/>
      <c r="BTX117" s="15"/>
      <c r="BTY117" s="15"/>
      <c r="BTZ117" s="15"/>
      <c r="BUA117" s="15"/>
      <c r="BUB117" s="15"/>
      <c r="BUC117" s="15"/>
      <c r="BUD117" s="15"/>
      <c r="BUE117" s="15"/>
      <c r="BUF117" s="15"/>
      <c r="BUG117" s="15"/>
      <c r="BUH117" s="15"/>
      <c r="BUI117" s="15"/>
      <c r="BUJ117" s="15"/>
      <c r="BUK117" s="15"/>
      <c r="BUL117" s="15"/>
      <c r="BUM117" s="15"/>
      <c r="BUN117" s="15"/>
      <c r="BUO117" s="15"/>
      <c r="BUP117" s="14"/>
      <c r="BUQ117" s="15"/>
      <c r="BUR117" s="15"/>
      <c r="BUS117" s="15"/>
      <c r="BUT117" s="15"/>
      <c r="BUU117" s="15"/>
      <c r="BUV117" s="15"/>
      <c r="BUW117" s="15"/>
      <c r="BUX117" s="15"/>
      <c r="BUY117" s="15"/>
      <c r="BUZ117" s="15"/>
      <c r="BVA117" s="15"/>
      <c r="BVB117" s="15"/>
      <c r="BVC117" s="15"/>
      <c r="BVD117" s="15"/>
      <c r="BVE117" s="15"/>
      <c r="BVF117" s="15"/>
      <c r="BVG117" s="15"/>
      <c r="BVH117" s="15"/>
      <c r="BVI117" s="15"/>
      <c r="BVJ117" s="15"/>
      <c r="BVK117" s="15"/>
      <c r="BVL117" s="14"/>
      <c r="BVM117" s="15"/>
      <c r="BVN117" s="15"/>
      <c r="BVO117" s="15"/>
      <c r="BVP117" s="15"/>
      <c r="BVQ117" s="15"/>
      <c r="BVR117" s="15"/>
      <c r="BVS117" s="15"/>
      <c r="BVT117" s="15"/>
      <c r="BVU117" s="15"/>
      <c r="BVV117" s="15"/>
      <c r="BVW117" s="15"/>
      <c r="BVX117" s="15"/>
      <c r="BVY117" s="15"/>
      <c r="BVZ117" s="15"/>
      <c r="BWA117" s="15"/>
      <c r="BWB117" s="15"/>
      <c r="BWC117" s="15"/>
      <c r="BWD117" s="15"/>
      <c r="BWE117" s="15"/>
      <c r="BWF117" s="15"/>
      <c r="BWG117" s="15"/>
      <c r="BWH117" s="14"/>
      <c r="BWI117" s="15"/>
      <c r="BWJ117" s="15"/>
      <c r="BWK117" s="15"/>
      <c r="BWL117" s="15"/>
      <c r="BWM117" s="15"/>
      <c r="BWN117" s="15"/>
      <c r="BWO117" s="15"/>
      <c r="BWP117" s="15"/>
      <c r="BWQ117" s="15"/>
      <c r="BWR117" s="15"/>
      <c r="BWS117" s="15"/>
      <c r="BWT117" s="15"/>
      <c r="BWU117" s="15"/>
      <c r="BWV117" s="15"/>
      <c r="BWW117" s="15"/>
      <c r="BWX117" s="15"/>
      <c r="BWY117" s="15"/>
      <c r="BWZ117" s="15"/>
      <c r="BXA117" s="15"/>
      <c r="BXB117" s="15"/>
      <c r="BXC117" s="15"/>
      <c r="BXD117" s="14"/>
      <c r="BXE117" s="15"/>
      <c r="BXF117" s="15"/>
      <c r="BXG117" s="15"/>
      <c r="BXH117" s="15"/>
      <c r="BXI117" s="15"/>
      <c r="BXJ117" s="15"/>
      <c r="BXK117" s="15"/>
      <c r="BXL117" s="15"/>
      <c r="BXM117" s="15"/>
      <c r="BXN117" s="15"/>
      <c r="BXO117" s="15"/>
      <c r="BXP117" s="15"/>
      <c r="BXQ117" s="15"/>
      <c r="BXR117" s="15"/>
      <c r="BXS117" s="15"/>
      <c r="BXT117" s="15"/>
      <c r="BXU117" s="15"/>
      <c r="BXV117" s="15"/>
      <c r="BXW117" s="15"/>
      <c r="BXX117" s="15"/>
      <c r="BXY117" s="15"/>
      <c r="BXZ117" s="14"/>
      <c r="BYA117" s="15"/>
      <c r="BYB117" s="15"/>
      <c r="BYC117" s="15"/>
      <c r="BYD117" s="15"/>
      <c r="BYE117" s="15"/>
      <c r="BYF117" s="15"/>
      <c r="BYG117" s="15"/>
      <c r="BYH117" s="15"/>
      <c r="BYI117" s="15"/>
      <c r="BYJ117" s="15"/>
      <c r="BYK117" s="15"/>
      <c r="BYL117" s="15"/>
      <c r="BYM117" s="15"/>
      <c r="BYN117" s="15"/>
      <c r="BYO117" s="15"/>
      <c r="BYP117" s="15"/>
      <c r="BYQ117" s="15"/>
      <c r="BYR117" s="15"/>
      <c r="BYS117" s="15"/>
      <c r="BYT117" s="15"/>
      <c r="BYU117" s="15"/>
      <c r="BYV117" s="14"/>
      <c r="BYW117" s="15"/>
      <c r="BYX117" s="15"/>
      <c r="BYY117" s="15"/>
      <c r="BYZ117" s="15"/>
      <c r="BZA117" s="15"/>
      <c r="BZB117" s="15"/>
      <c r="BZC117" s="15"/>
      <c r="BZD117" s="15"/>
      <c r="BZE117" s="15"/>
      <c r="BZF117" s="15"/>
      <c r="BZG117" s="15"/>
      <c r="BZH117" s="15"/>
      <c r="BZI117" s="15"/>
      <c r="BZJ117" s="15"/>
      <c r="BZK117" s="15"/>
      <c r="BZL117" s="15"/>
      <c r="BZM117" s="15"/>
      <c r="BZN117" s="15"/>
      <c r="BZO117" s="15"/>
      <c r="BZP117" s="15"/>
      <c r="BZQ117" s="15"/>
      <c r="BZR117" s="14"/>
      <c r="BZS117" s="15"/>
      <c r="BZT117" s="15"/>
      <c r="BZU117" s="15"/>
      <c r="BZV117" s="15"/>
      <c r="BZW117" s="15"/>
      <c r="BZX117" s="15"/>
      <c r="BZY117" s="15"/>
      <c r="BZZ117" s="15"/>
      <c r="CAA117" s="15"/>
      <c r="CAB117" s="15"/>
      <c r="CAC117" s="15"/>
      <c r="CAD117" s="15"/>
      <c r="CAE117" s="15"/>
      <c r="CAF117" s="15"/>
      <c r="CAG117" s="15"/>
      <c r="CAH117" s="15"/>
      <c r="CAI117" s="15"/>
      <c r="CAJ117" s="15"/>
      <c r="CAK117" s="15"/>
      <c r="CAL117" s="15"/>
      <c r="CAM117" s="15"/>
      <c r="CAN117" s="14"/>
      <c r="CAO117" s="15"/>
      <c r="CAP117" s="15"/>
      <c r="CAQ117" s="15"/>
      <c r="CAR117" s="15"/>
      <c r="CAS117" s="15"/>
      <c r="CAT117" s="15"/>
      <c r="CAU117" s="15"/>
      <c r="CAV117" s="15"/>
      <c r="CAW117" s="15"/>
      <c r="CAX117" s="15"/>
      <c r="CAY117" s="15"/>
      <c r="CAZ117" s="15"/>
      <c r="CBA117" s="15"/>
      <c r="CBB117" s="15"/>
      <c r="CBC117" s="15"/>
      <c r="CBD117" s="15"/>
      <c r="CBE117" s="15"/>
      <c r="CBF117" s="15"/>
      <c r="CBG117" s="15"/>
      <c r="CBH117" s="15"/>
      <c r="CBI117" s="15"/>
      <c r="CBJ117" s="14"/>
      <c r="CBK117" s="15"/>
      <c r="CBL117" s="15"/>
      <c r="CBM117" s="15"/>
      <c r="CBN117" s="15"/>
      <c r="CBO117" s="15"/>
      <c r="CBP117" s="15"/>
      <c r="CBQ117" s="15"/>
      <c r="CBR117" s="15"/>
      <c r="CBS117" s="15"/>
      <c r="CBT117" s="15"/>
      <c r="CBU117" s="15"/>
      <c r="CBV117" s="15"/>
      <c r="CBW117" s="15"/>
      <c r="CBX117" s="15"/>
      <c r="CBY117" s="15"/>
      <c r="CBZ117" s="15"/>
      <c r="CCA117" s="15"/>
      <c r="CCB117" s="15"/>
      <c r="CCC117" s="15"/>
      <c r="CCD117" s="15"/>
      <c r="CCE117" s="15"/>
      <c r="CCF117" s="14"/>
      <c r="CCG117" s="15"/>
      <c r="CCH117" s="15"/>
      <c r="CCI117" s="15"/>
      <c r="CCJ117" s="15"/>
      <c r="CCK117" s="15"/>
      <c r="CCL117" s="15"/>
      <c r="CCM117" s="15"/>
      <c r="CCN117" s="15"/>
      <c r="CCO117" s="15"/>
      <c r="CCP117" s="15"/>
      <c r="CCQ117" s="15"/>
      <c r="CCR117" s="15"/>
      <c r="CCS117" s="15"/>
      <c r="CCT117" s="15"/>
      <c r="CCU117" s="15"/>
      <c r="CCV117" s="15"/>
      <c r="CCW117" s="15"/>
      <c r="CCX117" s="15"/>
      <c r="CCY117" s="15"/>
      <c r="CCZ117" s="15"/>
      <c r="CDA117" s="15"/>
      <c r="CDB117" s="14"/>
      <c r="CDC117" s="15"/>
      <c r="CDD117" s="15"/>
      <c r="CDE117" s="15"/>
      <c r="CDF117" s="15"/>
      <c r="CDG117" s="15"/>
      <c r="CDH117" s="15"/>
      <c r="CDI117" s="15"/>
      <c r="CDJ117" s="15"/>
      <c r="CDK117" s="15"/>
      <c r="CDL117" s="15"/>
      <c r="CDM117" s="15"/>
      <c r="CDN117" s="15"/>
      <c r="CDO117" s="15"/>
      <c r="CDP117" s="15"/>
      <c r="CDQ117" s="15"/>
      <c r="CDR117" s="15"/>
      <c r="CDS117" s="15"/>
      <c r="CDT117" s="15"/>
      <c r="CDU117" s="15"/>
      <c r="CDV117" s="15"/>
      <c r="CDW117" s="15"/>
      <c r="CDX117" s="14"/>
      <c r="CDY117" s="15"/>
      <c r="CDZ117" s="15"/>
      <c r="CEA117" s="15"/>
      <c r="CEB117" s="15"/>
      <c r="CEC117" s="15"/>
      <c r="CED117" s="15"/>
      <c r="CEE117" s="15"/>
      <c r="CEF117" s="15"/>
      <c r="CEG117" s="15"/>
      <c r="CEH117" s="15"/>
      <c r="CEI117" s="15"/>
      <c r="CEJ117" s="15"/>
      <c r="CEK117" s="15"/>
      <c r="CEL117" s="15"/>
      <c r="CEM117" s="15"/>
      <c r="CEN117" s="15"/>
      <c r="CEO117" s="15"/>
      <c r="CEP117" s="15"/>
      <c r="CEQ117" s="15"/>
      <c r="CER117" s="15"/>
      <c r="CES117" s="15"/>
      <c r="CET117" s="14"/>
      <c r="CEU117" s="15"/>
      <c r="CEV117" s="15"/>
      <c r="CEW117" s="15"/>
      <c r="CEX117" s="15"/>
      <c r="CEY117" s="15"/>
      <c r="CEZ117" s="15"/>
      <c r="CFA117" s="15"/>
      <c r="CFB117" s="15"/>
      <c r="CFC117" s="15"/>
      <c r="CFD117" s="15"/>
      <c r="CFE117" s="15"/>
      <c r="CFF117" s="15"/>
      <c r="CFG117" s="15"/>
      <c r="CFH117" s="15"/>
      <c r="CFI117" s="15"/>
      <c r="CFJ117" s="15"/>
      <c r="CFK117" s="15"/>
      <c r="CFL117" s="15"/>
      <c r="CFM117" s="15"/>
      <c r="CFN117" s="15"/>
      <c r="CFO117" s="15"/>
      <c r="CFP117" s="14"/>
      <c r="CFQ117" s="15"/>
      <c r="CFR117" s="15"/>
      <c r="CFS117" s="15"/>
      <c r="CFT117" s="15"/>
      <c r="CFU117" s="15"/>
      <c r="CFV117" s="15"/>
      <c r="CFW117" s="15"/>
      <c r="CFX117" s="15"/>
      <c r="CFY117" s="15"/>
      <c r="CFZ117" s="15"/>
      <c r="CGA117" s="15"/>
      <c r="CGB117" s="15"/>
      <c r="CGC117" s="15"/>
      <c r="CGD117" s="15"/>
      <c r="CGE117" s="15"/>
      <c r="CGF117" s="15"/>
      <c r="CGG117" s="15"/>
      <c r="CGH117" s="15"/>
      <c r="CGI117" s="15"/>
      <c r="CGJ117" s="15"/>
      <c r="CGK117" s="15"/>
      <c r="CGL117" s="14"/>
      <c r="CGM117" s="15"/>
      <c r="CGN117" s="15"/>
      <c r="CGO117" s="15"/>
      <c r="CGP117" s="15"/>
      <c r="CGQ117" s="15"/>
      <c r="CGR117" s="15"/>
      <c r="CGS117" s="15"/>
      <c r="CGT117" s="15"/>
      <c r="CGU117" s="15"/>
      <c r="CGV117" s="15"/>
      <c r="CGW117" s="15"/>
      <c r="CGX117" s="15"/>
      <c r="CGY117" s="15"/>
      <c r="CGZ117" s="15"/>
      <c r="CHA117" s="15"/>
      <c r="CHB117" s="15"/>
      <c r="CHC117" s="15"/>
      <c r="CHD117" s="15"/>
      <c r="CHE117" s="15"/>
      <c r="CHF117" s="15"/>
      <c r="CHG117" s="15"/>
      <c r="CHH117" s="14"/>
      <c r="CHI117" s="15"/>
      <c r="CHJ117" s="15"/>
      <c r="CHK117" s="15"/>
      <c r="CHL117" s="15"/>
      <c r="CHM117" s="15"/>
      <c r="CHN117" s="15"/>
      <c r="CHO117" s="15"/>
      <c r="CHP117" s="15"/>
      <c r="CHQ117" s="15"/>
      <c r="CHR117" s="15"/>
      <c r="CHS117" s="15"/>
      <c r="CHT117" s="15"/>
      <c r="CHU117" s="15"/>
      <c r="CHV117" s="15"/>
      <c r="CHW117" s="15"/>
      <c r="CHX117" s="15"/>
      <c r="CHY117" s="15"/>
      <c r="CHZ117" s="15"/>
      <c r="CIA117" s="15"/>
      <c r="CIB117" s="15"/>
      <c r="CIC117" s="15"/>
      <c r="CID117" s="14"/>
      <c r="CIE117" s="15"/>
      <c r="CIF117" s="15"/>
      <c r="CIG117" s="15"/>
      <c r="CIH117" s="15"/>
      <c r="CII117" s="15"/>
      <c r="CIJ117" s="15"/>
      <c r="CIK117" s="15"/>
      <c r="CIL117" s="15"/>
      <c r="CIM117" s="15"/>
      <c r="CIN117" s="15"/>
      <c r="CIO117" s="15"/>
      <c r="CIP117" s="15"/>
      <c r="CIQ117" s="15"/>
      <c r="CIR117" s="15"/>
      <c r="CIS117" s="15"/>
      <c r="CIT117" s="15"/>
      <c r="CIU117" s="15"/>
      <c r="CIV117" s="15"/>
      <c r="CIW117" s="15"/>
      <c r="CIX117" s="15"/>
      <c r="CIY117" s="15"/>
      <c r="CIZ117" s="14"/>
      <c r="CJA117" s="15"/>
      <c r="CJB117" s="15"/>
      <c r="CJC117" s="15"/>
      <c r="CJD117" s="15"/>
      <c r="CJE117" s="15"/>
      <c r="CJF117" s="15"/>
      <c r="CJG117" s="15"/>
      <c r="CJH117" s="15"/>
      <c r="CJI117" s="15"/>
      <c r="CJJ117" s="15"/>
      <c r="CJK117" s="15"/>
      <c r="CJL117" s="15"/>
      <c r="CJM117" s="15"/>
      <c r="CJN117" s="15"/>
      <c r="CJO117" s="15"/>
      <c r="CJP117" s="15"/>
      <c r="CJQ117" s="15"/>
      <c r="CJR117" s="15"/>
      <c r="CJS117" s="15"/>
      <c r="CJT117" s="15"/>
      <c r="CJU117" s="15"/>
      <c r="CJV117" s="14"/>
      <c r="CJW117" s="15"/>
      <c r="CJX117" s="15"/>
      <c r="CJY117" s="15"/>
      <c r="CJZ117" s="15"/>
      <c r="CKA117" s="15"/>
      <c r="CKB117" s="15"/>
      <c r="CKC117" s="15"/>
      <c r="CKD117" s="15"/>
      <c r="CKE117" s="15"/>
      <c r="CKF117" s="15"/>
      <c r="CKG117" s="15"/>
      <c r="CKH117" s="15"/>
      <c r="CKI117" s="15"/>
      <c r="CKJ117" s="15"/>
      <c r="CKK117" s="15"/>
      <c r="CKL117" s="15"/>
      <c r="CKM117" s="15"/>
      <c r="CKN117" s="15"/>
      <c r="CKO117" s="15"/>
      <c r="CKP117" s="15"/>
      <c r="CKQ117" s="15"/>
      <c r="CKR117" s="14"/>
      <c r="CKS117" s="15"/>
      <c r="CKT117" s="15"/>
      <c r="CKU117" s="15"/>
      <c r="CKV117" s="15"/>
      <c r="CKW117" s="15"/>
      <c r="CKX117" s="15"/>
      <c r="CKY117" s="15"/>
      <c r="CKZ117" s="15"/>
      <c r="CLA117" s="15"/>
      <c r="CLB117" s="15"/>
      <c r="CLC117" s="15"/>
      <c r="CLD117" s="15"/>
      <c r="CLE117" s="15"/>
      <c r="CLF117" s="15"/>
      <c r="CLG117" s="15"/>
      <c r="CLH117" s="15"/>
      <c r="CLI117" s="15"/>
      <c r="CLJ117" s="15"/>
      <c r="CLK117" s="15"/>
      <c r="CLL117" s="15"/>
      <c r="CLM117" s="15"/>
      <c r="CLN117" s="14"/>
      <c r="CLO117" s="15"/>
      <c r="CLP117" s="15"/>
      <c r="CLQ117" s="15"/>
      <c r="CLR117" s="15"/>
      <c r="CLS117" s="15"/>
      <c r="CLT117" s="15"/>
      <c r="CLU117" s="15"/>
      <c r="CLV117" s="15"/>
      <c r="CLW117" s="15"/>
      <c r="CLX117" s="15"/>
      <c r="CLY117" s="15"/>
      <c r="CLZ117" s="15"/>
      <c r="CMA117" s="15"/>
      <c r="CMB117" s="15"/>
      <c r="CMC117" s="15"/>
      <c r="CMD117" s="15"/>
      <c r="CME117" s="15"/>
      <c r="CMF117" s="15"/>
      <c r="CMG117" s="15"/>
      <c r="CMH117" s="15"/>
      <c r="CMI117" s="15"/>
      <c r="CMJ117" s="14"/>
      <c r="CMK117" s="15"/>
      <c r="CML117" s="15"/>
      <c r="CMM117" s="15"/>
      <c r="CMN117" s="15"/>
      <c r="CMO117" s="15"/>
      <c r="CMP117" s="15"/>
      <c r="CMQ117" s="15"/>
      <c r="CMR117" s="15"/>
      <c r="CMS117" s="15"/>
      <c r="CMT117" s="15"/>
      <c r="CMU117" s="15"/>
      <c r="CMV117" s="15"/>
      <c r="CMW117" s="15"/>
      <c r="CMX117" s="15"/>
      <c r="CMY117" s="15"/>
      <c r="CMZ117" s="15"/>
      <c r="CNA117" s="15"/>
      <c r="CNB117" s="15"/>
      <c r="CNC117" s="15"/>
      <c r="CND117" s="15"/>
      <c r="CNE117" s="15"/>
      <c r="CNF117" s="14"/>
      <c r="CNG117" s="15"/>
      <c r="CNH117" s="15"/>
      <c r="CNI117" s="15"/>
      <c r="CNJ117" s="15"/>
      <c r="CNK117" s="15"/>
      <c r="CNL117" s="15"/>
      <c r="CNM117" s="15"/>
      <c r="CNN117" s="15"/>
      <c r="CNO117" s="15"/>
      <c r="CNP117" s="15"/>
      <c r="CNQ117" s="15"/>
      <c r="CNR117" s="15"/>
      <c r="CNS117" s="15"/>
      <c r="CNT117" s="15"/>
      <c r="CNU117" s="15"/>
      <c r="CNV117" s="15"/>
      <c r="CNW117" s="15"/>
      <c r="CNX117" s="15"/>
      <c r="CNY117" s="15"/>
      <c r="CNZ117" s="15"/>
      <c r="COA117" s="15"/>
      <c r="COB117" s="14"/>
      <c r="COC117" s="15"/>
      <c r="COD117" s="15"/>
      <c r="COE117" s="15"/>
      <c r="COF117" s="15"/>
      <c r="COG117" s="15"/>
      <c r="COH117" s="15"/>
      <c r="COI117" s="15"/>
      <c r="COJ117" s="15"/>
      <c r="COK117" s="15"/>
      <c r="COL117" s="15"/>
      <c r="COM117" s="15"/>
      <c r="CON117" s="15"/>
      <c r="COO117" s="15"/>
      <c r="COP117" s="15"/>
      <c r="COQ117" s="15"/>
      <c r="COR117" s="15"/>
      <c r="COS117" s="15"/>
      <c r="COT117" s="15"/>
      <c r="COU117" s="15"/>
      <c r="COV117" s="15"/>
      <c r="COW117" s="15"/>
      <c r="COX117" s="14"/>
      <c r="COY117" s="15"/>
      <c r="COZ117" s="15"/>
      <c r="CPA117" s="15"/>
      <c r="CPB117" s="15"/>
      <c r="CPC117" s="15"/>
      <c r="CPD117" s="15"/>
      <c r="CPE117" s="15"/>
      <c r="CPF117" s="15"/>
      <c r="CPG117" s="15"/>
      <c r="CPH117" s="15"/>
      <c r="CPI117" s="15"/>
      <c r="CPJ117" s="15"/>
      <c r="CPK117" s="15"/>
      <c r="CPL117" s="15"/>
      <c r="CPM117" s="15"/>
      <c r="CPN117" s="15"/>
      <c r="CPO117" s="15"/>
      <c r="CPP117" s="15"/>
      <c r="CPQ117" s="15"/>
      <c r="CPR117" s="15"/>
      <c r="CPS117" s="15"/>
      <c r="CPT117" s="14"/>
      <c r="CPU117" s="15"/>
      <c r="CPV117" s="15"/>
      <c r="CPW117" s="15"/>
      <c r="CPX117" s="15"/>
      <c r="CPY117" s="15"/>
      <c r="CPZ117" s="15"/>
      <c r="CQA117" s="15"/>
      <c r="CQB117" s="15"/>
      <c r="CQC117" s="15"/>
      <c r="CQD117" s="15"/>
      <c r="CQE117" s="15"/>
      <c r="CQF117" s="15"/>
      <c r="CQG117" s="15"/>
      <c r="CQH117" s="15"/>
      <c r="CQI117" s="15"/>
      <c r="CQJ117" s="15"/>
      <c r="CQK117" s="15"/>
      <c r="CQL117" s="15"/>
      <c r="CQM117" s="15"/>
      <c r="CQN117" s="15"/>
      <c r="CQO117" s="15"/>
      <c r="CQP117" s="14"/>
      <c r="CQQ117" s="15"/>
      <c r="CQR117" s="15"/>
      <c r="CQS117" s="15"/>
      <c r="CQT117" s="15"/>
      <c r="CQU117" s="15"/>
      <c r="CQV117" s="15"/>
      <c r="CQW117" s="15"/>
      <c r="CQX117" s="15"/>
      <c r="CQY117" s="15"/>
      <c r="CQZ117" s="15"/>
      <c r="CRA117" s="15"/>
      <c r="CRB117" s="15"/>
      <c r="CRC117" s="15"/>
      <c r="CRD117" s="15"/>
      <c r="CRE117" s="15"/>
      <c r="CRF117" s="15"/>
      <c r="CRG117" s="15"/>
      <c r="CRH117" s="15"/>
      <c r="CRI117" s="15"/>
      <c r="CRJ117" s="15"/>
      <c r="CRK117" s="15"/>
      <c r="CRL117" s="14"/>
      <c r="CRM117" s="15"/>
      <c r="CRN117" s="15"/>
      <c r="CRO117" s="15"/>
      <c r="CRP117" s="15"/>
      <c r="CRQ117" s="15"/>
      <c r="CRR117" s="15"/>
      <c r="CRS117" s="15"/>
      <c r="CRT117" s="15"/>
      <c r="CRU117" s="15"/>
      <c r="CRV117" s="15"/>
      <c r="CRW117" s="15"/>
      <c r="CRX117" s="15"/>
      <c r="CRY117" s="15"/>
      <c r="CRZ117" s="15"/>
      <c r="CSA117" s="15"/>
      <c r="CSB117" s="15"/>
      <c r="CSC117" s="15"/>
      <c r="CSD117" s="15"/>
      <c r="CSE117" s="15"/>
      <c r="CSF117" s="15"/>
      <c r="CSG117" s="15"/>
      <c r="CSH117" s="14"/>
      <c r="CSI117" s="15"/>
      <c r="CSJ117" s="15"/>
      <c r="CSK117" s="15"/>
      <c r="CSL117" s="15"/>
      <c r="CSM117" s="15"/>
      <c r="CSN117" s="15"/>
      <c r="CSO117" s="15"/>
      <c r="CSP117" s="15"/>
      <c r="CSQ117" s="15"/>
      <c r="CSR117" s="15"/>
      <c r="CSS117" s="15"/>
      <c r="CST117" s="15"/>
      <c r="CSU117" s="15"/>
      <c r="CSV117" s="15"/>
      <c r="CSW117" s="15"/>
      <c r="CSX117" s="15"/>
      <c r="CSY117" s="15"/>
      <c r="CSZ117" s="15"/>
      <c r="CTA117" s="15"/>
      <c r="CTB117" s="15"/>
      <c r="CTC117" s="15"/>
      <c r="CTD117" s="14"/>
      <c r="CTE117" s="15"/>
      <c r="CTF117" s="15"/>
      <c r="CTG117" s="15"/>
      <c r="CTH117" s="15"/>
      <c r="CTI117" s="15"/>
      <c r="CTJ117" s="15"/>
      <c r="CTK117" s="15"/>
      <c r="CTL117" s="15"/>
      <c r="CTM117" s="15"/>
      <c r="CTN117" s="15"/>
      <c r="CTO117" s="15"/>
      <c r="CTP117" s="15"/>
      <c r="CTQ117" s="15"/>
      <c r="CTR117" s="15"/>
      <c r="CTS117" s="15"/>
      <c r="CTT117" s="15"/>
      <c r="CTU117" s="15"/>
      <c r="CTV117" s="15"/>
      <c r="CTW117" s="15"/>
      <c r="CTX117" s="15"/>
      <c r="CTY117" s="15"/>
      <c r="CTZ117" s="14"/>
      <c r="CUA117" s="15"/>
      <c r="CUB117" s="15"/>
      <c r="CUC117" s="15"/>
      <c r="CUD117" s="15"/>
      <c r="CUE117" s="15"/>
      <c r="CUF117" s="15"/>
      <c r="CUG117" s="15"/>
      <c r="CUH117" s="15"/>
      <c r="CUI117" s="15"/>
      <c r="CUJ117" s="15"/>
      <c r="CUK117" s="15"/>
      <c r="CUL117" s="15"/>
      <c r="CUM117" s="15"/>
      <c r="CUN117" s="15"/>
      <c r="CUO117" s="15"/>
      <c r="CUP117" s="15"/>
      <c r="CUQ117" s="15"/>
      <c r="CUR117" s="15"/>
      <c r="CUS117" s="15"/>
      <c r="CUT117" s="15"/>
      <c r="CUU117" s="15"/>
      <c r="CUV117" s="14"/>
      <c r="CUW117" s="15"/>
      <c r="CUX117" s="15"/>
      <c r="CUY117" s="15"/>
      <c r="CUZ117" s="15"/>
      <c r="CVA117" s="15"/>
      <c r="CVB117" s="15"/>
      <c r="CVC117" s="15"/>
      <c r="CVD117" s="15"/>
      <c r="CVE117" s="15"/>
      <c r="CVF117" s="15"/>
      <c r="CVG117" s="15"/>
      <c r="CVH117" s="15"/>
      <c r="CVI117" s="15"/>
      <c r="CVJ117" s="15"/>
      <c r="CVK117" s="15"/>
      <c r="CVL117" s="15"/>
      <c r="CVM117" s="15"/>
      <c r="CVN117" s="15"/>
      <c r="CVO117" s="15"/>
      <c r="CVP117" s="15"/>
      <c r="CVQ117" s="15"/>
      <c r="CVR117" s="14"/>
      <c r="CVS117" s="15"/>
      <c r="CVT117" s="15"/>
      <c r="CVU117" s="15"/>
      <c r="CVV117" s="15"/>
      <c r="CVW117" s="15"/>
      <c r="CVX117" s="15"/>
      <c r="CVY117" s="15"/>
      <c r="CVZ117" s="15"/>
      <c r="CWA117" s="15"/>
      <c r="CWB117" s="15"/>
      <c r="CWC117" s="15"/>
      <c r="CWD117" s="15"/>
      <c r="CWE117" s="15"/>
      <c r="CWF117" s="15"/>
      <c r="CWG117" s="15"/>
      <c r="CWH117" s="15"/>
      <c r="CWI117" s="15"/>
      <c r="CWJ117" s="15"/>
      <c r="CWK117" s="15"/>
      <c r="CWL117" s="15"/>
      <c r="CWM117" s="15"/>
      <c r="CWN117" s="14"/>
      <c r="CWO117" s="15"/>
      <c r="CWP117" s="15"/>
      <c r="CWQ117" s="15"/>
      <c r="CWR117" s="15"/>
      <c r="CWS117" s="15"/>
      <c r="CWT117" s="15"/>
      <c r="CWU117" s="15"/>
      <c r="CWV117" s="15"/>
      <c r="CWW117" s="15"/>
      <c r="CWX117" s="15"/>
      <c r="CWY117" s="15"/>
      <c r="CWZ117" s="15"/>
      <c r="CXA117" s="15"/>
      <c r="CXB117" s="15"/>
      <c r="CXC117" s="15"/>
      <c r="CXD117" s="15"/>
      <c r="CXE117" s="15"/>
      <c r="CXF117" s="15"/>
      <c r="CXG117" s="15"/>
      <c r="CXH117" s="15"/>
      <c r="CXI117" s="15"/>
      <c r="CXJ117" s="14"/>
      <c r="CXK117" s="15"/>
      <c r="CXL117" s="15"/>
      <c r="CXM117" s="15"/>
      <c r="CXN117" s="15"/>
      <c r="CXO117" s="15"/>
      <c r="CXP117" s="15"/>
      <c r="CXQ117" s="15"/>
      <c r="CXR117" s="15"/>
      <c r="CXS117" s="15"/>
      <c r="CXT117" s="15"/>
      <c r="CXU117" s="15"/>
      <c r="CXV117" s="15"/>
      <c r="CXW117" s="15"/>
      <c r="CXX117" s="15"/>
      <c r="CXY117" s="15"/>
      <c r="CXZ117" s="15"/>
      <c r="CYA117" s="15"/>
      <c r="CYB117" s="15"/>
      <c r="CYC117" s="15"/>
      <c r="CYD117" s="15"/>
      <c r="CYE117" s="15"/>
      <c r="CYF117" s="14"/>
      <c r="CYG117" s="15"/>
      <c r="CYH117" s="15"/>
      <c r="CYI117" s="15"/>
      <c r="CYJ117" s="15"/>
      <c r="CYK117" s="15"/>
      <c r="CYL117" s="15"/>
      <c r="CYM117" s="15"/>
      <c r="CYN117" s="15"/>
      <c r="CYO117" s="15"/>
      <c r="CYP117" s="15"/>
      <c r="CYQ117" s="15"/>
      <c r="CYR117" s="15"/>
      <c r="CYS117" s="15"/>
      <c r="CYT117" s="15"/>
      <c r="CYU117" s="15"/>
      <c r="CYV117" s="15"/>
      <c r="CYW117" s="15"/>
      <c r="CYX117" s="15"/>
      <c r="CYY117" s="15"/>
      <c r="CYZ117" s="15"/>
      <c r="CZA117" s="15"/>
      <c r="CZB117" s="14"/>
      <c r="CZC117" s="15"/>
      <c r="CZD117" s="15"/>
      <c r="CZE117" s="15"/>
      <c r="CZF117" s="15"/>
      <c r="CZG117" s="15"/>
      <c r="CZH117" s="15"/>
      <c r="CZI117" s="15"/>
      <c r="CZJ117" s="15"/>
      <c r="CZK117" s="15"/>
      <c r="CZL117" s="15"/>
      <c r="CZM117" s="15"/>
      <c r="CZN117" s="15"/>
      <c r="CZO117" s="15"/>
      <c r="CZP117" s="15"/>
      <c r="CZQ117" s="15"/>
      <c r="CZR117" s="15"/>
      <c r="CZS117" s="15"/>
      <c r="CZT117" s="15"/>
      <c r="CZU117" s="15"/>
      <c r="CZV117" s="15"/>
      <c r="CZW117" s="15"/>
      <c r="CZX117" s="14"/>
      <c r="CZY117" s="15"/>
      <c r="CZZ117" s="15"/>
      <c r="DAA117" s="15"/>
      <c r="DAB117" s="15"/>
      <c r="DAC117" s="15"/>
      <c r="DAD117" s="15"/>
      <c r="DAE117" s="15"/>
      <c r="DAF117" s="15"/>
      <c r="DAG117" s="15"/>
      <c r="DAH117" s="15"/>
      <c r="DAI117" s="15"/>
      <c r="DAJ117" s="15"/>
      <c r="DAK117" s="15"/>
      <c r="DAL117" s="15"/>
      <c r="DAM117" s="15"/>
      <c r="DAN117" s="15"/>
      <c r="DAO117" s="15"/>
      <c r="DAP117" s="15"/>
      <c r="DAQ117" s="15"/>
      <c r="DAR117" s="15"/>
      <c r="DAS117" s="15"/>
      <c r="DAT117" s="14"/>
      <c r="DAU117" s="15"/>
      <c r="DAV117" s="15"/>
      <c r="DAW117" s="15"/>
      <c r="DAX117" s="15"/>
      <c r="DAY117" s="15"/>
      <c r="DAZ117" s="15"/>
      <c r="DBA117" s="15"/>
      <c r="DBB117" s="15"/>
      <c r="DBC117" s="15"/>
      <c r="DBD117" s="15"/>
      <c r="DBE117" s="15"/>
      <c r="DBF117" s="15"/>
      <c r="DBG117" s="15"/>
      <c r="DBH117" s="15"/>
      <c r="DBI117" s="15"/>
      <c r="DBJ117" s="15"/>
      <c r="DBK117" s="15"/>
      <c r="DBL117" s="15"/>
      <c r="DBM117" s="15"/>
      <c r="DBN117" s="15"/>
      <c r="DBO117" s="15"/>
      <c r="DBP117" s="14"/>
      <c r="DBQ117" s="15"/>
      <c r="DBR117" s="15"/>
      <c r="DBS117" s="15"/>
      <c r="DBT117" s="15"/>
      <c r="DBU117" s="15"/>
      <c r="DBV117" s="15"/>
      <c r="DBW117" s="15"/>
      <c r="DBX117" s="15"/>
      <c r="DBY117" s="15"/>
      <c r="DBZ117" s="15"/>
      <c r="DCA117" s="15"/>
      <c r="DCB117" s="15"/>
      <c r="DCC117" s="15"/>
      <c r="DCD117" s="15"/>
      <c r="DCE117" s="15"/>
      <c r="DCF117" s="15"/>
      <c r="DCG117" s="15"/>
      <c r="DCH117" s="15"/>
      <c r="DCI117" s="15"/>
      <c r="DCJ117" s="15"/>
      <c r="DCK117" s="15"/>
      <c r="DCL117" s="14"/>
      <c r="DCM117" s="15"/>
      <c r="DCN117" s="15"/>
      <c r="DCO117" s="15"/>
      <c r="DCP117" s="15"/>
      <c r="DCQ117" s="15"/>
      <c r="DCR117" s="15"/>
      <c r="DCS117" s="15"/>
      <c r="DCT117" s="15"/>
      <c r="DCU117" s="15"/>
      <c r="DCV117" s="15"/>
      <c r="DCW117" s="15"/>
      <c r="DCX117" s="15"/>
      <c r="DCY117" s="15"/>
      <c r="DCZ117" s="15"/>
      <c r="DDA117" s="15"/>
      <c r="DDB117" s="15"/>
      <c r="DDC117" s="15"/>
      <c r="DDD117" s="15"/>
      <c r="DDE117" s="15"/>
      <c r="DDF117" s="15"/>
      <c r="DDG117" s="15"/>
      <c r="DDH117" s="14"/>
      <c r="DDI117" s="15"/>
      <c r="DDJ117" s="15"/>
      <c r="DDK117" s="15"/>
      <c r="DDL117" s="15"/>
      <c r="DDM117" s="15"/>
      <c r="DDN117" s="15"/>
      <c r="DDO117" s="15"/>
      <c r="DDP117" s="15"/>
      <c r="DDQ117" s="15"/>
      <c r="DDR117" s="15"/>
      <c r="DDS117" s="15"/>
      <c r="DDT117" s="15"/>
      <c r="DDU117" s="15"/>
      <c r="DDV117" s="15"/>
      <c r="DDW117" s="15"/>
      <c r="DDX117" s="15"/>
      <c r="DDY117" s="15"/>
      <c r="DDZ117" s="15"/>
      <c r="DEA117" s="15"/>
      <c r="DEB117" s="15"/>
      <c r="DEC117" s="15"/>
      <c r="DED117" s="14"/>
      <c r="DEE117" s="15"/>
      <c r="DEF117" s="15"/>
      <c r="DEG117" s="15"/>
      <c r="DEH117" s="15"/>
      <c r="DEI117" s="15"/>
      <c r="DEJ117" s="15"/>
      <c r="DEK117" s="15"/>
      <c r="DEL117" s="15"/>
      <c r="DEM117" s="15"/>
      <c r="DEN117" s="15"/>
      <c r="DEO117" s="15"/>
      <c r="DEP117" s="15"/>
      <c r="DEQ117" s="15"/>
      <c r="DER117" s="15"/>
      <c r="DES117" s="15"/>
      <c r="DET117" s="15"/>
      <c r="DEU117" s="15"/>
      <c r="DEV117" s="15"/>
      <c r="DEW117" s="15"/>
      <c r="DEX117" s="15"/>
      <c r="DEY117" s="15"/>
      <c r="DEZ117" s="14"/>
      <c r="DFA117" s="15"/>
      <c r="DFB117" s="15"/>
      <c r="DFC117" s="15"/>
      <c r="DFD117" s="15"/>
      <c r="DFE117" s="15"/>
      <c r="DFF117" s="15"/>
      <c r="DFG117" s="15"/>
      <c r="DFH117" s="15"/>
      <c r="DFI117" s="15"/>
      <c r="DFJ117" s="15"/>
      <c r="DFK117" s="15"/>
      <c r="DFL117" s="15"/>
      <c r="DFM117" s="15"/>
      <c r="DFN117" s="15"/>
      <c r="DFO117" s="15"/>
      <c r="DFP117" s="15"/>
      <c r="DFQ117" s="15"/>
      <c r="DFR117" s="15"/>
      <c r="DFS117" s="15"/>
      <c r="DFT117" s="15"/>
      <c r="DFU117" s="15"/>
      <c r="DFV117" s="14"/>
      <c r="DFW117" s="15"/>
      <c r="DFX117" s="15"/>
      <c r="DFY117" s="15"/>
      <c r="DFZ117" s="15"/>
      <c r="DGA117" s="15"/>
      <c r="DGB117" s="15"/>
      <c r="DGC117" s="15"/>
      <c r="DGD117" s="15"/>
      <c r="DGE117" s="15"/>
      <c r="DGF117" s="15"/>
      <c r="DGG117" s="15"/>
      <c r="DGH117" s="15"/>
      <c r="DGI117" s="15"/>
      <c r="DGJ117" s="15"/>
      <c r="DGK117" s="15"/>
      <c r="DGL117" s="15"/>
      <c r="DGM117" s="15"/>
      <c r="DGN117" s="15"/>
      <c r="DGO117" s="15"/>
      <c r="DGP117" s="15"/>
      <c r="DGQ117" s="15"/>
      <c r="DGR117" s="14"/>
      <c r="DGS117" s="15"/>
      <c r="DGT117" s="15"/>
      <c r="DGU117" s="15"/>
      <c r="DGV117" s="15"/>
      <c r="DGW117" s="15"/>
      <c r="DGX117" s="15"/>
      <c r="DGY117" s="15"/>
      <c r="DGZ117" s="15"/>
      <c r="DHA117" s="15"/>
      <c r="DHB117" s="15"/>
      <c r="DHC117" s="15"/>
      <c r="DHD117" s="15"/>
      <c r="DHE117" s="15"/>
      <c r="DHF117" s="15"/>
      <c r="DHG117" s="15"/>
      <c r="DHH117" s="15"/>
      <c r="DHI117" s="15"/>
      <c r="DHJ117" s="15"/>
      <c r="DHK117" s="15"/>
      <c r="DHL117" s="15"/>
      <c r="DHM117" s="15"/>
      <c r="DHN117" s="14"/>
      <c r="DHO117" s="15"/>
      <c r="DHP117" s="15"/>
      <c r="DHQ117" s="15"/>
      <c r="DHR117" s="15"/>
      <c r="DHS117" s="15"/>
      <c r="DHT117" s="15"/>
      <c r="DHU117" s="15"/>
      <c r="DHV117" s="15"/>
      <c r="DHW117" s="15"/>
      <c r="DHX117" s="15"/>
      <c r="DHY117" s="15"/>
      <c r="DHZ117" s="15"/>
      <c r="DIA117" s="15"/>
      <c r="DIB117" s="15"/>
      <c r="DIC117" s="15"/>
      <c r="DID117" s="15"/>
      <c r="DIE117" s="15"/>
      <c r="DIF117" s="15"/>
      <c r="DIG117" s="15"/>
      <c r="DIH117" s="15"/>
      <c r="DII117" s="15"/>
      <c r="DIJ117" s="14"/>
      <c r="DIK117" s="15"/>
      <c r="DIL117" s="15"/>
      <c r="DIM117" s="15"/>
      <c r="DIN117" s="15"/>
      <c r="DIO117" s="15"/>
      <c r="DIP117" s="15"/>
      <c r="DIQ117" s="15"/>
      <c r="DIR117" s="15"/>
      <c r="DIS117" s="15"/>
      <c r="DIT117" s="15"/>
      <c r="DIU117" s="15"/>
      <c r="DIV117" s="15"/>
      <c r="DIW117" s="15"/>
      <c r="DIX117" s="15"/>
      <c r="DIY117" s="15"/>
      <c r="DIZ117" s="15"/>
      <c r="DJA117" s="15"/>
      <c r="DJB117" s="15"/>
      <c r="DJC117" s="15"/>
      <c r="DJD117" s="15"/>
      <c r="DJE117" s="15"/>
      <c r="DJF117" s="14"/>
      <c r="DJG117" s="15"/>
      <c r="DJH117" s="15"/>
      <c r="DJI117" s="15"/>
      <c r="DJJ117" s="15"/>
      <c r="DJK117" s="15"/>
      <c r="DJL117" s="15"/>
      <c r="DJM117" s="15"/>
      <c r="DJN117" s="15"/>
      <c r="DJO117" s="15"/>
      <c r="DJP117" s="15"/>
      <c r="DJQ117" s="15"/>
      <c r="DJR117" s="15"/>
      <c r="DJS117" s="15"/>
      <c r="DJT117" s="15"/>
      <c r="DJU117" s="15"/>
      <c r="DJV117" s="15"/>
      <c r="DJW117" s="15"/>
      <c r="DJX117" s="15"/>
      <c r="DJY117" s="15"/>
      <c r="DJZ117" s="15"/>
      <c r="DKA117" s="15"/>
      <c r="DKB117" s="14"/>
      <c r="DKC117" s="15"/>
      <c r="DKD117" s="15"/>
      <c r="DKE117" s="15"/>
      <c r="DKF117" s="15"/>
      <c r="DKG117" s="15"/>
      <c r="DKH117" s="15"/>
      <c r="DKI117" s="15"/>
      <c r="DKJ117" s="15"/>
      <c r="DKK117" s="15"/>
      <c r="DKL117" s="15"/>
      <c r="DKM117" s="15"/>
      <c r="DKN117" s="15"/>
      <c r="DKO117" s="15"/>
      <c r="DKP117" s="15"/>
      <c r="DKQ117" s="15"/>
      <c r="DKR117" s="15"/>
      <c r="DKS117" s="15"/>
      <c r="DKT117" s="15"/>
      <c r="DKU117" s="15"/>
      <c r="DKV117" s="15"/>
      <c r="DKW117" s="15"/>
      <c r="DKX117" s="14"/>
      <c r="DKY117" s="15"/>
      <c r="DKZ117" s="15"/>
      <c r="DLA117" s="15"/>
      <c r="DLB117" s="15"/>
      <c r="DLC117" s="15"/>
      <c r="DLD117" s="15"/>
      <c r="DLE117" s="15"/>
      <c r="DLF117" s="15"/>
      <c r="DLG117" s="15"/>
      <c r="DLH117" s="15"/>
      <c r="DLI117" s="15"/>
      <c r="DLJ117" s="15"/>
      <c r="DLK117" s="15"/>
      <c r="DLL117" s="15"/>
      <c r="DLM117" s="15"/>
      <c r="DLN117" s="15"/>
      <c r="DLO117" s="15"/>
      <c r="DLP117" s="15"/>
      <c r="DLQ117" s="15"/>
      <c r="DLR117" s="15"/>
      <c r="DLS117" s="15"/>
      <c r="DLT117" s="14"/>
      <c r="DLU117" s="15"/>
      <c r="DLV117" s="15"/>
      <c r="DLW117" s="15"/>
      <c r="DLX117" s="15"/>
      <c r="DLY117" s="15"/>
      <c r="DLZ117" s="15"/>
      <c r="DMA117" s="15"/>
      <c r="DMB117" s="15"/>
      <c r="DMC117" s="15"/>
      <c r="DMD117" s="15"/>
      <c r="DME117" s="15"/>
      <c r="DMF117" s="15"/>
      <c r="DMG117" s="15"/>
      <c r="DMH117" s="15"/>
      <c r="DMI117" s="15"/>
      <c r="DMJ117" s="15"/>
      <c r="DMK117" s="15"/>
      <c r="DML117" s="15"/>
      <c r="DMM117" s="15"/>
      <c r="DMN117" s="15"/>
      <c r="DMO117" s="15"/>
      <c r="DMP117" s="14"/>
      <c r="DMQ117" s="15"/>
      <c r="DMR117" s="15"/>
      <c r="DMS117" s="15"/>
      <c r="DMT117" s="15"/>
      <c r="DMU117" s="15"/>
      <c r="DMV117" s="15"/>
      <c r="DMW117" s="15"/>
      <c r="DMX117" s="15"/>
      <c r="DMY117" s="15"/>
      <c r="DMZ117" s="15"/>
      <c r="DNA117" s="15"/>
      <c r="DNB117" s="15"/>
      <c r="DNC117" s="15"/>
      <c r="DND117" s="15"/>
      <c r="DNE117" s="15"/>
      <c r="DNF117" s="15"/>
      <c r="DNG117" s="15"/>
      <c r="DNH117" s="15"/>
      <c r="DNI117" s="15"/>
      <c r="DNJ117" s="15"/>
      <c r="DNK117" s="15"/>
      <c r="DNL117" s="14"/>
      <c r="DNM117" s="15"/>
      <c r="DNN117" s="15"/>
      <c r="DNO117" s="15"/>
      <c r="DNP117" s="15"/>
      <c r="DNQ117" s="15"/>
      <c r="DNR117" s="15"/>
      <c r="DNS117" s="15"/>
      <c r="DNT117" s="15"/>
      <c r="DNU117" s="15"/>
      <c r="DNV117" s="15"/>
      <c r="DNW117" s="15"/>
      <c r="DNX117" s="15"/>
      <c r="DNY117" s="15"/>
      <c r="DNZ117" s="15"/>
      <c r="DOA117" s="15"/>
      <c r="DOB117" s="15"/>
      <c r="DOC117" s="15"/>
      <c r="DOD117" s="15"/>
      <c r="DOE117" s="15"/>
      <c r="DOF117" s="15"/>
      <c r="DOG117" s="15"/>
      <c r="DOH117" s="14"/>
      <c r="DOI117" s="15"/>
      <c r="DOJ117" s="15"/>
      <c r="DOK117" s="15"/>
      <c r="DOL117" s="15"/>
      <c r="DOM117" s="15"/>
      <c r="DON117" s="15"/>
      <c r="DOO117" s="15"/>
      <c r="DOP117" s="15"/>
      <c r="DOQ117" s="15"/>
      <c r="DOR117" s="15"/>
      <c r="DOS117" s="15"/>
      <c r="DOT117" s="15"/>
      <c r="DOU117" s="15"/>
      <c r="DOV117" s="15"/>
      <c r="DOW117" s="15"/>
      <c r="DOX117" s="15"/>
      <c r="DOY117" s="15"/>
      <c r="DOZ117" s="15"/>
      <c r="DPA117" s="15"/>
      <c r="DPB117" s="15"/>
      <c r="DPC117" s="15"/>
      <c r="DPD117" s="14"/>
      <c r="DPE117" s="15"/>
      <c r="DPF117" s="15"/>
      <c r="DPG117" s="15"/>
      <c r="DPH117" s="15"/>
      <c r="DPI117" s="15"/>
      <c r="DPJ117" s="15"/>
      <c r="DPK117" s="15"/>
      <c r="DPL117" s="15"/>
      <c r="DPM117" s="15"/>
      <c r="DPN117" s="15"/>
      <c r="DPO117" s="15"/>
      <c r="DPP117" s="15"/>
      <c r="DPQ117" s="15"/>
      <c r="DPR117" s="15"/>
      <c r="DPS117" s="15"/>
      <c r="DPT117" s="15"/>
      <c r="DPU117" s="15"/>
      <c r="DPV117" s="15"/>
      <c r="DPW117" s="15"/>
      <c r="DPX117" s="15"/>
      <c r="DPY117" s="15"/>
      <c r="DPZ117" s="14"/>
      <c r="DQA117" s="15"/>
      <c r="DQB117" s="15"/>
      <c r="DQC117" s="15"/>
      <c r="DQD117" s="15"/>
      <c r="DQE117" s="15"/>
      <c r="DQF117" s="15"/>
      <c r="DQG117" s="15"/>
      <c r="DQH117" s="15"/>
      <c r="DQI117" s="15"/>
      <c r="DQJ117" s="15"/>
      <c r="DQK117" s="15"/>
      <c r="DQL117" s="15"/>
      <c r="DQM117" s="15"/>
      <c r="DQN117" s="15"/>
      <c r="DQO117" s="15"/>
      <c r="DQP117" s="15"/>
      <c r="DQQ117" s="15"/>
      <c r="DQR117" s="15"/>
      <c r="DQS117" s="15"/>
      <c r="DQT117" s="15"/>
      <c r="DQU117" s="15"/>
      <c r="DQV117" s="14"/>
      <c r="DQW117" s="15"/>
      <c r="DQX117" s="15"/>
      <c r="DQY117" s="15"/>
      <c r="DQZ117" s="15"/>
      <c r="DRA117" s="15"/>
      <c r="DRB117" s="15"/>
      <c r="DRC117" s="15"/>
      <c r="DRD117" s="15"/>
      <c r="DRE117" s="15"/>
      <c r="DRF117" s="15"/>
      <c r="DRG117" s="15"/>
      <c r="DRH117" s="15"/>
      <c r="DRI117" s="15"/>
      <c r="DRJ117" s="15"/>
      <c r="DRK117" s="15"/>
      <c r="DRL117" s="15"/>
      <c r="DRM117" s="15"/>
      <c r="DRN117" s="15"/>
      <c r="DRO117" s="15"/>
      <c r="DRP117" s="15"/>
      <c r="DRQ117" s="15"/>
      <c r="DRR117" s="14"/>
      <c r="DRS117" s="15"/>
      <c r="DRT117" s="15"/>
      <c r="DRU117" s="15"/>
      <c r="DRV117" s="15"/>
      <c r="DRW117" s="15"/>
      <c r="DRX117" s="15"/>
      <c r="DRY117" s="15"/>
      <c r="DRZ117" s="15"/>
      <c r="DSA117" s="15"/>
      <c r="DSB117" s="15"/>
      <c r="DSC117" s="15"/>
      <c r="DSD117" s="15"/>
      <c r="DSE117" s="15"/>
      <c r="DSF117" s="15"/>
      <c r="DSG117" s="15"/>
      <c r="DSH117" s="15"/>
      <c r="DSI117" s="15"/>
      <c r="DSJ117" s="15"/>
      <c r="DSK117" s="15"/>
      <c r="DSL117" s="15"/>
      <c r="DSM117" s="15"/>
      <c r="DSN117" s="14"/>
      <c r="DSO117" s="15"/>
      <c r="DSP117" s="15"/>
      <c r="DSQ117" s="15"/>
      <c r="DSR117" s="15"/>
      <c r="DSS117" s="15"/>
      <c r="DST117" s="15"/>
      <c r="DSU117" s="15"/>
      <c r="DSV117" s="15"/>
      <c r="DSW117" s="15"/>
      <c r="DSX117" s="15"/>
      <c r="DSY117" s="15"/>
      <c r="DSZ117" s="15"/>
      <c r="DTA117" s="15"/>
      <c r="DTB117" s="15"/>
      <c r="DTC117" s="15"/>
      <c r="DTD117" s="15"/>
      <c r="DTE117" s="15"/>
      <c r="DTF117" s="15"/>
      <c r="DTG117" s="15"/>
      <c r="DTH117" s="15"/>
      <c r="DTI117" s="15"/>
      <c r="DTJ117" s="14"/>
      <c r="DTK117" s="15"/>
      <c r="DTL117" s="15"/>
      <c r="DTM117" s="15"/>
      <c r="DTN117" s="15"/>
      <c r="DTO117" s="15"/>
      <c r="DTP117" s="15"/>
      <c r="DTQ117" s="15"/>
      <c r="DTR117" s="15"/>
      <c r="DTS117" s="15"/>
      <c r="DTT117" s="15"/>
      <c r="DTU117" s="15"/>
      <c r="DTV117" s="15"/>
      <c r="DTW117" s="15"/>
      <c r="DTX117" s="15"/>
      <c r="DTY117" s="15"/>
      <c r="DTZ117" s="15"/>
      <c r="DUA117" s="15"/>
      <c r="DUB117" s="15"/>
      <c r="DUC117" s="15"/>
      <c r="DUD117" s="15"/>
      <c r="DUE117" s="15"/>
      <c r="DUF117" s="14"/>
      <c r="DUG117" s="15"/>
      <c r="DUH117" s="15"/>
      <c r="DUI117" s="15"/>
      <c r="DUJ117" s="15"/>
      <c r="DUK117" s="15"/>
      <c r="DUL117" s="15"/>
      <c r="DUM117" s="15"/>
      <c r="DUN117" s="15"/>
      <c r="DUO117" s="15"/>
      <c r="DUP117" s="15"/>
      <c r="DUQ117" s="15"/>
      <c r="DUR117" s="15"/>
      <c r="DUS117" s="15"/>
      <c r="DUT117" s="15"/>
      <c r="DUU117" s="15"/>
      <c r="DUV117" s="15"/>
      <c r="DUW117" s="15"/>
      <c r="DUX117" s="15"/>
      <c r="DUY117" s="15"/>
      <c r="DUZ117" s="15"/>
      <c r="DVA117" s="15"/>
      <c r="DVB117" s="14"/>
      <c r="DVC117" s="15"/>
      <c r="DVD117" s="15"/>
      <c r="DVE117" s="15"/>
      <c r="DVF117" s="15"/>
      <c r="DVG117" s="15"/>
      <c r="DVH117" s="15"/>
      <c r="DVI117" s="15"/>
      <c r="DVJ117" s="15"/>
      <c r="DVK117" s="15"/>
      <c r="DVL117" s="15"/>
      <c r="DVM117" s="15"/>
      <c r="DVN117" s="15"/>
      <c r="DVO117" s="15"/>
      <c r="DVP117" s="15"/>
      <c r="DVQ117" s="15"/>
      <c r="DVR117" s="15"/>
      <c r="DVS117" s="15"/>
      <c r="DVT117" s="15"/>
      <c r="DVU117" s="15"/>
      <c r="DVV117" s="15"/>
      <c r="DVW117" s="15"/>
      <c r="DVX117" s="14"/>
      <c r="DVY117" s="15"/>
      <c r="DVZ117" s="15"/>
      <c r="DWA117" s="15"/>
      <c r="DWB117" s="15"/>
      <c r="DWC117" s="15"/>
      <c r="DWD117" s="15"/>
      <c r="DWE117" s="15"/>
      <c r="DWF117" s="15"/>
      <c r="DWG117" s="15"/>
      <c r="DWH117" s="15"/>
      <c r="DWI117" s="15"/>
      <c r="DWJ117" s="15"/>
      <c r="DWK117" s="15"/>
      <c r="DWL117" s="15"/>
      <c r="DWM117" s="15"/>
      <c r="DWN117" s="15"/>
      <c r="DWO117" s="15"/>
      <c r="DWP117" s="15"/>
      <c r="DWQ117" s="15"/>
      <c r="DWR117" s="15"/>
      <c r="DWS117" s="15"/>
      <c r="DWT117" s="14"/>
      <c r="DWU117" s="15"/>
      <c r="DWV117" s="15"/>
      <c r="DWW117" s="15"/>
      <c r="DWX117" s="15"/>
      <c r="DWY117" s="15"/>
      <c r="DWZ117" s="15"/>
      <c r="DXA117" s="15"/>
      <c r="DXB117" s="15"/>
      <c r="DXC117" s="15"/>
      <c r="DXD117" s="15"/>
      <c r="DXE117" s="15"/>
      <c r="DXF117" s="15"/>
      <c r="DXG117" s="15"/>
      <c r="DXH117" s="15"/>
      <c r="DXI117" s="15"/>
      <c r="DXJ117" s="15"/>
      <c r="DXK117" s="15"/>
      <c r="DXL117" s="15"/>
      <c r="DXM117" s="15"/>
      <c r="DXN117" s="15"/>
      <c r="DXO117" s="15"/>
      <c r="DXP117" s="14"/>
      <c r="DXQ117" s="15"/>
      <c r="DXR117" s="15"/>
      <c r="DXS117" s="15"/>
      <c r="DXT117" s="15"/>
      <c r="DXU117" s="15"/>
      <c r="DXV117" s="15"/>
      <c r="DXW117" s="15"/>
      <c r="DXX117" s="15"/>
      <c r="DXY117" s="15"/>
      <c r="DXZ117" s="15"/>
      <c r="DYA117" s="15"/>
      <c r="DYB117" s="15"/>
      <c r="DYC117" s="15"/>
      <c r="DYD117" s="15"/>
      <c r="DYE117" s="15"/>
      <c r="DYF117" s="15"/>
      <c r="DYG117" s="15"/>
      <c r="DYH117" s="15"/>
      <c r="DYI117" s="15"/>
      <c r="DYJ117" s="15"/>
      <c r="DYK117" s="15"/>
      <c r="DYL117" s="14"/>
      <c r="DYM117" s="15"/>
      <c r="DYN117" s="15"/>
      <c r="DYO117" s="15"/>
      <c r="DYP117" s="15"/>
      <c r="DYQ117" s="15"/>
      <c r="DYR117" s="15"/>
      <c r="DYS117" s="15"/>
      <c r="DYT117" s="15"/>
      <c r="DYU117" s="15"/>
      <c r="DYV117" s="15"/>
      <c r="DYW117" s="15"/>
      <c r="DYX117" s="15"/>
      <c r="DYY117" s="15"/>
      <c r="DYZ117" s="15"/>
      <c r="DZA117" s="15"/>
      <c r="DZB117" s="15"/>
      <c r="DZC117" s="15"/>
      <c r="DZD117" s="15"/>
      <c r="DZE117" s="15"/>
      <c r="DZF117" s="15"/>
      <c r="DZG117" s="15"/>
      <c r="DZH117" s="14"/>
      <c r="DZI117" s="15"/>
      <c r="DZJ117" s="15"/>
      <c r="DZK117" s="15"/>
      <c r="DZL117" s="15"/>
      <c r="DZM117" s="15"/>
      <c r="DZN117" s="15"/>
      <c r="DZO117" s="15"/>
      <c r="DZP117" s="15"/>
      <c r="DZQ117" s="15"/>
      <c r="DZR117" s="15"/>
      <c r="DZS117" s="15"/>
      <c r="DZT117" s="15"/>
      <c r="DZU117" s="15"/>
      <c r="DZV117" s="15"/>
      <c r="DZW117" s="15"/>
      <c r="DZX117" s="15"/>
      <c r="DZY117" s="15"/>
      <c r="DZZ117" s="15"/>
      <c r="EAA117" s="15"/>
      <c r="EAB117" s="15"/>
      <c r="EAC117" s="15"/>
      <c r="EAD117" s="14"/>
      <c r="EAE117" s="15"/>
      <c r="EAF117" s="15"/>
      <c r="EAG117" s="15"/>
      <c r="EAH117" s="15"/>
      <c r="EAI117" s="15"/>
      <c r="EAJ117" s="15"/>
      <c r="EAK117" s="15"/>
      <c r="EAL117" s="15"/>
      <c r="EAM117" s="15"/>
      <c r="EAN117" s="15"/>
      <c r="EAO117" s="15"/>
      <c r="EAP117" s="15"/>
      <c r="EAQ117" s="15"/>
      <c r="EAR117" s="15"/>
      <c r="EAS117" s="15"/>
      <c r="EAT117" s="15"/>
      <c r="EAU117" s="15"/>
      <c r="EAV117" s="15"/>
      <c r="EAW117" s="15"/>
      <c r="EAX117" s="15"/>
      <c r="EAY117" s="15"/>
      <c r="EAZ117" s="14"/>
      <c r="EBA117" s="15"/>
      <c r="EBB117" s="15"/>
      <c r="EBC117" s="15"/>
      <c r="EBD117" s="15"/>
      <c r="EBE117" s="15"/>
      <c r="EBF117" s="15"/>
      <c r="EBG117" s="15"/>
      <c r="EBH117" s="15"/>
      <c r="EBI117" s="15"/>
      <c r="EBJ117" s="15"/>
      <c r="EBK117" s="15"/>
      <c r="EBL117" s="15"/>
      <c r="EBM117" s="15"/>
      <c r="EBN117" s="15"/>
      <c r="EBO117" s="15"/>
      <c r="EBP117" s="15"/>
      <c r="EBQ117" s="15"/>
      <c r="EBR117" s="15"/>
      <c r="EBS117" s="15"/>
      <c r="EBT117" s="15"/>
      <c r="EBU117" s="15"/>
      <c r="EBV117" s="14"/>
      <c r="EBW117" s="15"/>
      <c r="EBX117" s="15"/>
      <c r="EBY117" s="15"/>
      <c r="EBZ117" s="15"/>
      <c r="ECA117" s="15"/>
      <c r="ECB117" s="15"/>
      <c r="ECC117" s="15"/>
      <c r="ECD117" s="15"/>
      <c r="ECE117" s="15"/>
      <c r="ECF117" s="15"/>
      <c r="ECG117" s="15"/>
      <c r="ECH117" s="15"/>
      <c r="ECI117" s="15"/>
      <c r="ECJ117" s="15"/>
      <c r="ECK117" s="15"/>
      <c r="ECL117" s="15"/>
      <c r="ECM117" s="15"/>
      <c r="ECN117" s="15"/>
      <c r="ECO117" s="15"/>
      <c r="ECP117" s="15"/>
      <c r="ECQ117" s="15"/>
      <c r="ECR117" s="14"/>
      <c r="ECS117" s="15"/>
      <c r="ECT117" s="15"/>
      <c r="ECU117" s="15"/>
      <c r="ECV117" s="15"/>
      <c r="ECW117" s="15"/>
      <c r="ECX117" s="15"/>
      <c r="ECY117" s="15"/>
      <c r="ECZ117" s="15"/>
      <c r="EDA117" s="15"/>
      <c r="EDB117" s="15"/>
      <c r="EDC117" s="15"/>
      <c r="EDD117" s="15"/>
      <c r="EDE117" s="15"/>
      <c r="EDF117" s="15"/>
      <c r="EDG117" s="15"/>
      <c r="EDH117" s="15"/>
      <c r="EDI117" s="15"/>
      <c r="EDJ117" s="15"/>
      <c r="EDK117" s="15"/>
      <c r="EDL117" s="15"/>
      <c r="EDM117" s="15"/>
      <c r="EDN117" s="14"/>
      <c r="EDO117" s="15"/>
      <c r="EDP117" s="15"/>
      <c r="EDQ117" s="15"/>
      <c r="EDR117" s="15"/>
      <c r="EDS117" s="15"/>
      <c r="EDT117" s="15"/>
      <c r="EDU117" s="15"/>
      <c r="EDV117" s="15"/>
      <c r="EDW117" s="15"/>
      <c r="EDX117" s="15"/>
      <c r="EDY117" s="15"/>
      <c r="EDZ117" s="15"/>
      <c r="EEA117" s="15"/>
      <c r="EEB117" s="15"/>
      <c r="EEC117" s="15"/>
      <c r="EED117" s="15"/>
      <c r="EEE117" s="15"/>
      <c r="EEF117" s="15"/>
      <c r="EEG117" s="15"/>
      <c r="EEH117" s="15"/>
      <c r="EEI117" s="15"/>
      <c r="EEJ117" s="14"/>
      <c r="EEK117" s="15"/>
      <c r="EEL117" s="15"/>
      <c r="EEM117" s="15"/>
      <c r="EEN117" s="15"/>
      <c r="EEO117" s="15"/>
      <c r="EEP117" s="15"/>
      <c r="EEQ117" s="15"/>
      <c r="EER117" s="15"/>
      <c r="EES117" s="15"/>
      <c r="EET117" s="15"/>
      <c r="EEU117" s="15"/>
      <c r="EEV117" s="15"/>
      <c r="EEW117" s="15"/>
      <c r="EEX117" s="15"/>
      <c r="EEY117" s="15"/>
      <c r="EEZ117" s="15"/>
      <c r="EFA117" s="15"/>
      <c r="EFB117" s="15"/>
      <c r="EFC117" s="15"/>
      <c r="EFD117" s="15"/>
      <c r="EFE117" s="15"/>
      <c r="EFF117" s="14"/>
      <c r="EFG117" s="15"/>
      <c r="EFH117" s="15"/>
      <c r="EFI117" s="15"/>
      <c r="EFJ117" s="15"/>
      <c r="EFK117" s="15"/>
      <c r="EFL117" s="15"/>
      <c r="EFM117" s="15"/>
      <c r="EFN117" s="15"/>
      <c r="EFO117" s="15"/>
      <c r="EFP117" s="15"/>
      <c r="EFQ117" s="15"/>
      <c r="EFR117" s="15"/>
      <c r="EFS117" s="15"/>
      <c r="EFT117" s="15"/>
      <c r="EFU117" s="15"/>
      <c r="EFV117" s="15"/>
      <c r="EFW117" s="15"/>
      <c r="EFX117" s="15"/>
      <c r="EFY117" s="15"/>
      <c r="EFZ117" s="15"/>
      <c r="EGA117" s="15"/>
      <c r="EGB117" s="14"/>
      <c r="EGC117" s="15"/>
      <c r="EGD117" s="15"/>
      <c r="EGE117" s="15"/>
      <c r="EGF117" s="15"/>
      <c r="EGG117" s="15"/>
      <c r="EGH117" s="15"/>
      <c r="EGI117" s="15"/>
      <c r="EGJ117" s="15"/>
      <c r="EGK117" s="15"/>
      <c r="EGL117" s="15"/>
      <c r="EGM117" s="15"/>
      <c r="EGN117" s="15"/>
      <c r="EGO117" s="15"/>
      <c r="EGP117" s="15"/>
      <c r="EGQ117" s="15"/>
      <c r="EGR117" s="15"/>
      <c r="EGS117" s="15"/>
      <c r="EGT117" s="15"/>
      <c r="EGU117" s="15"/>
      <c r="EGV117" s="15"/>
      <c r="EGW117" s="15"/>
      <c r="EGX117" s="14"/>
      <c r="EGY117" s="15"/>
      <c r="EGZ117" s="15"/>
      <c r="EHA117" s="15"/>
      <c r="EHB117" s="15"/>
      <c r="EHC117" s="15"/>
      <c r="EHD117" s="15"/>
      <c r="EHE117" s="15"/>
      <c r="EHF117" s="15"/>
      <c r="EHG117" s="15"/>
      <c r="EHH117" s="15"/>
      <c r="EHI117" s="15"/>
      <c r="EHJ117" s="15"/>
      <c r="EHK117" s="15"/>
      <c r="EHL117" s="15"/>
      <c r="EHM117" s="15"/>
      <c r="EHN117" s="15"/>
      <c r="EHO117" s="15"/>
      <c r="EHP117" s="15"/>
      <c r="EHQ117" s="15"/>
      <c r="EHR117" s="15"/>
      <c r="EHS117" s="15"/>
      <c r="EHT117" s="14"/>
      <c r="EHU117" s="15"/>
      <c r="EHV117" s="15"/>
      <c r="EHW117" s="15"/>
      <c r="EHX117" s="15"/>
      <c r="EHY117" s="15"/>
      <c r="EHZ117" s="15"/>
      <c r="EIA117" s="15"/>
      <c r="EIB117" s="15"/>
      <c r="EIC117" s="15"/>
      <c r="EID117" s="15"/>
      <c r="EIE117" s="15"/>
      <c r="EIF117" s="15"/>
      <c r="EIG117" s="15"/>
      <c r="EIH117" s="15"/>
      <c r="EII117" s="15"/>
      <c r="EIJ117" s="15"/>
      <c r="EIK117" s="15"/>
      <c r="EIL117" s="15"/>
      <c r="EIM117" s="15"/>
      <c r="EIN117" s="15"/>
      <c r="EIO117" s="15"/>
      <c r="EIP117" s="14"/>
      <c r="EIQ117" s="15"/>
      <c r="EIR117" s="15"/>
      <c r="EIS117" s="15"/>
      <c r="EIT117" s="15"/>
      <c r="EIU117" s="15"/>
      <c r="EIV117" s="15"/>
      <c r="EIW117" s="15"/>
      <c r="EIX117" s="15"/>
      <c r="EIY117" s="15"/>
      <c r="EIZ117" s="15"/>
      <c r="EJA117" s="15"/>
      <c r="EJB117" s="15"/>
      <c r="EJC117" s="15"/>
      <c r="EJD117" s="15"/>
      <c r="EJE117" s="15"/>
      <c r="EJF117" s="15"/>
      <c r="EJG117" s="15"/>
      <c r="EJH117" s="15"/>
      <c r="EJI117" s="15"/>
      <c r="EJJ117" s="15"/>
      <c r="EJK117" s="15"/>
      <c r="EJL117" s="14"/>
      <c r="EJM117" s="15"/>
      <c r="EJN117" s="15"/>
      <c r="EJO117" s="15"/>
      <c r="EJP117" s="15"/>
      <c r="EJQ117" s="15"/>
      <c r="EJR117" s="15"/>
      <c r="EJS117" s="15"/>
      <c r="EJT117" s="15"/>
      <c r="EJU117" s="15"/>
      <c r="EJV117" s="15"/>
      <c r="EJW117" s="15"/>
      <c r="EJX117" s="15"/>
      <c r="EJY117" s="15"/>
      <c r="EJZ117" s="15"/>
      <c r="EKA117" s="15"/>
      <c r="EKB117" s="15"/>
      <c r="EKC117" s="15"/>
      <c r="EKD117" s="15"/>
      <c r="EKE117" s="15"/>
      <c r="EKF117" s="15"/>
      <c r="EKG117" s="15"/>
      <c r="EKH117" s="14"/>
      <c r="EKI117" s="15"/>
      <c r="EKJ117" s="15"/>
      <c r="EKK117" s="15"/>
      <c r="EKL117" s="15"/>
      <c r="EKM117" s="15"/>
      <c r="EKN117" s="15"/>
      <c r="EKO117" s="15"/>
      <c r="EKP117" s="15"/>
      <c r="EKQ117" s="15"/>
      <c r="EKR117" s="15"/>
      <c r="EKS117" s="15"/>
      <c r="EKT117" s="15"/>
      <c r="EKU117" s="15"/>
      <c r="EKV117" s="15"/>
      <c r="EKW117" s="15"/>
      <c r="EKX117" s="15"/>
      <c r="EKY117" s="15"/>
      <c r="EKZ117" s="15"/>
      <c r="ELA117" s="15"/>
      <c r="ELB117" s="15"/>
      <c r="ELC117" s="15"/>
      <c r="ELD117" s="14"/>
      <c r="ELE117" s="15"/>
      <c r="ELF117" s="15"/>
      <c r="ELG117" s="15"/>
      <c r="ELH117" s="15"/>
      <c r="ELI117" s="15"/>
      <c r="ELJ117" s="15"/>
      <c r="ELK117" s="15"/>
      <c r="ELL117" s="15"/>
      <c r="ELM117" s="15"/>
      <c r="ELN117" s="15"/>
      <c r="ELO117" s="15"/>
      <c r="ELP117" s="15"/>
      <c r="ELQ117" s="15"/>
      <c r="ELR117" s="15"/>
      <c r="ELS117" s="15"/>
      <c r="ELT117" s="15"/>
      <c r="ELU117" s="15"/>
      <c r="ELV117" s="15"/>
      <c r="ELW117" s="15"/>
      <c r="ELX117" s="15"/>
      <c r="ELY117" s="15"/>
      <c r="ELZ117" s="14"/>
      <c r="EMA117" s="15"/>
      <c r="EMB117" s="15"/>
      <c r="EMC117" s="15"/>
      <c r="EMD117" s="15"/>
      <c r="EME117" s="15"/>
      <c r="EMF117" s="15"/>
      <c r="EMG117" s="15"/>
      <c r="EMH117" s="15"/>
      <c r="EMI117" s="15"/>
      <c r="EMJ117" s="15"/>
      <c r="EMK117" s="15"/>
      <c r="EML117" s="15"/>
      <c r="EMM117" s="15"/>
      <c r="EMN117" s="15"/>
      <c r="EMO117" s="15"/>
      <c r="EMP117" s="15"/>
      <c r="EMQ117" s="15"/>
      <c r="EMR117" s="15"/>
      <c r="EMS117" s="15"/>
      <c r="EMT117" s="15"/>
      <c r="EMU117" s="15"/>
      <c r="EMV117" s="14"/>
      <c r="EMW117" s="15"/>
      <c r="EMX117" s="15"/>
      <c r="EMY117" s="15"/>
      <c r="EMZ117" s="15"/>
      <c r="ENA117" s="15"/>
      <c r="ENB117" s="15"/>
      <c r="ENC117" s="15"/>
      <c r="END117" s="15"/>
      <c r="ENE117" s="15"/>
      <c r="ENF117" s="15"/>
      <c r="ENG117" s="15"/>
      <c r="ENH117" s="15"/>
      <c r="ENI117" s="15"/>
      <c r="ENJ117" s="15"/>
      <c r="ENK117" s="15"/>
      <c r="ENL117" s="15"/>
      <c r="ENM117" s="15"/>
      <c r="ENN117" s="15"/>
      <c r="ENO117" s="15"/>
      <c r="ENP117" s="15"/>
      <c r="ENQ117" s="15"/>
      <c r="ENR117" s="14"/>
      <c r="ENS117" s="15"/>
      <c r="ENT117" s="15"/>
      <c r="ENU117" s="15"/>
      <c r="ENV117" s="15"/>
      <c r="ENW117" s="15"/>
      <c r="ENX117" s="15"/>
      <c r="ENY117" s="15"/>
      <c r="ENZ117" s="15"/>
      <c r="EOA117" s="15"/>
      <c r="EOB117" s="15"/>
      <c r="EOC117" s="15"/>
      <c r="EOD117" s="15"/>
      <c r="EOE117" s="15"/>
      <c r="EOF117" s="15"/>
      <c r="EOG117" s="15"/>
      <c r="EOH117" s="15"/>
      <c r="EOI117" s="15"/>
      <c r="EOJ117" s="15"/>
      <c r="EOK117" s="15"/>
      <c r="EOL117" s="15"/>
      <c r="EOM117" s="15"/>
      <c r="EON117" s="14"/>
      <c r="EOO117" s="15"/>
      <c r="EOP117" s="15"/>
      <c r="EOQ117" s="15"/>
      <c r="EOR117" s="15"/>
      <c r="EOS117" s="15"/>
      <c r="EOT117" s="15"/>
      <c r="EOU117" s="15"/>
      <c r="EOV117" s="15"/>
      <c r="EOW117" s="15"/>
      <c r="EOX117" s="15"/>
      <c r="EOY117" s="15"/>
      <c r="EOZ117" s="15"/>
      <c r="EPA117" s="15"/>
      <c r="EPB117" s="15"/>
      <c r="EPC117" s="15"/>
      <c r="EPD117" s="15"/>
      <c r="EPE117" s="15"/>
      <c r="EPF117" s="15"/>
      <c r="EPG117" s="15"/>
      <c r="EPH117" s="15"/>
      <c r="EPI117" s="15"/>
      <c r="EPJ117" s="14"/>
      <c r="EPK117" s="15"/>
      <c r="EPL117" s="15"/>
      <c r="EPM117" s="15"/>
      <c r="EPN117" s="15"/>
      <c r="EPO117" s="15"/>
      <c r="EPP117" s="15"/>
      <c r="EPQ117" s="15"/>
      <c r="EPR117" s="15"/>
      <c r="EPS117" s="15"/>
      <c r="EPT117" s="15"/>
      <c r="EPU117" s="15"/>
      <c r="EPV117" s="15"/>
      <c r="EPW117" s="15"/>
      <c r="EPX117" s="15"/>
      <c r="EPY117" s="15"/>
      <c r="EPZ117" s="15"/>
      <c r="EQA117" s="15"/>
      <c r="EQB117" s="15"/>
      <c r="EQC117" s="15"/>
      <c r="EQD117" s="15"/>
      <c r="EQE117" s="15"/>
      <c r="EQF117" s="14"/>
      <c r="EQG117" s="15"/>
      <c r="EQH117" s="15"/>
      <c r="EQI117" s="15"/>
      <c r="EQJ117" s="15"/>
      <c r="EQK117" s="15"/>
      <c r="EQL117" s="15"/>
      <c r="EQM117" s="15"/>
      <c r="EQN117" s="15"/>
      <c r="EQO117" s="15"/>
      <c r="EQP117" s="15"/>
      <c r="EQQ117" s="15"/>
      <c r="EQR117" s="15"/>
      <c r="EQS117" s="15"/>
      <c r="EQT117" s="15"/>
      <c r="EQU117" s="15"/>
      <c r="EQV117" s="15"/>
      <c r="EQW117" s="15"/>
      <c r="EQX117" s="15"/>
      <c r="EQY117" s="15"/>
      <c r="EQZ117" s="15"/>
      <c r="ERA117" s="15"/>
      <c r="ERB117" s="14"/>
      <c r="ERC117" s="15"/>
      <c r="ERD117" s="15"/>
      <c r="ERE117" s="15"/>
      <c r="ERF117" s="15"/>
      <c r="ERG117" s="15"/>
      <c r="ERH117" s="15"/>
      <c r="ERI117" s="15"/>
      <c r="ERJ117" s="15"/>
      <c r="ERK117" s="15"/>
      <c r="ERL117" s="15"/>
      <c r="ERM117" s="15"/>
      <c r="ERN117" s="15"/>
      <c r="ERO117" s="15"/>
      <c r="ERP117" s="15"/>
      <c r="ERQ117" s="15"/>
      <c r="ERR117" s="15"/>
      <c r="ERS117" s="15"/>
      <c r="ERT117" s="15"/>
      <c r="ERU117" s="15"/>
      <c r="ERV117" s="15"/>
      <c r="ERW117" s="15"/>
      <c r="ERX117" s="14"/>
      <c r="ERY117" s="15"/>
      <c r="ERZ117" s="15"/>
      <c r="ESA117" s="15"/>
      <c r="ESB117" s="15"/>
      <c r="ESC117" s="15"/>
      <c r="ESD117" s="15"/>
      <c r="ESE117" s="15"/>
      <c r="ESF117" s="15"/>
      <c r="ESG117" s="15"/>
      <c r="ESH117" s="15"/>
      <c r="ESI117" s="15"/>
      <c r="ESJ117" s="15"/>
      <c r="ESK117" s="15"/>
      <c r="ESL117" s="15"/>
      <c r="ESM117" s="15"/>
      <c r="ESN117" s="15"/>
      <c r="ESO117" s="15"/>
      <c r="ESP117" s="15"/>
      <c r="ESQ117" s="15"/>
      <c r="ESR117" s="15"/>
      <c r="ESS117" s="15"/>
      <c r="EST117" s="14"/>
      <c r="ESU117" s="15"/>
      <c r="ESV117" s="15"/>
      <c r="ESW117" s="15"/>
      <c r="ESX117" s="15"/>
      <c r="ESY117" s="15"/>
      <c r="ESZ117" s="15"/>
      <c r="ETA117" s="15"/>
      <c r="ETB117" s="15"/>
      <c r="ETC117" s="15"/>
      <c r="ETD117" s="15"/>
      <c r="ETE117" s="15"/>
      <c r="ETF117" s="15"/>
      <c r="ETG117" s="15"/>
      <c r="ETH117" s="15"/>
      <c r="ETI117" s="15"/>
      <c r="ETJ117" s="15"/>
      <c r="ETK117" s="15"/>
      <c r="ETL117" s="15"/>
      <c r="ETM117" s="15"/>
      <c r="ETN117" s="15"/>
      <c r="ETO117" s="15"/>
      <c r="ETP117" s="14"/>
      <c r="ETQ117" s="15"/>
      <c r="ETR117" s="15"/>
      <c r="ETS117" s="15"/>
      <c r="ETT117" s="15"/>
      <c r="ETU117" s="15"/>
      <c r="ETV117" s="15"/>
      <c r="ETW117" s="15"/>
      <c r="ETX117" s="15"/>
      <c r="ETY117" s="15"/>
      <c r="ETZ117" s="15"/>
      <c r="EUA117" s="15"/>
      <c r="EUB117" s="15"/>
      <c r="EUC117" s="15"/>
      <c r="EUD117" s="15"/>
      <c r="EUE117" s="15"/>
      <c r="EUF117" s="15"/>
      <c r="EUG117" s="15"/>
      <c r="EUH117" s="15"/>
      <c r="EUI117" s="15"/>
      <c r="EUJ117" s="15"/>
      <c r="EUK117" s="15"/>
      <c r="EUL117" s="14"/>
      <c r="EUM117" s="15"/>
      <c r="EUN117" s="15"/>
      <c r="EUO117" s="15"/>
      <c r="EUP117" s="15"/>
      <c r="EUQ117" s="15"/>
      <c r="EUR117" s="15"/>
      <c r="EUS117" s="15"/>
      <c r="EUT117" s="15"/>
      <c r="EUU117" s="15"/>
      <c r="EUV117" s="15"/>
      <c r="EUW117" s="15"/>
      <c r="EUX117" s="15"/>
      <c r="EUY117" s="15"/>
      <c r="EUZ117" s="15"/>
      <c r="EVA117" s="15"/>
      <c r="EVB117" s="15"/>
      <c r="EVC117" s="15"/>
      <c r="EVD117" s="15"/>
      <c r="EVE117" s="15"/>
      <c r="EVF117" s="15"/>
      <c r="EVG117" s="15"/>
      <c r="EVH117" s="14"/>
      <c r="EVI117" s="15"/>
      <c r="EVJ117" s="15"/>
      <c r="EVK117" s="15"/>
      <c r="EVL117" s="15"/>
      <c r="EVM117" s="15"/>
      <c r="EVN117" s="15"/>
      <c r="EVO117" s="15"/>
      <c r="EVP117" s="15"/>
      <c r="EVQ117" s="15"/>
      <c r="EVR117" s="15"/>
      <c r="EVS117" s="15"/>
      <c r="EVT117" s="15"/>
      <c r="EVU117" s="15"/>
      <c r="EVV117" s="15"/>
      <c r="EVW117" s="15"/>
      <c r="EVX117" s="15"/>
      <c r="EVY117" s="15"/>
      <c r="EVZ117" s="15"/>
      <c r="EWA117" s="15"/>
      <c r="EWB117" s="15"/>
      <c r="EWC117" s="15"/>
      <c r="EWD117" s="14"/>
      <c r="EWE117" s="15"/>
      <c r="EWF117" s="15"/>
      <c r="EWG117" s="15"/>
      <c r="EWH117" s="15"/>
      <c r="EWI117" s="15"/>
      <c r="EWJ117" s="15"/>
      <c r="EWK117" s="15"/>
      <c r="EWL117" s="15"/>
      <c r="EWM117" s="15"/>
      <c r="EWN117" s="15"/>
      <c r="EWO117" s="15"/>
      <c r="EWP117" s="15"/>
      <c r="EWQ117" s="15"/>
      <c r="EWR117" s="15"/>
      <c r="EWS117" s="15"/>
      <c r="EWT117" s="15"/>
      <c r="EWU117" s="15"/>
      <c r="EWV117" s="15"/>
      <c r="EWW117" s="15"/>
      <c r="EWX117" s="15"/>
      <c r="EWY117" s="15"/>
      <c r="EWZ117" s="14"/>
      <c r="EXA117" s="15"/>
      <c r="EXB117" s="15"/>
      <c r="EXC117" s="15"/>
      <c r="EXD117" s="15"/>
      <c r="EXE117" s="15"/>
      <c r="EXF117" s="15"/>
      <c r="EXG117" s="15"/>
      <c r="EXH117" s="15"/>
      <c r="EXI117" s="15"/>
      <c r="EXJ117" s="15"/>
      <c r="EXK117" s="15"/>
      <c r="EXL117" s="15"/>
      <c r="EXM117" s="15"/>
      <c r="EXN117" s="15"/>
      <c r="EXO117" s="15"/>
      <c r="EXP117" s="15"/>
      <c r="EXQ117" s="15"/>
      <c r="EXR117" s="15"/>
      <c r="EXS117" s="15"/>
      <c r="EXT117" s="15"/>
      <c r="EXU117" s="15"/>
      <c r="EXV117" s="14"/>
      <c r="EXW117" s="15"/>
      <c r="EXX117" s="15"/>
      <c r="EXY117" s="15"/>
      <c r="EXZ117" s="15"/>
      <c r="EYA117" s="15"/>
      <c r="EYB117" s="15"/>
      <c r="EYC117" s="15"/>
      <c r="EYD117" s="15"/>
      <c r="EYE117" s="15"/>
      <c r="EYF117" s="15"/>
      <c r="EYG117" s="15"/>
      <c r="EYH117" s="15"/>
      <c r="EYI117" s="15"/>
      <c r="EYJ117" s="15"/>
      <c r="EYK117" s="15"/>
      <c r="EYL117" s="15"/>
      <c r="EYM117" s="15"/>
      <c r="EYN117" s="15"/>
      <c r="EYO117" s="15"/>
      <c r="EYP117" s="15"/>
      <c r="EYQ117" s="15"/>
      <c r="EYR117" s="14"/>
      <c r="EYS117" s="15"/>
      <c r="EYT117" s="15"/>
      <c r="EYU117" s="15"/>
      <c r="EYV117" s="15"/>
      <c r="EYW117" s="15"/>
      <c r="EYX117" s="15"/>
      <c r="EYY117" s="15"/>
      <c r="EYZ117" s="15"/>
      <c r="EZA117" s="15"/>
      <c r="EZB117" s="15"/>
      <c r="EZC117" s="15"/>
      <c r="EZD117" s="15"/>
      <c r="EZE117" s="15"/>
      <c r="EZF117" s="15"/>
      <c r="EZG117" s="15"/>
      <c r="EZH117" s="15"/>
      <c r="EZI117" s="15"/>
      <c r="EZJ117" s="15"/>
      <c r="EZK117" s="15"/>
      <c r="EZL117" s="15"/>
      <c r="EZM117" s="15"/>
      <c r="EZN117" s="14"/>
      <c r="EZO117" s="15"/>
      <c r="EZP117" s="15"/>
      <c r="EZQ117" s="15"/>
      <c r="EZR117" s="15"/>
      <c r="EZS117" s="15"/>
      <c r="EZT117" s="15"/>
      <c r="EZU117" s="15"/>
      <c r="EZV117" s="15"/>
      <c r="EZW117" s="15"/>
      <c r="EZX117" s="15"/>
      <c r="EZY117" s="15"/>
      <c r="EZZ117" s="15"/>
      <c r="FAA117" s="15"/>
      <c r="FAB117" s="15"/>
      <c r="FAC117" s="15"/>
      <c r="FAD117" s="15"/>
      <c r="FAE117" s="15"/>
      <c r="FAF117" s="15"/>
      <c r="FAG117" s="15"/>
      <c r="FAH117" s="15"/>
      <c r="FAI117" s="15"/>
      <c r="FAJ117" s="14"/>
      <c r="FAK117" s="15"/>
      <c r="FAL117" s="15"/>
      <c r="FAM117" s="15"/>
      <c r="FAN117" s="15"/>
      <c r="FAO117" s="15"/>
      <c r="FAP117" s="15"/>
      <c r="FAQ117" s="15"/>
      <c r="FAR117" s="15"/>
      <c r="FAS117" s="15"/>
      <c r="FAT117" s="15"/>
      <c r="FAU117" s="15"/>
      <c r="FAV117" s="15"/>
      <c r="FAW117" s="15"/>
      <c r="FAX117" s="15"/>
      <c r="FAY117" s="15"/>
      <c r="FAZ117" s="15"/>
      <c r="FBA117" s="15"/>
      <c r="FBB117" s="15"/>
      <c r="FBC117" s="15"/>
      <c r="FBD117" s="15"/>
      <c r="FBE117" s="15"/>
      <c r="FBF117" s="14"/>
      <c r="FBG117" s="15"/>
      <c r="FBH117" s="15"/>
      <c r="FBI117" s="15"/>
      <c r="FBJ117" s="15"/>
      <c r="FBK117" s="15"/>
      <c r="FBL117" s="15"/>
      <c r="FBM117" s="15"/>
      <c r="FBN117" s="15"/>
      <c r="FBO117" s="15"/>
      <c r="FBP117" s="15"/>
      <c r="FBQ117" s="15"/>
      <c r="FBR117" s="15"/>
      <c r="FBS117" s="15"/>
      <c r="FBT117" s="15"/>
      <c r="FBU117" s="15"/>
      <c r="FBV117" s="15"/>
      <c r="FBW117" s="15"/>
      <c r="FBX117" s="15"/>
      <c r="FBY117" s="15"/>
      <c r="FBZ117" s="15"/>
      <c r="FCA117" s="15"/>
      <c r="FCB117" s="14"/>
      <c r="FCC117" s="15"/>
      <c r="FCD117" s="15"/>
      <c r="FCE117" s="15"/>
      <c r="FCF117" s="15"/>
      <c r="FCG117" s="15"/>
      <c r="FCH117" s="15"/>
      <c r="FCI117" s="15"/>
      <c r="FCJ117" s="15"/>
      <c r="FCK117" s="15"/>
      <c r="FCL117" s="15"/>
      <c r="FCM117" s="15"/>
      <c r="FCN117" s="15"/>
      <c r="FCO117" s="15"/>
      <c r="FCP117" s="15"/>
      <c r="FCQ117" s="15"/>
      <c r="FCR117" s="15"/>
      <c r="FCS117" s="15"/>
      <c r="FCT117" s="15"/>
      <c r="FCU117" s="15"/>
      <c r="FCV117" s="15"/>
      <c r="FCW117" s="15"/>
      <c r="FCX117" s="14"/>
      <c r="FCY117" s="15"/>
      <c r="FCZ117" s="15"/>
      <c r="FDA117" s="15"/>
      <c r="FDB117" s="15"/>
      <c r="FDC117" s="15"/>
      <c r="FDD117" s="15"/>
      <c r="FDE117" s="15"/>
      <c r="FDF117" s="15"/>
      <c r="FDG117" s="15"/>
      <c r="FDH117" s="15"/>
      <c r="FDI117" s="15"/>
      <c r="FDJ117" s="15"/>
      <c r="FDK117" s="15"/>
      <c r="FDL117" s="15"/>
      <c r="FDM117" s="15"/>
      <c r="FDN117" s="15"/>
      <c r="FDO117" s="15"/>
      <c r="FDP117" s="15"/>
      <c r="FDQ117" s="15"/>
      <c r="FDR117" s="15"/>
      <c r="FDS117" s="15"/>
      <c r="FDT117" s="14"/>
      <c r="FDU117" s="15"/>
      <c r="FDV117" s="15"/>
      <c r="FDW117" s="15"/>
      <c r="FDX117" s="15"/>
      <c r="FDY117" s="15"/>
      <c r="FDZ117" s="15"/>
      <c r="FEA117" s="15"/>
      <c r="FEB117" s="15"/>
      <c r="FEC117" s="15"/>
      <c r="FED117" s="15"/>
      <c r="FEE117" s="15"/>
      <c r="FEF117" s="15"/>
      <c r="FEG117" s="15"/>
      <c r="FEH117" s="15"/>
      <c r="FEI117" s="15"/>
      <c r="FEJ117" s="15"/>
      <c r="FEK117" s="15"/>
      <c r="FEL117" s="15"/>
      <c r="FEM117" s="15"/>
      <c r="FEN117" s="15"/>
      <c r="FEO117" s="15"/>
      <c r="FEP117" s="14"/>
      <c r="FEQ117" s="15"/>
      <c r="FER117" s="15"/>
      <c r="FES117" s="15"/>
      <c r="FET117" s="15"/>
      <c r="FEU117" s="15"/>
      <c r="FEV117" s="15"/>
      <c r="FEW117" s="15"/>
      <c r="FEX117" s="15"/>
      <c r="FEY117" s="15"/>
      <c r="FEZ117" s="15"/>
      <c r="FFA117" s="15"/>
      <c r="FFB117" s="15"/>
      <c r="FFC117" s="15"/>
      <c r="FFD117" s="15"/>
      <c r="FFE117" s="15"/>
      <c r="FFF117" s="15"/>
      <c r="FFG117" s="15"/>
      <c r="FFH117" s="15"/>
      <c r="FFI117" s="15"/>
      <c r="FFJ117" s="15"/>
      <c r="FFK117" s="15"/>
      <c r="FFL117" s="14"/>
      <c r="FFM117" s="15"/>
      <c r="FFN117" s="15"/>
      <c r="FFO117" s="15"/>
      <c r="FFP117" s="15"/>
      <c r="FFQ117" s="15"/>
      <c r="FFR117" s="15"/>
      <c r="FFS117" s="15"/>
      <c r="FFT117" s="15"/>
      <c r="FFU117" s="15"/>
      <c r="FFV117" s="15"/>
      <c r="FFW117" s="15"/>
      <c r="FFX117" s="15"/>
      <c r="FFY117" s="15"/>
      <c r="FFZ117" s="15"/>
      <c r="FGA117" s="15"/>
      <c r="FGB117" s="15"/>
      <c r="FGC117" s="15"/>
      <c r="FGD117" s="15"/>
      <c r="FGE117" s="15"/>
      <c r="FGF117" s="15"/>
      <c r="FGG117" s="15"/>
      <c r="FGH117" s="14"/>
      <c r="FGI117" s="15"/>
      <c r="FGJ117" s="15"/>
      <c r="FGK117" s="15"/>
      <c r="FGL117" s="15"/>
      <c r="FGM117" s="15"/>
      <c r="FGN117" s="15"/>
      <c r="FGO117" s="15"/>
      <c r="FGP117" s="15"/>
      <c r="FGQ117" s="15"/>
      <c r="FGR117" s="15"/>
      <c r="FGS117" s="15"/>
      <c r="FGT117" s="15"/>
      <c r="FGU117" s="15"/>
      <c r="FGV117" s="15"/>
      <c r="FGW117" s="15"/>
      <c r="FGX117" s="15"/>
      <c r="FGY117" s="15"/>
      <c r="FGZ117" s="15"/>
      <c r="FHA117" s="15"/>
      <c r="FHB117" s="15"/>
      <c r="FHC117" s="15"/>
      <c r="FHD117" s="14"/>
      <c r="FHE117" s="15"/>
      <c r="FHF117" s="15"/>
      <c r="FHG117" s="15"/>
      <c r="FHH117" s="15"/>
      <c r="FHI117" s="15"/>
      <c r="FHJ117" s="15"/>
      <c r="FHK117" s="15"/>
      <c r="FHL117" s="15"/>
      <c r="FHM117" s="15"/>
      <c r="FHN117" s="15"/>
      <c r="FHO117" s="15"/>
      <c r="FHP117" s="15"/>
      <c r="FHQ117" s="15"/>
      <c r="FHR117" s="15"/>
      <c r="FHS117" s="15"/>
      <c r="FHT117" s="15"/>
      <c r="FHU117" s="15"/>
      <c r="FHV117" s="15"/>
      <c r="FHW117" s="15"/>
      <c r="FHX117" s="15"/>
      <c r="FHY117" s="15"/>
      <c r="FHZ117" s="14"/>
      <c r="FIA117" s="15"/>
      <c r="FIB117" s="15"/>
      <c r="FIC117" s="15"/>
      <c r="FID117" s="15"/>
      <c r="FIE117" s="15"/>
      <c r="FIF117" s="15"/>
      <c r="FIG117" s="15"/>
      <c r="FIH117" s="15"/>
      <c r="FII117" s="15"/>
      <c r="FIJ117" s="15"/>
      <c r="FIK117" s="15"/>
      <c r="FIL117" s="15"/>
      <c r="FIM117" s="15"/>
      <c r="FIN117" s="15"/>
      <c r="FIO117" s="15"/>
      <c r="FIP117" s="15"/>
      <c r="FIQ117" s="15"/>
      <c r="FIR117" s="15"/>
      <c r="FIS117" s="15"/>
      <c r="FIT117" s="15"/>
      <c r="FIU117" s="15"/>
      <c r="FIV117" s="14"/>
      <c r="FIW117" s="15"/>
      <c r="FIX117" s="15"/>
      <c r="FIY117" s="15"/>
      <c r="FIZ117" s="15"/>
      <c r="FJA117" s="15"/>
      <c r="FJB117" s="15"/>
      <c r="FJC117" s="15"/>
      <c r="FJD117" s="15"/>
      <c r="FJE117" s="15"/>
      <c r="FJF117" s="15"/>
      <c r="FJG117" s="15"/>
      <c r="FJH117" s="15"/>
      <c r="FJI117" s="15"/>
      <c r="FJJ117" s="15"/>
      <c r="FJK117" s="15"/>
      <c r="FJL117" s="15"/>
      <c r="FJM117" s="15"/>
      <c r="FJN117" s="15"/>
      <c r="FJO117" s="15"/>
      <c r="FJP117" s="15"/>
      <c r="FJQ117" s="15"/>
      <c r="FJR117" s="14"/>
      <c r="FJS117" s="15"/>
      <c r="FJT117" s="15"/>
      <c r="FJU117" s="15"/>
      <c r="FJV117" s="15"/>
      <c r="FJW117" s="15"/>
      <c r="FJX117" s="15"/>
      <c r="FJY117" s="15"/>
      <c r="FJZ117" s="15"/>
      <c r="FKA117" s="15"/>
      <c r="FKB117" s="15"/>
      <c r="FKC117" s="15"/>
      <c r="FKD117" s="15"/>
      <c r="FKE117" s="15"/>
      <c r="FKF117" s="15"/>
      <c r="FKG117" s="15"/>
      <c r="FKH117" s="15"/>
      <c r="FKI117" s="15"/>
      <c r="FKJ117" s="15"/>
      <c r="FKK117" s="15"/>
      <c r="FKL117" s="15"/>
      <c r="FKM117" s="15"/>
      <c r="FKN117" s="14"/>
      <c r="FKO117" s="15"/>
      <c r="FKP117" s="15"/>
      <c r="FKQ117" s="15"/>
      <c r="FKR117" s="15"/>
      <c r="FKS117" s="15"/>
      <c r="FKT117" s="15"/>
      <c r="FKU117" s="15"/>
      <c r="FKV117" s="15"/>
      <c r="FKW117" s="15"/>
      <c r="FKX117" s="15"/>
      <c r="FKY117" s="15"/>
      <c r="FKZ117" s="15"/>
      <c r="FLA117" s="15"/>
      <c r="FLB117" s="15"/>
      <c r="FLC117" s="15"/>
      <c r="FLD117" s="15"/>
      <c r="FLE117" s="15"/>
      <c r="FLF117" s="15"/>
      <c r="FLG117" s="15"/>
      <c r="FLH117" s="15"/>
      <c r="FLI117" s="15"/>
      <c r="FLJ117" s="14"/>
      <c r="FLK117" s="15"/>
      <c r="FLL117" s="15"/>
      <c r="FLM117" s="15"/>
      <c r="FLN117" s="15"/>
      <c r="FLO117" s="15"/>
      <c r="FLP117" s="15"/>
      <c r="FLQ117" s="15"/>
      <c r="FLR117" s="15"/>
      <c r="FLS117" s="15"/>
      <c r="FLT117" s="15"/>
      <c r="FLU117" s="15"/>
      <c r="FLV117" s="15"/>
      <c r="FLW117" s="15"/>
      <c r="FLX117" s="15"/>
      <c r="FLY117" s="15"/>
      <c r="FLZ117" s="15"/>
      <c r="FMA117" s="15"/>
      <c r="FMB117" s="15"/>
      <c r="FMC117" s="15"/>
      <c r="FMD117" s="15"/>
      <c r="FME117" s="15"/>
      <c r="FMF117" s="14"/>
      <c r="FMG117" s="15"/>
      <c r="FMH117" s="15"/>
      <c r="FMI117" s="15"/>
      <c r="FMJ117" s="15"/>
      <c r="FMK117" s="15"/>
      <c r="FML117" s="15"/>
      <c r="FMM117" s="15"/>
      <c r="FMN117" s="15"/>
      <c r="FMO117" s="15"/>
      <c r="FMP117" s="15"/>
      <c r="FMQ117" s="15"/>
      <c r="FMR117" s="15"/>
      <c r="FMS117" s="15"/>
      <c r="FMT117" s="15"/>
      <c r="FMU117" s="15"/>
      <c r="FMV117" s="15"/>
      <c r="FMW117" s="15"/>
      <c r="FMX117" s="15"/>
      <c r="FMY117" s="15"/>
      <c r="FMZ117" s="15"/>
      <c r="FNA117" s="15"/>
      <c r="FNB117" s="14"/>
      <c r="FNC117" s="15"/>
      <c r="FND117" s="15"/>
      <c r="FNE117" s="15"/>
      <c r="FNF117" s="15"/>
      <c r="FNG117" s="15"/>
      <c r="FNH117" s="15"/>
      <c r="FNI117" s="15"/>
      <c r="FNJ117" s="15"/>
      <c r="FNK117" s="15"/>
      <c r="FNL117" s="15"/>
      <c r="FNM117" s="15"/>
      <c r="FNN117" s="15"/>
      <c r="FNO117" s="15"/>
      <c r="FNP117" s="15"/>
      <c r="FNQ117" s="15"/>
      <c r="FNR117" s="15"/>
      <c r="FNS117" s="15"/>
      <c r="FNT117" s="15"/>
      <c r="FNU117" s="15"/>
      <c r="FNV117" s="15"/>
      <c r="FNW117" s="15"/>
      <c r="FNX117" s="14"/>
      <c r="FNY117" s="15"/>
      <c r="FNZ117" s="15"/>
      <c r="FOA117" s="15"/>
      <c r="FOB117" s="15"/>
      <c r="FOC117" s="15"/>
      <c r="FOD117" s="15"/>
      <c r="FOE117" s="15"/>
      <c r="FOF117" s="15"/>
      <c r="FOG117" s="15"/>
      <c r="FOH117" s="15"/>
      <c r="FOI117" s="15"/>
      <c r="FOJ117" s="15"/>
      <c r="FOK117" s="15"/>
      <c r="FOL117" s="15"/>
      <c r="FOM117" s="15"/>
      <c r="FON117" s="15"/>
      <c r="FOO117" s="15"/>
      <c r="FOP117" s="15"/>
      <c r="FOQ117" s="15"/>
      <c r="FOR117" s="15"/>
      <c r="FOS117" s="15"/>
      <c r="FOT117" s="14"/>
      <c r="FOU117" s="15"/>
      <c r="FOV117" s="15"/>
      <c r="FOW117" s="15"/>
      <c r="FOX117" s="15"/>
      <c r="FOY117" s="15"/>
      <c r="FOZ117" s="15"/>
      <c r="FPA117" s="15"/>
      <c r="FPB117" s="15"/>
      <c r="FPC117" s="15"/>
      <c r="FPD117" s="15"/>
      <c r="FPE117" s="15"/>
      <c r="FPF117" s="15"/>
      <c r="FPG117" s="15"/>
      <c r="FPH117" s="15"/>
      <c r="FPI117" s="15"/>
      <c r="FPJ117" s="15"/>
      <c r="FPK117" s="15"/>
      <c r="FPL117" s="15"/>
      <c r="FPM117" s="15"/>
      <c r="FPN117" s="15"/>
      <c r="FPO117" s="15"/>
      <c r="FPP117" s="14"/>
      <c r="FPQ117" s="15"/>
      <c r="FPR117" s="15"/>
      <c r="FPS117" s="15"/>
      <c r="FPT117" s="15"/>
      <c r="FPU117" s="15"/>
      <c r="FPV117" s="15"/>
      <c r="FPW117" s="15"/>
      <c r="FPX117" s="15"/>
      <c r="FPY117" s="15"/>
      <c r="FPZ117" s="15"/>
      <c r="FQA117" s="15"/>
      <c r="FQB117" s="15"/>
      <c r="FQC117" s="15"/>
      <c r="FQD117" s="15"/>
      <c r="FQE117" s="15"/>
      <c r="FQF117" s="15"/>
      <c r="FQG117" s="15"/>
      <c r="FQH117" s="15"/>
      <c r="FQI117" s="15"/>
      <c r="FQJ117" s="15"/>
      <c r="FQK117" s="15"/>
      <c r="FQL117" s="14"/>
      <c r="FQM117" s="15"/>
      <c r="FQN117" s="15"/>
      <c r="FQO117" s="15"/>
      <c r="FQP117" s="15"/>
      <c r="FQQ117" s="15"/>
      <c r="FQR117" s="15"/>
      <c r="FQS117" s="15"/>
      <c r="FQT117" s="15"/>
      <c r="FQU117" s="15"/>
      <c r="FQV117" s="15"/>
      <c r="FQW117" s="15"/>
      <c r="FQX117" s="15"/>
      <c r="FQY117" s="15"/>
      <c r="FQZ117" s="15"/>
      <c r="FRA117" s="15"/>
      <c r="FRB117" s="15"/>
      <c r="FRC117" s="15"/>
      <c r="FRD117" s="15"/>
      <c r="FRE117" s="15"/>
      <c r="FRF117" s="15"/>
      <c r="FRG117" s="15"/>
      <c r="FRH117" s="14"/>
      <c r="FRI117" s="15"/>
      <c r="FRJ117" s="15"/>
      <c r="FRK117" s="15"/>
      <c r="FRL117" s="15"/>
      <c r="FRM117" s="15"/>
      <c r="FRN117" s="15"/>
      <c r="FRO117" s="15"/>
      <c r="FRP117" s="15"/>
      <c r="FRQ117" s="15"/>
      <c r="FRR117" s="15"/>
      <c r="FRS117" s="15"/>
      <c r="FRT117" s="15"/>
      <c r="FRU117" s="15"/>
      <c r="FRV117" s="15"/>
      <c r="FRW117" s="15"/>
      <c r="FRX117" s="15"/>
      <c r="FRY117" s="15"/>
      <c r="FRZ117" s="15"/>
      <c r="FSA117" s="15"/>
      <c r="FSB117" s="15"/>
      <c r="FSC117" s="15"/>
      <c r="FSD117" s="14"/>
      <c r="FSE117" s="15"/>
      <c r="FSF117" s="15"/>
      <c r="FSG117" s="15"/>
      <c r="FSH117" s="15"/>
      <c r="FSI117" s="15"/>
      <c r="FSJ117" s="15"/>
      <c r="FSK117" s="15"/>
      <c r="FSL117" s="15"/>
      <c r="FSM117" s="15"/>
      <c r="FSN117" s="15"/>
      <c r="FSO117" s="15"/>
      <c r="FSP117" s="15"/>
      <c r="FSQ117" s="15"/>
      <c r="FSR117" s="15"/>
      <c r="FSS117" s="15"/>
      <c r="FST117" s="15"/>
      <c r="FSU117" s="15"/>
      <c r="FSV117" s="15"/>
      <c r="FSW117" s="15"/>
      <c r="FSX117" s="15"/>
      <c r="FSY117" s="15"/>
      <c r="FSZ117" s="14"/>
      <c r="FTA117" s="15"/>
      <c r="FTB117" s="15"/>
      <c r="FTC117" s="15"/>
      <c r="FTD117" s="15"/>
      <c r="FTE117" s="15"/>
      <c r="FTF117" s="15"/>
      <c r="FTG117" s="15"/>
      <c r="FTH117" s="15"/>
      <c r="FTI117" s="15"/>
      <c r="FTJ117" s="15"/>
      <c r="FTK117" s="15"/>
      <c r="FTL117" s="15"/>
      <c r="FTM117" s="15"/>
      <c r="FTN117" s="15"/>
      <c r="FTO117" s="15"/>
      <c r="FTP117" s="15"/>
      <c r="FTQ117" s="15"/>
      <c r="FTR117" s="15"/>
      <c r="FTS117" s="15"/>
      <c r="FTT117" s="15"/>
      <c r="FTU117" s="15"/>
      <c r="FTV117" s="14"/>
      <c r="FTW117" s="15"/>
      <c r="FTX117" s="15"/>
      <c r="FTY117" s="15"/>
      <c r="FTZ117" s="15"/>
      <c r="FUA117" s="15"/>
      <c r="FUB117" s="15"/>
      <c r="FUC117" s="15"/>
      <c r="FUD117" s="15"/>
      <c r="FUE117" s="15"/>
      <c r="FUF117" s="15"/>
      <c r="FUG117" s="15"/>
      <c r="FUH117" s="15"/>
      <c r="FUI117" s="15"/>
      <c r="FUJ117" s="15"/>
      <c r="FUK117" s="15"/>
      <c r="FUL117" s="15"/>
      <c r="FUM117" s="15"/>
      <c r="FUN117" s="15"/>
      <c r="FUO117" s="15"/>
      <c r="FUP117" s="15"/>
      <c r="FUQ117" s="15"/>
      <c r="FUR117" s="14"/>
      <c r="FUS117" s="15"/>
      <c r="FUT117" s="15"/>
      <c r="FUU117" s="15"/>
      <c r="FUV117" s="15"/>
      <c r="FUW117" s="15"/>
      <c r="FUX117" s="15"/>
      <c r="FUY117" s="15"/>
      <c r="FUZ117" s="15"/>
      <c r="FVA117" s="15"/>
      <c r="FVB117" s="15"/>
      <c r="FVC117" s="15"/>
      <c r="FVD117" s="15"/>
      <c r="FVE117" s="15"/>
      <c r="FVF117" s="15"/>
      <c r="FVG117" s="15"/>
      <c r="FVH117" s="15"/>
      <c r="FVI117" s="15"/>
      <c r="FVJ117" s="15"/>
      <c r="FVK117" s="15"/>
      <c r="FVL117" s="15"/>
      <c r="FVM117" s="15"/>
      <c r="FVN117" s="14"/>
      <c r="FVO117" s="15"/>
      <c r="FVP117" s="15"/>
      <c r="FVQ117" s="15"/>
      <c r="FVR117" s="15"/>
      <c r="FVS117" s="15"/>
      <c r="FVT117" s="15"/>
      <c r="FVU117" s="15"/>
      <c r="FVV117" s="15"/>
      <c r="FVW117" s="15"/>
      <c r="FVX117" s="15"/>
      <c r="FVY117" s="15"/>
      <c r="FVZ117" s="15"/>
      <c r="FWA117" s="15"/>
      <c r="FWB117" s="15"/>
      <c r="FWC117" s="15"/>
      <c r="FWD117" s="15"/>
      <c r="FWE117" s="15"/>
      <c r="FWF117" s="15"/>
      <c r="FWG117" s="15"/>
      <c r="FWH117" s="15"/>
      <c r="FWI117" s="15"/>
      <c r="FWJ117" s="14"/>
      <c r="FWK117" s="15"/>
      <c r="FWL117" s="15"/>
      <c r="FWM117" s="15"/>
      <c r="FWN117" s="15"/>
      <c r="FWO117" s="15"/>
      <c r="FWP117" s="15"/>
      <c r="FWQ117" s="15"/>
      <c r="FWR117" s="15"/>
      <c r="FWS117" s="15"/>
      <c r="FWT117" s="15"/>
      <c r="FWU117" s="15"/>
      <c r="FWV117" s="15"/>
      <c r="FWW117" s="15"/>
      <c r="FWX117" s="15"/>
      <c r="FWY117" s="15"/>
      <c r="FWZ117" s="15"/>
      <c r="FXA117" s="15"/>
      <c r="FXB117" s="15"/>
      <c r="FXC117" s="15"/>
      <c r="FXD117" s="15"/>
      <c r="FXE117" s="15"/>
      <c r="FXF117" s="14"/>
      <c r="FXG117" s="15"/>
      <c r="FXH117" s="15"/>
      <c r="FXI117" s="15"/>
      <c r="FXJ117" s="15"/>
      <c r="FXK117" s="15"/>
      <c r="FXL117" s="15"/>
      <c r="FXM117" s="15"/>
      <c r="FXN117" s="15"/>
      <c r="FXO117" s="15"/>
      <c r="FXP117" s="15"/>
      <c r="FXQ117" s="15"/>
      <c r="FXR117" s="15"/>
      <c r="FXS117" s="15"/>
      <c r="FXT117" s="15"/>
      <c r="FXU117" s="15"/>
      <c r="FXV117" s="15"/>
      <c r="FXW117" s="15"/>
      <c r="FXX117" s="15"/>
      <c r="FXY117" s="15"/>
      <c r="FXZ117" s="15"/>
      <c r="FYA117" s="15"/>
      <c r="FYB117" s="14"/>
      <c r="FYC117" s="15"/>
      <c r="FYD117" s="15"/>
      <c r="FYE117" s="15"/>
      <c r="FYF117" s="15"/>
      <c r="FYG117" s="15"/>
      <c r="FYH117" s="15"/>
      <c r="FYI117" s="15"/>
      <c r="FYJ117" s="15"/>
      <c r="FYK117" s="15"/>
      <c r="FYL117" s="15"/>
      <c r="FYM117" s="15"/>
      <c r="FYN117" s="15"/>
      <c r="FYO117" s="15"/>
      <c r="FYP117" s="15"/>
      <c r="FYQ117" s="15"/>
      <c r="FYR117" s="15"/>
      <c r="FYS117" s="15"/>
      <c r="FYT117" s="15"/>
      <c r="FYU117" s="15"/>
      <c r="FYV117" s="15"/>
      <c r="FYW117" s="15"/>
      <c r="FYX117" s="14"/>
      <c r="FYY117" s="15"/>
      <c r="FYZ117" s="15"/>
      <c r="FZA117" s="15"/>
      <c r="FZB117" s="15"/>
      <c r="FZC117" s="15"/>
      <c r="FZD117" s="15"/>
      <c r="FZE117" s="15"/>
      <c r="FZF117" s="15"/>
      <c r="FZG117" s="15"/>
      <c r="FZH117" s="15"/>
      <c r="FZI117" s="15"/>
      <c r="FZJ117" s="15"/>
      <c r="FZK117" s="15"/>
      <c r="FZL117" s="15"/>
      <c r="FZM117" s="15"/>
      <c r="FZN117" s="15"/>
      <c r="FZO117" s="15"/>
      <c r="FZP117" s="15"/>
      <c r="FZQ117" s="15"/>
      <c r="FZR117" s="15"/>
      <c r="FZS117" s="15"/>
      <c r="FZT117" s="14"/>
      <c r="FZU117" s="15"/>
      <c r="FZV117" s="15"/>
      <c r="FZW117" s="15"/>
      <c r="FZX117" s="15"/>
      <c r="FZY117" s="15"/>
      <c r="FZZ117" s="15"/>
      <c r="GAA117" s="15"/>
      <c r="GAB117" s="15"/>
      <c r="GAC117" s="15"/>
      <c r="GAD117" s="15"/>
      <c r="GAE117" s="15"/>
      <c r="GAF117" s="15"/>
      <c r="GAG117" s="15"/>
      <c r="GAH117" s="15"/>
      <c r="GAI117" s="15"/>
      <c r="GAJ117" s="15"/>
      <c r="GAK117" s="15"/>
      <c r="GAL117" s="15"/>
      <c r="GAM117" s="15"/>
      <c r="GAN117" s="15"/>
      <c r="GAO117" s="15"/>
      <c r="GAP117" s="14"/>
      <c r="GAQ117" s="15"/>
      <c r="GAR117" s="15"/>
      <c r="GAS117" s="15"/>
      <c r="GAT117" s="15"/>
      <c r="GAU117" s="15"/>
      <c r="GAV117" s="15"/>
      <c r="GAW117" s="15"/>
      <c r="GAX117" s="15"/>
      <c r="GAY117" s="15"/>
      <c r="GAZ117" s="15"/>
      <c r="GBA117" s="15"/>
      <c r="GBB117" s="15"/>
      <c r="GBC117" s="15"/>
      <c r="GBD117" s="15"/>
      <c r="GBE117" s="15"/>
      <c r="GBF117" s="15"/>
      <c r="GBG117" s="15"/>
      <c r="GBH117" s="15"/>
      <c r="GBI117" s="15"/>
      <c r="GBJ117" s="15"/>
      <c r="GBK117" s="15"/>
      <c r="GBL117" s="14"/>
      <c r="GBM117" s="15"/>
      <c r="GBN117" s="15"/>
      <c r="GBO117" s="15"/>
      <c r="GBP117" s="15"/>
      <c r="GBQ117" s="15"/>
      <c r="GBR117" s="15"/>
      <c r="GBS117" s="15"/>
      <c r="GBT117" s="15"/>
      <c r="GBU117" s="15"/>
      <c r="GBV117" s="15"/>
      <c r="GBW117" s="15"/>
      <c r="GBX117" s="15"/>
      <c r="GBY117" s="15"/>
      <c r="GBZ117" s="15"/>
      <c r="GCA117" s="15"/>
      <c r="GCB117" s="15"/>
      <c r="GCC117" s="15"/>
      <c r="GCD117" s="15"/>
      <c r="GCE117" s="15"/>
      <c r="GCF117" s="15"/>
      <c r="GCG117" s="15"/>
      <c r="GCH117" s="14"/>
      <c r="GCI117" s="15"/>
      <c r="GCJ117" s="15"/>
      <c r="GCK117" s="15"/>
      <c r="GCL117" s="15"/>
      <c r="GCM117" s="15"/>
      <c r="GCN117" s="15"/>
      <c r="GCO117" s="15"/>
      <c r="GCP117" s="15"/>
      <c r="GCQ117" s="15"/>
      <c r="GCR117" s="15"/>
      <c r="GCS117" s="15"/>
      <c r="GCT117" s="15"/>
      <c r="GCU117" s="15"/>
      <c r="GCV117" s="15"/>
      <c r="GCW117" s="15"/>
      <c r="GCX117" s="15"/>
      <c r="GCY117" s="15"/>
      <c r="GCZ117" s="15"/>
      <c r="GDA117" s="15"/>
      <c r="GDB117" s="15"/>
      <c r="GDC117" s="15"/>
      <c r="GDD117" s="14"/>
      <c r="GDE117" s="15"/>
      <c r="GDF117" s="15"/>
      <c r="GDG117" s="15"/>
      <c r="GDH117" s="15"/>
      <c r="GDI117" s="15"/>
      <c r="GDJ117" s="15"/>
      <c r="GDK117" s="15"/>
      <c r="GDL117" s="15"/>
      <c r="GDM117" s="15"/>
      <c r="GDN117" s="15"/>
      <c r="GDO117" s="15"/>
      <c r="GDP117" s="15"/>
      <c r="GDQ117" s="15"/>
      <c r="GDR117" s="15"/>
      <c r="GDS117" s="15"/>
      <c r="GDT117" s="15"/>
      <c r="GDU117" s="15"/>
      <c r="GDV117" s="15"/>
      <c r="GDW117" s="15"/>
      <c r="GDX117" s="15"/>
      <c r="GDY117" s="15"/>
      <c r="GDZ117" s="14"/>
      <c r="GEA117" s="15"/>
      <c r="GEB117" s="15"/>
      <c r="GEC117" s="15"/>
      <c r="GED117" s="15"/>
      <c r="GEE117" s="15"/>
      <c r="GEF117" s="15"/>
      <c r="GEG117" s="15"/>
      <c r="GEH117" s="15"/>
      <c r="GEI117" s="15"/>
      <c r="GEJ117" s="15"/>
      <c r="GEK117" s="15"/>
      <c r="GEL117" s="15"/>
      <c r="GEM117" s="15"/>
      <c r="GEN117" s="15"/>
      <c r="GEO117" s="15"/>
      <c r="GEP117" s="15"/>
      <c r="GEQ117" s="15"/>
      <c r="GER117" s="15"/>
      <c r="GES117" s="15"/>
      <c r="GET117" s="15"/>
      <c r="GEU117" s="15"/>
      <c r="GEV117" s="14"/>
      <c r="GEW117" s="15"/>
      <c r="GEX117" s="15"/>
      <c r="GEY117" s="15"/>
      <c r="GEZ117" s="15"/>
      <c r="GFA117" s="15"/>
      <c r="GFB117" s="15"/>
      <c r="GFC117" s="15"/>
      <c r="GFD117" s="15"/>
      <c r="GFE117" s="15"/>
      <c r="GFF117" s="15"/>
      <c r="GFG117" s="15"/>
      <c r="GFH117" s="15"/>
      <c r="GFI117" s="15"/>
      <c r="GFJ117" s="15"/>
      <c r="GFK117" s="15"/>
      <c r="GFL117" s="15"/>
      <c r="GFM117" s="15"/>
      <c r="GFN117" s="15"/>
      <c r="GFO117" s="15"/>
      <c r="GFP117" s="15"/>
      <c r="GFQ117" s="15"/>
      <c r="GFR117" s="14"/>
      <c r="GFS117" s="15"/>
      <c r="GFT117" s="15"/>
      <c r="GFU117" s="15"/>
      <c r="GFV117" s="15"/>
      <c r="GFW117" s="15"/>
      <c r="GFX117" s="15"/>
      <c r="GFY117" s="15"/>
      <c r="GFZ117" s="15"/>
      <c r="GGA117" s="15"/>
      <c r="GGB117" s="15"/>
      <c r="GGC117" s="15"/>
      <c r="GGD117" s="15"/>
      <c r="GGE117" s="15"/>
      <c r="GGF117" s="15"/>
      <c r="GGG117" s="15"/>
      <c r="GGH117" s="15"/>
      <c r="GGI117" s="15"/>
      <c r="GGJ117" s="15"/>
      <c r="GGK117" s="15"/>
      <c r="GGL117" s="15"/>
      <c r="GGM117" s="15"/>
      <c r="GGN117" s="14"/>
      <c r="GGO117" s="15"/>
      <c r="GGP117" s="15"/>
      <c r="GGQ117" s="15"/>
      <c r="GGR117" s="15"/>
      <c r="GGS117" s="15"/>
      <c r="GGT117" s="15"/>
      <c r="GGU117" s="15"/>
      <c r="GGV117" s="15"/>
      <c r="GGW117" s="15"/>
      <c r="GGX117" s="15"/>
      <c r="GGY117" s="15"/>
      <c r="GGZ117" s="15"/>
      <c r="GHA117" s="15"/>
      <c r="GHB117" s="15"/>
      <c r="GHC117" s="15"/>
      <c r="GHD117" s="15"/>
      <c r="GHE117" s="15"/>
      <c r="GHF117" s="15"/>
      <c r="GHG117" s="15"/>
      <c r="GHH117" s="15"/>
      <c r="GHI117" s="15"/>
      <c r="GHJ117" s="14"/>
      <c r="GHK117" s="15"/>
      <c r="GHL117" s="15"/>
      <c r="GHM117" s="15"/>
      <c r="GHN117" s="15"/>
      <c r="GHO117" s="15"/>
      <c r="GHP117" s="15"/>
      <c r="GHQ117" s="15"/>
      <c r="GHR117" s="15"/>
      <c r="GHS117" s="15"/>
      <c r="GHT117" s="15"/>
      <c r="GHU117" s="15"/>
      <c r="GHV117" s="15"/>
      <c r="GHW117" s="15"/>
      <c r="GHX117" s="15"/>
      <c r="GHY117" s="15"/>
      <c r="GHZ117" s="15"/>
      <c r="GIA117" s="15"/>
      <c r="GIB117" s="15"/>
      <c r="GIC117" s="15"/>
      <c r="GID117" s="15"/>
      <c r="GIE117" s="15"/>
      <c r="GIF117" s="14"/>
      <c r="GIG117" s="15"/>
      <c r="GIH117" s="15"/>
      <c r="GII117" s="15"/>
      <c r="GIJ117" s="15"/>
      <c r="GIK117" s="15"/>
      <c r="GIL117" s="15"/>
      <c r="GIM117" s="15"/>
      <c r="GIN117" s="15"/>
      <c r="GIO117" s="15"/>
      <c r="GIP117" s="15"/>
      <c r="GIQ117" s="15"/>
      <c r="GIR117" s="15"/>
      <c r="GIS117" s="15"/>
      <c r="GIT117" s="15"/>
      <c r="GIU117" s="15"/>
      <c r="GIV117" s="15"/>
      <c r="GIW117" s="15"/>
      <c r="GIX117" s="15"/>
      <c r="GIY117" s="15"/>
      <c r="GIZ117" s="15"/>
      <c r="GJA117" s="15"/>
      <c r="GJB117" s="14"/>
      <c r="GJC117" s="15"/>
      <c r="GJD117" s="15"/>
      <c r="GJE117" s="15"/>
      <c r="GJF117" s="15"/>
      <c r="GJG117" s="15"/>
      <c r="GJH117" s="15"/>
      <c r="GJI117" s="15"/>
      <c r="GJJ117" s="15"/>
      <c r="GJK117" s="15"/>
      <c r="GJL117" s="15"/>
      <c r="GJM117" s="15"/>
      <c r="GJN117" s="15"/>
      <c r="GJO117" s="15"/>
      <c r="GJP117" s="15"/>
      <c r="GJQ117" s="15"/>
      <c r="GJR117" s="15"/>
      <c r="GJS117" s="15"/>
      <c r="GJT117" s="15"/>
      <c r="GJU117" s="15"/>
      <c r="GJV117" s="15"/>
      <c r="GJW117" s="15"/>
      <c r="GJX117" s="14"/>
      <c r="GJY117" s="15"/>
      <c r="GJZ117" s="15"/>
      <c r="GKA117" s="15"/>
      <c r="GKB117" s="15"/>
      <c r="GKC117" s="15"/>
      <c r="GKD117" s="15"/>
      <c r="GKE117" s="15"/>
      <c r="GKF117" s="15"/>
      <c r="GKG117" s="15"/>
      <c r="GKH117" s="15"/>
      <c r="GKI117" s="15"/>
      <c r="GKJ117" s="15"/>
      <c r="GKK117" s="15"/>
      <c r="GKL117" s="15"/>
      <c r="GKM117" s="15"/>
      <c r="GKN117" s="15"/>
      <c r="GKO117" s="15"/>
      <c r="GKP117" s="15"/>
      <c r="GKQ117" s="15"/>
      <c r="GKR117" s="15"/>
      <c r="GKS117" s="15"/>
      <c r="GKT117" s="14"/>
      <c r="GKU117" s="15"/>
      <c r="GKV117" s="15"/>
      <c r="GKW117" s="15"/>
      <c r="GKX117" s="15"/>
      <c r="GKY117" s="15"/>
      <c r="GKZ117" s="15"/>
      <c r="GLA117" s="15"/>
      <c r="GLB117" s="15"/>
      <c r="GLC117" s="15"/>
      <c r="GLD117" s="15"/>
      <c r="GLE117" s="15"/>
      <c r="GLF117" s="15"/>
      <c r="GLG117" s="15"/>
      <c r="GLH117" s="15"/>
      <c r="GLI117" s="15"/>
      <c r="GLJ117" s="15"/>
      <c r="GLK117" s="15"/>
      <c r="GLL117" s="15"/>
      <c r="GLM117" s="15"/>
      <c r="GLN117" s="15"/>
      <c r="GLO117" s="15"/>
      <c r="GLP117" s="14"/>
      <c r="GLQ117" s="15"/>
      <c r="GLR117" s="15"/>
      <c r="GLS117" s="15"/>
      <c r="GLT117" s="15"/>
      <c r="GLU117" s="15"/>
      <c r="GLV117" s="15"/>
      <c r="GLW117" s="15"/>
      <c r="GLX117" s="15"/>
      <c r="GLY117" s="15"/>
      <c r="GLZ117" s="15"/>
      <c r="GMA117" s="15"/>
      <c r="GMB117" s="15"/>
      <c r="GMC117" s="15"/>
      <c r="GMD117" s="15"/>
      <c r="GME117" s="15"/>
      <c r="GMF117" s="15"/>
      <c r="GMG117" s="15"/>
      <c r="GMH117" s="15"/>
      <c r="GMI117" s="15"/>
      <c r="GMJ117" s="15"/>
      <c r="GMK117" s="15"/>
      <c r="GML117" s="14"/>
      <c r="GMM117" s="15"/>
      <c r="GMN117" s="15"/>
      <c r="GMO117" s="15"/>
      <c r="GMP117" s="15"/>
      <c r="GMQ117" s="15"/>
      <c r="GMR117" s="15"/>
      <c r="GMS117" s="15"/>
      <c r="GMT117" s="15"/>
      <c r="GMU117" s="15"/>
      <c r="GMV117" s="15"/>
      <c r="GMW117" s="15"/>
      <c r="GMX117" s="15"/>
      <c r="GMY117" s="15"/>
      <c r="GMZ117" s="15"/>
      <c r="GNA117" s="15"/>
      <c r="GNB117" s="15"/>
      <c r="GNC117" s="15"/>
      <c r="GND117" s="15"/>
      <c r="GNE117" s="15"/>
      <c r="GNF117" s="15"/>
      <c r="GNG117" s="15"/>
      <c r="GNH117" s="14"/>
      <c r="GNI117" s="15"/>
      <c r="GNJ117" s="15"/>
      <c r="GNK117" s="15"/>
      <c r="GNL117" s="15"/>
      <c r="GNM117" s="15"/>
      <c r="GNN117" s="15"/>
      <c r="GNO117" s="15"/>
      <c r="GNP117" s="15"/>
      <c r="GNQ117" s="15"/>
      <c r="GNR117" s="15"/>
      <c r="GNS117" s="15"/>
      <c r="GNT117" s="15"/>
      <c r="GNU117" s="15"/>
      <c r="GNV117" s="15"/>
      <c r="GNW117" s="15"/>
      <c r="GNX117" s="15"/>
      <c r="GNY117" s="15"/>
      <c r="GNZ117" s="15"/>
      <c r="GOA117" s="15"/>
      <c r="GOB117" s="15"/>
      <c r="GOC117" s="15"/>
      <c r="GOD117" s="14"/>
      <c r="GOE117" s="15"/>
      <c r="GOF117" s="15"/>
      <c r="GOG117" s="15"/>
      <c r="GOH117" s="15"/>
      <c r="GOI117" s="15"/>
      <c r="GOJ117" s="15"/>
      <c r="GOK117" s="15"/>
      <c r="GOL117" s="15"/>
      <c r="GOM117" s="15"/>
      <c r="GON117" s="15"/>
      <c r="GOO117" s="15"/>
      <c r="GOP117" s="15"/>
      <c r="GOQ117" s="15"/>
      <c r="GOR117" s="15"/>
      <c r="GOS117" s="15"/>
      <c r="GOT117" s="15"/>
      <c r="GOU117" s="15"/>
      <c r="GOV117" s="15"/>
      <c r="GOW117" s="15"/>
      <c r="GOX117" s="15"/>
      <c r="GOY117" s="15"/>
      <c r="GOZ117" s="14"/>
      <c r="GPA117" s="15"/>
      <c r="GPB117" s="15"/>
      <c r="GPC117" s="15"/>
      <c r="GPD117" s="15"/>
      <c r="GPE117" s="15"/>
      <c r="GPF117" s="15"/>
      <c r="GPG117" s="15"/>
      <c r="GPH117" s="15"/>
      <c r="GPI117" s="15"/>
      <c r="GPJ117" s="15"/>
      <c r="GPK117" s="15"/>
      <c r="GPL117" s="15"/>
      <c r="GPM117" s="15"/>
      <c r="GPN117" s="15"/>
      <c r="GPO117" s="15"/>
      <c r="GPP117" s="15"/>
      <c r="GPQ117" s="15"/>
      <c r="GPR117" s="15"/>
      <c r="GPS117" s="15"/>
      <c r="GPT117" s="15"/>
      <c r="GPU117" s="15"/>
      <c r="GPV117" s="14"/>
      <c r="GPW117" s="15"/>
      <c r="GPX117" s="15"/>
      <c r="GPY117" s="15"/>
      <c r="GPZ117" s="15"/>
      <c r="GQA117" s="15"/>
      <c r="GQB117" s="15"/>
      <c r="GQC117" s="15"/>
      <c r="GQD117" s="15"/>
      <c r="GQE117" s="15"/>
      <c r="GQF117" s="15"/>
      <c r="GQG117" s="15"/>
      <c r="GQH117" s="15"/>
      <c r="GQI117" s="15"/>
      <c r="GQJ117" s="15"/>
      <c r="GQK117" s="15"/>
      <c r="GQL117" s="15"/>
      <c r="GQM117" s="15"/>
      <c r="GQN117" s="15"/>
      <c r="GQO117" s="15"/>
      <c r="GQP117" s="15"/>
      <c r="GQQ117" s="15"/>
      <c r="GQR117" s="14"/>
      <c r="GQS117" s="15"/>
      <c r="GQT117" s="15"/>
      <c r="GQU117" s="15"/>
      <c r="GQV117" s="15"/>
      <c r="GQW117" s="15"/>
      <c r="GQX117" s="15"/>
      <c r="GQY117" s="15"/>
      <c r="GQZ117" s="15"/>
      <c r="GRA117" s="15"/>
      <c r="GRB117" s="15"/>
      <c r="GRC117" s="15"/>
      <c r="GRD117" s="15"/>
      <c r="GRE117" s="15"/>
      <c r="GRF117" s="15"/>
      <c r="GRG117" s="15"/>
      <c r="GRH117" s="15"/>
      <c r="GRI117" s="15"/>
      <c r="GRJ117" s="15"/>
      <c r="GRK117" s="15"/>
      <c r="GRL117" s="15"/>
      <c r="GRM117" s="15"/>
      <c r="GRN117" s="14"/>
      <c r="GRO117" s="15"/>
      <c r="GRP117" s="15"/>
      <c r="GRQ117" s="15"/>
      <c r="GRR117" s="15"/>
      <c r="GRS117" s="15"/>
      <c r="GRT117" s="15"/>
      <c r="GRU117" s="15"/>
      <c r="GRV117" s="15"/>
      <c r="GRW117" s="15"/>
      <c r="GRX117" s="15"/>
      <c r="GRY117" s="15"/>
      <c r="GRZ117" s="15"/>
      <c r="GSA117" s="15"/>
      <c r="GSB117" s="15"/>
      <c r="GSC117" s="15"/>
      <c r="GSD117" s="15"/>
      <c r="GSE117" s="15"/>
      <c r="GSF117" s="15"/>
      <c r="GSG117" s="15"/>
      <c r="GSH117" s="15"/>
      <c r="GSI117" s="15"/>
      <c r="GSJ117" s="14"/>
      <c r="GSK117" s="15"/>
      <c r="GSL117" s="15"/>
      <c r="GSM117" s="15"/>
      <c r="GSN117" s="15"/>
      <c r="GSO117" s="15"/>
      <c r="GSP117" s="15"/>
      <c r="GSQ117" s="15"/>
      <c r="GSR117" s="15"/>
      <c r="GSS117" s="15"/>
      <c r="GST117" s="15"/>
      <c r="GSU117" s="15"/>
      <c r="GSV117" s="15"/>
      <c r="GSW117" s="15"/>
      <c r="GSX117" s="15"/>
      <c r="GSY117" s="15"/>
      <c r="GSZ117" s="15"/>
      <c r="GTA117" s="15"/>
      <c r="GTB117" s="15"/>
      <c r="GTC117" s="15"/>
      <c r="GTD117" s="15"/>
      <c r="GTE117" s="15"/>
      <c r="GTF117" s="14"/>
      <c r="GTG117" s="15"/>
      <c r="GTH117" s="15"/>
      <c r="GTI117" s="15"/>
      <c r="GTJ117" s="15"/>
      <c r="GTK117" s="15"/>
      <c r="GTL117" s="15"/>
      <c r="GTM117" s="15"/>
      <c r="GTN117" s="15"/>
      <c r="GTO117" s="15"/>
      <c r="GTP117" s="15"/>
      <c r="GTQ117" s="15"/>
      <c r="GTR117" s="15"/>
      <c r="GTS117" s="15"/>
      <c r="GTT117" s="15"/>
      <c r="GTU117" s="15"/>
      <c r="GTV117" s="15"/>
      <c r="GTW117" s="15"/>
      <c r="GTX117" s="15"/>
      <c r="GTY117" s="15"/>
      <c r="GTZ117" s="15"/>
      <c r="GUA117" s="15"/>
      <c r="GUB117" s="14"/>
      <c r="GUC117" s="15"/>
      <c r="GUD117" s="15"/>
      <c r="GUE117" s="15"/>
      <c r="GUF117" s="15"/>
      <c r="GUG117" s="15"/>
      <c r="GUH117" s="15"/>
      <c r="GUI117" s="15"/>
      <c r="GUJ117" s="15"/>
      <c r="GUK117" s="15"/>
      <c r="GUL117" s="15"/>
      <c r="GUM117" s="15"/>
      <c r="GUN117" s="15"/>
      <c r="GUO117" s="15"/>
      <c r="GUP117" s="15"/>
      <c r="GUQ117" s="15"/>
      <c r="GUR117" s="15"/>
      <c r="GUS117" s="15"/>
      <c r="GUT117" s="15"/>
      <c r="GUU117" s="15"/>
      <c r="GUV117" s="15"/>
      <c r="GUW117" s="15"/>
      <c r="GUX117" s="14"/>
      <c r="GUY117" s="15"/>
      <c r="GUZ117" s="15"/>
      <c r="GVA117" s="15"/>
      <c r="GVB117" s="15"/>
      <c r="GVC117" s="15"/>
      <c r="GVD117" s="15"/>
      <c r="GVE117" s="15"/>
      <c r="GVF117" s="15"/>
      <c r="GVG117" s="15"/>
      <c r="GVH117" s="15"/>
      <c r="GVI117" s="15"/>
      <c r="GVJ117" s="15"/>
      <c r="GVK117" s="15"/>
      <c r="GVL117" s="15"/>
      <c r="GVM117" s="15"/>
      <c r="GVN117" s="15"/>
      <c r="GVO117" s="15"/>
      <c r="GVP117" s="15"/>
      <c r="GVQ117" s="15"/>
      <c r="GVR117" s="15"/>
      <c r="GVS117" s="15"/>
      <c r="GVT117" s="14"/>
      <c r="GVU117" s="15"/>
      <c r="GVV117" s="15"/>
      <c r="GVW117" s="15"/>
      <c r="GVX117" s="15"/>
      <c r="GVY117" s="15"/>
      <c r="GVZ117" s="15"/>
      <c r="GWA117" s="15"/>
      <c r="GWB117" s="15"/>
      <c r="GWC117" s="15"/>
      <c r="GWD117" s="15"/>
      <c r="GWE117" s="15"/>
      <c r="GWF117" s="15"/>
      <c r="GWG117" s="15"/>
      <c r="GWH117" s="15"/>
      <c r="GWI117" s="15"/>
      <c r="GWJ117" s="15"/>
      <c r="GWK117" s="15"/>
      <c r="GWL117" s="15"/>
      <c r="GWM117" s="15"/>
      <c r="GWN117" s="15"/>
      <c r="GWO117" s="15"/>
      <c r="GWP117" s="14"/>
      <c r="GWQ117" s="15"/>
      <c r="GWR117" s="15"/>
      <c r="GWS117" s="15"/>
      <c r="GWT117" s="15"/>
      <c r="GWU117" s="15"/>
      <c r="GWV117" s="15"/>
      <c r="GWW117" s="15"/>
      <c r="GWX117" s="15"/>
      <c r="GWY117" s="15"/>
      <c r="GWZ117" s="15"/>
      <c r="GXA117" s="15"/>
      <c r="GXB117" s="15"/>
      <c r="GXC117" s="15"/>
      <c r="GXD117" s="15"/>
      <c r="GXE117" s="15"/>
      <c r="GXF117" s="15"/>
      <c r="GXG117" s="15"/>
      <c r="GXH117" s="15"/>
      <c r="GXI117" s="15"/>
      <c r="GXJ117" s="15"/>
      <c r="GXK117" s="15"/>
      <c r="GXL117" s="14"/>
      <c r="GXM117" s="15"/>
      <c r="GXN117" s="15"/>
      <c r="GXO117" s="15"/>
      <c r="GXP117" s="15"/>
      <c r="GXQ117" s="15"/>
      <c r="GXR117" s="15"/>
      <c r="GXS117" s="15"/>
      <c r="GXT117" s="15"/>
      <c r="GXU117" s="15"/>
      <c r="GXV117" s="15"/>
      <c r="GXW117" s="15"/>
      <c r="GXX117" s="15"/>
      <c r="GXY117" s="15"/>
      <c r="GXZ117" s="15"/>
      <c r="GYA117" s="15"/>
      <c r="GYB117" s="15"/>
      <c r="GYC117" s="15"/>
      <c r="GYD117" s="15"/>
      <c r="GYE117" s="15"/>
      <c r="GYF117" s="15"/>
      <c r="GYG117" s="15"/>
      <c r="GYH117" s="14"/>
      <c r="GYI117" s="15"/>
      <c r="GYJ117" s="15"/>
      <c r="GYK117" s="15"/>
      <c r="GYL117" s="15"/>
      <c r="GYM117" s="15"/>
      <c r="GYN117" s="15"/>
      <c r="GYO117" s="15"/>
      <c r="GYP117" s="15"/>
      <c r="GYQ117" s="15"/>
      <c r="GYR117" s="15"/>
      <c r="GYS117" s="15"/>
      <c r="GYT117" s="15"/>
      <c r="GYU117" s="15"/>
      <c r="GYV117" s="15"/>
      <c r="GYW117" s="15"/>
      <c r="GYX117" s="15"/>
      <c r="GYY117" s="15"/>
      <c r="GYZ117" s="15"/>
      <c r="GZA117" s="15"/>
      <c r="GZB117" s="15"/>
      <c r="GZC117" s="15"/>
      <c r="GZD117" s="14"/>
      <c r="GZE117" s="15"/>
      <c r="GZF117" s="15"/>
      <c r="GZG117" s="15"/>
      <c r="GZH117" s="15"/>
      <c r="GZI117" s="15"/>
      <c r="GZJ117" s="15"/>
      <c r="GZK117" s="15"/>
      <c r="GZL117" s="15"/>
      <c r="GZM117" s="15"/>
      <c r="GZN117" s="15"/>
      <c r="GZO117" s="15"/>
      <c r="GZP117" s="15"/>
      <c r="GZQ117" s="15"/>
      <c r="GZR117" s="15"/>
      <c r="GZS117" s="15"/>
      <c r="GZT117" s="15"/>
      <c r="GZU117" s="15"/>
      <c r="GZV117" s="15"/>
      <c r="GZW117" s="15"/>
      <c r="GZX117" s="15"/>
      <c r="GZY117" s="15"/>
      <c r="GZZ117" s="14"/>
      <c r="HAA117" s="15"/>
      <c r="HAB117" s="15"/>
      <c r="HAC117" s="15"/>
      <c r="HAD117" s="15"/>
      <c r="HAE117" s="15"/>
      <c r="HAF117" s="15"/>
      <c r="HAG117" s="15"/>
      <c r="HAH117" s="15"/>
      <c r="HAI117" s="15"/>
      <c r="HAJ117" s="15"/>
      <c r="HAK117" s="15"/>
      <c r="HAL117" s="15"/>
      <c r="HAM117" s="15"/>
      <c r="HAN117" s="15"/>
      <c r="HAO117" s="15"/>
      <c r="HAP117" s="15"/>
      <c r="HAQ117" s="15"/>
      <c r="HAR117" s="15"/>
      <c r="HAS117" s="15"/>
      <c r="HAT117" s="15"/>
      <c r="HAU117" s="15"/>
      <c r="HAV117" s="14"/>
      <c r="HAW117" s="15"/>
      <c r="HAX117" s="15"/>
      <c r="HAY117" s="15"/>
      <c r="HAZ117" s="15"/>
      <c r="HBA117" s="15"/>
      <c r="HBB117" s="15"/>
      <c r="HBC117" s="15"/>
      <c r="HBD117" s="15"/>
      <c r="HBE117" s="15"/>
      <c r="HBF117" s="15"/>
      <c r="HBG117" s="15"/>
      <c r="HBH117" s="15"/>
      <c r="HBI117" s="15"/>
      <c r="HBJ117" s="15"/>
      <c r="HBK117" s="15"/>
      <c r="HBL117" s="15"/>
      <c r="HBM117" s="15"/>
      <c r="HBN117" s="15"/>
      <c r="HBO117" s="15"/>
      <c r="HBP117" s="15"/>
      <c r="HBQ117" s="15"/>
      <c r="HBR117" s="14"/>
      <c r="HBS117" s="15"/>
      <c r="HBT117" s="15"/>
      <c r="HBU117" s="15"/>
      <c r="HBV117" s="15"/>
      <c r="HBW117" s="15"/>
      <c r="HBX117" s="15"/>
      <c r="HBY117" s="15"/>
      <c r="HBZ117" s="15"/>
      <c r="HCA117" s="15"/>
      <c r="HCB117" s="15"/>
      <c r="HCC117" s="15"/>
      <c r="HCD117" s="15"/>
      <c r="HCE117" s="15"/>
      <c r="HCF117" s="15"/>
      <c r="HCG117" s="15"/>
      <c r="HCH117" s="15"/>
      <c r="HCI117" s="15"/>
      <c r="HCJ117" s="15"/>
      <c r="HCK117" s="15"/>
      <c r="HCL117" s="15"/>
      <c r="HCM117" s="15"/>
      <c r="HCN117" s="14"/>
      <c r="HCO117" s="15"/>
      <c r="HCP117" s="15"/>
      <c r="HCQ117" s="15"/>
      <c r="HCR117" s="15"/>
      <c r="HCS117" s="15"/>
      <c r="HCT117" s="15"/>
      <c r="HCU117" s="15"/>
      <c r="HCV117" s="15"/>
      <c r="HCW117" s="15"/>
      <c r="HCX117" s="15"/>
      <c r="HCY117" s="15"/>
      <c r="HCZ117" s="15"/>
      <c r="HDA117" s="15"/>
      <c r="HDB117" s="15"/>
      <c r="HDC117" s="15"/>
      <c r="HDD117" s="15"/>
      <c r="HDE117" s="15"/>
      <c r="HDF117" s="15"/>
      <c r="HDG117" s="15"/>
      <c r="HDH117" s="15"/>
      <c r="HDI117" s="15"/>
      <c r="HDJ117" s="14"/>
      <c r="HDK117" s="15"/>
      <c r="HDL117" s="15"/>
      <c r="HDM117" s="15"/>
      <c r="HDN117" s="15"/>
      <c r="HDO117" s="15"/>
      <c r="HDP117" s="15"/>
      <c r="HDQ117" s="15"/>
      <c r="HDR117" s="15"/>
      <c r="HDS117" s="15"/>
      <c r="HDT117" s="15"/>
      <c r="HDU117" s="15"/>
      <c r="HDV117" s="15"/>
      <c r="HDW117" s="15"/>
      <c r="HDX117" s="15"/>
      <c r="HDY117" s="15"/>
      <c r="HDZ117" s="15"/>
      <c r="HEA117" s="15"/>
      <c r="HEB117" s="15"/>
      <c r="HEC117" s="15"/>
      <c r="HED117" s="15"/>
      <c r="HEE117" s="15"/>
      <c r="HEF117" s="14"/>
      <c r="HEG117" s="15"/>
      <c r="HEH117" s="15"/>
      <c r="HEI117" s="15"/>
      <c r="HEJ117" s="15"/>
      <c r="HEK117" s="15"/>
      <c r="HEL117" s="15"/>
      <c r="HEM117" s="15"/>
      <c r="HEN117" s="15"/>
      <c r="HEO117" s="15"/>
      <c r="HEP117" s="15"/>
      <c r="HEQ117" s="15"/>
      <c r="HER117" s="15"/>
      <c r="HES117" s="15"/>
      <c r="HET117" s="15"/>
      <c r="HEU117" s="15"/>
      <c r="HEV117" s="15"/>
      <c r="HEW117" s="15"/>
      <c r="HEX117" s="15"/>
      <c r="HEY117" s="15"/>
      <c r="HEZ117" s="15"/>
      <c r="HFA117" s="15"/>
      <c r="HFB117" s="14"/>
      <c r="HFC117" s="15"/>
      <c r="HFD117" s="15"/>
      <c r="HFE117" s="15"/>
      <c r="HFF117" s="15"/>
      <c r="HFG117" s="15"/>
      <c r="HFH117" s="15"/>
      <c r="HFI117" s="15"/>
      <c r="HFJ117" s="15"/>
      <c r="HFK117" s="15"/>
      <c r="HFL117" s="15"/>
      <c r="HFM117" s="15"/>
      <c r="HFN117" s="15"/>
      <c r="HFO117" s="15"/>
      <c r="HFP117" s="15"/>
      <c r="HFQ117" s="15"/>
      <c r="HFR117" s="15"/>
      <c r="HFS117" s="15"/>
      <c r="HFT117" s="15"/>
      <c r="HFU117" s="15"/>
      <c r="HFV117" s="15"/>
      <c r="HFW117" s="15"/>
      <c r="HFX117" s="14"/>
      <c r="HFY117" s="15"/>
      <c r="HFZ117" s="15"/>
      <c r="HGA117" s="15"/>
      <c r="HGB117" s="15"/>
      <c r="HGC117" s="15"/>
      <c r="HGD117" s="15"/>
      <c r="HGE117" s="15"/>
      <c r="HGF117" s="15"/>
      <c r="HGG117" s="15"/>
      <c r="HGH117" s="15"/>
      <c r="HGI117" s="15"/>
      <c r="HGJ117" s="15"/>
      <c r="HGK117" s="15"/>
      <c r="HGL117" s="15"/>
      <c r="HGM117" s="15"/>
      <c r="HGN117" s="15"/>
      <c r="HGO117" s="15"/>
      <c r="HGP117" s="15"/>
      <c r="HGQ117" s="15"/>
      <c r="HGR117" s="15"/>
      <c r="HGS117" s="15"/>
      <c r="HGT117" s="14"/>
      <c r="HGU117" s="15"/>
      <c r="HGV117" s="15"/>
      <c r="HGW117" s="15"/>
      <c r="HGX117" s="15"/>
      <c r="HGY117" s="15"/>
      <c r="HGZ117" s="15"/>
      <c r="HHA117" s="15"/>
      <c r="HHB117" s="15"/>
      <c r="HHC117" s="15"/>
      <c r="HHD117" s="15"/>
      <c r="HHE117" s="15"/>
      <c r="HHF117" s="15"/>
      <c r="HHG117" s="15"/>
      <c r="HHH117" s="15"/>
      <c r="HHI117" s="15"/>
      <c r="HHJ117" s="15"/>
      <c r="HHK117" s="15"/>
      <c r="HHL117" s="15"/>
      <c r="HHM117" s="15"/>
      <c r="HHN117" s="15"/>
      <c r="HHO117" s="15"/>
      <c r="HHP117" s="14"/>
      <c r="HHQ117" s="15"/>
      <c r="HHR117" s="15"/>
      <c r="HHS117" s="15"/>
      <c r="HHT117" s="15"/>
      <c r="HHU117" s="15"/>
      <c r="HHV117" s="15"/>
      <c r="HHW117" s="15"/>
      <c r="HHX117" s="15"/>
      <c r="HHY117" s="15"/>
      <c r="HHZ117" s="15"/>
      <c r="HIA117" s="15"/>
      <c r="HIB117" s="15"/>
      <c r="HIC117" s="15"/>
      <c r="HID117" s="15"/>
      <c r="HIE117" s="15"/>
      <c r="HIF117" s="15"/>
      <c r="HIG117" s="15"/>
      <c r="HIH117" s="15"/>
      <c r="HII117" s="15"/>
      <c r="HIJ117" s="15"/>
      <c r="HIK117" s="15"/>
      <c r="HIL117" s="14"/>
      <c r="HIM117" s="15"/>
      <c r="HIN117" s="15"/>
      <c r="HIO117" s="15"/>
      <c r="HIP117" s="15"/>
      <c r="HIQ117" s="15"/>
      <c r="HIR117" s="15"/>
      <c r="HIS117" s="15"/>
      <c r="HIT117" s="15"/>
      <c r="HIU117" s="15"/>
      <c r="HIV117" s="15"/>
      <c r="HIW117" s="15"/>
      <c r="HIX117" s="15"/>
      <c r="HIY117" s="15"/>
      <c r="HIZ117" s="15"/>
      <c r="HJA117" s="15"/>
      <c r="HJB117" s="15"/>
      <c r="HJC117" s="15"/>
      <c r="HJD117" s="15"/>
      <c r="HJE117" s="15"/>
      <c r="HJF117" s="15"/>
      <c r="HJG117" s="15"/>
      <c r="HJH117" s="14"/>
      <c r="HJI117" s="15"/>
      <c r="HJJ117" s="15"/>
      <c r="HJK117" s="15"/>
      <c r="HJL117" s="15"/>
      <c r="HJM117" s="15"/>
      <c r="HJN117" s="15"/>
      <c r="HJO117" s="15"/>
      <c r="HJP117" s="15"/>
      <c r="HJQ117" s="15"/>
      <c r="HJR117" s="15"/>
      <c r="HJS117" s="15"/>
      <c r="HJT117" s="15"/>
      <c r="HJU117" s="15"/>
      <c r="HJV117" s="15"/>
      <c r="HJW117" s="15"/>
      <c r="HJX117" s="15"/>
      <c r="HJY117" s="15"/>
      <c r="HJZ117" s="15"/>
      <c r="HKA117" s="15"/>
      <c r="HKB117" s="15"/>
      <c r="HKC117" s="15"/>
      <c r="HKD117" s="14"/>
      <c r="HKE117" s="15"/>
      <c r="HKF117" s="15"/>
      <c r="HKG117" s="15"/>
      <c r="HKH117" s="15"/>
      <c r="HKI117" s="15"/>
      <c r="HKJ117" s="15"/>
      <c r="HKK117" s="15"/>
      <c r="HKL117" s="15"/>
      <c r="HKM117" s="15"/>
      <c r="HKN117" s="15"/>
      <c r="HKO117" s="15"/>
      <c r="HKP117" s="15"/>
      <c r="HKQ117" s="15"/>
      <c r="HKR117" s="15"/>
      <c r="HKS117" s="15"/>
      <c r="HKT117" s="15"/>
      <c r="HKU117" s="15"/>
      <c r="HKV117" s="15"/>
      <c r="HKW117" s="15"/>
      <c r="HKX117" s="15"/>
      <c r="HKY117" s="15"/>
      <c r="HKZ117" s="14"/>
      <c r="HLA117" s="15"/>
      <c r="HLB117" s="15"/>
      <c r="HLC117" s="15"/>
      <c r="HLD117" s="15"/>
      <c r="HLE117" s="15"/>
      <c r="HLF117" s="15"/>
      <c r="HLG117" s="15"/>
      <c r="HLH117" s="15"/>
      <c r="HLI117" s="15"/>
      <c r="HLJ117" s="15"/>
      <c r="HLK117" s="15"/>
      <c r="HLL117" s="15"/>
      <c r="HLM117" s="15"/>
      <c r="HLN117" s="15"/>
      <c r="HLO117" s="15"/>
      <c r="HLP117" s="15"/>
      <c r="HLQ117" s="15"/>
      <c r="HLR117" s="15"/>
      <c r="HLS117" s="15"/>
      <c r="HLT117" s="15"/>
      <c r="HLU117" s="15"/>
      <c r="HLV117" s="14"/>
      <c r="HLW117" s="15"/>
      <c r="HLX117" s="15"/>
      <c r="HLY117" s="15"/>
      <c r="HLZ117" s="15"/>
      <c r="HMA117" s="15"/>
      <c r="HMB117" s="15"/>
      <c r="HMC117" s="15"/>
      <c r="HMD117" s="15"/>
      <c r="HME117" s="15"/>
      <c r="HMF117" s="15"/>
      <c r="HMG117" s="15"/>
      <c r="HMH117" s="15"/>
      <c r="HMI117" s="15"/>
      <c r="HMJ117" s="15"/>
      <c r="HMK117" s="15"/>
      <c r="HML117" s="15"/>
      <c r="HMM117" s="15"/>
      <c r="HMN117" s="15"/>
      <c r="HMO117" s="15"/>
      <c r="HMP117" s="15"/>
      <c r="HMQ117" s="15"/>
      <c r="HMR117" s="14"/>
      <c r="HMS117" s="15"/>
      <c r="HMT117" s="15"/>
      <c r="HMU117" s="15"/>
      <c r="HMV117" s="15"/>
      <c r="HMW117" s="15"/>
      <c r="HMX117" s="15"/>
      <c r="HMY117" s="15"/>
      <c r="HMZ117" s="15"/>
      <c r="HNA117" s="15"/>
      <c r="HNB117" s="15"/>
      <c r="HNC117" s="15"/>
      <c r="HND117" s="15"/>
      <c r="HNE117" s="15"/>
      <c r="HNF117" s="15"/>
      <c r="HNG117" s="15"/>
      <c r="HNH117" s="15"/>
      <c r="HNI117" s="15"/>
      <c r="HNJ117" s="15"/>
      <c r="HNK117" s="15"/>
      <c r="HNL117" s="15"/>
      <c r="HNM117" s="15"/>
      <c r="HNN117" s="14"/>
      <c r="HNO117" s="15"/>
      <c r="HNP117" s="15"/>
      <c r="HNQ117" s="15"/>
      <c r="HNR117" s="15"/>
      <c r="HNS117" s="15"/>
      <c r="HNT117" s="15"/>
      <c r="HNU117" s="15"/>
      <c r="HNV117" s="15"/>
      <c r="HNW117" s="15"/>
      <c r="HNX117" s="15"/>
      <c r="HNY117" s="15"/>
      <c r="HNZ117" s="15"/>
      <c r="HOA117" s="15"/>
      <c r="HOB117" s="15"/>
      <c r="HOC117" s="15"/>
      <c r="HOD117" s="15"/>
      <c r="HOE117" s="15"/>
      <c r="HOF117" s="15"/>
      <c r="HOG117" s="15"/>
      <c r="HOH117" s="15"/>
      <c r="HOI117" s="15"/>
      <c r="HOJ117" s="14"/>
      <c r="HOK117" s="15"/>
      <c r="HOL117" s="15"/>
      <c r="HOM117" s="15"/>
      <c r="HON117" s="15"/>
      <c r="HOO117" s="15"/>
      <c r="HOP117" s="15"/>
      <c r="HOQ117" s="15"/>
      <c r="HOR117" s="15"/>
      <c r="HOS117" s="15"/>
      <c r="HOT117" s="15"/>
      <c r="HOU117" s="15"/>
      <c r="HOV117" s="15"/>
      <c r="HOW117" s="15"/>
      <c r="HOX117" s="15"/>
      <c r="HOY117" s="15"/>
      <c r="HOZ117" s="15"/>
      <c r="HPA117" s="15"/>
      <c r="HPB117" s="15"/>
      <c r="HPC117" s="15"/>
      <c r="HPD117" s="15"/>
      <c r="HPE117" s="15"/>
      <c r="HPF117" s="14"/>
      <c r="HPG117" s="15"/>
      <c r="HPH117" s="15"/>
      <c r="HPI117" s="15"/>
      <c r="HPJ117" s="15"/>
      <c r="HPK117" s="15"/>
      <c r="HPL117" s="15"/>
      <c r="HPM117" s="15"/>
      <c r="HPN117" s="15"/>
      <c r="HPO117" s="15"/>
      <c r="HPP117" s="15"/>
      <c r="HPQ117" s="15"/>
      <c r="HPR117" s="15"/>
      <c r="HPS117" s="15"/>
      <c r="HPT117" s="15"/>
      <c r="HPU117" s="15"/>
      <c r="HPV117" s="15"/>
      <c r="HPW117" s="15"/>
      <c r="HPX117" s="15"/>
      <c r="HPY117" s="15"/>
      <c r="HPZ117" s="15"/>
      <c r="HQA117" s="15"/>
      <c r="HQB117" s="14"/>
      <c r="HQC117" s="15"/>
      <c r="HQD117" s="15"/>
      <c r="HQE117" s="15"/>
      <c r="HQF117" s="15"/>
      <c r="HQG117" s="15"/>
      <c r="HQH117" s="15"/>
      <c r="HQI117" s="15"/>
      <c r="HQJ117" s="15"/>
      <c r="HQK117" s="15"/>
      <c r="HQL117" s="15"/>
      <c r="HQM117" s="15"/>
      <c r="HQN117" s="15"/>
      <c r="HQO117" s="15"/>
      <c r="HQP117" s="15"/>
      <c r="HQQ117" s="15"/>
      <c r="HQR117" s="15"/>
      <c r="HQS117" s="15"/>
      <c r="HQT117" s="15"/>
      <c r="HQU117" s="15"/>
      <c r="HQV117" s="15"/>
      <c r="HQW117" s="15"/>
      <c r="HQX117" s="14"/>
      <c r="HQY117" s="15"/>
      <c r="HQZ117" s="15"/>
      <c r="HRA117" s="15"/>
      <c r="HRB117" s="15"/>
      <c r="HRC117" s="15"/>
      <c r="HRD117" s="15"/>
      <c r="HRE117" s="15"/>
      <c r="HRF117" s="15"/>
      <c r="HRG117" s="15"/>
      <c r="HRH117" s="15"/>
      <c r="HRI117" s="15"/>
      <c r="HRJ117" s="15"/>
      <c r="HRK117" s="15"/>
      <c r="HRL117" s="15"/>
      <c r="HRM117" s="15"/>
      <c r="HRN117" s="15"/>
      <c r="HRO117" s="15"/>
      <c r="HRP117" s="15"/>
      <c r="HRQ117" s="15"/>
      <c r="HRR117" s="15"/>
      <c r="HRS117" s="15"/>
      <c r="HRT117" s="14"/>
      <c r="HRU117" s="15"/>
      <c r="HRV117" s="15"/>
      <c r="HRW117" s="15"/>
      <c r="HRX117" s="15"/>
      <c r="HRY117" s="15"/>
      <c r="HRZ117" s="15"/>
      <c r="HSA117" s="15"/>
      <c r="HSB117" s="15"/>
      <c r="HSC117" s="15"/>
      <c r="HSD117" s="15"/>
      <c r="HSE117" s="15"/>
      <c r="HSF117" s="15"/>
      <c r="HSG117" s="15"/>
      <c r="HSH117" s="15"/>
      <c r="HSI117" s="15"/>
      <c r="HSJ117" s="15"/>
      <c r="HSK117" s="15"/>
      <c r="HSL117" s="15"/>
      <c r="HSM117" s="15"/>
      <c r="HSN117" s="15"/>
      <c r="HSO117" s="15"/>
      <c r="HSP117" s="14"/>
      <c r="HSQ117" s="15"/>
      <c r="HSR117" s="15"/>
      <c r="HSS117" s="15"/>
      <c r="HST117" s="15"/>
      <c r="HSU117" s="15"/>
      <c r="HSV117" s="15"/>
      <c r="HSW117" s="15"/>
      <c r="HSX117" s="15"/>
      <c r="HSY117" s="15"/>
      <c r="HSZ117" s="15"/>
      <c r="HTA117" s="15"/>
      <c r="HTB117" s="15"/>
      <c r="HTC117" s="15"/>
      <c r="HTD117" s="15"/>
      <c r="HTE117" s="15"/>
      <c r="HTF117" s="15"/>
      <c r="HTG117" s="15"/>
      <c r="HTH117" s="15"/>
      <c r="HTI117" s="15"/>
      <c r="HTJ117" s="15"/>
      <c r="HTK117" s="15"/>
      <c r="HTL117" s="14"/>
      <c r="HTM117" s="15"/>
      <c r="HTN117" s="15"/>
      <c r="HTO117" s="15"/>
      <c r="HTP117" s="15"/>
      <c r="HTQ117" s="15"/>
      <c r="HTR117" s="15"/>
      <c r="HTS117" s="15"/>
      <c r="HTT117" s="15"/>
      <c r="HTU117" s="15"/>
      <c r="HTV117" s="15"/>
      <c r="HTW117" s="15"/>
      <c r="HTX117" s="15"/>
      <c r="HTY117" s="15"/>
      <c r="HTZ117" s="15"/>
      <c r="HUA117" s="15"/>
      <c r="HUB117" s="15"/>
      <c r="HUC117" s="15"/>
      <c r="HUD117" s="15"/>
      <c r="HUE117" s="15"/>
      <c r="HUF117" s="15"/>
      <c r="HUG117" s="15"/>
      <c r="HUH117" s="14"/>
      <c r="HUI117" s="15"/>
      <c r="HUJ117" s="15"/>
      <c r="HUK117" s="15"/>
      <c r="HUL117" s="15"/>
      <c r="HUM117" s="15"/>
      <c r="HUN117" s="15"/>
      <c r="HUO117" s="15"/>
      <c r="HUP117" s="15"/>
      <c r="HUQ117" s="15"/>
      <c r="HUR117" s="15"/>
      <c r="HUS117" s="15"/>
      <c r="HUT117" s="15"/>
      <c r="HUU117" s="15"/>
      <c r="HUV117" s="15"/>
      <c r="HUW117" s="15"/>
      <c r="HUX117" s="15"/>
      <c r="HUY117" s="15"/>
      <c r="HUZ117" s="15"/>
      <c r="HVA117" s="15"/>
      <c r="HVB117" s="15"/>
      <c r="HVC117" s="15"/>
      <c r="HVD117" s="14"/>
      <c r="HVE117" s="15"/>
      <c r="HVF117" s="15"/>
      <c r="HVG117" s="15"/>
      <c r="HVH117" s="15"/>
      <c r="HVI117" s="15"/>
      <c r="HVJ117" s="15"/>
      <c r="HVK117" s="15"/>
      <c r="HVL117" s="15"/>
      <c r="HVM117" s="15"/>
      <c r="HVN117" s="15"/>
      <c r="HVO117" s="15"/>
      <c r="HVP117" s="15"/>
      <c r="HVQ117" s="15"/>
      <c r="HVR117" s="15"/>
      <c r="HVS117" s="15"/>
      <c r="HVT117" s="15"/>
      <c r="HVU117" s="15"/>
      <c r="HVV117" s="15"/>
      <c r="HVW117" s="15"/>
      <c r="HVX117" s="15"/>
      <c r="HVY117" s="15"/>
      <c r="HVZ117" s="14"/>
      <c r="HWA117" s="15"/>
      <c r="HWB117" s="15"/>
      <c r="HWC117" s="15"/>
      <c r="HWD117" s="15"/>
      <c r="HWE117" s="15"/>
      <c r="HWF117" s="15"/>
      <c r="HWG117" s="15"/>
      <c r="HWH117" s="15"/>
      <c r="HWI117" s="15"/>
      <c r="HWJ117" s="15"/>
      <c r="HWK117" s="15"/>
      <c r="HWL117" s="15"/>
      <c r="HWM117" s="15"/>
      <c r="HWN117" s="15"/>
      <c r="HWO117" s="15"/>
      <c r="HWP117" s="15"/>
      <c r="HWQ117" s="15"/>
      <c r="HWR117" s="15"/>
      <c r="HWS117" s="15"/>
      <c r="HWT117" s="15"/>
      <c r="HWU117" s="15"/>
      <c r="HWV117" s="14"/>
      <c r="HWW117" s="15"/>
      <c r="HWX117" s="15"/>
      <c r="HWY117" s="15"/>
      <c r="HWZ117" s="15"/>
      <c r="HXA117" s="15"/>
      <c r="HXB117" s="15"/>
      <c r="HXC117" s="15"/>
      <c r="HXD117" s="15"/>
      <c r="HXE117" s="15"/>
      <c r="HXF117" s="15"/>
      <c r="HXG117" s="15"/>
      <c r="HXH117" s="15"/>
      <c r="HXI117" s="15"/>
      <c r="HXJ117" s="15"/>
      <c r="HXK117" s="15"/>
      <c r="HXL117" s="15"/>
      <c r="HXM117" s="15"/>
      <c r="HXN117" s="15"/>
      <c r="HXO117" s="15"/>
      <c r="HXP117" s="15"/>
      <c r="HXQ117" s="15"/>
      <c r="HXR117" s="14"/>
      <c r="HXS117" s="15"/>
      <c r="HXT117" s="15"/>
      <c r="HXU117" s="15"/>
      <c r="HXV117" s="15"/>
      <c r="HXW117" s="15"/>
      <c r="HXX117" s="15"/>
      <c r="HXY117" s="15"/>
      <c r="HXZ117" s="15"/>
      <c r="HYA117" s="15"/>
      <c r="HYB117" s="15"/>
      <c r="HYC117" s="15"/>
      <c r="HYD117" s="15"/>
      <c r="HYE117" s="15"/>
      <c r="HYF117" s="15"/>
      <c r="HYG117" s="15"/>
      <c r="HYH117" s="15"/>
      <c r="HYI117" s="15"/>
      <c r="HYJ117" s="15"/>
      <c r="HYK117" s="15"/>
      <c r="HYL117" s="15"/>
      <c r="HYM117" s="15"/>
      <c r="HYN117" s="14"/>
      <c r="HYO117" s="15"/>
      <c r="HYP117" s="15"/>
      <c r="HYQ117" s="15"/>
      <c r="HYR117" s="15"/>
      <c r="HYS117" s="15"/>
      <c r="HYT117" s="15"/>
      <c r="HYU117" s="15"/>
      <c r="HYV117" s="15"/>
      <c r="HYW117" s="15"/>
      <c r="HYX117" s="15"/>
      <c r="HYY117" s="15"/>
      <c r="HYZ117" s="15"/>
      <c r="HZA117" s="15"/>
      <c r="HZB117" s="15"/>
      <c r="HZC117" s="15"/>
      <c r="HZD117" s="15"/>
      <c r="HZE117" s="15"/>
      <c r="HZF117" s="15"/>
      <c r="HZG117" s="15"/>
      <c r="HZH117" s="15"/>
      <c r="HZI117" s="15"/>
      <c r="HZJ117" s="14"/>
      <c r="HZK117" s="15"/>
      <c r="HZL117" s="15"/>
      <c r="HZM117" s="15"/>
      <c r="HZN117" s="15"/>
      <c r="HZO117" s="15"/>
      <c r="HZP117" s="15"/>
      <c r="HZQ117" s="15"/>
      <c r="HZR117" s="15"/>
      <c r="HZS117" s="15"/>
      <c r="HZT117" s="15"/>
      <c r="HZU117" s="15"/>
      <c r="HZV117" s="15"/>
      <c r="HZW117" s="15"/>
      <c r="HZX117" s="15"/>
      <c r="HZY117" s="15"/>
      <c r="HZZ117" s="15"/>
      <c r="IAA117" s="15"/>
      <c r="IAB117" s="15"/>
      <c r="IAC117" s="15"/>
      <c r="IAD117" s="15"/>
      <c r="IAE117" s="15"/>
      <c r="IAF117" s="14"/>
      <c r="IAG117" s="15"/>
      <c r="IAH117" s="15"/>
      <c r="IAI117" s="15"/>
      <c r="IAJ117" s="15"/>
      <c r="IAK117" s="15"/>
      <c r="IAL117" s="15"/>
      <c r="IAM117" s="15"/>
      <c r="IAN117" s="15"/>
      <c r="IAO117" s="15"/>
      <c r="IAP117" s="15"/>
      <c r="IAQ117" s="15"/>
      <c r="IAR117" s="15"/>
      <c r="IAS117" s="15"/>
      <c r="IAT117" s="15"/>
      <c r="IAU117" s="15"/>
      <c r="IAV117" s="15"/>
      <c r="IAW117" s="15"/>
      <c r="IAX117" s="15"/>
      <c r="IAY117" s="15"/>
      <c r="IAZ117" s="15"/>
      <c r="IBA117" s="15"/>
      <c r="IBB117" s="14"/>
      <c r="IBC117" s="15"/>
      <c r="IBD117" s="15"/>
      <c r="IBE117" s="15"/>
      <c r="IBF117" s="15"/>
      <c r="IBG117" s="15"/>
      <c r="IBH117" s="15"/>
      <c r="IBI117" s="15"/>
      <c r="IBJ117" s="15"/>
      <c r="IBK117" s="15"/>
      <c r="IBL117" s="15"/>
      <c r="IBM117" s="15"/>
      <c r="IBN117" s="15"/>
      <c r="IBO117" s="15"/>
      <c r="IBP117" s="15"/>
      <c r="IBQ117" s="15"/>
      <c r="IBR117" s="15"/>
      <c r="IBS117" s="15"/>
      <c r="IBT117" s="15"/>
      <c r="IBU117" s="15"/>
      <c r="IBV117" s="15"/>
      <c r="IBW117" s="15"/>
      <c r="IBX117" s="14"/>
      <c r="IBY117" s="15"/>
      <c r="IBZ117" s="15"/>
      <c r="ICA117" s="15"/>
      <c r="ICB117" s="15"/>
      <c r="ICC117" s="15"/>
      <c r="ICD117" s="15"/>
      <c r="ICE117" s="15"/>
      <c r="ICF117" s="15"/>
      <c r="ICG117" s="15"/>
      <c r="ICH117" s="15"/>
      <c r="ICI117" s="15"/>
      <c r="ICJ117" s="15"/>
      <c r="ICK117" s="15"/>
      <c r="ICL117" s="15"/>
      <c r="ICM117" s="15"/>
      <c r="ICN117" s="15"/>
      <c r="ICO117" s="15"/>
      <c r="ICP117" s="15"/>
      <c r="ICQ117" s="15"/>
      <c r="ICR117" s="15"/>
      <c r="ICS117" s="15"/>
      <c r="ICT117" s="14"/>
      <c r="ICU117" s="15"/>
      <c r="ICV117" s="15"/>
      <c r="ICW117" s="15"/>
      <c r="ICX117" s="15"/>
      <c r="ICY117" s="15"/>
      <c r="ICZ117" s="15"/>
      <c r="IDA117" s="15"/>
      <c r="IDB117" s="15"/>
      <c r="IDC117" s="15"/>
      <c r="IDD117" s="15"/>
      <c r="IDE117" s="15"/>
      <c r="IDF117" s="15"/>
      <c r="IDG117" s="15"/>
      <c r="IDH117" s="15"/>
      <c r="IDI117" s="15"/>
      <c r="IDJ117" s="15"/>
      <c r="IDK117" s="15"/>
      <c r="IDL117" s="15"/>
      <c r="IDM117" s="15"/>
      <c r="IDN117" s="15"/>
      <c r="IDO117" s="15"/>
      <c r="IDP117" s="14"/>
      <c r="IDQ117" s="15"/>
      <c r="IDR117" s="15"/>
      <c r="IDS117" s="15"/>
      <c r="IDT117" s="15"/>
      <c r="IDU117" s="15"/>
      <c r="IDV117" s="15"/>
      <c r="IDW117" s="15"/>
      <c r="IDX117" s="15"/>
      <c r="IDY117" s="15"/>
      <c r="IDZ117" s="15"/>
      <c r="IEA117" s="15"/>
      <c r="IEB117" s="15"/>
      <c r="IEC117" s="15"/>
      <c r="IED117" s="15"/>
      <c r="IEE117" s="15"/>
      <c r="IEF117" s="15"/>
      <c r="IEG117" s="15"/>
      <c r="IEH117" s="15"/>
      <c r="IEI117" s="15"/>
      <c r="IEJ117" s="15"/>
      <c r="IEK117" s="15"/>
      <c r="IEL117" s="14"/>
      <c r="IEM117" s="15"/>
      <c r="IEN117" s="15"/>
      <c r="IEO117" s="15"/>
      <c r="IEP117" s="15"/>
      <c r="IEQ117" s="15"/>
      <c r="IER117" s="15"/>
      <c r="IES117" s="15"/>
      <c r="IET117" s="15"/>
      <c r="IEU117" s="15"/>
      <c r="IEV117" s="15"/>
      <c r="IEW117" s="15"/>
      <c r="IEX117" s="15"/>
      <c r="IEY117" s="15"/>
      <c r="IEZ117" s="15"/>
      <c r="IFA117" s="15"/>
      <c r="IFB117" s="15"/>
      <c r="IFC117" s="15"/>
      <c r="IFD117" s="15"/>
      <c r="IFE117" s="15"/>
      <c r="IFF117" s="15"/>
      <c r="IFG117" s="15"/>
      <c r="IFH117" s="14"/>
      <c r="IFI117" s="15"/>
      <c r="IFJ117" s="15"/>
      <c r="IFK117" s="15"/>
      <c r="IFL117" s="15"/>
      <c r="IFM117" s="15"/>
      <c r="IFN117" s="15"/>
      <c r="IFO117" s="15"/>
      <c r="IFP117" s="15"/>
      <c r="IFQ117" s="15"/>
      <c r="IFR117" s="15"/>
      <c r="IFS117" s="15"/>
      <c r="IFT117" s="15"/>
      <c r="IFU117" s="15"/>
      <c r="IFV117" s="15"/>
      <c r="IFW117" s="15"/>
      <c r="IFX117" s="15"/>
      <c r="IFY117" s="15"/>
      <c r="IFZ117" s="15"/>
      <c r="IGA117" s="15"/>
      <c r="IGB117" s="15"/>
      <c r="IGC117" s="15"/>
      <c r="IGD117" s="14"/>
      <c r="IGE117" s="15"/>
      <c r="IGF117" s="15"/>
      <c r="IGG117" s="15"/>
      <c r="IGH117" s="15"/>
      <c r="IGI117" s="15"/>
      <c r="IGJ117" s="15"/>
      <c r="IGK117" s="15"/>
      <c r="IGL117" s="15"/>
      <c r="IGM117" s="15"/>
      <c r="IGN117" s="15"/>
      <c r="IGO117" s="15"/>
      <c r="IGP117" s="15"/>
      <c r="IGQ117" s="15"/>
      <c r="IGR117" s="15"/>
      <c r="IGS117" s="15"/>
      <c r="IGT117" s="15"/>
      <c r="IGU117" s="15"/>
      <c r="IGV117" s="15"/>
      <c r="IGW117" s="15"/>
      <c r="IGX117" s="15"/>
      <c r="IGY117" s="15"/>
      <c r="IGZ117" s="14"/>
      <c r="IHA117" s="15"/>
      <c r="IHB117" s="15"/>
      <c r="IHC117" s="15"/>
      <c r="IHD117" s="15"/>
      <c r="IHE117" s="15"/>
      <c r="IHF117" s="15"/>
      <c r="IHG117" s="15"/>
      <c r="IHH117" s="15"/>
      <c r="IHI117" s="15"/>
      <c r="IHJ117" s="15"/>
      <c r="IHK117" s="15"/>
      <c r="IHL117" s="15"/>
      <c r="IHM117" s="15"/>
      <c r="IHN117" s="15"/>
      <c r="IHO117" s="15"/>
      <c r="IHP117" s="15"/>
      <c r="IHQ117" s="15"/>
      <c r="IHR117" s="15"/>
      <c r="IHS117" s="15"/>
      <c r="IHT117" s="15"/>
      <c r="IHU117" s="15"/>
      <c r="IHV117" s="14"/>
      <c r="IHW117" s="15"/>
      <c r="IHX117" s="15"/>
      <c r="IHY117" s="15"/>
      <c r="IHZ117" s="15"/>
      <c r="IIA117" s="15"/>
      <c r="IIB117" s="15"/>
      <c r="IIC117" s="15"/>
      <c r="IID117" s="15"/>
      <c r="IIE117" s="15"/>
      <c r="IIF117" s="15"/>
      <c r="IIG117" s="15"/>
      <c r="IIH117" s="15"/>
      <c r="III117" s="15"/>
      <c r="IIJ117" s="15"/>
      <c r="IIK117" s="15"/>
      <c r="IIL117" s="15"/>
      <c r="IIM117" s="15"/>
      <c r="IIN117" s="15"/>
      <c r="IIO117" s="15"/>
      <c r="IIP117" s="15"/>
      <c r="IIQ117" s="15"/>
      <c r="IIR117" s="14"/>
      <c r="IIS117" s="15"/>
      <c r="IIT117" s="15"/>
      <c r="IIU117" s="15"/>
      <c r="IIV117" s="15"/>
      <c r="IIW117" s="15"/>
      <c r="IIX117" s="15"/>
      <c r="IIY117" s="15"/>
      <c r="IIZ117" s="15"/>
      <c r="IJA117" s="15"/>
      <c r="IJB117" s="15"/>
      <c r="IJC117" s="15"/>
      <c r="IJD117" s="15"/>
      <c r="IJE117" s="15"/>
      <c r="IJF117" s="15"/>
      <c r="IJG117" s="15"/>
      <c r="IJH117" s="15"/>
      <c r="IJI117" s="15"/>
      <c r="IJJ117" s="15"/>
      <c r="IJK117" s="15"/>
      <c r="IJL117" s="15"/>
      <c r="IJM117" s="15"/>
      <c r="IJN117" s="14"/>
      <c r="IJO117" s="15"/>
      <c r="IJP117" s="15"/>
      <c r="IJQ117" s="15"/>
      <c r="IJR117" s="15"/>
      <c r="IJS117" s="15"/>
      <c r="IJT117" s="15"/>
      <c r="IJU117" s="15"/>
      <c r="IJV117" s="15"/>
      <c r="IJW117" s="15"/>
      <c r="IJX117" s="15"/>
      <c r="IJY117" s="15"/>
      <c r="IJZ117" s="15"/>
      <c r="IKA117" s="15"/>
      <c r="IKB117" s="15"/>
      <c r="IKC117" s="15"/>
      <c r="IKD117" s="15"/>
      <c r="IKE117" s="15"/>
      <c r="IKF117" s="15"/>
      <c r="IKG117" s="15"/>
      <c r="IKH117" s="15"/>
      <c r="IKI117" s="15"/>
      <c r="IKJ117" s="14"/>
      <c r="IKK117" s="15"/>
      <c r="IKL117" s="15"/>
      <c r="IKM117" s="15"/>
      <c r="IKN117" s="15"/>
      <c r="IKO117" s="15"/>
      <c r="IKP117" s="15"/>
      <c r="IKQ117" s="15"/>
      <c r="IKR117" s="15"/>
      <c r="IKS117" s="15"/>
      <c r="IKT117" s="15"/>
      <c r="IKU117" s="15"/>
      <c r="IKV117" s="15"/>
      <c r="IKW117" s="15"/>
      <c r="IKX117" s="15"/>
      <c r="IKY117" s="15"/>
      <c r="IKZ117" s="15"/>
      <c r="ILA117" s="15"/>
      <c r="ILB117" s="15"/>
      <c r="ILC117" s="15"/>
      <c r="ILD117" s="15"/>
      <c r="ILE117" s="15"/>
      <c r="ILF117" s="14"/>
      <c r="ILG117" s="15"/>
      <c r="ILH117" s="15"/>
      <c r="ILI117" s="15"/>
      <c r="ILJ117" s="15"/>
      <c r="ILK117" s="15"/>
      <c r="ILL117" s="15"/>
      <c r="ILM117" s="15"/>
      <c r="ILN117" s="15"/>
      <c r="ILO117" s="15"/>
      <c r="ILP117" s="15"/>
      <c r="ILQ117" s="15"/>
      <c r="ILR117" s="15"/>
      <c r="ILS117" s="15"/>
      <c r="ILT117" s="15"/>
      <c r="ILU117" s="15"/>
      <c r="ILV117" s="15"/>
      <c r="ILW117" s="15"/>
      <c r="ILX117" s="15"/>
      <c r="ILY117" s="15"/>
      <c r="ILZ117" s="15"/>
      <c r="IMA117" s="15"/>
      <c r="IMB117" s="14"/>
      <c r="IMC117" s="15"/>
      <c r="IMD117" s="15"/>
      <c r="IME117" s="15"/>
      <c r="IMF117" s="15"/>
      <c r="IMG117" s="15"/>
      <c r="IMH117" s="15"/>
      <c r="IMI117" s="15"/>
      <c r="IMJ117" s="15"/>
      <c r="IMK117" s="15"/>
      <c r="IML117" s="15"/>
      <c r="IMM117" s="15"/>
      <c r="IMN117" s="15"/>
      <c r="IMO117" s="15"/>
      <c r="IMP117" s="15"/>
      <c r="IMQ117" s="15"/>
      <c r="IMR117" s="15"/>
      <c r="IMS117" s="15"/>
      <c r="IMT117" s="15"/>
      <c r="IMU117" s="15"/>
      <c r="IMV117" s="15"/>
      <c r="IMW117" s="15"/>
      <c r="IMX117" s="14"/>
      <c r="IMY117" s="15"/>
      <c r="IMZ117" s="15"/>
      <c r="INA117" s="15"/>
      <c r="INB117" s="15"/>
      <c r="INC117" s="15"/>
      <c r="IND117" s="15"/>
      <c r="INE117" s="15"/>
      <c r="INF117" s="15"/>
      <c r="ING117" s="15"/>
      <c r="INH117" s="15"/>
      <c r="INI117" s="15"/>
      <c r="INJ117" s="15"/>
      <c r="INK117" s="15"/>
      <c r="INL117" s="15"/>
      <c r="INM117" s="15"/>
      <c r="INN117" s="15"/>
      <c r="INO117" s="15"/>
      <c r="INP117" s="15"/>
      <c r="INQ117" s="15"/>
      <c r="INR117" s="15"/>
      <c r="INS117" s="15"/>
      <c r="INT117" s="14"/>
      <c r="INU117" s="15"/>
      <c r="INV117" s="15"/>
      <c r="INW117" s="15"/>
      <c r="INX117" s="15"/>
      <c r="INY117" s="15"/>
      <c r="INZ117" s="15"/>
      <c r="IOA117" s="15"/>
      <c r="IOB117" s="15"/>
      <c r="IOC117" s="15"/>
      <c r="IOD117" s="15"/>
      <c r="IOE117" s="15"/>
      <c r="IOF117" s="15"/>
      <c r="IOG117" s="15"/>
      <c r="IOH117" s="15"/>
      <c r="IOI117" s="15"/>
      <c r="IOJ117" s="15"/>
      <c r="IOK117" s="15"/>
      <c r="IOL117" s="15"/>
      <c r="IOM117" s="15"/>
      <c r="ION117" s="15"/>
      <c r="IOO117" s="15"/>
      <c r="IOP117" s="14"/>
      <c r="IOQ117" s="15"/>
      <c r="IOR117" s="15"/>
      <c r="IOS117" s="15"/>
      <c r="IOT117" s="15"/>
      <c r="IOU117" s="15"/>
      <c r="IOV117" s="15"/>
      <c r="IOW117" s="15"/>
      <c r="IOX117" s="15"/>
      <c r="IOY117" s="15"/>
      <c r="IOZ117" s="15"/>
      <c r="IPA117" s="15"/>
      <c r="IPB117" s="15"/>
      <c r="IPC117" s="15"/>
      <c r="IPD117" s="15"/>
      <c r="IPE117" s="15"/>
      <c r="IPF117" s="15"/>
      <c r="IPG117" s="15"/>
      <c r="IPH117" s="15"/>
      <c r="IPI117" s="15"/>
      <c r="IPJ117" s="15"/>
      <c r="IPK117" s="15"/>
      <c r="IPL117" s="14"/>
      <c r="IPM117" s="15"/>
      <c r="IPN117" s="15"/>
      <c r="IPO117" s="15"/>
      <c r="IPP117" s="15"/>
      <c r="IPQ117" s="15"/>
      <c r="IPR117" s="15"/>
      <c r="IPS117" s="15"/>
      <c r="IPT117" s="15"/>
      <c r="IPU117" s="15"/>
      <c r="IPV117" s="15"/>
      <c r="IPW117" s="15"/>
      <c r="IPX117" s="15"/>
      <c r="IPY117" s="15"/>
      <c r="IPZ117" s="15"/>
      <c r="IQA117" s="15"/>
      <c r="IQB117" s="15"/>
      <c r="IQC117" s="15"/>
      <c r="IQD117" s="15"/>
      <c r="IQE117" s="15"/>
      <c r="IQF117" s="15"/>
      <c r="IQG117" s="15"/>
      <c r="IQH117" s="14"/>
      <c r="IQI117" s="15"/>
      <c r="IQJ117" s="15"/>
      <c r="IQK117" s="15"/>
      <c r="IQL117" s="15"/>
      <c r="IQM117" s="15"/>
      <c r="IQN117" s="15"/>
      <c r="IQO117" s="15"/>
      <c r="IQP117" s="15"/>
      <c r="IQQ117" s="15"/>
      <c r="IQR117" s="15"/>
      <c r="IQS117" s="15"/>
      <c r="IQT117" s="15"/>
      <c r="IQU117" s="15"/>
      <c r="IQV117" s="15"/>
      <c r="IQW117" s="15"/>
      <c r="IQX117" s="15"/>
      <c r="IQY117" s="15"/>
      <c r="IQZ117" s="15"/>
      <c r="IRA117" s="15"/>
      <c r="IRB117" s="15"/>
      <c r="IRC117" s="15"/>
      <c r="IRD117" s="14"/>
      <c r="IRE117" s="15"/>
      <c r="IRF117" s="15"/>
      <c r="IRG117" s="15"/>
      <c r="IRH117" s="15"/>
      <c r="IRI117" s="15"/>
      <c r="IRJ117" s="15"/>
      <c r="IRK117" s="15"/>
      <c r="IRL117" s="15"/>
      <c r="IRM117" s="15"/>
      <c r="IRN117" s="15"/>
      <c r="IRO117" s="15"/>
      <c r="IRP117" s="15"/>
      <c r="IRQ117" s="15"/>
      <c r="IRR117" s="15"/>
      <c r="IRS117" s="15"/>
      <c r="IRT117" s="15"/>
      <c r="IRU117" s="15"/>
      <c r="IRV117" s="15"/>
      <c r="IRW117" s="15"/>
      <c r="IRX117" s="15"/>
      <c r="IRY117" s="15"/>
      <c r="IRZ117" s="14"/>
      <c r="ISA117" s="15"/>
      <c r="ISB117" s="15"/>
      <c r="ISC117" s="15"/>
      <c r="ISD117" s="15"/>
      <c r="ISE117" s="15"/>
      <c r="ISF117" s="15"/>
      <c r="ISG117" s="15"/>
      <c r="ISH117" s="15"/>
      <c r="ISI117" s="15"/>
      <c r="ISJ117" s="15"/>
      <c r="ISK117" s="15"/>
      <c r="ISL117" s="15"/>
      <c r="ISM117" s="15"/>
      <c r="ISN117" s="15"/>
      <c r="ISO117" s="15"/>
      <c r="ISP117" s="15"/>
      <c r="ISQ117" s="15"/>
      <c r="ISR117" s="15"/>
      <c r="ISS117" s="15"/>
      <c r="IST117" s="15"/>
      <c r="ISU117" s="15"/>
      <c r="ISV117" s="14"/>
      <c r="ISW117" s="15"/>
      <c r="ISX117" s="15"/>
      <c r="ISY117" s="15"/>
      <c r="ISZ117" s="15"/>
      <c r="ITA117" s="15"/>
      <c r="ITB117" s="15"/>
      <c r="ITC117" s="15"/>
      <c r="ITD117" s="15"/>
      <c r="ITE117" s="15"/>
      <c r="ITF117" s="15"/>
      <c r="ITG117" s="15"/>
      <c r="ITH117" s="15"/>
      <c r="ITI117" s="15"/>
      <c r="ITJ117" s="15"/>
      <c r="ITK117" s="15"/>
      <c r="ITL117" s="15"/>
      <c r="ITM117" s="15"/>
      <c r="ITN117" s="15"/>
      <c r="ITO117" s="15"/>
      <c r="ITP117" s="15"/>
      <c r="ITQ117" s="15"/>
      <c r="ITR117" s="14"/>
      <c r="ITS117" s="15"/>
      <c r="ITT117" s="15"/>
      <c r="ITU117" s="15"/>
      <c r="ITV117" s="15"/>
      <c r="ITW117" s="15"/>
      <c r="ITX117" s="15"/>
      <c r="ITY117" s="15"/>
      <c r="ITZ117" s="15"/>
      <c r="IUA117" s="15"/>
      <c r="IUB117" s="15"/>
      <c r="IUC117" s="15"/>
      <c r="IUD117" s="15"/>
      <c r="IUE117" s="15"/>
      <c r="IUF117" s="15"/>
      <c r="IUG117" s="15"/>
      <c r="IUH117" s="15"/>
      <c r="IUI117" s="15"/>
      <c r="IUJ117" s="15"/>
      <c r="IUK117" s="15"/>
      <c r="IUL117" s="15"/>
      <c r="IUM117" s="15"/>
      <c r="IUN117" s="14"/>
      <c r="IUO117" s="15"/>
      <c r="IUP117" s="15"/>
      <c r="IUQ117" s="15"/>
      <c r="IUR117" s="15"/>
      <c r="IUS117" s="15"/>
      <c r="IUT117" s="15"/>
      <c r="IUU117" s="15"/>
      <c r="IUV117" s="15"/>
      <c r="IUW117" s="15"/>
      <c r="IUX117" s="15"/>
      <c r="IUY117" s="15"/>
      <c r="IUZ117" s="15"/>
      <c r="IVA117" s="15"/>
      <c r="IVB117" s="15"/>
      <c r="IVC117" s="15"/>
      <c r="IVD117" s="15"/>
      <c r="IVE117" s="15"/>
      <c r="IVF117" s="15"/>
      <c r="IVG117" s="15"/>
      <c r="IVH117" s="15"/>
      <c r="IVI117" s="15"/>
      <c r="IVJ117" s="14"/>
      <c r="IVK117" s="15"/>
      <c r="IVL117" s="15"/>
      <c r="IVM117" s="15"/>
      <c r="IVN117" s="15"/>
      <c r="IVO117" s="15"/>
      <c r="IVP117" s="15"/>
      <c r="IVQ117" s="15"/>
      <c r="IVR117" s="15"/>
      <c r="IVS117" s="15"/>
      <c r="IVT117" s="15"/>
      <c r="IVU117" s="15"/>
      <c r="IVV117" s="15"/>
      <c r="IVW117" s="15"/>
      <c r="IVX117" s="15"/>
      <c r="IVY117" s="15"/>
      <c r="IVZ117" s="15"/>
      <c r="IWA117" s="15"/>
      <c r="IWB117" s="15"/>
      <c r="IWC117" s="15"/>
      <c r="IWD117" s="15"/>
      <c r="IWE117" s="15"/>
      <c r="IWF117" s="14"/>
      <c r="IWG117" s="15"/>
      <c r="IWH117" s="15"/>
      <c r="IWI117" s="15"/>
      <c r="IWJ117" s="15"/>
      <c r="IWK117" s="15"/>
      <c r="IWL117" s="15"/>
      <c r="IWM117" s="15"/>
      <c r="IWN117" s="15"/>
      <c r="IWO117" s="15"/>
      <c r="IWP117" s="15"/>
      <c r="IWQ117" s="15"/>
      <c r="IWR117" s="15"/>
      <c r="IWS117" s="15"/>
      <c r="IWT117" s="15"/>
      <c r="IWU117" s="15"/>
      <c r="IWV117" s="15"/>
      <c r="IWW117" s="15"/>
      <c r="IWX117" s="15"/>
      <c r="IWY117" s="15"/>
      <c r="IWZ117" s="15"/>
      <c r="IXA117" s="15"/>
      <c r="IXB117" s="14"/>
      <c r="IXC117" s="15"/>
      <c r="IXD117" s="15"/>
      <c r="IXE117" s="15"/>
      <c r="IXF117" s="15"/>
      <c r="IXG117" s="15"/>
      <c r="IXH117" s="15"/>
      <c r="IXI117" s="15"/>
      <c r="IXJ117" s="15"/>
      <c r="IXK117" s="15"/>
      <c r="IXL117" s="15"/>
      <c r="IXM117" s="15"/>
      <c r="IXN117" s="15"/>
      <c r="IXO117" s="15"/>
      <c r="IXP117" s="15"/>
      <c r="IXQ117" s="15"/>
      <c r="IXR117" s="15"/>
      <c r="IXS117" s="15"/>
      <c r="IXT117" s="15"/>
      <c r="IXU117" s="15"/>
      <c r="IXV117" s="15"/>
      <c r="IXW117" s="15"/>
      <c r="IXX117" s="14"/>
      <c r="IXY117" s="15"/>
      <c r="IXZ117" s="15"/>
      <c r="IYA117" s="15"/>
      <c r="IYB117" s="15"/>
      <c r="IYC117" s="15"/>
      <c r="IYD117" s="15"/>
      <c r="IYE117" s="15"/>
      <c r="IYF117" s="15"/>
      <c r="IYG117" s="15"/>
      <c r="IYH117" s="15"/>
      <c r="IYI117" s="15"/>
      <c r="IYJ117" s="15"/>
      <c r="IYK117" s="15"/>
      <c r="IYL117" s="15"/>
      <c r="IYM117" s="15"/>
      <c r="IYN117" s="15"/>
      <c r="IYO117" s="15"/>
      <c r="IYP117" s="15"/>
      <c r="IYQ117" s="15"/>
      <c r="IYR117" s="15"/>
      <c r="IYS117" s="15"/>
      <c r="IYT117" s="14"/>
      <c r="IYU117" s="15"/>
      <c r="IYV117" s="15"/>
      <c r="IYW117" s="15"/>
      <c r="IYX117" s="15"/>
      <c r="IYY117" s="15"/>
      <c r="IYZ117" s="15"/>
      <c r="IZA117" s="15"/>
      <c r="IZB117" s="15"/>
      <c r="IZC117" s="15"/>
      <c r="IZD117" s="15"/>
      <c r="IZE117" s="15"/>
      <c r="IZF117" s="15"/>
      <c r="IZG117" s="15"/>
      <c r="IZH117" s="15"/>
      <c r="IZI117" s="15"/>
      <c r="IZJ117" s="15"/>
      <c r="IZK117" s="15"/>
      <c r="IZL117" s="15"/>
      <c r="IZM117" s="15"/>
      <c r="IZN117" s="15"/>
      <c r="IZO117" s="15"/>
      <c r="IZP117" s="14"/>
      <c r="IZQ117" s="15"/>
      <c r="IZR117" s="15"/>
      <c r="IZS117" s="15"/>
      <c r="IZT117" s="15"/>
      <c r="IZU117" s="15"/>
      <c r="IZV117" s="15"/>
      <c r="IZW117" s="15"/>
      <c r="IZX117" s="15"/>
      <c r="IZY117" s="15"/>
      <c r="IZZ117" s="15"/>
      <c r="JAA117" s="15"/>
      <c r="JAB117" s="15"/>
      <c r="JAC117" s="15"/>
      <c r="JAD117" s="15"/>
      <c r="JAE117" s="15"/>
      <c r="JAF117" s="15"/>
      <c r="JAG117" s="15"/>
      <c r="JAH117" s="15"/>
      <c r="JAI117" s="15"/>
      <c r="JAJ117" s="15"/>
      <c r="JAK117" s="15"/>
      <c r="JAL117" s="14"/>
      <c r="JAM117" s="15"/>
      <c r="JAN117" s="15"/>
      <c r="JAO117" s="15"/>
      <c r="JAP117" s="15"/>
      <c r="JAQ117" s="15"/>
      <c r="JAR117" s="15"/>
      <c r="JAS117" s="15"/>
      <c r="JAT117" s="15"/>
      <c r="JAU117" s="15"/>
      <c r="JAV117" s="15"/>
      <c r="JAW117" s="15"/>
      <c r="JAX117" s="15"/>
      <c r="JAY117" s="15"/>
      <c r="JAZ117" s="15"/>
      <c r="JBA117" s="15"/>
      <c r="JBB117" s="15"/>
      <c r="JBC117" s="15"/>
      <c r="JBD117" s="15"/>
      <c r="JBE117" s="15"/>
      <c r="JBF117" s="15"/>
      <c r="JBG117" s="15"/>
      <c r="JBH117" s="14"/>
      <c r="JBI117" s="15"/>
      <c r="JBJ117" s="15"/>
      <c r="JBK117" s="15"/>
      <c r="JBL117" s="15"/>
      <c r="JBM117" s="15"/>
      <c r="JBN117" s="15"/>
      <c r="JBO117" s="15"/>
      <c r="JBP117" s="15"/>
      <c r="JBQ117" s="15"/>
      <c r="JBR117" s="15"/>
      <c r="JBS117" s="15"/>
      <c r="JBT117" s="15"/>
      <c r="JBU117" s="15"/>
      <c r="JBV117" s="15"/>
      <c r="JBW117" s="15"/>
      <c r="JBX117" s="15"/>
      <c r="JBY117" s="15"/>
      <c r="JBZ117" s="15"/>
      <c r="JCA117" s="15"/>
      <c r="JCB117" s="15"/>
      <c r="JCC117" s="15"/>
      <c r="JCD117" s="14"/>
      <c r="JCE117" s="15"/>
      <c r="JCF117" s="15"/>
      <c r="JCG117" s="15"/>
      <c r="JCH117" s="15"/>
      <c r="JCI117" s="15"/>
      <c r="JCJ117" s="15"/>
      <c r="JCK117" s="15"/>
      <c r="JCL117" s="15"/>
      <c r="JCM117" s="15"/>
      <c r="JCN117" s="15"/>
      <c r="JCO117" s="15"/>
      <c r="JCP117" s="15"/>
      <c r="JCQ117" s="15"/>
      <c r="JCR117" s="15"/>
      <c r="JCS117" s="15"/>
      <c r="JCT117" s="15"/>
      <c r="JCU117" s="15"/>
      <c r="JCV117" s="15"/>
      <c r="JCW117" s="15"/>
      <c r="JCX117" s="15"/>
      <c r="JCY117" s="15"/>
      <c r="JCZ117" s="14"/>
      <c r="JDA117" s="15"/>
      <c r="JDB117" s="15"/>
      <c r="JDC117" s="15"/>
      <c r="JDD117" s="15"/>
      <c r="JDE117" s="15"/>
      <c r="JDF117" s="15"/>
      <c r="JDG117" s="15"/>
      <c r="JDH117" s="15"/>
      <c r="JDI117" s="15"/>
      <c r="JDJ117" s="15"/>
      <c r="JDK117" s="15"/>
      <c r="JDL117" s="15"/>
      <c r="JDM117" s="15"/>
      <c r="JDN117" s="15"/>
      <c r="JDO117" s="15"/>
      <c r="JDP117" s="15"/>
      <c r="JDQ117" s="15"/>
      <c r="JDR117" s="15"/>
      <c r="JDS117" s="15"/>
      <c r="JDT117" s="15"/>
      <c r="JDU117" s="15"/>
      <c r="JDV117" s="14"/>
      <c r="JDW117" s="15"/>
      <c r="JDX117" s="15"/>
      <c r="JDY117" s="15"/>
      <c r="JDZ117" s="15"/>
      <c r="JEA117" s="15"/>
      <c r="JEB117" s="15"/>
      <c r="JEC117" s="15"/>
      <c r="JED117" s="15"/>
      <c r="JEE117" s="15"/>
      <c r="JEF117" s="15"/>
      <c r="JEG117" s="15"/>
      <c r="JEH117" s="15"/>
      <c r="JEI117" s="15"/>
      <c r="JEJ117" s="15"/>
      <c r="JEK117" s="15"/>
      <c r="JEL117" s="15"/>
      <c r="JEM117" s="15"/>
      <c r="JEN117" s="15"/>
      <c r="JEO117" s="15"/>
      <c r="JEP117" s="15"/>
      <c r="JEQ117" s="15"/>
      <c r="JER117" s="14"/>
      <c r="JES117" s="15"/>
      <c r="JET117" s="15"/>
      <c r="JEU117" s="15"/>
      <c r="JEV117" s="15"/>
      <c r="JEW117" s="15"/>
      <c r="JEX117" s="15"/>
      <c r="JEY117" s="15"/>
      <c r="JEZ117" s="15"/>
      <c r="JFA117" s="15"/>
      <c r="JFB117" s="15"/>
      <c r="JFC117" s="15"/>
      <c r="JFD117" s="15"/>
      <c r="JFE117" s="15"/>
      <c r="JFF117" s="15"/>
      <c r="JFG117" s="15"/>
      <c r="JFH117" s="15"/>
      <c r="JFI117" s="15"/>
      <c r="JFJ117" s="15"/>
      <c r="JFK117" s="15"/>
      <c r="JFL117" s="15"/>
      <c r="JFM117" s="15"/>
      <c r="JFN117" s="14"/>
      <c r="JFO117" s="15"/>
      <c r="JFP117" s="15"/>
      <c r="JFQ117" s="15"/>
      <c r="JFR117" s="15"/>
      <c r="JFS117" s="15"/>
      <c r="JFT117" s="15"/>
      <c r="JFU117" s="15"/>
      <c r="JFV117" s="15"/>
      <c r="JFW117" s="15"/>
      <c r="JFX117" s="15"/>
      <c r="JFY117" s="15"/>
      <c r="JFZ117" s="15"/>
      <c r="JGA117" s="15"/>
      <c r="JGB117" s="15"/>
      <c r="JGC117" s="15"/>
      <c r="JGD117" s="15"/>
      <c r="JGE117" s="15"/>
      <c r="JGF117" s="15"/>
      <c r="JGG117" s="15"/>
      <c r="JGH117" s="15"/>
      <c r="JGI117" s="15"/>
      <c r="JGJ117" s="14"/>
      <c r="JGK117" s="15"/>
      <c r="JGL117" s="15"/>
      <c r="JGM117" s="15"/>
      <c r="JGN117" s="15"/>
      <c r="JGO117" s="15"/>
      <c r="JGP117" s="15"/>
      <c r="JGQ117" s="15"/>
      <c r="JGR117" s="15"/>
      <c r="JGS117" s="15"/>
      <c r="JGT117" s="15"/>
      <c r="JGU117" s="15"/>
      <c r="JGV117" s="15"/>
      <c r="JGW117" s="15"/>
      <c r="JGX117" s="15"/>
      <c r="JGY117" s="15"/>
      <c r="JGZ117" s="15"/>
      <c r="JHA117" s="15"/>
      <c r="JHB117" s="15"/>
      <c r="JHC117" s="15"/>
      <c r="JHD117" s="15"/>
      <c r="JHE117" s="15"/>
      <c r="JHF117" s="14"/>
      <c r="JHG117" s="15"/>
      <c r="JHH117" s="15"/>
      <c r="JHI117" s="15"/>
      <c r="JHJ117" s="15"/>
      <c r="JHK117" s="15"/>
      <c r="JHL117" s="15"/>
      <c r="JHM117" s="15"/>
      <c r="JHN117" s="15"/>
      <c r="JHO117" s="15"/>
      <c r="JHP117" s="15"/>
      <c r="JHQ117" s="15"/>
      <c r="JHR117" s="15"/>
      <c r="JHS117" s="15"/>
      <c r="JHT117" s="15"/>
      <c r="JHU117" s="15"/>
      <c r="JHV117" s="15"/>
      <c r="JHW117" s="15"/>
      <c r="JHX117" s="15"/>
      <c r="JHY117" s="15"/>
      <c r="JHZ117" s="15"/>
      <c r="JIA117" s="15"/>
      <c r="JIB117" s="14"/>
      <c r="JIC117" s="15"/>
      <c r="JID117" s="15"/>
      <c r="JIE117" s="15"/>
      <c r="JIF117" s="15"/>
      <c r="JIG117" s="15"/>
      <c r="JIH117" s="15"/>
      <c r="JII117" s="15"/>
      <c r="JIJ117" s="15"/>
      <c r="JIK117" s="15"/>
      <c r="JIL117" s="15"/>
      <c r="JIM117" s="15"/>
      <c r="JIN117" s="15"/>
      <c r="JIO117" s="15"/>
      <c r="JIP117" s="15"/>
      <c r="JIQ117" s="15"/>
      <c r="JIR117" s="15"/>
      <c r="JIS117" s="15"/>
      <c r="JIT117" s="15"/>
      <c r="JIU117" s="15"/>
      <c r="JIV117" s="15"/>
      <c r="JIW117" s="15"/>
      <c r="JIX117" s="14"/>
      <c r="JIY117" s="15"/>
      <c r="JIZ117" s="15"/>
      <c r="JJA117" s="15"/>
      <c r="JJB117" s="15"/>
      <c r="JJC117" s="15"/>
      <c r="JJD117" s="15"/>
      <c r="JJE117" s="15"/>
      <c r="JJF117" s="15"/>
      <c r="JJG117" s="15"/>
      <c r="JJH117" s="15"/>
      <c r="JJI117" s="15"/>
      <c r="JJJ117" s="15"/>
      <c r="JJK117" s="15"/>
      <c r="JJL117" s="15"/>
      <c r="JJM117" s="15"/>
      <c r="JJN117" s="15"/>
      <c r="JJO117" s="15"/>
      <c r="JJP117" s="15"/>
      <c r="JJQ117" s="15"/>
      <c r="JJR117" s="15"/>
      <c r="JJS117" s="15"/>
      <c r="JJT117" s="14"/>
      <c r="JJU117" s="15"/>
      <c r="JJV117" s="15"/>
      <c r="JJW117" s="15"/>
      <c r="JJX117" s="15"/>
      <c r="JJY117" s="15"/>
      <c r="JJZ117" s="15"/>
      <c r="JKA117" s="15"/>
      <c r="JKB117" s="15"/>
      <c r="JKC117" s="15"/>
      <c r="JKD117" s="15"/>
      <c r="JKE117" s="15"/>
      <c r="JKF117" s="15"/>
      <c r="JKG117" s="15"/>
      <c r="JKH117" s="15"/>
      <c r="JKI117" s="15"/>
      <c r="JKJ117" s="15"/>
      <c r="JKK117" s="15"/>
      <c r="JKL117" s="15"/>
      <c r="JKM117" s="15"/>
      <c r="JKN117" s="15"/>
      <c r="JKO117" s="15"/>
      <c r="JKP117" s="14"/>
      <c r="JKQ117" s="15"/>
      <c r="JKR117" s="15"/>
      <c r="JKS117" s="15"/>
      <c r="JKT117" s="15"/>
      <c r="JKU117" s="15"/>
      <c r="JKV117" s="15"/>
      <c r="JKW117" s="15"/>
      <c r="JKX117" s="15"/>
      <c r="JKY117" s="15"/>
      <c r="JKZ117" s="15"/>
      <c r="JLA117" s="15"/>
      <c r="JLB117" s="15"/>
      <c r="JLC117" s="15"/>
      <c r="JLD117" s="15"/>
      <c r="JLE117" s="15"/>
      <c r="JLF117" s="15"/>
      <c r="JLG117" s="15"/>
      <c r="JLH117" s="15"/>
      <c r="JLI117" s="15"/>
      <c r="JLJ117" s="15"/>
      <c r="JLK117" s="15"/>
      <c r="JLL117" s="14"/>
      <c r="JLM117" s="15"/>
      <c r="JLN117" s="15"/>
      <c r="JLO117" s="15"/>
      <c r="JLP117" s="15"/>
      <c r="JLQ117" s="15"/>
      <c r="JLR117" s="15"/>
      <c r="JLS117" s="15"/>
      <c r="JLT117" s="15"/>
      <c r="JLU117" s="15"/>
      <c r="JLV117" s="15"/>
      <c r="JLW117" s="15"/>
      <c r="JLX117" s="15"/>
      <c r="JLY117" s="15"/>
      <c r="JLZ117" s="15"/>
      <c r="JMA117" s="15"/>
      <c r="JMB117" s="15"/>
      <c r="JMC117" s="15"/>
      <c r="JMD117" s="15"/>
      <c r="JME117" s="15"/>
      <c r="JMF117" s="15"/>
      <c r="JMG117" s="15"/>
      <c r="JMH117" s="14"/>
      <c r="JMI117" s="15"/>
      <c r="JMJ117" s="15"/>
      <c r="JMK117" s="15"/>
      <c r="JML117" s="15"/>
      <c r="JMM117" s="15"/>
      <c r="JMN117" s="15"/>
      <c r="JMO117" s="15"/>
      <c r="JMP117" s="15"/>
      <c r="JMQ117" s="15"/>
      <c r="JMR117" s="15"/>
      <c r="JMS117" s="15"/>
      <c r="JMT117" s="15"/>
      <c r="JMU117" s="15"/>
      <c r="JMV117" s="15"/>
      <c r="JMW117" s="15"/>
      <c r="JMX117" s="15"/>
      <c r="JMY117" s="15"/>
      <c r="JMZ117" s="15"/>
      <c r="JNA117" s="15"/>
      <c r="JNB117" s="15"/>
      <c r="JNC117" s="15"/>
      <c r="JND117" s="14"/>
      <c r="JNE117" s="15"/>
      <c r="JNF117" s="15"/>
      <c r="JNG117" s="15"/>
      <c r="JNH117" s="15"/>
      <c r="JNI117" s="15"/>
      <c r="JNJ117" s="15"/>
      <c r="JNK117" s="15"/>
      <c r="JNL117" s="15"/>
      <c r="JNM117" s="15"/>
      <c r="JNN117" s="15"/>
      <c r="JNO117" s="15"/>
      <c r="JNP117" s="15"/>
      <c r="JNQ117" s="15"/>
      <c r="JNR117" s="15"/>
      <c r="JNS117" s="15"/>
      <c r="JNT117" s="15"/>
      <c r="JNU117" s="15"/>
      <c r="JNV117" s="15"/>
      <c r="JNW117" s="15"/>
      <c r="JNX117" s="15"/>
      <c r="JNY117" s="15"/>
      <c r="JNZ117" s="14"/>
      <c r="JOA117" s="15"/>
      <c r="JOB117" s="15"/>
      <c r="JOC117" s="15"/>
      <c r="JOD117" s="15"/>
      <c r="JOE117" s="15"/>
      <c r="JOF117" s="15"/>
      <c r="JOG117" s="15"/>
      <c r="JOH117" s="15"/>
      <c r="JOI117" s="15"/>
      <c r="JOJ117" s="15"/>
      <c r="JOK117" s="15"/>
      <c r="JOL117" s="15"/>
      <c r="JOM117" s="15"/>
      <c r="JON117" s="15"/>
      <c r="JOO117" s="15"/>
      <c r="JOP117" s="15"/>
      <c r="JOQ117" s="15"/>
      <c r="JOR117" s="15"/>
      <c r="JOS117" s="15"/>
      <c r="JOT117" s="15"/>
      <c r="JOU117" s="15"/>
      <c r="JOV117" s="14"/>
      <c r="JOW117" s="15"/>
      <c r="JOX117" s="15"/>
      <c r="JOY117" s="15"/>
      <c r="JOZ117" s="15"/>
      <c r="JPA117" s="15"/>
      <c r="JPB117" s="15"/>
      <c r="JPC117" s="15"/>
      <c r="JPD117" s="15"/>
      <c r="JPE117" s="15"/>
      <c r="JPF117" s="15"/>
      <c r="JPG117" s="15"/>
      <c r="JPH117" s="15"/>
      <c r="JPI117" s="15"/>
      <c r="JPJ117" s="15"/>
      <c r="JPK117" s="15"/>
      <c r="JPL117" s="15"/>
      <c r="JPM117" s="15"/>
      <c r="JPN117" s="15"/>
      <c r="JPO117" s="15"/>
      <c r="JPP117" s="15"/>
      <c r="JPQ117" s="15"/>
      <c r="JPR117" s="14"/>
      <c r="JPS117" s="15"/>
      <c r="JPT117" s="15"/>
      <c r="JPU117" s="15"/>
      <c r="JPV117" s="15"/>
      <c r="JPW117" s="15"/>
      <c r="JPX117" s="15"/>
      <c r="JPY117" s="15"/>
      <c r="JPZ117" s="15"/>
      <c r="JQA117" s="15"/>
      <c r="JQB117" s="15"/>
      <c r="JQC117" s="15"/>
      <c r="JQD117" s="15"/>
      <c r="JQE117" s="15"/>
      <c r="JQF117" s="15"/>
      <c r="JQG117" s="15"/>
      <c r="JQH117" s="15"/>
      <c r="JQI117" s="15"/>
      <c r="JQJ117" s="15"/>
      <c r="JQK117" s="15"/>
      <c r="JQL117" s="15"/>
      <c r="JQM117" s="15"/>
      <c r="JQN117" s="14"/>
      <c r="JQO117" s="15"/>
      <c r="JQP117" s="15"/>
      <c r="JQQ117" s="15"/>
      <c r="JQR117" s="15"/>
      <c r="JQS117" s="15"/>
      <c r="JQT117" s="15"/>
      <c r="JQU117" s="15"/>
      <c r="JQV117" s="15"/>
      <c r="JQW117" s="15"/>
      <c r="JQX117" s="15"/>
      <c r="JQY117" s="15"/>
      <c r="JQZ117" s="15"/>
      <c r="JRA117" s="15"/>
      <c r="JRB117" s="15"/>
      <c r="JRC117" s="15"/>
      <c r="JRD117" s="15"/>
      <c r="JRE117" s="15"/>
      <c r="JRF117" s="15"/>
      <c r="JRG117" s="15"/>
      <c r="JRH117" s="15"/>
      <c r="JRI117" s="15"/>
      <c r="JRJ117" s="14"/>
      <c r="JRK117" s="15"/>
      <c r="JRL117" s="15"/>
      <c r="JRM117" s="15"/>
      <c r="JRN117" s="15"/>
      <c r="JRO117" s="15"/>
      <c r="JRP117" s="15"/>
      <c r="JRQ117" s="15"/>
      <c r="JRR117" s="15"/>
      <c r="JRS117" s="15"/>
      <c r="JRT117" s="15"/>
      <c r="JRU117" s="15"/>
      <c r="JRV117" s="15"/>
      <c r="JRW117" s="15"/>
      <c r="JRX117" s="15"/>
      <c r="JRY117" s="15"/>
      <c r="JRZ117" s="15"/>
      <c r="JSA117" s="15"/>
      <c r="JSB117" s="15"/>
      <c r="JSC117" s="15"/>
      <c r="JSD117" s="15"/>
      <c r="JSE117" s="15"/>
      <c r="JSF117" s="14"/>
      <c r="JSG117" s="15"/>
      <c r="JSH117" s="15"/>
      <c r="JSI117" s="15"/>
      <c r="JSJ117" s="15"/>
      <c r="JSK117" s="15"/>
      <c r="JSL117" s="15"/>
      <c r="JSM117" s="15"/>
      <c r="JSN117" s="15"/>
      <c r="JSO117" s="15"/>
      <c r="JSP117" s="15"/>
      <c r="JSQ117" s="15"/>
      <c r="JSR117" s="15"/>
      <c r="JSS117" s="15"/>
      <c r="JST117" s="15"/>
      <c r="JSU117" s="15"/>
      <c r="JSV117" s="15"/>
      <c r="JSW117" s="15"/>
      <c r="JSX117" s="15"/>
      <c r="JSY117" s="15"/>
      <c r="JSZ117" s="15"/>
      <c r="JTA117" s="15"/>
      <c r="JTB117" s="14"/>
      <c r="JTC117" s="15"/>
      <c r="JTD117" s="15"/>
      <c r="JTE117" s="15"/>
      <c r="JTF117" s="15"/>
      <c r="JTG117" s="15"/>
      <c r="JTH117" s="15"/>
      <c r="JTI117" s="15"/>
      <c r="JTJ117" s="15"/>
      <c r="JTK117" s="15"/>
      <c r="JTL117" s="15"/>
      <c r="JTM117" s="15"/>
      <c r="JTN117" s="15"/>
      <c r="JTO117" s="15"/>
      <c r="JTP117" s="15"/>
      <c r="JTQ117" s="15"/>
      <c r="JTR117" s="15"/>
      <c r="JTS117" s="15"/>
      <c r="JTT117" s="15"/>
      <c r="JTU117" s="15"/>
      <c r="JTV117" s="15"/>
      <c r="JTW117" s="15"/>
      <c r="JTX117" s="14"/>
      <c r="JTY117" s="15"/>
      <c r="JTZ117" s="15"/>
      <c r="JUA117" s="15"/>
      <c r="JUB117" s="15"/>
      <c r="JUC117" s="15"/>
      <c r="JUD117" s="15"/>
      <c r="JUE117" s="15"/>
      <c r="JUF117" s="15"/>
      <c r="JUG117" s="15"/>
      <c r="JUH117" s="15"/>
      <c r="JUI117" s="15"/>
      <c r="JUJ117" s="15"/>
      <c r="JUK117" s="15"/>
      <c r="JUL117" s="15"/>
      <c r="JUM117" s="15"/>
      <c r="JUN117" s="15"/>
      <c r="JUO117" s="15"/>
      <c r="JUP117" s="15"/>
      <c r="JUQ117" s="15"/>
      <c r="JUR117" s="15"/>
      <c r="JUS117" s="15"/>
      <c r="JUT117" s="14"/>
      <c r="JUU117" s="15"/>
      <c r="JUV117" s="15"/>
      <c r="JUW117" s="15"/>
      <c r="JUX117" s="15"/>
      <c r="JUY117" s="15"/>
      <c r="JUZ117" s="15"/>
      <c r="JVA117" s="15"/>
      <c r="JVB117" s="15"/>
      <c r="JVC117" s="15"/>
      <c r="JVD117" s="15"/>
      <c r="JVE117" s="15"/>
      <c r="JVF117" s="15"/>
      <c r="JVG117" s="15"/>
      <c r="JVH117" s="15"/>
      <c r="JVI117" s="15"/>
      <c r="JVJ117" s="15"/>
      <c r="JVK117" s="15"/>
      <c r="JVL117" s="15"/>
      <c r="JVM117" s="15"/>
      <c r="JVN117" s="15"/>
      <c r="JVO117" s="15"/>
      <c r="JVP117" s="14"/>
      <c r="JVQ117" s="15"/>
      <c r="JVR117" s="15"/>
      <c r="JVS117" s="15"/>
      <c r="JVT117" s="15"/>
      <c r="JVU117" s="15"/>
      <c r="JVV117" s="15"/>
      <c r="JVW117" s="15"/>
      <c r="JVX117" s="15"/>
      <c r="JVY117" s="15"/>
      <c r="JVZ117" s="15"/>
      <c r="JWA117" s="15"/>
      <c r="JWB117" s="15"/>
      <c r="JWC117" s="15"/>
      <c r="JWD117" s="15"/>
      <c r="JWE117" s="15"/>
      <c r="JWF117" s="15"/>
      <c r="JWG117" s="15"/>
      <c r="JWH117" s="15"/>
      <c r="JWI117" s="15"/>
      <c r="JWJ117" s="15"/>
      <c r="JWK117" s="15"/>
      <c r="JWL117" s="14"/>
      <c r="JWM117" s="15"/>
      <c r="JWN117" s="15"/>
      <c r="JWO117" s="15"/>
      <c r="JWP117" s="15"/>
      <c r="JWQ117" s="15"/>
      <c r="JWR117" s="15"/>
      <c r="JWS117" s="15"/>
      <c r="JWT117" s="15"/>
      <c r="JWU117" s="15"/>
      <c r="JWV117" s="15"/>
      <c r="JWW117" s="15"/>
      <c r="JWX117" s="15"/>
      <c r="JWY117" s="15"/>
      <c r="JWZ117" s="15"/>
      <c r="JXA117" s="15"/>
      <c r="JXB117" s="15"/>
      <c r="JXC117" s="15"/>
      <c r="JXD117" s="15"/>
      <c r="JXE117" s="15"/>
      <c r="JXF117" s="15"/>
      <c r="JXG117" s="15"/>
      <c r="JXH117" s="14"/>
      <c r="JXI117" s="15"/>
      <c r="JXJ117" s="15"/>
      <c r="JXK117" s="15"/>
      <c r="JXL117" s="15"/>
      <c r="JXM117" s="15"/>
      <c r="JXN117" s="15"/>
      <c r="JXO117" s="15"/>
      <c r="JXP117" s="15"/>
      <c r="JXQ117" s="15"/>
      <c r="JXR117" s="15"/>
      <c r="JXS117" s="15"/>
      <c r="JXT117" s="15"/>
      <c r="JXU117" s="15"/>
      <c r="JXV117" s="15"/>
      <c r="JXW117" s="15"/>
      <c r="JXX117" s="15"/>
      <c r="JXY117" s="15"/>
      <c r="JXZ117" s="15"/>
      <c r="JYA117" s="15"/>
      <c r="JYB117" s="15"/>
      <c r="JYC117" s="15"/>
      <c r="JYD117" s="14"/>
      <c r="JYE117" s="15"/>
      <c r="JYF117" s="15"/>
      <c r="JYG117" s="15"/>
      <c r="JYH117" s="15"/>
      <c r="JYI117" s="15"/>
      <c r="JYJ117" s="15"/>
      <c r="JYK117" s="15"/>
      <c r="JYL117" s="15"/>
      <c r="JYM117" s="15"/>
      <c r="JYN117" s="15"/>
      <c r="JYO117" s="15"/>
      <c r="JYP117" s="15"/>
      <c r="JYQ117" s="15"/>
      <c r="JYR117" s="15"/>
      <c r="JYS117" s="15"/>
      <c r="JYT117" s="15"/>
      <c r="JYU117" s="15"/>
      <c r="JYV117" s="15"/>
      <c r="JYW117" s="15"/>
      <c r="JYX117" s="15"/>
      <c r="JYY117" s="15"/>
      <c r="JYZ117" s="14"/>
      <c r="JZA117" s="15"/>
      <c r="JZB117" s="15"/>
      <c r="JZC117" s="15"/>
      <c r="JZD117" s="15"/>
      <c r="JZE117" s="15"/>
      <c r="JZF117" s="15"/>
      <c r="JZG117" s="15"/>
      <c r="JZH117" s="15"/>
      <c r="JZI117" s="15"/>
      <c r="JZJ117" s="15"/>
      <c r="JZK117" s="15"/>
      <c r="JZL117" s="15"/>
      <c r="JZM117" s="15"/>
      <c r="JZN117" s="15"/>
      <c r="JZO117" s="15"/>
      <c r="JZP117" s="15"/>
      <c r="JZQ117" s="15"/>
      <c r="JZR117" s="15"/>
      <c r="JZS117" s="15"/>
      <c r="JZT117" s="15"/>
      <c r="JZU117" s="15"/>
      <c r="JZV117" s="14"/>
      <c r="JZW117" s="15"/>
      <c r="JZX117" s="15"/>
      <c r="JZY117" s="15"/>
      <c r="JZZ117" s="15"/>
      <c r="KAA117" s="15"/>
      <c r="KAB117" s="15"/>
      <c r="KAC117" s="15"/>
      <c r="KAD117" s="15"/>
      <c r="KAE117" s="15"/>
      <c r="KAF117" s="15"/>
      <c r="KAG117" s="15"/>
      <c r="KAH117" s="15"/>
      <c r="KAI117" s="15"/>
      <c r="KAJ117" s="15"/>
      <c r="KAK117" s="15"/>
      <c r="KAL117" s="15"/>
      <c r="KAM117" s="15"/>
      <c r="KAN117" s="15"/>
      <c r="KAO117" s="15"/>
      <c r="KAP117" s="15"/>
      <c r="KAQ117" s="15"/>
      <c r="KAR117" s="14"/>
      <c r="KAS117" s="15"/>
      <c r="KAT117" s="15"/>
      <c r="KAU117" s="15"/>
      <c r="KAV117" s="15"/>
      <c r="KAW117" s="15"/>
      <c r="KAX117" s="15"/>
      <c r="KAY117" s="15"/>
      <c r="KAZ117" s="15"/>
      <c r="KBA117" s="15"/>
      <c r="KBB117" s="15"/>
      <c r="KBC117" s="15"/>
      <c r="KBD117" s="15"/>
      <c r="KBE117" s="15"/>
      <c r="KBF117" s="15"/>
      <c r="KBG117" s="15"/>
      <c r="KBH117" s="15"/>
      <c r="KBI117" s="15"/>
      <c r="KBJ117" s="15"/>
      <c r="KBK117" s="15"/>
      <c r="KBL117" s="15"/>
      <c r="KBM117" s="15"/>
      <c r="KBN117" s="14"/>
      <c r="KBO117" s="15"/>
      <c r="KBP117" s="15"/>
      <c r="KBQ117" s="15"/>
      <c r="KBR117" s="15"/>
      <c r="KBS117" s="15"/>
      <c r="KBT117" s="15"/>
      <c r="KBU117" s="15"/>
      <c r="KBV117" s="15"/>
      <c r="KBW117" s="15"/>
      <c r="KBX117" s="15"/>
      <c r="KBY117" s="15"/>
      <c r="KBZ117" s="15"/>
      <c r="KCA117" s="15"/>
      <c r="KCB117" s="15"/>
      <c r="KCC117" s="15"/>
      <c r="KCD117" s="15"/>
      <c r="KCE117" s="15"/>
      <c r="KCF117" s="15"/>
      <c r="KCG117" s="15"/>
      <c r="KCH117" s="15"/>
      <c r="KCI117" s="15"/>
      <c r="KCJ117" s="14"/>
      <c r="KCK117" s="15"/>
      <c r="KCL117" s="15"/>
      <c r="KCM117" s="15"/>
      <c r="KCN117" s="15"/>
      <c r="KCO117" s="15"/>
      <c r="KCP117" s="15"/>
      <c r="KCQ117" s="15"/>
      <c r="KCR117" s="15"/>
      <c r="KCS117" s="15"/>
      <c r="KCT117" s="15"/>
      <c r="KCU117" s="15"/>
      <c r="KCV117" s="15"/>
      <c r="KCW117" s="15"/>
      <c r="KCX117" s="15"/>
      <c r="KCY117" s="15"/>
      <c r="KCZ117" s="15"/>
      <c r="KDA117" s="15"/>
      <c r="KDB117" s="15"/>
      <c r="KDC117" s="15"/>
      <c r="KDD117" s="15"/>
      <c r="KDE117" s="15"/>
      <c r="KDF117" s="14"/>
      <c r="KDG117" s="15"/>
      <c r="KDH117" s="15"/>
      <c r="KDI117" s="15"/>
      <c r="KDJ117" s="15"/>
      <c r="KDK117" s="15"/>
      <c r="KDL117" s="15"/>
      <c r="KDM117" s="15"/>
      <c r="KDN117" s="15"/>
      <c r="KDO117" s="15"/>
      <c r="KDP117" s="15"/>
      <c r="KDQ117" s="15"/>
      <c r="KDR117" s="15"/>
      <c r="KDS117" s="15"/>
      <c r="KDT117" s="15"/>
      <c r="KDU117" s="15"/>
      <c r="KDV117" s="15"/>
      <c r="KDW117" s="15"/>
      <c r="KDX117" s="15"/>
      <c r="KDY117" s="15"/>
      <c r="KDZ117" s="15"/>
      <c r="KEA117" s="15"/>
      <c r="KEB117" s="14"/>
      <c r="KEC117" s="15"/>
      <c r="KED117" s="15"/>
      <c r="KEE117" s="15"/>
      <c r="KEF117" s="15"/>
      <c r="KEG117" s="15"/>
      <c r="KEH117" s="15"/>
      <c r="KEI117" s="15"/>
      <c r="KEJ117" s="15"/>
      <c r="KEK117" s="15"/>
      <c r="KEL117" s="15"/>
      <c r="KEM117" s="15"/>
      <c r="KEN117" s="15"/>
      <c r="KEO117" s="15"/>
      <c r="KEP117" s="15"/>
      <c r="KEQ117" s="15"/>
      <c r="KER117" s="15"/>
      <c r="KES117" s="15"/>
      <c r="KET117" s="15"/>
      <c r="KEU117" s="15"/>
      <c r="KEV117" s="15"/>
      <c r="KEW117" s="15"/>
      <c r="KEX117" s="14"/>
      <c r="KEY117" s="15"/>
      <c r="KEZ117" s="15"/>
      <c r="KFA117" s="15"/>
      <c r="KFB117" s="15"/>
      <c r="KFC117" s="15"/>
      <c r="KFD117" s="15"/>
      <c r="KFE117" s="15"/>
      <c r="KFF117" s="15"/>
      <c r="KFG117" s="15"/>
      <c r="KFH117" s="15"/>
      <c r="KFI117" s="15"/>
      <c r="KFJ117" s="15"/>
      <c r="KFK117" s="15"/>
      <c r="KFL117" s="15"/>
      <c r="KFM117" s="15"/>
      <c r="KFN117" s="15"/>
      <c r="KFO117" s="15"/>
      <c r="KFP117" s="15"/>
      <c r="KFQ117" s="15"/>
      <c r="KFR117" s="15"/>
      <c r="KFS117" s="15"/>
      <c r="KFT117" s="14"/>
      <c r="KFU117" s="15"/>
      <c r="KFV117" s="15"/>
      <c r="KFW117" s="15"/>
      <c r="KFX117" s="15"/>
      <c r="KFY117" s="15"/>
      <c r="KFZ117" s="15"/>
      <c r="KGA117" s="15"/>
      <c r="KGB117" s="15"/>
      <c r="KGC117" s="15"/>
      <c r="KGD117" s="15"/>
      <c r="KGE117" s="15"/>
      <c r="KGF117" s="15"/>
      <c r="KGG117" s="15"/>
      <c r="KGH117" s="15"/>
      <c r="KGI117" s="15"/>
      <c r="KGJ117" s="15"/>
      <c r="KGK117" s="15"/>
      <c r="KGL117" s="15"/>
      <c r="KGM117" s="15"/>
      <c r="KGN117" s="15"/>
      <c r="KGO117" s="15"/>
      <c r="KGP117" s="14"/>
      <c r="KGQ117" s="15"/>
      <c r="KGR117" s="15"/>
      <c r="KGS117" s="15"/>
      <c r="KGT117" s="15"/>
      <c r="KGU117" s="15"/>
      <c r="KGV117" s="15"/>
      <c r="KGW117" s="15"/>
      <c r="KGX117" s="15"/>
      <c r="KGY117" s="15"/>
      <c r="KGZ117" s="15"/>
      <c r="KHA117" s="15"/>
      <c r="KHB117" s="15"/>
      <c r="KHC117" s="15"/>
      <c r="KHD117" s="15"/>
      <c r="KHE117" s="15"/>
      <c r="KHF117" s="15"/>
      <c r="KHG117" s="15"/>
      <c r="KHH117" s="15"/>
      <c r="KHI117" s="15"/>
      <c r="KHJ117" s="15"/>
      <c r="KHK117" s="15"/>
      <c r="KHL117" s="14"/>
      <c r="KHM117" s="15"/>
      <c r="KHN117" s="15"/>
      <c r="KHO117" s="15"/>
      <c r="KHP117" s="15"/>
      <c r="KHQ117" s="15"/>
      <c r="KHR117" s="15"/>
      <c r="KHS117" s="15"/>
      <c r="KHT117" s="15"/>
      <c r="KHU117" s="15"/>
      <c r="KHV117" s="15"/>
      <c r="KHW117" s="15"/>
      <c r="KHX117" s="15"/>
      <c r="KHY117" s="15"/>
      <c r="KHZ117" s="15"/>
      <c r="KIA117" s="15"/>
      <c r="KIB117" s="15"/>
      <c r="KIC117" s="15"/>
      <c r="KID117" s="15"/>
      <c r="KIE117" s="15"/>
      <c r="KIF117" s="15"/>
      <c r="KIG117" s="15"/>
      <c r="KIH117" s="14"/>
      <c r="KII117" s="15"/>
      <c r="KIJ117" s="15"/>
      <c r="KIK117" s="15"/>
      <c r="KIL117" s="15"/>
      <c r="KIM117" s="15"/>
      <c r="KIN117" s="15"/>
      <c r="KIO117" s="15"/>
      <c r="KIP117" s="15"/>
      <c r="KIQ117" s="15"/>
      <c r="KIR117" s="15"/>
      <c r="KIS117" s="15"/>
      <c r="KIT117" s="15"/>
      <c r="KIU117" s="15"/>
      <c r="KIV117" s="15"/>
      <c r="KIW117" s="15"/>
      <c r="KIX117" s="15"/>
      <c r="KIY117" s="15"/>
      <c r="KIZ117" s="15"/>
      <c r="KJA117" s="15"/>
      <c r="KJB117" s="15"/>
      <c r="KJC117" s="15"/>
      <c r="KJD117" s="14"/>
      <c r="KJE117" s="15"/>
      <c r="KJF117" s="15"/>
      <c r="KJG117" s="15"/>
      <c r="KJH117" s="15"/>
      <c r="KJI117" s="15"/>
      <c r="KJJ117" s="15"/>
      <c r="KJK117" s="15"/>
      <c r="KJL117" s="15"/>
      <c r="KJM117" s="15"/>
      <c r="KJN117" s="15"/>
      <c r="KJO117" s="15"/>
      <c r="KJP117" s="15"/>
      <c r="KJQ117" s="15"/>
      <c r="KJR117" s="15"/>
      <c r="KJS117" s="15"/>
      <c r="KJT117" s="15"/>
      <c r="KJU117" s="15"/>
      <c r="KJV117" s="15"/>
      <c r="KJW117" s="15"/>
      <c r="KJX117" s="15"/>
      <c r="KJY117" s="15"/>
      <c r="KJZ117" s="14"/>
      <c r="KKA117" s="15"/>
      <c r="KKB117" s="15"/>
      <c r="KKC117" s="15"/>
      <c r="KKD117" s="15"/>
      <c r="KKE117" s="15"/>
      <c r="KKF117" s="15"/>
      <c r="KKG117" s="15"/>
      <c r="KKH117" s="15"/>
      <c r="KKI117" s="15"/>
      <c r="KKJ117" s="15"/>
      <c r="KKK117" s="15"/>
      <c r="KKL117" s="15"/>
      <c r="KKM117" s="15"/>
      <c r="KKN117" s="15"/>
      <c r="KKO117" s="15"/>
      <c r="KKP117" s="15"/>
      <c r="KKQ117" s="15"/>
      <c r="KKR117" s="15"/>
      <c r="KKS117" s="15"/>
      <c r="KKT117" s="15"/>
      <c r="KKU117" s="15"/>
      <c r="KKV117" s="14"/>
      <c r="KKW117" s="15"/>
      <c r="KKX117" s="15"/>
      <c r="KKY117" s="15"/>
      <c r="KKZ117" s="15"/>
      <c r="KLA117" s="15"/>
      <c r="KLB117" s="15"/>
      <c r="KLC117" s="15"/>
      <c r="KLD117" s="15"/>
      <c r="KLE117" s="15"/>
      <c r="KLF117" s="15"/>
      <c r="KLG117" s="15"/>
      <c r="KLH117" s="15"/>
      <c r="KLI117" s="15"/>
      <c r="KLJ117" s="15"/>
      <c r="KLK117" s="15"/>
      <c r="KLL117" s="15"/>
      <c r="KLM117" s="15"/>
      <c r="KLN117" s="15"/>
      <c r="KLO117" s="15"/>
      <c r="KLP117" s="15"/>
      <c r="KLQ117" s="15"/>
      <c r="KLR117" s="14"/>
      <c r="KLS117" s="15"/>
      <c r="KLT117" s="15"/>
      <c r="KLU117" s="15"/>
      <c r="KLV117" s="15"/>
      <c r="KLW117" s="15"/>
      <c r="KLX117" s="15"/>
      <c r="KLY117" s="15"/>
      <c r="KLZ117" s="15"/>
      <c r="KMA117" s="15"/>
      <c r="KMB117" s="15"/>
      <c r="KMC117" s="15"/>
      <c r="KMD117" s="15"/>
      <c r="KME117" s="15"/>
      <c r="KMF117" s="15"/>
      <c r="KMG117" s="15"/>
      <c r="KMH117" s="15"/>
      <c r="KMI117" s="15"/>
      <c r="KMJ117" s="15"/>
      <c r="KMK117" s="15"/>
      <c r="KML117" s="15"/>
      <c r="KMM117" s="15"/>
      <c r="KMN117" s="14"/>
      <c r="KMO117" s="15"/>
      <c r="KMP117" s="15"/>
      <c r="KMQ117" s="15"/>
      <c r="KMR117" s="15"/>
      <c r="KMS117" s="15"/>
      <c r="KMT117" s="15"/>
      <c r="KMU117" s="15"/>
      <c r="KMV117" s="15"/>
      <c r="KMW117" s="15"/>
      <c r="KMX117" s="15"/>
      <c r="KMY117" s="15"/>
      <c r="KMZ117" s="15"/>
      <c r="KNA117" s="15"/>
      <c r="KNB117" s="15"/>
      <c r="KNC117" s="15"/>
      <c r="KND117" s="15"/>
      <c r="KNE117" s="15"/>
      <c r="KNF117" s="15"/>
      <c r="KNG117" s="15"/>
      <c r="KNH117" s="15"/>
      <c r="KNI117" s="15"/>
      <c r="KNJ117" s="14"/>
      <c r="KNK117" s="15"/>
      <c r="KNL117" s="15"/>
      <c r="KNM117" s="15"/>
      <c r="KNN117" s="15"/>
      <c r="KNO117" s="15"/>
      <c r="KNP117" s="15"/>
      <c r="KNQ117" s="15"/>
      <c r="KNR117" s="15"/>
      <c r="KNS117" s="15"/>
      <c r="KNT117" s="15"/>
      <c r="KNU117" s="15"/>
      <c r="KNV117" s="15"/>
      <c r="KNW117" s="15"/>
      <c r="KNX117" s="15"/>
      <c r="KNY117" s="15"/>
      <c r="KNZ117" s="15"/>
      <c r="KOA117" s="15"/>
      <c r="KOB117" s="15"/>
      <c r="KOC117" s="15"/>
      <c r="KOD117" s="15"/>
      <c r="KOE117" s="15"/>
      <c r="KOF117" s="14"/>
      <c r="KOG117" s="15"/>
      <c r="KOH117" s="15"/>
      <c r="KOI117" s="15"/>
      <c r="KOJ117" s="15"/>
      <c r="KOK117" s="15"/>
      <c r="KOL117" s="15"/>
      <c r="KOM117" s="15"/>
      <c r="KON117" s="15"/>
      <c r="KOO117" s="15"/>
      <c r="KOP117" s="15"/>
      <c r="KOQ117" s="15"/>
      <c r="KOR117" s="15"/>
      <c r="KOS117" s="15"/>
      <c r="KOT117" s="15"/>
      <c r="KOU117" s="15"/>
      <c r="KOV117" s="15"/>
      <c r="KOW117" s="15"/>
      <c r="KOX117" s="15"/>
      <c r="KOY117" s="15"/>
      <c r="KOZ117" s="15"/>
      <c r="KPA117" s="15"/>
      <c r="KPB117" s="14"/>
      <c r="KPC117" s="15"/>
      <c r="KPD117" s="15"/>
      <c r="KPE117" s="15"/>
      <c r="KPF117" s="15"/>
      <c r="KPG117" s="15"/>
      <c r="KPH117" s="15"/>
      <c r="KPI117" s="15"/>
      <c r="KPJ117" s="15"/>
      <c r="KPK117" s="15"/>
      <c r="KPL117" s="15"/>
      <c r="KPM117" s="15"/>
      <c r="KPN117" s="15"/>
      <c r="KPO117" s="15"/>
      <c r="KPP117" s="15"/>
      <c r="KPQ117" s="15"/>
      <c r="KPR117" s="15"/>
      <c r="KPS117" s="15"/>
      <c r="KPT117" s="15"/>
      <c r="KPU117" s="15"/>
      <c r="KPV117" s="15"/>
      <c r="KPW117" s="15"/>
      <c r="KPX117" s="14"/>
      <c r="KPY117" s="15"/>
      <c r="KPZ117" s="15"/>
      <c r="KQA117" s="15"/>
      <c r="KQB117" s="15"/>
      <c r="KQC117" s="15"/>
      <c r="KQD117" s="15"/>
      <c r="KQE117" s="15"/>
      <c r="KQF117" s="15"/>
      <c r="KQG117" s="15"/>
      <c r="KQH117" s="15"/>
      <c r="KQI117" s="15"/>
      <c r="KQJ117" s="15"/>
      <c r="KQK117" s="15"/>
      <c r="KQL117" s="15"/>
      <c r="KQM117" s="15"/>
      <c r="KQN117" s="15"/>
      <c r="KQO117" s="15"/>
      <c r="KQP117" s="15"/>
      <c r="KQQ117" s="15"/>
      <c r="KQR117" s="15"/>
      <c r="KQS117" s="15"/>
      <c r="KQT117" s="14"/>
      <c r="KQU117" s="15"/>
      <c r="KQV117" s="15"/>
      <c r="KQW117" s="15"/>
      <c r="KQX117" s="15"/>
      <c r="KQY117" s="15"/>
      <c r="KQZ117" s="15"/>
      <c r="KRA117" s="15"/>
      <c r="KRB117" s="15"/>
      <c r="KRC117" s="15"/>
      <c r="KRD117" s="15"/>
      <c r="KRE117" s="15"/>
      <c r="KRF117" s="15"/>
      <c r="KRG117" s="15"/>
      <c r="KRH117" s="15"/>
      <c r="KRI117" s="15"/>
      <c r="KRJ117" s="15"/>
      <c r="KRK117" s="15"/>
      <c r="KRL117" s="15"/>
      <c r="KRM117" s="15"/>
      <c r="KRN117" s="15"/>
      <c r="KRO117" s="15"/>
      <c r="KRP117" s="14"/>
      <c r="KRQ117" s="15"/>
      <c r="KRR117" s="15"/>
      <c r="KRS117" s="15"/>
      <c r="KRT117" s="15"/>
      <c r="KRU117" s="15"/>
      <c r="KRV117" s="15"/>
      <c r="KRW117" s="15"/>
      <c r="KRX117" s="15"/>
      <c r="KRY117" s="15"/>
      <c r="KRZ117" s="15"/>
      <c r="KSA117" s="15"/>
      <c r="KSB117" s="15"/>
      <c r="KSC117" s="15"/>
      <c r="KSD117" s="15"/>
      <c r="KSE117" s="15"/>
      <c r="KSF117" s="15"/>
      <c r="KSG117" s="15"/>
      <c r="KSH117" s="15"/>
      <c r="KSI117" s="15"/>
      <c r="KSJ117" s="15"/>
      <c r="KSK117" s="15"/>
      <c r="KSL117" s="14"/>
      <c r="KSM117" s="15"/>
      <c r="KSN117" s="15"/>
      <c r="KSO117" s="15"/>
      <c r="KSP117" s="15"/>
      <c r="KSQ117" s="15"/>
      <c r="KSR117" s="15"/>
      <c r="KSS117" s="15"/>
      <c r="KST117" s="15"/>
      <c r="KSU117" s="15"/>
      <c r="KSV117" s="15"/>
      <c r="KSW117" s="15"/>
      <c r="KSX117" s="15"/>
      <c r="KSY117" s="15"/>
      <c r="KSZ117" s="15"/>
      <c r="KTA117" s="15"/>
      <c r="KTB117" s="15"/>
      <c r="KTC117" s="15"/>
      <c r="KTD117" s="15"/>
      <c r="KTE117" s="15"/>
      <c r="KTF117" s="15"/>
      <c r="KTG117" s="15"/>
      <c r="KTH117" s="14"/>
      <c r="KTI117" s="15"/>
      <c r="KTJ117" s="15"/>
      <c r="KTK117" s="15"/>
      <c r="KTL117" s="15"/>
      <c r="KTM117" s="15"/>
      <c r="KTN117" s="15"/>
      <c r="KTO117" s="15"/>
      <c r="KTP117" s="15"/>
      <c r="KTQ117" s="15"/>
      <c r="KTR117" s="15"/>
      <c r="KTS117" s="15"/>
      <c r="KTT117" s="15"/>
      <c r="KTU117" s="15"/>
      <c r="KTV117" s="15"/>
      <c r="KTW117" s="15"/>
      <c r="KTX117" s="15"/>
      <c r="KTY117" s="15"/>
      <c r="KTZ117" s="15"/>
      <c r="KUA117" s="15"/>
      <c r="KUB117" s="15"/>
      <c r="KUC117" s="15"/>
      <c r="KUD117" s="14"/>
      <c r="KUE117" s="15"/>
      <c r="KUF117" s="15"/>
      <c r="KUG117" s="15"/>
      <c r="KUH117" s="15"/>
      <c r="KUI117" s="15"/>
      <c r="KUJ117" s="15"/>
      <c r="KUK117" s="15"/>
      <c r="KUL117" s="15"/>
      <c r="KUM117" s="15"/>
      <c r="KUN117" s="15"/>
      <c r="KUO117" s="15"/>
      <c r="KUP117" s="15"/>
      <c r="KUQ117" s="15"/>
      <c r="KUR117" s="15"/>
      <c r="KUS117" s="15"/>
      <c r="KUT117" s="15"/>
      <c r="KUU117" s="15"/>
      <c r="KUV117" s="15"/>
      <c r="KUW117" s="15"/>
      <c r="KUX117" s="15"/>
      <c r="KUY117" s="15"/>
      <c r="KUZ117" s="14"/>
      <c r="KVA117" s="15"/>
      <c r="KVB117" s="15"/>
      <c r="KVC117" s="15"/>
      <c r="KVD117" s="15"/>
      <c r="KVE117" s="15"/>
      <c r="KVF117" s="15"/>
      <c r="KVG117" s="15"/>
      <c r="KVH117" s="15"/>
      <c r="KVI117" s="15"/>
      <c r="KVJ117" s="15"/>
      <c r="KVK117" s="15"/>
      <c r="KVL117" s="15"/>
      <c r="KVM117" s="15"/>
      <c r="KVN117" s="15"/>
      <c r="KVO117" s="15"/>
      <c r="KVP117" s="15"/>
      <c r="KVQ117" s="15"/>
      <c r="KVR117" s="15"/>
      <c r="KVS117" s="15"/>
      <c r="KVT117" s="15"/>
      <c r="KVU117" s="15"/>
      <c r="KVV117" s="14"/>
      <c r="KVW117" s="15"/>
      <c r="KVX117" s="15"/>
      <c r="KVY117" s="15"/>
      <c r="KVZ117" s="15"/>
      <c r="KWA117" s="15"/>
      <c r="KWB117" s="15"/>
      <c r="KWC117" s="15"/>
      <c r="KWD117" s="15"/>
      <c r="KWE117" s="15"/>
      <c r="KWF117" s="15"/>
      <c r="KWG117" s="15"/>
      <c r="KWH117" s="15"/>
      <c r="KWI117" s="15"/>
      <c r="KWJ117" s="15"/>
      <c r="KWK117" s="15"/>
      <c r="KWL117" s="15"/>
      <c r="KWM117" s="15"/>
      <c r="KWN117" s="15"/>
      <c r="KWO117" s="15"/>
      <c r="KWP117" s="15"/>
      <c r="KWQ117" s="15"/>
      <c r="KWR117" s="14"/>
      <c r="KWS117" s="15"/>
      <c r="KWT117" s="15"/>
      <c r="KWU117" s="15"/>
      <c r="KWV117" s="15"/>
      <c r="KWW117" s="15"/>
      <c r="KWX117" s="15"/>
      <c r="KWY117" s="15"/>
      <c r="KWZ117" s="15"/>
      <c r="KXA117" s="15"/>
      <c r="KXB117" s="15"/>
      <c r="KXC117" s="15"/>
      <c r="KXD117" s="15"/>
      <c r="KXE117" s="15"/>
      <c r="KXF117" s="15"/>
      <c r="KXG117" s="15"/>
      <c r="KXH117" s="15"/>
      <c r="KXI117" s="15"/>
      <c r="KXJ117" s="15"/>
      <c r="KXK117" s="15"/>
      <c r="KXL117" s="15"/>
      <c r="KXM117" s="15"/>
      <c r="KXN117" s="14"/>
      <c r="KXO117" s="15"/>
      <c r="KXP117" s="15"/>
      <c r="KXQ117" s="15"/>
      <c r="KXR117" s="15"/>
      <c r="KXS117" s="15"/>
      <c r="KXT117" s="15"/>
      <c r="KXU117" s="15"/>
      <c r="KXV117" s="15"/>
      <c r="KXW117" s="15"/>
      <c r="KXX117" s="15"/>
      <c r="KXY117" s="15"/>
      <c r="KXZ117" s="15"/>
      <c r="KYA117" s="15"/>
      <c r="KYB117" s="15"/>
      <c r="KYC117" s="15"/>
      <c r="KYD117" s="15"/>
      <c r="KYE117" s="15"/>
      <c r="KYF117" s="15"/>
      <c r="KYG117" s="15"/>
      <c r="KYH117" s="15"/>
      <c r="KYI117" s="15"/>
      <c r="KYJ117" s="14"/>
      <c r="KYK117" s="15"/>
      <c r="KYL117" s="15"/>
      <c r="KYM117" s="15"/>
      <c r="KYN117" s="15"/>
      <c r="KYO117" s="15"/>
      <c r="KYP117" s="15"/>
      <c r="KYQ117" s="15"/>
      <c r="KYR117" s="15"/>
      <c r="KYS117" s="15"/>
      <c r="KYT117" s="15"/>
      <c r="KYU117" s="15"/>
      <c r="KYV117" s="15"/>
      <c r="KYW117" s="15"/>
      <c r="KYX117" s="15"/>
      <c r="KYY117" s="15"/>
      <c r="KYZ117" s="15"/>
      <c r="KZA117" s="15"/>
      <c r="KZB117" s="15"/>
      <c r="KZC117" s="15"/>
      <c r="KZD117" s="15"/>
      <c r="KZE117" s="15"/>
      <c r="KZF117" s="14"/>
      <c r="KZG117" s="15"/>
      <c r="KZH117" s="15"/>
      <c r="KZI117" s="15"/>
      <c r="KZJ117" s="15"/>
      <c r="KZK117" s="15"/>
      <c r="KZL117" s="15"/>
      <c r="KZM117" s="15"/>
      <c r="KZN117" s="15"/>
      <c r="KZO117" s="15"/>
      <c r="KZP117" s="15"/>
      <c r="KZQ117" s="15"/>
      <c r="KZR117" s="15"/>
      <c r="KZS117" s="15"/>
      <c r="KZT117" s="15"/>
      <c r="KZU117" s="15"/>
      <c r="KZV117" s="15"/>
      <c r="KZW117" s="15"/>
      <c r="KZX117" s="15"/>
      <c r="KZY117" s="15"/>
      <c r="KZZ117" s="15"/>
      <c r="LAA117" s="15"/>
      <c r="LAB117" s="14"/>
      <c r="LAC117" s="15"/>
      <c r="LAD117" s="15"/>
      <c r="LAE117" s="15"/>
      <c r="LAF117" s="15"/>
      <c r="LAG117" s="15"/>
      <c r="LAH117" s="15"/>
      <c r="LAI117" s="15"/>
      <c r="LAJ117" s="15"/>
      <c r="LAK117" s="15"/>
      <c r="LAL117" s="15"/>
      <c r="LAM117" s="15"/>
      <c r="LAN117" s="15"/>
      <c r="LAO117" s="15"/>
      <c r="LAP117" s="15"/>
      <c r="LAQ117" s="15"/>
      <c r="LAR117" s="15"/>
      <c r="LAS117" s="15"/>
      <c r="LAT117" s="15"/>
      <c r="LAU117" s="15"/>
      <c r="LAV117" s="15"/>
      <c r="LAW117" s="15"/>
      <c r="LAX117" s="14"/>
      <c r="LAY117" s="15"/>
      <c r="LAZ117" s="15"/>
      <c r="LBA117" s="15"/>
      <c r="LBB117" s="15"/>
      <c r="LBC117" s="15"/>
      <c r="LBD117" s="15"/>
      <c r="LBE117" s="15"/>
      <c r="LBF117" s="15"/>
      <c r="LBG117" s="15"/>
      <c r="LBH117" s="15"/>
      <c r="LBI117" s="15"/>
      <c r="LBJ117" s="15"/>
      <c r="LBK117" s="15"/>
      <c r="LBL117" s="15"/>
      <c r="LBM117" s="15"/>
      <c r="LBN117" s="15"/>
      <c r="LBO117" s="15"/>
      <c r="LBP117" s="15"/>
      <c r="LBQ117" s="15"/>
      <c r="LBR117" s="15"/>
      <c r="LBS117" s="15"/>
      <c r="LBT117" s="14"/>
      <c r="LBU117" s="15"/>
      <c r="LBV117" s="15"/>
      <c r="LBW117" s="15"/>
      <c r="LBX117" s="15"/>
      <c r="LBY117" s="15"/>
      <c r="LBZ117" s="15"/>
      <c r="LCA117" s="15"/>
      <c r="LCB117" s="15"/>
      <c r="LCC117" s="15"/>
      <c r="LCD117" s="15"/>
      <c r="LCE117" s="15"/>
      <c r="LCF117" s="15"/>
      <c r="LCG117" s="15"/>
      <c r="LCH117" s="15"/>
      <c r="LCI117" s="15"/>
      <c r="LCJ117" s="15"/>
      <c r="LCK117" s="15"/>
      <c r="LCL117" s="15"/>
      <c r="LCM117" s="15"/>
      <c r="LCN117" s="15"/>
      <c r="LCO117" s="15"/>
      <c r="LCP117" s="14"/>
      <c r="LCQ117" s="15"/>
      <c r="LCR117" s="15"/>
      <c r="LCS117" s="15"/>
      <c r="LCT117" s="15"/>
      <c r="LCU117" s="15"/>
      <c r="LCV117" s="15"/>
      <c r="LCW117" s="15"/>
      <c r="LCX117" s="15"/>
      <c r="LCY117" s="15"/>
      <c r="LCZ117" s="15"/>
      <c r="LDA117" s="15"/>
      <c r="LDB117" s="15"/>
      <c r="LDC117" s="15"/>
      <c r="LDD117" s="15"/>
      <c r="LDE117" s="15"/>
      <c r="LDF117" s="15"/>
      <c r="LDG117" s="15"/>
      <c r="LDH117" s="15"/>
      <c r="LDI117" s="15"/>
      <c r="LDJ117" s="15"/>
      <c r="LDK117" s="15"/>
      <c r="LDL117" s="14"/>
      <c r="LDM117" s="15"/>
      <c r="LDN117" s="15"/>
      <c r="LDO117" s="15"/>
      <c r="LDP117" s="15"/>
      <c r="LDQ117" s="15"/>
      <c r="LDR117" s="15"/>
      <c r="LDS117" s="15"/>
      <c r="LDT117" s="15"/>
      <c r="LDU117" s="15"/>
      <c r="LDV117" s="15"/>
      <c r="LDW117" s="15"/>
      <c r="LDX117" s="15"/>
      <c r="LDY117" s="15"/>
      <c r="LDZ117" s="15"/>
      <c r="LEA117" s="15"/>
      <c r="LEB117" s="15"/>
      <c r="LEC117" s="15"/>
      <c r="LED117" s="15"/>
      <c r="LEE117" s="15"/>
      <c r="LEF117" s="15"/>
      <c r="LEG117" s="15"/>
      <c r="LEH117" s="14"/>
      <c r="LEI117" s="15"/>
      <c r="LEJ117" s="15"/>
      <c r="LEK117" s="15"/>
      <c r="LEL117" s="15"/>
      <c r="LEM117" s="15"/>
      <c r="LEN117" s="15"/>
      <c r="LEO117" s="15"/>
      <c r="LEP117" s="15"/>
      <c r="LEQ117" s="15"/>
      <c r="LER117" s="15"/>
      <c r="LES117" s="15"/>
      <c r="LET117" s="15"/>
      <c r="LEU117" s="15"/>
      <c r="LEV117" s="15"/>
      <c r="LEW117" s="15"/>
      <c r="LEX117" s="15"/>
      <c r="LEY117" s="15"/>
      <c r="LEZ117" s="15"/>
      <c r="LFA117" s="15"/>
      <c r="LFB117" s="15"/>
      <c r="LFC117" s="15"/>
      <c r="LFD117" s="14"/>
      <c r="LFE117" s="15"/>
      <c r="LFF117" s="15"/>
      <c r="LFG117" s="15"/>
      <c r="LFH117" s="15"/>
      <c r="LFI117" s="15"/>
      <c r="LFJ117" s="15"/>
      <c r="LFK117" s="15"/>
      <c r="LFL117" s="15"/>
      <c r="LFM117" s="15"/>
      <c r="LFN117" s="15"/>
      <c r="LFO117" s="15"/>
      <c r="LFP117" s="15"/>
      <c r="LFQ117" s="15"/>
      <c r="LFR117" s="15"/>
      <c r="LFS117" s="15"/>
      <c r="LFT117" s="15"/>
      <c r="LFU117" s="15"/>
      <c r="LFV117" s="15"/>
      <c r="LFW117" s="15"/>
      <c r="LFX117" s="15"/>
      <c r="LFY117" s="15"/>
      <c r="LFZ117" s="14"/>
      <c r="LGA117" s="15"/>
      <c r="LGB117" s="15"/>
      <c r="LGC117" s="15"/>
      <c r="LGD117" s="15"/>
      <c r="LGE117" s="15"/>
      <c r="LGF117" s="15"/>
      <c r="LGG117" s="15"/>
      <c r="LGH117" s="15"/>
      <c r="LGI117" s="15"/>
      <c r="LGJ117" s="15"/>
      <c r="LGK117" s="15"/>
      <c r="LGL117" s="15"/>
      <c r="LGM117" s="15"/>
      <c r="LGN117" s="15"/>
      <c r="LGO117" s="15"/>
      <c r="LGP117" s="15"/>
      <c r="LGQ117" s="15"/>
      <c r="LGR117" s="15"/>
      <c r="LGS117" s="15"/>
      <c r="LGT117" s="15"/>
      <c r="LGU117" s="15"/>
      <c r="LGV117" s="14"/>
      <c r="LGW117" s="15"/>
      <c r="LGX117" s="15"/>
      <c r="LGY117" s="15"/>
      <c r="LGZ117" s="15"/>
      <c r="LHA117" s="15"/>
      <c r="LHB117" s="15"/>
      <c r="LHC117" s="15"/>
      <c r="LHD117" s="15"/>
      <c r="LHE117" s="15"/>
      <c r="LHF117" s="15"/>
      <c r="LHG117" s="15"/>
      <c r="LHH117" s="15"/>
      <c r="LHI117" s="15"/>
      <c r="LHJ117" s="15"/>
      <c r="LHK117" s="15"/>
      <c r="LHL117" s="15"/>
      <c r="LHM117" s="15"/>
      <c r="LHN117" s="15"/>
      <c r="LHO117" s="15"/>
      <c r="LHP117" s="15"/>
      <c r="LHQ117" s="15"/>
      <c r="LHR117" s="14"/>
      <c r="LHS117" s="15"/>
      <c r="LHT117" s="15"/>
      <c r="LHU117" s="15"/>
      <c r="LHV117" s="15"/>
      <c r="LHW117" s="15"/>
      <c r="LHX117" s="15"/>
      <c r="LHY117" s="15"/>
      <c r="LHZ117" s="15"/>
      <c r="LIA117" s="15"/>
      <c r="LIB117" s="15"/>
      <c r="LIC117" s="15"/>
      <c r="LID117" s="15"/>
      <c r="LIE117" s="15"/>
      <c r="LIF117" s="15"/>
      <c r="LIG117" s="15"/>
      <c r="LIH117" s="15"/>
      <c r="LII117" s="15"/>
      <c r="LIJ117" s="15"/>
      <c r="LIK117" s="15"/>
      <c r="LIL117" s="15"/>
      <c r="LIM117" s="15"/>
      <c r="LIN117" s="14"/>
      <c r="LIO117" s="15"/>
      <c r="LIP117" s="15"/>
      <c r="LIQ117" s="15"/>
      <c r="LIR117" s="15"/>
      <c r="LIS117" s="15"/>
      <c r="LIT117" s="15"/>
      <c r="LIU117" s="15"/>
      <c r="LIV117" s="15"/>
      <c r="LIW117" s="15"/>
      <c r="LIX117" s="15"/>
      <c r="LIY117" s="15"/>
      <c r="LIZ117" s="15"/>
      <c r="LJA117" s="15"/>
      <c r="LJB117" s="15"/>
      <c r="LJC117" s="15"/>
      <c r="LJD117" s="15"/>
      <c r="LJE117" s="15"/>
      <c r="LJF117" s="15"/>
      <c r="LJG117" s="15"/>
      <c r="LJH117" s="15"/>
      <c r="LJI117" s="15"/>
      <c r="LJJ117" s="14"/>
      <c r="LJK117" s="15"/>
      <c r="LJL117" s="15"/>
      <c r="LJM117" s="15"/>
      <c r="LJN117" s="15"/>
      <c r="LJO117" s="15"/>
      <c r="LJP117" s="15"/>
      <c r="LJQ117" s="15"/>
      <c r="LJR117" s="15"/>
      <c r="LJS117" s="15"/>
      <c r="LJT117" s="15"/>
      <c r="LJU117" s="15"/>
      <c r="LJV117" s="15"/>
      <c r="LJW117" s="15"/>
      <c r="LJX117" s="15"/>
      <c r="LJY117" s="15"/>
      <c r="LJZ117" s="15"/>
      <c r="LKA117" s="15"/>
      <c r="LKB117" s="15"/>
      <c r="LKC117" s="15"/>
      <c r="LKD117" s="15"/>
      <c r="LKE117" s="15"/>
      <c r="LKF117" s="14"/>
      <c r="LKG117" s="15"/>
      <c r="LKH117" s="15"/>
      <c r="LKI117" s="15"/>
      <c r="LKJ117" s="15"/>
      <c r="LKK117" s="15"/>
      <c r="LKL117" s="15"/>
      <c r="LKM117" s="15"/>
      <c r="LKN117" s="15"/>
      <c r="LKO117" s="15"/>
      <c r="LKP117" s="15"/>
      <c r="LKQ117" s="15"/>
      <c r="LKR117" s="15"/>
      <c r="LKS117" s="15"/>
      <c r="LKT117" s="15"/>
      <c r="LKU117" s="15"/>
      <c r="LKV117" s="15"/>
      <c r="LKW117" s="15"/>
      <c r="LKX117" s="15"/>
      <c r="LKY117" s="15"/>
      <c r="LKZ117" s="15"/>
      <c r="LLA117" s="15"/>
      <c r="LLB117" s="14"/>
      <c r="LLC117" s="15"/>
      <c r="LLD117" s="15"/>
      <c r="LLE117" s="15"/>
      <c r="LLF117" s="15"/>
      <c r="LLG117" s="15"/>
      <c r="LLH117" s="15"/>
      <c r="LLI117" s="15"/>
      <c r="LLJ117" s="15"/>
      <c r="LLK117" s="15"/>
      <c r="LLL117" s="15"/>
      <c r="LLM117" s="15"/>
      <c r="LLN117" s="15"/>
      <c r="LLO117" s="15"/>
      <c r="LLP117" s="15"/>
      <c r="LLQ117" s="15"/>
      <c r="LLR117" s="15"/>
      <c r="LLS117" s="15"/>
      <c r="LLT117" s="15"/>
      <c r="LLU117" s="15"/>
      <c r="LLV117" s="15"/>
      <c r="LLW117" s="15"/>
      <c r="LLX117" s="14"/>
      <c r="LLY117" s="15"/>
      <c r="LLZ117" s="15"/>
      <c r="LMA117" s="15"/>
      <c r="LMB117" s="15"/>
      <c r="LMC117" s="15"/>
      <c r="LMD117" s="15"/>
      <c r="LME117" s="15"/>
      <c r="LMF117" s="15"/>
      <c r="LMG117" s="15"/>
      <c r="LMH117" s="15"/>
      <c r="LMI117" s="15"/>
      <c r="LMJ117" s="15"/>
      <c r="LMK117" s="15"/>
      <c r="LML117" s="15"/>
      <c r="LMM117" s="15"/>
      <c r="LMN117" s="15"/>
      <c r="LMO117" s="15"/>
      <c r="LMP117" s="15"/>
      <c r="LMQ117" s="15"/>
      <c r="LMR117" s="15"/>
      <c r="LMS117" s="15"/>
      <c r="LMT117" s="14"/>
      <c r="LMU117" s="15"/>
      <c r="LMV117" s="15"/>
      <c r="LMW117" s="15"/>
      <c r="LMX117" s="15"/>
      <c r="LMY117" s="15"/>
      <c r="LMZ117" s="15"/>
      <c r="LNA117" s="15"/>
      <c r="LNB117" s="15"/>
      <c r="LNC117" s="15"/>
      <c r="LND117" s="15"/>
      <c r="LNE117" s="15"/>
      <c r="LNF117" s="15"/>
      <c r="LNG117" s="15"/>
      <c r="LNH117" s="15"/>
      <c r="LNI117" s="15"/>
      <c r="LNJ117" s="15"/>
      <c r="LNK117" s="15"/>
      <c r="LNL117" s="15"/>
      <c r="LNM117" s="15"/>
      <c r="LNN117" s="15"/>
      <c r="LNO117" s="15"/>
      <c r="LNP117" s="14"/>
      <c r="LNQ117" s="15"/>
      <c r="LNR117" s="15"/>
      <c r="LNS117" s="15"/>
      <c r="LNT117" s="15"/>
      <c r="LNU117" s="15"/>
      <c r="LNV117" s="15"/>
      <c r="LNW117" s="15"/>
      <c r="LNX117" s="15"/>
      <c r="LNY117" s="15"/>
      <c r="LNZ117" s="15"/>
      <c r="LOA117" s="15"/>
      <c r="LOB117" s="15"/>
      <c r="LOC117" s="15"/>
      <c r="LOD117" s="15"/>
      <c r="LOE117" s="15"/>
      <c r="LOF117" s="15"/>
      <c r="LOG117" s="15"/>
      <c r="LOH117" s="15"/>
      <c r="LOI117" s="15"/>
      <c r="LOJ117" s="15"/>
      <c r="LOK117" s="15"/>
      <c r="LOL117" s="14"/>
      <c r="LOM117" s="15"/>
      <c r="LON117" s="15"/>
      <c r="LOO117" s="15"/>
      <c r="LOP117" s="15"/>
      <c r="LOQ117" s="15"/>
      <c r="LOR117" s="15"/>
      <c r="LOS117" s="15"/>
      <c r="LOT117" s="15"/>
      <c r="LOU117" s="15"/>
      <c r="LOV117" s="15"/>
      <c r="LOW117" s="15"/>
      <c r="LOX117" s="15"/>
      <c r="LOY117" s="15"/>
      <c r="LOZ117" s="15"/>
      <c r="LPA117" s="15"/>
      <c r="LPB117" s="15"/>
      <c r="LPC117" s="15"/>
      <c r="LPD117" s="15"/>
      <c r="LPE117" s="15"/>
      <c r="LPF117" s="15"/>
      <c r="LPG117" s="15"/>
      <c r="LPH117" s="14"/>
      <c r="LPI117" s="15"/>
      <c r="LPJ117" s="15"/>
      <c r="LPK117" s="15"/>
      <c r="LPL117" s="15"/>
      <c r="LPM117" s="15"/>
      <c r="LPN117" s="15"/>
      <c r="LPO117" s="15"/>
      <c r="LPP117" s="15"/>
      <c r="LPQ117" s="15"/>
      <c r="LPR117" s="15"/>
      <c r="LPS117" s="15"/>
      <c r="LPT117" s="15"/>
      <c r="LPU117" s="15"/>
      <c r="LPV117" s="15"/>
      <c r="LPW117" s="15"/>
      <c r="LPX117" s="15"/>
      <c r="LPY117" s="15"/>
      <c r="LPZ117" s="15"/>
      <c r="LQA117" s="15"/>
      <c r="LQB117" s="15"/>
      <c r="LQC117" s="15"/>
      <c r="LQD117" s="14"/>
      <c r="LQE117" s="15"/>
      <c r="LQF117" s="15"/>
      <c r="LQG117" s="15"/>
      <c r="LQH117" s="15"/>
      <c r="LQI117" s="15"/>
      <c r="LQJ117" s="15"/>
      <c r="LQK117" s="15"/>
      <c r="LQL117" s="15"/>
      <c r="LQM117" s="15"/>
      <c r="LQN117" s="15"/>
      <c r="LQO117" s="15"/>
      <c r="LQP117" s="15"/>
      <c r="LQQ117" s="15"/>
      <c r="LQR117" s="15"/>
      <c r="LQS117" s="15"/>
      <c r="LQT117" s="15"/>
      <c r="LQU117" s="15"/>
      <c r="LQV117" s="15"/>
      <c r="LQW117" s="15"/>
      <c r="LQX117" s="15"/>
      <c r="LQY117" s="15"/>
      <c r="LQZ117" s="14"/>
      <c r="LRA117" s="15"/>
      <c r="LRB117" s="15"/>
      <c r="LRC117" s="15"/>
      <c r="LRD117" s="15"/>
      <c r="LRE117" s="15"/>
      <c r="LRF117" s="15"/>
      <c r="LRG117" s="15"/>
      <c r="LRH117" s="15"/>
      <c r="LRI117" s="15"/>
      <c r="LRJ117" s="15"/>
      <c r="LRK117" s="15"/>
      <c r="LRL117" s="15"/>
      <c r="LRM117" s="15"/>
      <c r="LRN117" s="15"/>
      <c r="LRO117" s="15"/>
      <c r="LRP117" s="15"/>
      <c r="LRQ117" s="15"/>
      <c r="LRR117" s="15"/>
      <c r="LRS117" s="15"/>
      <c r="LRT117" s="15"/>
      <c r="LRU117" s="15"/>
      <c r="LRV117" s="14"/>
      <c r="LRW117" s="15"/>
      <c r="LRX117" s="15"/>
      <c r="LRY117" s="15"/>
      <c r="LRZ117" s="15"/>
      <c r="LSA117" s="15"/>
      <c r="LSB117" s="15"/>
      <c r="LSC117" s="15"/>
      <c r="LSD117" s="15"/>
      <c r="LSE117" s="15"/>
      <c r="LSF117" s="15"/>
      <c r="LSG117" s="15"/>
      <c r="LSH117" s="15"/>
      <c r="LSI117" s="15"/>
      <c r="LSJ117" s="15"/>
      <c r="LSK117" s="15"/>
      <c r="LSL117" s="15"/>
      <c r="LSM117" s="15"/>
      <c r="LSN117" s="15"/>
      <c r="LSO117" s="15"/>
      <c r="LSP117" s="15"/>
      <c r="LSQ117" s="15"/>
      <c r="LSR117" s="14"/>
      <c r="LSS117" s="15"/>
      <c r="LST117" s="15"/>
      <c r="LSU117" s="15"/>
      <c r="LSV117" s="15"/>
      <c r="LSW117" s="15"/>
      <c r="LSX117" s="15"/>
      <c r="LSY117" s="15"/>
      <c r="LSZ117" s="15"/>
      <c r="LTA117" s="15"/>
      <c r="LTB117" s="15"/>
      <c r="LTC117" s="15"/>
      <c r="LTD117" s="15"/>
      <c r="LTE117" s="15"/>
      <c r="LTF117" s="15"/>
      <c r="LTG117" s="15"/>
      <c r="LTH117" s="15"/>
      <c r="LTI117" s="15"/>
      <c r="LTJ117" s="15"/>
      <c r="LTK117" s="15"/>
      <c r="LTL117" s="15"/>
      <c r="LTM117" s="15"/>
      <c r="LTN117" s="14"/>
      <c r="LTO117" s="15"/>
      <c r="LTP117" s="15"/>
      <c r="LTQ117" s="15"/>
      <c r="LTR117" s="15"/>
      <c r="LTS117" s="15"/>
      <c r="LTT117" s="15"/>
      <c r="LTU117" s="15"/>
      <c r="LTV117" s="15"/>
      <c r="LTW117" s="15"/>
      <c r="LTX117" s="15"/>
      <c r="LTY117" s="15"/>
      <c r="LTZ117" s="15"/>
      <c r="LUA117" s="15"/>
      <c r="LUB117" s="15"/>
      <c r="LUC117" s="15"/>
      <c r="LUD117" s="15"/>
      <c r="LUE117" s="15"/>
      <c r="LUF117" s="15"/>
      <c r="LUG117" s="15"/>
      <c r="LUH117" s="15"/>
      <c r="LUI117" s="15"/>
      <c r="LUJ117" s="14"/>
      <c r="LUK117" s="15"/>
      <c r="LUL117" s="15"/>
      <c r="LUM117" s="15"/>
      <c r="LUN117" s="15"/>
      <c r="LUO117" s="15"/>
      <c r="LUP117" s="15"/>
      <c r="LUQ117" s="15"/>
      <c r="LUR117" s="15"/>
      <c r="LUS117" s="15"/>
      <c r="LUT117" s="15"/>
      <c r="LUU117" s="15"/>
      <c r="LUV117" s="15"/>
      <c r="LUW117" s="15"/>
      <c r="LUX117" s="15"/>
      <c r="LUY117" s="15"/>
      <c r="LUZ117" s="15"/>
      <c r="LVA117" s="15"/>
      <c r="LVB117" s="15"/>
      <c r="LVC117" s="15"/>
      <c r="LVD117" s="15"/>
      <c r="LVE117" s="15"/>
      <c r="LVF117" s="14"/>
      <c r="LVG117" s="15"/>
      <c r="LVH117" s="15"/>
      <c r="LVI117" s="15"/>
      <c r="LVJ117" s="15"/>
      <c r="LVK117" s="15"/>
      <c r="LVL117" s="15"/>
      <c r="LVM117" s="15"/>
      <c r="LVN117" s="15"/>
      <c r="LVO117" s="15"/>
      <c r="LVP117" s="15"/>
      <c r="LVQ117" s="15"/>
      <c r="LVR117" s="15"/>
      <c r="LVS117" s="15"/>
      <c r="LVT117" s="15"/>
      <c r="LVU117" s="15"/>
      <c r="LVV117" s="15"/>
      <c r="LVW117" s="15"/>
      <c r="LVX117" s="15"/>
      <c r="LVY117" s="15"/>
      <c r="LVZ117" s="15"/>
      <c r="LWA117" s="15"/>
      <c r="LWB117" s="14"/>
      <c r="LWC117" s="15"/>
      <c r="LWD117" s="15"/>
      <c r="LWE117" s="15"/>
      <c r="LWF117" s="15"/>
      <c r="LWG117" s="15"/>
      <c r="LWH117" s="15"/>
      <c r="LWI117" s="15"/>
      <c r="LWJ117" s="15"/>
      <c r="LWK117" s="15"/>
      <c r="LWL117" s="15"/>
      <c r="LWM117" s="15"/>
      <c r="LWN117" s="15"/>
      <c r="LWO117" s="15"/>
      <c r="LWP117" s="15"/>
      <c r="LWQ117" s="15"/>
      <c r="LWR117" s="15"/>
      <c r="LWS117" s="15"/>
      <c r="LWT117" s="15"/>
      <c r="LWU117" s="15"/>
      <c r="LWV117" s="15"/>
      <c r="LWW117" s="15"/>
      <c r="LWX117" s="14"/>
      <c r="LWY117" s="15"/>
      <c r="LWZ117" s="15"/>
      <c r="LXA117" s="15"/>
      <c r="LXB117" s="15"/>
      <c r="LXC117" s="15"/>
      <c r="LXD117" s="15"/>
      <c r="LXE117" s="15"/>
      <c r="LXF117" s="15"/>
      <c r="LXG117" s="15"/>
      <c r="LXH117" s="15"/>
      <c r="LXI117" s="15"/>
      <c r="LXJ117" s="15"/>
      <c r="LXK117" s="15"/>
      <c r="LXL117" s="15"/>
      <c r="LXM117" s="15"/>
      <c r="LXN117" s="15"/>
      <c r="LXO117" s="15"/>
      <c r="LXP117" s="15"/>
      <c r="LXQ117" s="15"/>
      <c r="LXR117" s="15"/>
      <c r="LXS117" s="15"/>
      <c r="LXT117" s="14"/>
      <c r="LXU117" s="15"/>
      <c r="LXV117" s="15"/>
      <c r="LXW117" s="15"/>
      <c r="LXX117" s="15"/>
      <c r="LXY117" s="15"/>
      <c r="LXZ117" s="15"/>
      <c r="LYA117" s="15"/>
      <c r="LYB117" s="15"/>
      <c r="LYC117" s="15"/>
      <c r="LYD117" s="15"/>
      <c r="LYE117" s="15"/>
      <c r="LYF117" s="15"/>
      <c r="LYG117" s="15"/>
      <c r="LYH117" s="15"/>
      <c r="LYI117" s="15"/>
      <c r="LYJ117" s="15"/>
      <c r="LYK117" s="15"/>
      <c r="LYL117" s="15"/>
      <c r="LYM117" s="15"/>
      <c r="LYN117" s="15"/>
      <c r="LYO117" s="15"/>
      <c r="LYP117" s="14"/>
      <c r="LYQ117" s="15"/>
      <c r="LYR117" s="15"/>
      <c r="LYS117" s="15"/>
      <c r="LYT117" s="15"/>
      <c r="LYU117" s="15"/>
      <c r="LYV117" s="15"/>
      <c r="LYW117" s="15"/>
      <c r="LYX117" s="15"/>
      <c r="LYY117" s="15"/>
      <c r="LYZ117" s="15"/>
      <c r="LZA117" s="15"/>
      <c r="LZB117" s="15"/>
      <c r="LZC117" s="15"/>
      <c r="LZD117" s="15"/>
      <c r="LZE117" s="15"/>
      <c r="LZF117" s="15"/>
      <c r="LZG117" s="15"/>
      <c r="LZH117" s="15"/>
      <c r="LZI117" s="15"/>
      <c r="LZJ117" s="15"/>
      <c r="LZK117" s="15"/>
      <c r="LZL117" s="14"/>
      <c r="LZM117" s="15"/>
      <c r="LZN117" s="15"/>
      <c r="LZO117" s="15"/>
      <c r="LZP117" s="15"/>
      <c r="LZQ117" s="15"/>
      <c r="LZR117" s="15"/>
      <c r="LZS117" s="15"/>
      <c r="LZT117" s="15"/>
      <c r="LZU117" s="15"/>
      <c r="LZV117" s="15"/>
      <c r="LZW117" s="15"/>
      <c r="LZX117" s="15"/>
      <c r="LZY117" s="15"/>
      <c r="LZZ117" s="15"/>
      <c r="MAA117" s="15"/>
      <c r="MAB117" s="15"/>
      <c r="MAC117" s="15"/>
      <c r="MAD117" s="15"/>
      <c r="MAE117" s="15"/>
      <c r="MAF117" s="15"/>
      <c r="MAG117" s="15"/>
      <c r="MAH117" s="14"/>
      <c r="MAI117" s="15"/>
      <c r="MAJ117" s="15"/>
      <c r="MAK117" s="15"/>
      <c r="MAL117" s="15"/>
      <c r="MAM117" s="15"/>
      <c r="MAN117" s="15"/>
      <c r="MAO117" s="15"/>
      <c r="MAP117" s="15"/>
      <c r="MAQ117" s="15"/>
      <c r="MAR117" s="15"/>
      <c r="MAS117" s="15"/>
      <c r="MAT117" s="15"/>
      <c r="MAU117" s="15"/>
      <c r="MAV117" s="15"/>
      <c r="MAW117" s="15"/>
      <c r="MAX117" s="15"/>
      <c r="MAY117" s="15"/>
      <c r="MAZ117" s="15"/>
      <c r="MBA117" s="15"/>
      <c r="MBB117" s="15"/>
      <c r="MBC117" s="15"/>
      <c r="MBD117" s="14"/>
      <c r="MBE117" s="15"/>
      <c r="MBF117" s="15"/>
      <c r="MBG117" s="15"/>
      <c r="MBH117" s="15"/>
      <c r="MBI117" s="15"/>
      <c r="MBJ117" s="15"/>
      <c r="MBK117" s="15"/>
      <c r="MBL117" s="15"/>
      <c r="MBM117" s="15"/>
      <c r="MBN117" s="15"/>
      <c r="MBO117" s="15"/>
      <c r="MBP117" s="15"/>
      <c r="MBQ117" s="15"/>
      <c r="MBR117" s="15"/>
      <c r="MBS117" s="15"/>
      <c r="MBT117" s="15"/>
      <c r="MBU117" s="15"/>
      <c r="MBV117" s="15"/>
      <c r="MBW117" s="15"/>
      <c r="MBX117" s="15"/>
      <c r="MBY117" s="15"/>
      <c r="MBZ117" s="14"/>
      <c r="MCA117" s="15"/>
      <c r="MCB117" s="15"/>
      <c r="MCC117" s="15"/>
      <c r="MCD117" s="15"/>
      <c r="MCE117" s="15"/>
      <c r="MCF117" s="15"/>
      <c r="MCG117" s="15"/>
      <c r="MCH117" s="15"/>
      <c r="MCI117" s="15"/>
      <c r="MCJ117" s="15"/>
      <c r="MCK117" s="15"/>
      <c r="MCL117" s="15"/>
      <c r="MCM117" s="15"/>
      <c r="MCN117" s="15"/>
      <c r="MCO117" s="15"/>
      <c r="MCP117" s="15"/>
      <c r="MCQ117" s="15"/>
      <c r="MCR117" s="15"/>
      <c r="MCS117" s="15"/>
      <c r="MCT117" s="15"/>
      <c r="MCU117" s="15"/>
      <c r="MCV117" s="14"/>
      <c r="MCW117" s="15"/>
      <c r="MCX117" s="15"/>
      <c r="MCY117" s="15"/>
      <c r="MCZ117" s="15"/>
      <c r="MDA117" s="15"/>
      <c r="MDB117" s="15"/>
      <c r="MDC117" s="15"/>
      <c r="MDD117" s="15"/>
      <c r="MDE117" s="15"/>
      <c r="MDF117" s="15"/>
      <c r="MDG117" s="15"/>
      <c r="MDH117" s="15"/>
      <c r="MDI117" s="15"/>
      <c r="MDJ117" s="15"/>
      <c r="MDK117" s="15"/>
      <c r="MDL117" s="15"/>
      <c r="MDM117" s="15"/>
      <c r="MDN117" s="15"/>
      <c r="MDO117" s="15"/>
      <c r="MDP117" s="15"/>
      <c r="MDQ117" s="15"/>
      <c r="MDR117" s="14"/>
      <c r="MDS117" s="15"/>
      <c r="MDT117" s="15"/>
      <c r="MDU117" s="15"/>
      <c r="MDV117" s="15"/>
      <c r="MDW117" s="15"/>
      <c r="MDX117" s="15"/>
      <c r="MDY117" s="15"/>
      <c r="MDZ117" s="15"/>
      <c r="MEA117" s="15"/>
      <c r="MEB117" s="15"/>
      <c r="MEC117" s="15"/>
      <c r="MED117" s="15"/>
      <c r="MEE117" s="15"/>
      <c r="MEF117" s="15"/>
      <c r="MEG117" s="15"/>
      <c r="MEH117" s="15"/>
      <c r="MEI117" s="15"/>
      <c r="MEJ117" s="15"/>
      <c r="MEK117" s="15"/>
      <c r="MEL117" s="15"/>
      <c r="MEM117" s="15"/>
      <c r="MEN117" s="14"/>
      <c r="MEO117" s="15"/>
      <c r="MEP117" s="15"/>
      <c r="MEQ117" s="15"/>
      <c r="MER117" s="15"/>
      <c r="MES117" s="15"/>
      <c r="MET117" s="15"/>
      <c r="MEU117" s="15"/>
      <c r="MEV117" s="15"/>
      <c r="MEW117" s="15"/>
      <c r="MEX117" s="15"/>
      <c r="MEY117" s="15"/>
      <c r="MEZ117" s="15"/>
      <c r="MFA117" s="15"/>
      <c r="MFB117" s="15"/>
      <c r="MFC117" s="15"/>
      <c r="MFD117" s="15"/>
      <c r="MFE117" s="15"/>
      <c r="MFF117" s="15"/>
      <c r="MFG117" s="15"/>
      <c r="MFH117" s="15"/>
      <c r="MFI117" s="15"/>
      <c r="MFJ117" s="14"/>
      <c r="MFK117" s="15"/>
      <c r="MFL117" s="15"/>
      <c r="MFM117" s="15"/>
      <c r="MFN117" s="15"/>
      <c r="MFO117" s="15"/>
      <c r="MFP117" s="15"/>
      <c r="MFQ117" s="15"/>
      <c r="MFR117" s="15"/>
      <c r="MFS117" s="15"/>
      <c r="MFT117" s="15"/>
      <c r="MFU117" s="15"/>
      <c r="MFV117" s="15"/>
      <c r="MFW117" s="15"/>
      <c r="MFX117" s="15"/>
      <c r="MFY117" s="15"/>
      <c r="MFZ117" s="15"/>
      <c r="MGA117" s="15"/>
      <c r="MGB117" s="15"/>
      <c r="MGC117" s="15"/>
      <c r="MGD117" s="15"/>
      <c r="MGE117" s="15"/>
      <c r="MGF117" s="14"/>
      <c r="MGG117" s="15"/>
      <c r="MGH117" s="15"/>
      <c r="MGI117" s="15"/>
      <c r="MGJ117" s="15"/>
      <c r="MGK117" s="15"/>
      <c r="MGL117" s="15"/>
      <c r="MGM117" s="15"/>
      <c r="MGN117" s="15"/>
      <c r="MGO117" s="15"/>
      <c r="MGP117" s="15"/>
      <c r="MGQ117" s="15"/>
      <c r="MGR117" s="15"/>
      <c r="MGS117" s="15"/>
      <c r="MGT117" s="15"/>
      <c r="MGU117" s="15"/>
      <c r="MGV117" s="15"/>
      <c r="MGW117" s="15"/>
      <c r="MGX117" s="15"/>
      <c r="MGY117" s="15"/>
      <c r="MGZ117" s="15"/>
      <c r="MHA117" s="15"/>
      <c r="MHB117" s="14"/>
      <c r="MHC117" s="15"/>
      <c r="MHD117" s="15"/>
      <c r="MHE117" s="15"/>
      <c r="MHF117" s="15"/>
      <c r="MHG117" s="15"/>
      <c r="MHH117" s="15"/>
      <c r="MHI117" s="15"/>
      <c r="MHJ117" s="15"/>
      <c r="MHK117" s="15"/>
      <c r="MHL117" s="15"/>
      <c r="MHM117" s="15"/>
      <c r="MHN117" s="15"/>
      <c r="MHO117" s="15"/>
      <c r="MHP117" s="15"/>
      <c r="MHQ117" s="15"/>
      <c r="MHR117" s="15"/>
      <c r="MHS117" s="15"/>
      <c r="MHT117" s="15"/>
      <c r="MHU117" s="15"/>
      <c r="MHV117" s="15"/>
      <c r="MHW117" s="15"/>
      <c r="MHX117" s="14"/>
      <c r="MHY117" s="15"/>
      <c r="MHZ117" s="15"/>
      <c r="MIA117" s="15"/>
      <c r="MIB117" s="15"/>
      <c r="MIC117" s="15"/>
      <c r="MID117" s="15"/>
      <c r="MIE117" s="15"/>
      <c r="MIF117" s="15"/>
      <c r="MIG117" s="15"/>
      <c r="MIH117" s="15"/>
      <c r="MII117" s="15"/>
      <c r="MIJ117" s="15"/>
      <c r="MIK117" s="15"/>
      <c r="MIL117" s="15"/>
      <c r="MIM117" s="15"/>
      <c r="MIN117" s="15"/>
      <c r="MIO117" s="15"/>
      <c r="MIP117" s="15"/>
      <c r="MIQ117" s="15"/>
      <c r="MIR117" s="15"/>
      <c r="MIS117" s="15"/>
      <c r="MIT117" s="14"/>
      <c r="MIU117" s="15"/>
      <c r="MIV117" s="15"/>
      <c r="MIW117" s="15"/>
      <c r="MIX117" s="15"/>
      <c r="MIY117" s="15"/>
      <c r="MIZ117" s="15"/>
      <c r="MJA117" s="15"/>
      <c r="MJB117" s="15"/>
      <c r="MJC117" s="15"/>
      <c r="MJD117" s="15"/>
      <c r="MJE117" s="15"/>
      <c r="MJF117" s="15"/>
      <c r="MJG117" s="15"/>
      <c r="MJH117" s="15"/>
      <c r="MJI117" s="15"/>
      <c r="MJJ117" s="15"/>
      <c r="MJK117" s="15"/>
      <c r="MJL117" s="15"/>
      <c r="MJM117" s="15"/>
      <c r="MJN117" s="15"/>
      <c r="MJO117" s="15"/>
      <c r="MJP117" s="14"/>
      <c r="MJQ117" s="15"/>
      <c r="MJR117" s="15"/>
      <c r="MJS117" s="15"/>
      <c r="MJT117" s="15"/>
      <c r="MJU117" s="15"/>
      <c r="MJV117" s="15"/>
      <c r="MJW117" s="15"/>
      <c r="MJX117" s="15"/>
      <c r="MJY117" s="15"/>
      <c r="MJZ117" s="15"/>
      <c r="MKA117" s="15"/>
      <c r="MKB117" s="15"/>
      <c r="MKC117" s="15"/>
      <c r="MKD117" s="15"/>
      <c r="MKE117" s="15"/>
      <c r="MKF117" s="15"/>
      <c r="MKG117" s="15"/>
      <c r="MKH117" s="15"/>
      <c r="MKI117" s="15"/>
      <c r="MKJ117" s="15"/>
      <c r="MKK117" s="15"/>
      <c r="MKL117" s="14"/>
      <c r="MKM117" s="15"/>
      <c r="MKN117" s="15"/>
      <c r="MKO117" s="15"/>
      <c r="MKP117" s="15"/>
      <c r="MKQ117" s="15"/>
      <c r="MKR117" s="15"/>
      <c r="MKS117" s="15"/>
      <c r="MKT117" s="15"/>
      <c r="MKU117" s="15"/>
      <c r="MKV117" s="15"/>
      <c r="MKW117" s="15"/>
      <c r="MKX117" s="15"/>
      <c r="MKY117" s="15"/>
      <c r="MKZ117" s="15"/>
      <c r="MLA117" s="15"/>
      <c r="MLB117" s="15"/>
      <c r="MLC117" s="15"/>
      <c r="MLD117" s="15"/>
      <c r="MLE117" s="15"/>
      <c r="MLF117" s="15"/>
      <c r="MLG117" s="15"/>
      <c r="MLH117" s="14"/>
      <c r="MLI117" s="15"/>
      <c r="MLJ117" s="15"/>
      <c r="MLK117" s="15"/>
      <c r="MLL117" s="15"/>
      <c r="MLM117" s="15"/>
      <c r="MLN117" s="15"/>
      <c r="MLO117" s="15"/>
      <c r="MLP117" s="15"/>
      <c r="MLQ117" s="15"/>
      <c r="MLR117" s="15"/>
      <c r="MLS117" s="15"/>
      <c r="MLT117" s="15"/>
      <c r="MLU117" s="15"/>
      <c r="MLV117" s="15"/>
      <c r="MLW117" s="15"/>
      <c r="MLX117" s="15"/>
      <c r="MLY117" s="15"/>
      <c r="MLZ117" s="15"/>
      <c r="MMA117" s="15"/>
      <c r="MMB117" s="15"/>
      <c r="MMC117" s="15"/>
      <c r="MMD117" s="14"/>
      <c r="MME117" s="15"/>
      <c r="MMF117" s="15"/>
      <c r="MMG117" s="15"/>
      <c r="MMH117" s="15"/>
      <c r="MMI117" s="15"/>
      <c r="MMJ117" s="15"/>
      <c r="MMK117" s="15"/>
      <c r="MML117" s="15"/>
      <c r="MMM117" s="15"/>
      <c r="MMN117" s="15"/>
      <c r="MMO117" s="15"/>
      <c r="MMP117" s="15"/>
      <c r="MMQ117" s="15"/>
      <c r="MMR117" s="15"/>
      <c r="MMS117" s="15"/>
      <c r="MMT117" s="15"/>
      <c r="MMU117" s="15"/>
      <c r="MMV117" s="15"/>
      <c r="MMW117" s="15"/>
      <c r="MMX117" s="15"/>
      <c r="MMY117" s="15"/>
      <c r="MMZ117" s="14"/>
      <c r="MNA117" s="15"/>
      <c r="MNB117" s="15"/>
      <c r="MNC117" s="15"/>
      <c r="MND117" s="15"/>
      <c r="MNE117" s="15"/>
      <c r="MNF117" s="15"/>
      <c r="MNG117" s="15"/>
      <c r="MNH117" s="15"/>
      <c r="MNI117" s="15"/>
      <c r="MNJ117" s="15"/>
      <c r="MNK117" s="15"/>
      <c r="MNL117" s="15"/>
      <c r="MNM117" s="15"/>
      <c r="MNN117" s="15"/>
      <c r="MNO117" s="15"/>
      <c r="MNP117" s="15"/>
      <c r="MNQ117" s="15"/>
      <c r="MNR117" s="15"/>
      <c r="MNS117" s="15"/>
      <c r="MNT117" s="15"/>
      <c r="MNU117" s="15"/>
      <c r="MNV117" s="14"/>
      <c r="MNW117" s="15"/>
      <c r="MNX117" s="15"/>
      <c r="MNY117" s="15"/>
      <c r="MNZ117" s="15"/>
      <c r="MOA117" s="15"/>
      <c r="MOB117" s="15"/>
      <c r="MOC117" s="15"/>
      <c r="MOD117" s="15"/>
      <c r="MOE117" s="15"/>
      <c r="MOF117" s="15"/>
      <c r="MOG117" s="15"/>
      <c r="MOH117" s="15"/>
      <c r="MOI117" s="15"/>
      <c r="MOJ117" s="15"/>
      <c r="MOK117" s="15"/>
      <c r="MOL117" s="15"/>
      <c r="MOM117" s="15"/>
      <c r="MON117" s="15"/>
      <c r="MOO117" s="15"/>
      <c r="MOP117" s="15"/>
      <c r="MOQ117" s="15"/>
      <c r="MOR117" s="14"/>
      <c r="MOS117" s="15"/>
      <c r="MOT117" s="15"/>
      <c r="MOU117" s="15"/>
      <c r="MOV117" s="15"/>
      <c r="MOW117" s="15"/>
      <c r="MOX117" s="15"/>
      <c r="MOY117" s="15"/>
      <c r="MOZ117" s="15"/>
      <c r="MPA117" s="15"/>
      <c r="MPB117" s="15"/>
      <c r="MPC117" s="15"/>
      <c r="MPD117" s="15"/>
      <c r="MPE117" s="15"/>
      <c r="MPF117" s="15"/>
      <c r="MPG117" s="15"/>
      <c r="MPH117" s="15"/>
      <c r="MPI117" s="15"/>
      <c r="MPJ117" s="15"/>
      <c r="MPK117" s="15"/>
      <c r="MPL117" s="15"/>
      <c r="MPM117" s="15"/>
      <c r="MPN117" s="14"/>
      <c r="MPO117" s="15"/>
      <c r="MPP117" s="15"/>
      <c r="MPQ117" s="15"/>
      <c r="MPR117" s="15"/>
      <c r="MPS117" s="15"/>
      <c r="MPT117" s="15"/>
      <c r="MPU117" s="15"/>
      <c r="MPV117" s="15"/>
      <c r="MPW117" s="15"/>
      <c r="MPX117" s="15"/>
      <c r="MPY117" s="15"/>
      <c r="MPZ117" s="15"/>
      <c r="MQA117" s="15"/>
      <c r="MQB117" s="15"/>
      <c r="MQC117" s="15"/>
      <c r="MQD117" s="15"/>
      <c r="MQE117" s="15"/>
      <c r="MQF117" s="15"/>
      <c r="MQG117" s="15"/>
      <c r="MQH117" s="15"/>
      <c r="MQI117" s="15"/>
      <c r="MQJ117" s="14"/>
      <c r="MQK117" s="15"/>
      <c r="MQL117" s="15"/>
      <c r="MQM117" s="15"/>
      <c r="MQN117" s="15"/>
      <c r="MQO117" s="15"/>
      <c r="MQP117" s="15"/>
      <c r="MQQ117" s="15"/>
      <c r="MQR117" s="15"/>
      <c r="MQS117" s="15"/>
      <c r="MQT117" s="15"/>
      <c r="MQU117" s="15"/>
      <c r="MQV117" s="15"/>
      <c r="MQW117" s="15"/>
      <c r="MQX117" s="15"/>
      <c r="MQY117" s="15"/>
      <c r="MQZ117" s="15"/>
      <c r="MRA117" s="15"/>
      <c r="MRB117" s="15"/>
      <c r="MRC117" s="15"/>
      <c r="MRD117" s="15"/>
      <c r="MRE117" s="15"/>
      <c r="MRF117" s="14"/>
      <c r="MRG117" s="15"/>
      <c r="MRH117" s="15"/>
      <c r="MRI117" s="15"/>
      <c r="MRJ117" s="15"/>
      <c r="MRK117" s="15"/>
      <c r="MRL117" s="15"/>
      <c r="MRM117" s="15"/>
      <c r="MRN117" s="15"/>
      <c r="MRO117" s="15"/>
      <c r="MRP117" s="15"/>
      <c r="MRQ117" s="15"/>
      <c r="MRR117" s="15"/>
      <c r="MRS117" s="15"/>
      <c r="MRT117" s="15"/>
      <c r="MRU117" s="15"/>
      <c r="MRV117" s="15"/>
      <c r="MRW117" s="15"/>
      <c r="MRX117" s="15"/>
      <c r="MRY117" s="15"/>
      <c r="MRZ117" s="15"/>
      <c r="MSA117" s="15"/>
      <c r="MSB117" s="14"/>
      <c r="MSC117" s="15"/>
      <c r="MSD117" s="15"/>
      <c r="MSE117" s="15"/>
      <c r="MSF117" s="15"/>
      <c r="MSG117" s="15"/>
      <c r="MSH117" s="15"/>
      <c r="MSI117" s="15"/>
      <c r="MSJ117" s="15"/>
      <c r="MSK117" s="15"/>
      <c r="MSL117" s="15"/>
      <c r="MSM117" s="15"/>
      <c r="MSN117" s="15"/>
      <c r="MSO117" s="15"/>
      <c r="MSP117" s="15"/>
      <c r="MSQ117" s="15"/>
      <c r="MSR117" s="15"/>
      <c r="MSS117" s="15"/>
      <c r="MST117" s="15"/>
      <c r="MSU117" s="15"/>
      <c r="MSV117" s="15"/>
      <c r="MSW117" s="15"/>
      <c r="MSX117" s="14"/>
      <c r="MSY117" s="15"/>
      <c r="MSZ117" s="15"/>
      <c r="MTA117" s="15"/>
      <c r="MTB117" s="15"/>
      <c r="MTC117" s="15"/>
      <c r="MTD117" s="15"/>
      <c r="MTE117" s="15"/>
      <c r="MTF117" s="15"/>
      <c r="MTG117" s="15"/>
      <c r="MTH117" s="15"/>
      <c r="MTI117" s="15"/>
      <c r="MTJ117" s="15"/>
      <c r="MTK117" s="15"/>
      <c r="MTL117" s="15"/>
      <c r="MTM117" s="15"/>
      <c r="MTN117" s="15"/>
      <c r="MTO117" s="15"/>
      <c r="MTP117" s="15"/>
      <c r="MTQ117" s="15"/>
      <c r="MTR117" s="15"/>
      <c r="MTS117" s="15"/>
      <c r="MTT117" s="14"/>
      <c r="MTU117" s="15"/>
      <c r="MTV117" s="15"/>
      <c r="MTW117" s="15"/>
      <c r="MTX117" s="15"/>
      <c r="MTY117" s="15"/>
      <c r="MTZ117" s="15"/>
      <c r="MUA117" s="15"/>
      <c r="MUB117" s="15"/>
      <c r="MUC117" s="15"/>
      <c r="MUD117" s="15"/>
      <c r="MUE117" s="15"/>
      <c r="MUF117" s="15"/>
      <c r="MUG117" s="15"/>
      <c r="MUH117" s="15"/>
      <c r="MUI117" s="15"/>
      <c r="MUJ117" s="15"/>
      <c r="MUK117" s="15"/>
      <c r="MUL117" s="15"/>
      <c r="MUM117" s="15"/>
      <c r="MUN117" s="15"/>
      <c r="MUO117" s="15"/>
      <c r="MUP117" s="14"/>
      <c r="MUQ117" s="15"/>
      <c r="MUR117" s="15"/>
      <c r="MUS117" s="15"/>
      <c r="MUT117" s="15"/>
      <c r="MUU117" s="15"/>
      <c r="MUV117" s="15"/>
      <c r="MUW117" s="15"/>
      <c r="MUX117" s="15"/>
      <c r="MUY117" s="15"/>
      <c r="MUZ117" s="15"/>
      <c r="MVA117" s="15"/>
      <c r="MVB117" s="15"/>
      <c r="MVC117" s="15"/>
      <c r="MVD117" s="15"/>
      <c r="MVE117" s="15"/>
      <c r="MVF117" s="15"/>
      <c r="MVG117" s="15"/>
      <c r="MVH117" s="15"/>
      <c r="MVI117" s="15"/>
      <c r="MVJ117" s="15"/>
      <c r="MVK117" s="15"/>
      <c r="MVL117" s="14"/>
      <c r="MVM117" s="15"/>
      <c r="MVN117" s="15"/>
      <c r="MVO117" s="15"/>
      <c r="MVP117" s="15"/>
      <c r="MVQ117" s="15"/>
      <c r="MVR117" s="15"/>
      <c r="MVS117" s="15"/>
      <c r="MVT117" s="15"/>
      <c r="MVU117" s="15"/>
      <c r="MVV117" s="15"/>
      <c r="MVW117" s="15"/>
      <c r="MVX117" s="15"/>
      <c r="MVY117" s="15"/>
      <c r="MVZ117" s="15"/>
      <c r="MWA117" s="15"/>
      <c r="MWB117" s="15"/>
      <c r="MWC117" s="15"/>
      <c r="MWD117" s="15"/>
      <c r="MWE117" s="15"/>
      <c r="MWF117" s="15"/>
      <c r="MWG117" s="15"/>
      <c r="MWH117" s="14"/>
      <c r="MWI117" s="15"/>
      <c r="MWJ117" s="15"/>
      <c r="MWK117" s="15"/>
      <c r="MWL117" s="15"/>
      <c r="MWM117" s="15"/>
      <c r="MWN117" s="15"/>
      <c r="MWO117" s="15"/>
      <c r="MWP117" s="15"/>
      <c r="MWQ117" s="15"/>
      <c r="MWR117" s="15"/>
      <c r="MWS117" s="15"/>
      <c r="MWT117" s="15"/>
      <c r="MWU117" s="15"/>
      <c r="MWV117" s="15"/>
      <c r="MWW117" s="15"/>
      <c r="MWX117" s="15"/>
      <c r="MWY117" s="15"/>
      <c r="MWZ117" s="15"/>
      <c r="MXA117" s="15"/>
      <c r="MXB117" s="15"/>
      <c r="MXC117" s="15"/>
      <c r="MXD117" s="14"/>
      <c r="MXE117" s="15"/>
      <c r="MXF117" s="15"/>
      <c r="MXG117" s="15"/>
      <c r="MXH117" s="15"/>
      <c r="MXI117" s="15"/>
      <c r="MXJ117" s="15"/>
      <c r="MXK117" s="15"/>
      <c r="MXL117" s="15"/>
      <c r="MXM117" s="15"/>
      <c r="MXN117" s="15"/>
      <c r="MXO117" s="15"/>
      <c r="MXP117" s="15"/>
      <c r="MXQ117" s="15"/>
      <c r="MXR117" s="15"/>
      <c r="MXS117" s="15"/>
      <c r="MXT117" s="15"/>
      <c r="MXU117" s="15"/>
      <c r="MXV117" s="15"/>
      <c r="MXW117" s="15"/>
      <c r="MXX117" s="15"/>
      <c r="MXY117" s="15"/>
      <c r="MXZ117" s="14"/>
      <c r="MYA117" s="15"/>
      <c r="MYB117" s="15"/>
      <c r="MYC117" s="15"/>
      <c r="MYD117" s="15"/>
      <c r="MYE117" s="15"/>
      <c r="MYF117" s="15"/>
      <c r="MYG117" s="15"/>
      <c r="MYH117" s="15"/>
      <c r="MYI117" s="15"/>
      <c r="MYJ117" s="15"/>
      <c r="MYK117" s="15"/>
      <c r="MYL117" s="15"/>
      <c r="MYM117" s="15"/>
      <c r="MYN117" s="15"/>
      <c r="MYO117" s="15"/>
      <c r="MYP117" s="15"/>
      <c r="MYQ117" s="15"/>
      <c r="MYR117" s="15"/>
      <c r="MYS117" s="15"/>
      <c r="MYT117" s="15"/>
      <c r="MYU117" s="15"/>
      <c r="MYV117" s="14"/>
      <c r="MYW117" s="15"/>
      <c r="MYX117" s="15"/>
      <c r="MYY117" s="15"/>
      <c r="MYZ117" s="15"/>
      <c r="MZA117" s="15"/>
      <c r="MZB117" s="15"/>
      <c r="MZC117" s="15"/>
      <c r="MZD117" s="15"/>
      <c r="MZE117" s="15"/>
      <c r="MZF117" s="15"/>
      <c r="MZG117" s="15"/>
      <c r="MZH117" s="15"/>
      <c r="MZI117" s="15"/>
      <c r="MZJ117" s="15"/>
      <c r="MZK117" s="15"/>
      <c r="MZL117" s="15"/>
      <c r="MZM117" s="15"/>
      <c r="MZN117" s="15"/>
      <c r="MZO117" s="15"/>
      <c r="MZP117" s="15"/>
      <c r="MZQ117" s="15"/>
      <c r="MZR117" s="14"/>
      <c r="MZS117" s="15"/>
      <c r="MZT117" s="15"/>
      <c r="MZU117" s="15"/>
      <c r="MZV117" s="15"/>
      <c r="MZW117" s="15"/>
      <c r="MZX117" s="15"/>
      <c r="MZY117" s="15"/>
      <c r="MZZ117" s="15"/>
      <c r="NAA117" s="15"/>
      <c r="NAB117" s="15"/>
      <c r="NAC117" s="15"/>
      <c r="NAD117" s="15"/>
      <c r="NAE117" s="15"/>
      <c r="NAF117" s="15"/>
      <c r="NAG117" s="15"/>
      <c r="NAH117" s="15"/>
      <c r="NAI117" s="15"/>
      <c r="NAJ117" s="15"/>
      <c r="NAK117" s="15"/>
      <c r="NAL117" s="15"/>
      <c r="NAM117" s="15"/>
      <c r="NAN117" s="14"/>
      <c r="NAO117" s="15"/>
      <c r="NAP117" s="15"/>
      <c r="NAQ117" s="15"/>
      <c r="NAR117" s="15"/>
      <c r="NAS117" s="15"/>
      <c r="NAT117" s="15"/>
      <c r="NAU117" s="15"/>
      <c r="NAV117" s="15"/>
      <c r="NAW117" s="15"/>
      <c r="NAX117" s="15"/>
      <c r="NAY117" s="15"/>
      <c r="NAZ117" s="15"/>
      <c r="NBA117" s="15"/>
      <c r="NBB117" s="15"/>
      <c r="NBC117" s="15"/>
      <c r="NBD117" s="15"/>
      <c r="NBE117" s="15"/>
      <c r="NBF117" s="15"/>
      <c r="NBG117" s="15"/>
      <c r="NBH117" s="15"/>
      <c r="NBI117" s="15"/>
      <c r="NBJ117" s="14"/>
      <c r="NBK117" s="15"/>
      <c r="NBL117" s="15"/>
      <c r="NBM117" s="15"/>
      <c r="NBN117" s="15"/>
      <c r="NBO117" s="15"/>
      <c r="NBP117" s="15"/>
      <c r="NBQ117" s="15"/>
      <c r="NBR117" s="15"/>
      <c r="NBS117" s="15"/>
      <c r="NBT117" s="15"/>
      <c r="NBU117" s="15"/>
      <c r="NBV117" s="15"/>
      <c r="NBW117" s="15"/>
      <c r="NBX117" s="15"/>
      <c r="NBY117" s="15"/>
      <c r="NBZ117" s="15"/>
      <c r="NCA117" s="15"/>
      <c r="NCB117" s="15"/>
      <c r="NCC117" s="15"/>
      <c r="NCD117" s="15"/>
      <c r="NCE117" s="15"/>
      <c r="NCF117" s="14"/>
      <c r="NCG117" s="15"/>
      <c r="NCH117" s="15"/>
      <c r="NCI117" s="15"/>
      <c r="NCJ117" s="15"/>
      <c r="NCK117" s="15"/>
      <c r="NCL117" s="15"/>
      <c r="NCM117" s="15"/>
      <c r="NCN117" s="15"/>
      <c r="NCO117" s="15"/>
      <c r="NCP117" s="15"/>
      <c r="NCQ117" s="15"/>
      <c r="NCR117" s="15"/>
      <c r="NCS117" s="15"/>
      <c r="NCT117" s="15"/>
      <c r="NCU117" s="15"/>
      <c r="NCV117" s="15"/>
      <c r="NCW117" s="15"/>
      <c r="NCX117" s="15"/>
      <c r="NCY117" s="15"/>
      <c r="NCZ117" s="15"/>
      <c r="NDA117" s="15"/>
      <c r="NDB117" s="14"/>
      <c r="NDC117" s="15"/>
      <c r="NDD117" s="15"/>
      <c r="NDE117" s="15"/>
      <c r="NDF117" s="15"/>
      <c r="NDG117" s="15"/>
      <c r="NDH117" s="15"/>
      <c r="NDI117" s="15"/>
      <c r="NDJ117" s="15"/>
      <c r="NDK117" s="15"/>
      <c r="NDL117" s="15"/>
      <c r="NDM117" s="15"/>
      <c r="NDN117" s="15"/>
      <c r="NDO117" s="15"/>
      <c r="NDP117" s="15"/>
      <c r="NDQ117" s="15"/>
      <c r="NDR117" s="15"/>
      <c r="NDS117" s="15"/>
      <c r="NDT117" s="15"/>
      <c r="NDU117" s="15"/>
      <c r="NDV117" s="15"/>
      <c r="NDW117" s="15"/>
      <c r="NDX117" s="14"/>
      <c r="NDY117" s="15"/>
      <c r="NDZ117" s="15"/>
      <c r="NEA117" s="15"/>
      <c r="NEB117" s="15"/>
      <c r="NEC117" s="15"/>
      <c r="NED117" s="15"/>
      <c r="NEE117" s="15"/>
      <c r="NEF117" s="15"/>
      <c r="NEG117" s="15"/>
      <c r="NEH117" s="15"/>
      <c r="NEI117" s="15"/>
      <c r="NEJ117" s="15"/>
      <c r="NEK117" s="15"/>
      <c r="NEL117" s="15"/>
      <c r="NEM117" s="15"/>
      <c r="NEN117" s="15"/>
      <c r="NEO117" s="15"/>
      <c r="NEP117" s="15"/>
      <c r="NEQ117" s="15"/>
      <c r="NER117" s="15"/>
      <c r="NES117" s="15"/>
      <c r="NET117" s="14"/>
      <c r="NEU117" s="15"/>
      <c r="NEV117" s="15"/>
      <c r="NEW117" s="15"/>
      <c r="NEX117" s="15"/>
      <c r="NEY117" s="15"/>
      <c r="NEZ117" s="15"/>
      <c r="NFA117" s="15"/>
      <c r="NFB117" s="15"/>
      <c r="NFC117" s="15"/>
      <c r="NFD117" s="15"/>
      <c r="NFE117" s="15"/>
      <c r="NFF117" s="15"/>
      <c r="NFG117" s="15"/>
      <c r="NFH117" s="15"/>
      <c r="NFI117" s="15"/>
      <c r="NFJ117" s="15"/>
      <c r="NFK117" s="15"/>
      <c r="NFL117" s="15"/>
      <c r="NFM117" s="15"/>
      <c r="NFN117" s="15"/>
      <c r="NFO117" s="15"/>
      <c r="NFP117" s="14"/>
      <c r="NFQ117" s="15"/>
      <c r="NFR117" s="15"/>
      <c r="NFS117" s="15"/>
      <c r="NFT117" s="15"/>
      <c r="NFU117" s="15"/>
      <c r="NFV117" s="15"/>
      <c r="NFW117" s="15"/>
      <c r="NFX117" s="15"/>
      <c r="NFY117" s="15"/>
      <c r="NFZ117" s="15"/>
      <c r="NGA117" s="15"/>
      <c r="NGB117" s="15"/>
      <c r="NGC117" s="15"/>
      <c r="NGD117" s="15"/>
      <c r="NGE117" s="15"/>
      <c r="NGF117" s="15"/>
      <c r="NGG117" s="15"/>
      <c r="NGH117" s="15"/>
      <c r="NGI117" s="15"/>
      <c r="NGJ117" s="15"/>
      <c r="NGK117" s="15"/>
      <c r="NGL117" s="14"/>
      <c r="NGM117" s="15"/>
      <c r="NGN117" s="15"/>
      <c r="NGO117" s="15"/>
      <c r="NGP117" s="15"/>
      <c r="NGQ117" s="15"/>
      <c r="NGR117" s="15"/>
      <c r="NGS117" s="15"/>
      <c r="NGT117" s="15"/>
      <c r="NGU117" s="15"/>
      <c r="NGV117" s="15"/>
      <c r="NGW117" s="15"/>
      <c r="NGX117" s="15"/>
      <c r="NGY117" s="15"/>
      <c r="NGZ117" s="15"/>
      <c r="NHA117" s="15"/>
      <c r="NHB117" s="15"/>
      <c r="NHC117" s="15"/>
      <c r="NHD117" s="15"/>
      <c r="NHE117" s="15"/>
      <c r="NHF117" s="15"/>
      <c r="NHG117" s="15"/>
      <c r="NHH117" s="14"/>
      <c r="NHI117" s="15"/>
      <c r="NHJ117" s="15"/>
      <c r="NHK117" s="15"/>
      <c r="NHL117" s="15"/>
      <c r="NHM117" s="15"/>
      <c r="NHN117" s="15"/>
      <c r="NHO117" s="15"/>
      <c r="NHP117" s="15"/>
      <c r="NHQ117" s="15"/>
      <c r="NHR117" s="15"/>
      <c r="NHS117" s="15"/>
      <c r="NHT117" s="15"/>
      <c r="NHU117" s="15"/>
      <c r="NHV117" s="15"/>
      <c r="NHW117" s="15"/>
      <c r="NHX117" s="15"/>
      <c r="NHY117" s="15"/>
      <c r="NHZ117" s="15"/>
      <c r="NIA117" s="15"/>
      <c r="NIB117" s="15"/>
      <c r="NIC117" s="15"/>
      <c r="NID117" s="14"/>
      <c r="NIE117" s="15"/>
      <c r="NIF117" s="15"/>
      <c r="NIG117" s="15"/>
      <c r="NIH117" s="15"/>
      <c r="NII117" s="15"/>
      <c r="NIJ117" s="15"/>
      <c r="NIK117" s="15"/>
      <c r="NIL117" s="15"/>
      <c r="NIM117" s="15"/>
      <c r="NIN117" s="15"/>
      <c r="NIO117" s="15"/>
      <c r="NIP117" s="15"/>
      <c r="NIQ117" s="15"/>
      <c r="NIR117" s="15"/>
      <c r="NIS117" s="15"/>
      <c r="NIT117" s="15"/>
      <c r="NIU117" s="15"/>
      <c r="NIV117" s="15"/>
      <c r="NIW117" s="15"/>
      <c r="NIX117" s="15"/>
      <c r="NIY117" s="15"/>
      <c r="NIZ117" s="14"/>
      <c r="NJA117" s="15"/>
      <c r="NJB117" s="15"/>
      <c r="NJC117" s="15"/>
      <c r="NJD117" s="15"/>
      <c r="NJE117" s="15"/>
      <c r="NJF117" s="15"/>
      <c r="NJG117" s="15"/>
      <c r="NJH117" s="15"/>
      <c r="NJI117" s="15"/>
      <c r="NJJ117" s="15"/>
      <c r="NJK117" s="15"/>
      <c r="NJL117" s="15"/>
      <c r="NJM117" s="15"/>
      <c r="NJN117" s="15"/>
      <c r="NJO117" s="15"/>
      <c r="NJP117" s="15"/>
      <c r="NJQ117" s="15"/>
      <c r="NJR117" s="15"/>
      <c r="NJS117" s="15"/>
      <c r="NJT117" s="15"/>
      <c r="NJU117" s="15"/>
      <c r="NJV117" s="14"/>
      <c r="NJW117" s="15"/>
      <c r="NJX117" s="15"/>
      <c r="NJY117" s="15"/>
      <c r="NJZ117" s="15"/>
      <c r="NKA117" s="15"/>
      <c r="NKB117" s="15"/>
      <c r="NKC117" s="15"/>
      <c r="NKD117" s="15"/>
      <c r="NKE117" s="15"/>
      <c r="NKF117" s="15"/>
      <c r="NKG117" s="15"/>
      <c r="NKH117" s="15"/>
      <c r="NKI117" s="15"/>
      <c r="NKJ117" s="15"/>
      <c r="NKK117" s="15"/>
      <c r="NKL117" s="15"/>
      <c r="NKM117" s="15"/>
      <c r="NKN117" s="15"/>
      <c r="NKO117" s="15"/>
      <c r="NKP117" s="15"/>
      <c r="NKQ117" s="15"/>
      <c r="NKR117" s="14"/>
      <c r="NKS117" s="15"/>
      <c r="NKT117" s="15"/>
      <c r="NKU117" s="15"/>
      <c r="NKV117" s="15"/>
      <c r="NKW117" s="15"/>
      <c r="NKX117" s="15"/>
      <c r="NKY117" s="15"/>
      <c r="NKZ117" s="15"/>
      <c r="NLA117" s="15"/>
      <c r="NLB117" s="15"/>
      <c r="NLC117" s="15"/>
      <c r="NLD117" s="15"/>
      <c r="NLE117" s="15"/>
      <c r="NLF117" s="15"/>
      <c r="NLG117" s="15"/>
      <c r="NLH117" s="15"/>
      <c r="NLI117" s="15"/>
      <c r="NLJ117" s="15"/>
      <c r="NLK117" s="15"/>
      <c r="NLL117" s="15"/>
      <c r="NLM117" s="15"/>
      <c r="NLN117" s="14"/>
      <c r="NLO117" s="15"/>
      <c r="NLP117" s="15"/>
      <c r="NLQ117" s="15"/>
      <c r="NLR117" s="15"/>
      <c r="NLS117" s="15"/>
      <c r="NLT117" s="15"/>
      <c r="NLU117" s="15"/>
      <c r="NLV117" s="15"/>
      <c r="NLW117" s="15"/>
      <c r="NLX117" s="15"/>
      <c r="NLY117" s="15"/>
      <c r="NLZ117" s="15"/>
      <c r="NMA117" s="15"/>
      <c r="NMB117" s="15"/>
      <c r="NMC117" s="15"/>
      <c r="NMD117" s="15"/>
      <c r="NME117" s="15"/>
      <c r="NMF117" s="15"/>
      <c r="NMG117" s="15"/>
      <c r="NMH117" s="15"/>
      <c r="NMI117" s="15"/>
      <c r="NMJ117" s="14"/>
      <c r="NMK117" s="15"/>
      <c r="NML117" s="15"/>
      <c r="NMM117" s="15"/>
      <c r="NMN117" s="15"/>
      <c r="NMO117" s="15"/>
      <c r="NMP117" s="15"/>
      <c r="NMQ117" s="15"/>
      <c r="NMR117" s="15"/>
      <c r="NMS117" s="15"/>
      <c r="NMT117" s="15"/>
      <c r="NMU117" s="15"/>
      <c r="NMV117" s="15"/>
      <c r="NMW117" s="15"/>
      <c r="NMX117" s="15"/>
      <c r="NMY117" s="15"/>
      <c r="NMZ117" s="15"/>
      <c r="NNA117" s="15"/>
      <c r="NNB117" s="15"/>
      <c r="NNC117" s="15"/>
      <c r="NND117" s="15"/>
      <c r="NNE117" s="15"/>
      <c r="NNF117" s="14"/>
      <c r="NNG117" s="15"/>
      <c r="NNH117" s="15"/>
      <c r="NNI117" s="15"/>
      <c r="NNJ117" s="15"/>
      <c r="NNK117" s="15"/>
      <c r="NNL117" s="15"/>
      <c r="NNM117" s="15"/>
      <c r="NNN117" s="15"/>
      <c r="NNO117" s="15"/>
      <c r="NNP117" s="15"/>
      <c r="NNQ117" s="15"/>
      <c r="NNR117" s="15"/>
      <c r="NNS117" s="15"/>
      <c r="NNT117" s="15"/>
      <c r="NNU117" s="15"/>
      <c r="NNV117" s="15"/>
      <c r="NNW117" s="15"/>
      <c r="NNX117" s="15"/>
      <c r="NNY117" s="15"/>
      <c r="NNZ117" s="15"/>
      <c r="NOA117" s="15"/>
      <c r="NOB117" s="14"/>
      <c r="NOC117" s="15"/>
      <c r="NOD117" s="15"/>
      <c r="NOE117" s="15"/>
      <c r="NOF117" s="15"/>
      <c r="NOG117" s="15"/>
      <c r="NOH117" s="15"/>
      <c r="NOI117" s="15"/>
      <c r="NOJ117" s="15"/>
      <c r="NOK117" s="15"/>
      <c r="NOL117" s="15"/>
      <c r="NOM117" s="15"/>
      <c r="NON117" s="15"/>
      <c r="NOO117" s="15"/>
      <c r="NOP117" s="15"/>
      <c r="NOQ117" s="15"/>
      <c r="NOR117" s="15"/>
      <c r="NOS117" s="15"/>
      <c r="NOT117" s="15"/>
      <c r="NOU117" s="15"/>
      <c r="NOV117" s="15"/>
      <c r="NOW117" s="15"/>
      <c r="NOX117" s="14"/>
      <c r="NOY117" s="15"/>
      <c r="NOZ117" s="15"/>
      <c r="NPA117" s="15"/>
      <c r="NPB117" s="15"/>
      <c r="NPC117" s="15"/>
      <c r="NPD117" s="15"/>
      <c r="NPE117" s="15"/>
      <c r="NPF117" s="15"/>
      <c r="NPG117" s="15"/>
      <c r="NPH117" s="15"/>
      <c r="NPI117" s="15"/>
      <c r="NPJ117" s="15"/>
      <c r="NPK117" s="15"/>
      <c r="NPL117" s="15"/>
      <c r="NPM117" s="15"/>
      <c r="NPN117" s="15"/>
      <c r="NPO117" s="15"/>
      <c r="NPP117" s="15"/>
      <c r="NPQ117" s="15"/>
      <c r="NPR117" s="15"/>
      <c r="NPS117" s="15"/>
      <c r="NPT117" s="14"/>
      <c r="NPU117" s="15"/>
      <c r="NPV117" s="15"/>
      <c r="NPW117" s="15"/>
      <c r="NPX117" s="15"/>
      <c r="NPY117" s="15"/>
      <c r="NPZ117" s="15"/>
      <c r="NQA117" s="15"/>
      <c r="NQB117" s="15"/>
      <c r="NQC117" s="15"/>
      <c r="NQD117" s="15"/>
      <c r="NQE117" s="15"/>
      <c r="NQF117" s="15"/>
      <c r="NQG117" s="15"/>
      <c r="NQH117" s="15"/>
      <c r="NQI117" s="15"/>
      <c r="NQJ117" s="15"/>
      <c r="NQK117" s="15"/>
      <c r="NQL117" s="15"/>
      <c r="NQM117" s="15"/>
      <c r="NQN117" s="15"/>
      <c r="NQO117" s="15"/>
      <c r="NQP117" s="14"/>
      <c r="NQQ117" s="15"/>
      <c r="NQR117" s="15"/>
      <c r="NQS117" s="15"/>
      <c r="NQT117" s="15"/>
      <c r="NQU117" s="15"/>
      <c r="NQV117" s="15"/>
      <c r="NQW117" s="15"/>
      <c r="NQX117" s="15"/>
      <c r="NQY117" s="15"/>
      <c r="NQZ117" s="15"/>
      <c r="NRA117" s="15"/>
      <c r="NRB117" s="15"/>
      <c r="NRC117" s="15"/>
      <c r="NRD117" s="15"/>
      <c r="NRE117" s="15"/>
      <c r="NRF117" s="15"/>
      <c r="NRG117" s="15"/>
      <c r="NRH117" s="15"/>
      <c r="NRI117" s="15"/>
      <c r="NRJ117" s="15"/>
      <c r="NRK117" s="15"/>
      <c r="NRL117" s="14"/>
      <c r="NRM117" s="15"/>
      <c r="NRN117" s="15"/>
      <c r="NRO117" s="15"/>
      <c r="NRP117" s="15"/>
      <c r="NRQ117" s="15"/>
      <c r="NRR117" s="15"/>
      <c r="NRS117" s="15"/>
      <c r="NRT117" s="15"/>
      <c r="NRU117" s="15"/>
      <c r="NRV117" s="15"/>
      <c r="NRW117" s="15"/>
      <c r="NRX117" s="15"/>
      <c r="NRY117" s="15"/>
      <c r="NRZ117" s="15"/>
      <c r="NSA117" s="15"/>
      <c r="NSB117" s="15"/>
      <c r="NSC117" s="15"/>
      <c r="NSD117" s="15"/>
      <c r="NSE117" s="15"/>
      <c r="NSF117" s="15"/>
      <c r="NSG117" s="15"/>
      <c r="NSH117" s="14"/>
      <c r="NSI117" s="15"/>
      <c r="NSJ117" s="15"/>
      <c r="NSK117" s="15"/>
      <c r="NSL117" s="15"/>
      <c r="NSM117" s="15"/>
      <c r="NSN117" s="15"/>
      <c r="NSO117" s="15"/>
      <c r="NSP117" s="15"/>
      <c r="NSQ117" s="15"/>
      <c r="NSR117" s="15"/>
      <c r="NSS117" s="15"/>
      <c r="NST117" s="15"/>
      <c r="NSU117" s="15"/>
      <c r="NSV117" s="15"/>
      <c r="NSW117" s="15"/>
      <c r="NSX117" s="15"/>
      <c r="NSY117" s="15"/>
      <c r="NSZ117" s="15"/>
      <c r="NTA117" s="15"/>
      <c r="NTB117" s="15"/>
      <c r="NTC117" s="15"/>
      <c r="NTD117" s="14"/>
      <c r="NTE117" s="15"/>
      <c r="NTF117" s="15"/>
      <c r="NTG117" s="15"/>
      <c r="NTH117" s="15"/>
      <c r="NTI117" s="15"/>
      <c r="NTJ117" s="15"/>
      <c r="NTK117" s="15"/>
      <c r="NTL117" s="15"/>
      <c r="NTM117" s="15"/>
      <c r="NTN117" s="15"/>
      <c r="NTO117" s="15"/>
      <c r="NTP117" s="15"/>
      <c r="NTQ117" s="15"/>
      <c r="NTR117" s="15"/>
      <c r="NTS117" s="15"/>
      <c r="NTT117" s="15"/>
      <c r="NTU117" s="15"/>
      <c r="NTV117" s="15"/>
      <c r="NTW117" s="15"/>
      <c r="NTX117" s="15"/>
      <c r="NTY117" s="15"/>
      <c r="NTZ117" s="14"/>
      <c r="NUA117" s="15"/>
      <c r="NUB117" s="15"/>
      <c r="NUC117" s="15"/>
      <c r="NUD117" s="15"/>
      <c r="NUE117" s="15"/>
      <c r="NUF117" s="15"/>
      <c r="NUG117" s="15"/>
      <c r="NUH117" s="15"/>
      <c r="NUI117" s="15"/>
      <c r="NUJ117" s="15"/>
      <c r="NUK117" s="15"/>
      <c r="NUL117" s="15"/>
      <c r="NUM117" s="15"/>
      <c r="NUN117" s="15"/>
      <c r="NUO117" s="15"/>
      <c r="NUP117" s="15"/>
      <c r="NUQ117" s="15"/>
      <c r="NUR117" s="15"/>
      <c r="NUS117" s="15"/>
      <c r="NUT117" s="15"/>
      <c r="NUU117" s="15"/>
      <c r="NUV117" s="14"/>
      <c r="NUW117" s="15"/>
      <c r="NUX117" s="15"/>
      <c r="NUY117" s="15"/>
      <c r="NUZ117" s="15"/>
      <c r="NVA117" s="15"/>
      <c r="NVB117" s="15"/>
      <c r="NVC117" s="15"/>
      <c r="NVD117" s="15"/>
      <c r="NVE117" s="15"/>
      <c r="NVF117" s="15"/>
      <c r="NVG117" s="15"/>
      <c r="NVH117" s="15"/>
      <c r="NVI117" s="15"/>
      <c r="NVJ117" s="15"/>
      <c r="NVK117" s="15"/>
      <c r="NVL117" s="15"/>
      <c r="NVM117" s="15"/>
      <c r="NVN117" s="15"/>
      <c r="NVO117" s="15"/>
      <c r="NVP117" s="15"/>
      <c r="NVQ117" s="15"/>
      <c r="NVR117" s="14"/>
      <c r="NVS117" s="15"/>
      <c r="NVT117" s="15"/>
      <c r="NVU117" s="15"/>
      <c r="NVV117" s="15"/>
      <c r="NVW117" s="15"/>
      <c r="NVX117" s="15"/>
      <c r="NVY117" s="15"/>
      <c r="NVZ117" s="15"/>
      <c r="NWA117" s="15"/>
      <c r="NWB117" s="15"/>
      <c r="NWC117" s="15"/>
      <c r="NWD117" s="15"/>
      <c r="NWE117" s="15"/>
      <c r="NWF117" s="15"/>
      <c r="NWG117" s="15"/>
      <c r="NWH117" s="15"/>
      <c r="NWI117" s="15"/>
      <c r="NWJ117" s="15"/>
      <c r="NWK117" s="15"/>
      <c r="NWL117" s="15"/>
      <c r="NWM117" s="15"/>
      <c r="NWN117" s="14"/>
      <c r="NWO117" s="15"/>
      <c r="NWP117" s="15"/>
      <c r="NWQ117" s="15"/>
      <c r="NWR117" s="15"/>
      <c r="NWS117" s="15"/>
      <c r="NWT117" s="15"/>
      <c r="NWU117" s="15"/>
      <c r="NWV117" s="15"/>
      <c r="NWW117" s="15"/>
      <c r="NWX117" s="15"/>
      <c r="NWY117" s="15"/>
      <c r="NWZ117" s="15"/>
      <c r="NXA117" s="15"/>
      <c r="NXB117" s="15"/>
      <c r="NXC117" s="15"/>
      <c r="NXD117" s="15"/>
      <c r="NXE117" s="15"/>
      <c r="NXF117" s="15"/>
      <c r="NXG117" s="15"/>
      <c r="NXH117" s="15"/>
      <c r="NXI117" s="15"/>
      <c r="NXJ117" s="14"/>
      <c r="NXK117" s="15"/>
      <c r="NXL117" s="15"/>
      <c r="NXM117" s="15"/>
      <c r="NXN117" s="15"/>
      <c r="NXO117" s="15"/>
      <c r="NXP117" s="15"/>
      <c r="NXQ117" s="15"/>
      <c r="NXR117" s="15"/>
      <c r="NXS117" s="15"/>
      <c r="NXT117" s="15"/>
      <c r="NXU117" s="15"/>
      <c r="NXV117" s="15"/>
      <c r="NXW117" s="15"/>
      <c r="NXX117" s="15"/>
      <c r="NXY117" s="15"/>
      <c r="NXZ117" s="15"/>
      <c r="NYA117" s="15"/>
      <c r="NYB117" s="15"/>
      <c r="NYC117" s="15"/>
      <c r="NYD117" s="15"/>
      <c r="NYE117" s="15"/>
      <c r="NYF117" s="14"/>
      <c r="NYG117" s="15"/>
      <c r="NYH117" s="15"/>
      <c r="NYI117" s="15"/>
      <c r="NYJ117" s="15"/>
      <c r="NYK117" s="15"/>
      <c r="NYL117" s="15"/>
      <c r="NYM117" s="15"/>
      <c r="NYN117" s="15"/>
      <c r="NYO117" s="15"/>
      <c r="NYP117" s="15"/>
      <c r="NYQ117" s="15"/>
      <c r="NYR117" s="15"/>
      <c r="NYS117" s="15"/>
      <c r="NYT117" s="15"/>
      <c r="NYU117" s="15"/>
      <c r="NYV117" s="15"/>
      <c r="NYW117" s="15"/>
      <c r="NYX117" s="15"/>
      <c r="NYY117" s="15"/>
      <c r="NYZ117" s="15"/>
      <c r="NZA117" s="15"/>
      <c r="NZB117" s="14"/>
      <c r="NZC117" s="15"/>
      <c r="NZD117" s="15"/>
      <c r="NZE117" s="15"/>
      <c r="NZF117" s="15"/>
      <c r="NZG117" s="15"/>
      <c r="NZH117" s="15"/>
      <c r="NZI117" s="15"/>
      <c r="NZJ117" s="15"/>
      <c r="NZK117" s="15"/>
      <c r="NZL117" s="15"/>
      <c r="NZM117" s="15"/>
      <c r="NZN117" s="15"/>
      <c r="NZO117" s="15"/>
      <c r="NZP117" s="15"/>
      <c r="NZQ117" s="15"/>
      <c r="NZR117" s="15"/>
      <c r="NZS117" s="15"/>
      <c r="NZT117" s="15"/>
      <c r="NZU117" s="15"/>
      <c r="NZV117" s="15"/>
      <c r="NZW117" s="15"/>
      <c r="NZX117" s="14"/>
      <c r="NZY117" s="15"/>
      <c r="NZZ117" s="15"/>
      <c r="OAA117" s="15"/>
      <c r="OAB117" s="15"/>
      <c r="OAC117" s="15"/>
      <c r="OAD117" s="15"/>
      <c r="OAE117" s="15"/>
      <c r="OAF117" s="15"/>
      <c r="OAG117" s="15"/>
      <c r="OAH117" s="15"/>
      <c r="OAI117" s="15"/>
      <c r="OAJ117" s="15"/>
      <c r="OAK117" s="15"/>
      <c r="OAL117" s="15"/>
      <c r="OAM117" s="15"/>
      <c r="OAN117" s="15"/>
      <c r="OAO117" s="15"/>
      <c r="OAP117" s="15"/>
      <c r="OAQ117" s="15"/>
      <c r="OAR117" s="15"/>
      <c r="OAS117" s="15"/>
      <c r="OAT117" s="14"/>
      <c r="OAU117" s="15"/>
      <c r="OAV117" s="15"/>
      <c r="OAW117" s="15"/>
      <c r="OAX117" s="15"/>
      <c r="OAY117" s="15"/>
      <c r="OAZ117" s="15"/>
      <c r="OBA117" s="15"/>
      <c r="OBB117" s="15"/>
      <c r="OBC117" s="15"/>
      <c r="OBD117" s="15"/>
      <c r="OBE117" s="15"/>
      <c r="OBF117" s="15"/>
      <c r="OBG117" s="15"/>
      <c r="OBH117" s="15"/>
      <c r="OBI117" s="15"/>
      <c r="OBJ117" s="15"/>
      <c r="OBK117" s="15"/>
      <c r="OBL117" s="15"/>
      <c r="OBM117" s="15"/>
      <c r="OBN117" s="15"/>
      <c r="OBO117" s="15"/>
      <c r="OBP117" s="14"/>
      <c r="OBQ117" s="15"/>
      <c r="OBR117" s="15"/>
      <c r="OBS117" s="15"/>
      <c r="OBT117" s="15"/>
      <c r="OBU117" s="15"/>
      <c r="OBV117" s="15"/>
      <c r="OBW117" s="15"/>
      <c r="OBX117" s="15"/>
      <c r="OBY117" s="15"/>
      <c r="OBZ117" s="15"/>
      <c r="OCA117" s="15"/>
      <c r="OCB117" s="15"/>
      <c r="OCC117" s="15"/>
      <c r="OCD117" s="15"/>
      <c r="OCE117" s="15"/>
      <c r="OCF117" s="15"/>
      <c r="OCG117" s="15"/>
      <c r="OCH117" s="15"/>
      <c r="OCI117" s="15"/>
      <c r="OCJ117" s="15"/>
      <c r="OCK117" s="15"/>
      <c r="OCL117" s="14"/>
      <c r="OCM117" s="15"/>
      <c r="OCN117" s="15"/>
      <c r="OCO117" s="15"/>
      <c r="OCP117" s="15"/>
      <c r="OCQ117" s="15"/>
      <c r="OCR117" s="15"/>
      <c r="OCS117" s="15"/>
      <c r="OCT117" s="15"/>
      <c r="OCU117" s="15"/>
      <c r="OCV117" s="15"/>
      <c r="OCW117" s="15"/>
      <c r="OCX117" s="15"/>
      <c r="OCY117" s="15"/>
      <c r="OCZ117" s="15"/>
      <c r="ODA117" s="15"/>
      <c r="ODB117" s="15"/>
      <c r="ODC117" s="15"/>
      <c r="ODD117" s="15"/>
      <c r="ODE117" s="15"/>
      <c r="ODF117" s="15"/>
      <c r="ODG117" s="15"/>
      <c r="ODH117" s="14"/>
      <c r="ODI117" s="15"/>
      <c r="ODJ117" s="15"/>
      <c r="ODK117" s="15"/>
      <c r="ODL117" s="15"/>
      <c r="ODM117" s="15"/>
      <c r="ODN117" s="15"/>
      <c r="ODO117" s="15"/>
      <c r="ODP117" s="15"/>
      <c r="ODQ117" s="15"/>
      <c r="ODR117" s="15"/>
      <c r="ODS117" s="15"/>
      <c r="ODT117" s="15"/>
      <c r="ODU117" s="15"/>
      <c r="ODV117" s="15"/>
      <c r="ODW117" s="15"/>
      <c r="ODX117" s="15"/>
      <c r="ODY117" s="15"/>
      <c r="ODZ117" s="15"/>
      <c r="OEA117" s="15"/>
      <c r="OEB117" s="15"/>
      <c r="OEC117" s="15"/>
      <c r="OED117" s="14"/>
      <c r="OEE117" s="15"/>
      <c r="OEF117" s="15"/>
      <c r="OEG117" s="15"/>
      <c r="OEH117" s="15"/>
      <c r="OEI117" s="15"/>
      <c r="OEJ117" s="15"/>
      <c r="OEK117" s="15"/>
      <c r="OEL117" s="15"/>
      <c r="OEM117" s="15"/>
      <c r="OEN117" s="15"/>
      <c r="OEO117" s="15"/>
      <c r="OEP117" s="15"/>
      <c r="OEQ117" s="15"/>
      <c r="OER117" s="15"/>
      <c r="OES117" s="15"/>
      <c r="OET117" s="15"/>
      <c r="OEU117" s="15"/>
      <c r="OEV117" s="15"/>
      <c r="OEW117" s="15"/>
      <c r="OEX117" s="15"/>
      <c r="OEY117" s="15"/>
      <c r="OEZ117" s="14"/>
      <c r="OFA117" s="15"/>
      <c r="OFB117" s="15"/>
      <c r="OFC117" s="15"/>
      <c r="OFD117" s="15"/>
      <c r="OFE117" s="15"/>
      <c r="OFF117" s="15"/>
      <c r="OFG117" s="15"/>
      <c r="OFH117" s="15"/>
      <c r="OFI117" s="15"/>
      <c r="OFJ117" s="15"/>
      <c r="OFK117" s="15"/>
      <c r="OFL117" s="15"/>
      <c r="OFM117" s="15"/>
      <c r="OFN117" s="15"/>
      <c r="OFO117" s="15"/>
      <c r="OFP117" s="15"/>
      <c r="OFQ117" s="15"/>
      <c r="OFR117" s="15"/>
      <c r="OFS117" s="15"/>
      <c r="OFT117" s="15"/>
      <c r="OFU117" s="15"/>
      <c r="OFV117" s="14"/>
      <c r="OFW117" s="15"/>
      <c r="OFX117" s="15"/>
      <c r="OFY117" s="15"/>
      <c r="OFZ117" s="15"/>
      <c r="OGA117" s="15"/>
      <c r="OGB117" s="15"/>
      <c r="OGC117" s="15"/>
      <c r="OGD117" s="15"/>
      <c r="OGE117" s="15"/>
      <c r="OGF117" s="15"/>
      <c r="OGG117" s="15"/>
      <c r="OGH117" s="15"/>
      <c r="OGI117" s="15"/>
      <c r="OGJ117" s="15"/>
      <c r="OGK117" s="15"/>
      <c r="OGL117" s="15"/>
      <c r="OGM117" s="15"/>
      <c r="OGN117" s="15"/>
      <c r="OGO117" s="15"/>
      <c r="OGP117" s="15"/>
      <c r="OGQ117" s="15"/>
      <c r="OGR117" s="14"/>
      <c r="OGS117" s="15"/>
      <c r="OGT117" s="15"/>
      <c r="OGU117" s="15"/>
      <c r="OGV117" s="15"/>
      <c r="OGW117" s="15"/>
      <c r="OGX117" s="15"/>
      <c r="OGY117" s="15"/>
      <c r="OGZ117" s="15"/>
      <c r="OHA117" s="15"/>
      <c r="OHB117" s="15"/>
      <c r="OHC117" s="15"/>
      <c r="OHD117" s="15"/>
      <c r="OHE117" s="15"/>
      <c r="OHF117" s="15"/>
      <c r="OHG117" s="15"/>
      <c r="OHH117" s="15"/>
      <c r="OHI117" s="15"/>
      <c r="OHJ117" s="15"/>
      <c r="OHK117" s="15"/>
      <c r="OHL117" s="15"/>
      <c r="OHM117" s="15"/>
      <c r="OHN117" s="14"/>
      <c r="OHO117" s="15"/>
      <c r="OHP117" s="15"/>
      <c r="OHQ117" s="15"/>
      <c r="OHR117" s="15"/>
      <c r="OHS117" s="15"/>
      <c r="OHT117" s="15"/>
      <c r="OHU117" s="15"/>
      <c r="OHV117" s="15"/>
      <c r="OHW117" s="15"/>
      <c r="OHX117" s="15"/>
      <c r="OHY117" s="15"/>
      <c r="OHZ117" s="15"/>
      <c r="OIA117" s="15"/>
      <c r="OIB117" s="15"/>
      <c r="OIC117" s="15"/>
      <c r="OID117" s="15"/>
      <c r="OIE117" s="15"/>
      <c r="OIF117" s="15"/>
      <c r="OIG117" s="15"/>
      <c r="OIH117" s="15"/>
      <c r="OII117" s="15"/>
      <c r="OIJ117" s="14"/>
      <c r="OIK117" s="15"/>
      <c r="OIL117" s="15"/>
      <c r="OIM117" s="15"/>
      <c r="OIN117" s="15"/>
      <c r="OIO117" s="15"/>
      <c r="OIP117" s="15"/>
      <c r="OIQ117" s="15"/>
      <c r="OIR117" s="15"/>
      <c r="OIS117" s="15"/>
      <c r="OIT117" s="15"/>
      <c r="OIU117" s="15"/>
      <c r="OIV117" s="15"/>
      <c r="OIW117" s="15"/>
      <c r="OIX117" s="15"/>
      <c r="OIY117" s="15"/>
      <c r="OIZ117" s="15"/>
      <c r="OJA117" s="15"/>
      <c r="OJB117" s="15"/>
      <c r="OJC117" s="15"/>
      <c r="OJD117" s="15"/>
      <c r="OJE117" s="15"/>
      <c r="OJF117" s="14"/>
      <c r="OJG117" s="15"/>
      <c r="OJH117" s="15"/>
      <c r="OJI117" s="15"/>
      <c r="OJJ117" s="15"/>
      <c r="OJK117" s="15"/>
      <c r="OJL117" s="15"/>
      <c r="OJM117" s="15"/>
      <c r="OJN117" s="15"/>
      <c r="OJO117" s="15"/>
      <c r="OJP117" s="15"/>
      <c r="OJQ117" s="15"/>
      <c r="OJR117" s="15"/>
      <c r="OJS117" s="15"/>
      <c r="OJT117" s="15"/>
      <c r="OJU117" s="15"/>
      <c r="OJV117" s="15"/>
      <c r="OJW117" s="15"/>
      <c r="OJX117" s="15"/>
      <c r="OJY117" s="15"/>
      <c r="OJZ117" s="15"/>
      <c r="OKA117" s="15"/>
      <c r="OKB117" s="14"/>
      <c r="OKC117" s="15"/>
      <c r="OKD117" s="15"/>
      <c r="OKE117" s="15"/>
      <c r="OKF117" s="15"/>
      <c r="OKG117" s="15"/>
      <c r="OKH117" s="15"/>
      <c r="OKI117" s="15"/>
      <c r="OKJ117" s="15"/>
      <c r="OKK117" s="15"/>
      <c r="OKL117" s="15"/>
      <c r="OKM117" s="15"/>
      <c r="OKN117" s="15"/>
      <c r="OKO117" s="15"/>
      <c r="OKP117" s="15"/>
      <c r="OKQ117" s="15"/>
      <c r="OKR117" s="15"/>
      <c r="OKS117" s="15"/>
      <c r="OKT117" s="15"/>
      <c r="OKU117" s="15"/>
      <c r="OKV117" s="15"/>
      <c r="OKW117" s="15"/>
      <c r="OKX117" s="14"/>
      <c r="OKY117" s="15"/>
      <c r="OKZ117" s="15"/>
      <c r="OLA117" s="15"/>
      <c r="OLB117" s="15"/>
      <c r="OLC117" s="15"/>
      <c r="OLD117" s="15"/>
      <c r="OLE117" s="15"/>
      <c r="OLF117" s="15"/>
      <c r="OLG117" s="15"/>
      <c r="OLH117" s="15"/>
      <c r="OLI117" s="15"/>
      <c r="OLJ117" s="15"/>
      <c r="OLK117" s="15"/>
      <c r="OLL117" s="15"/>
      <c r="OLM117" s="15"/>
      <c r="OLN117" s="15"/>
      <c r="OLO117" s="15"/>
      <c r="OLP117" s="15"/>
      <c r="OLQ117" s="15"/>
      <c r="OLR117" s="15"/>
      <c r="OLS117" s="15"/>
      <c r="OLT117" s="14"/>
      <c r="OLU117" s="15"/>
      <c r="OLV117" s="15"/>
      <c r="OLW117" s="15"/>
      <c r="OLX117" s="15"/>
      <c r="OLY117" s="15"/>
      <c r="OLZ117" s="15"/>
      <c r="OMA117" s="15"/>
      <c r="OMB117" s="15"/>
      <c r="OMC117" s="15"/>
      <c r="OMD117" s="15"/>
      <c r="OME117" s="15"/>
      <c r="OMF117" s="15"/>
      <c r="OMG117" s="15"/>
      <c r="OMH117" s="15"/>
      <c r="OMI117" s="15"/>
      <c r="OMJ117" s="15"/>
      <c r="OMK117" s="15"/>
      <c r="OML117" s="15"/>
      <c r="OMM117" s="15"/>
      <c r="OMN117" s="15"/>
      <c r="OMO117" s="15"/>
      <c r="OMP117" s="14"/>
      <c r="OMQ117" s="15"/>
      <c r="OMR117" s="15"/>
      <c r="OMS117" s="15"/>
      <c r="OMT117" s="15"/>
      <c r="OMU117" s="15"/>
      <c r="OMV117" s="15"/>
      <c r="OMW117" s="15"/>
      <c r="OMX117" s="15"/>
      <c r="OMY117" s="15"/>
      <c r="OMZ117" s="15"/>
      <c r="ONA117" s="15"/>
      <c r="ONB117" s="15"/>
      <c r="ONC117" s="15"/>
      <c r="OND117" s="15"/>
      <c r="ONE117" s="15"/>
      <c r="ONF117" s="15"/>
      <c r="ONG117" s="15"/>
      <c r="ONH117" s="15"/>
      <c r="ONI117" s="15"/>
      <c r="ONJ117" s="15"/>
      <c r="ONK117" s="15"/>
      <c r="ONL117" s="14"/>
      <c r="ONM117" s="15"/>
      <c r="ONN117" s="15"/>
      <c r="ONO117" s="15"/>
      <c r="ONP117" s="15"/>
      <c r="ONQ117" s="15"/>
      <c r="ONR117" s="15"/>
      <c r="ONS117" s="15"/>
      <c r="ONT117" s="15"/>
      <c r="ONU117" s="15"/>
      <c r="ONV117" s="15"/>
      <c r="ONW117" s="15"/>
      <c r="ONX117" s="15"/>
      <c r="ONY117" s="15"/>
      <c r="ONZ117" s="15"/>
      <c r="OOA117" s="15"/>
      <c r="OOB117" s="15"/>
      <c r="OOC117" s="15"/>
      <c r="OOD117" s="15"/>
      <c r="OOE117" s="15"/>
      <c r="OOF117" s="15"/>
      <c r="OOG117" s="15"/>
      <c r="OOH117" s="14"/>
      <c r="OOI117" s="15"/>
      <c r="OOJ117" s="15"/>
      <c r="OOK117" s="15"/>
      <c r="OOL117" s="15"/>
      <c r="OOM117" s="15"/>
      <c r="OON117" s="15"/>
      <c r="OOO117" s="15"/>
      <c r="OOP117" s="15"/>
      <c r="OOQ117" s="15"/>
      <c r="OOR117" s="15"/>
      <c r="OOS117" s="15"/>
      <c r="OOT117" s="15"/>
      <c r="OOU117" s="15"/>
      <c r="OOV117" s="15"/>
      <c r="OOW117" s="15"/>
      <c r="OOX117" s="15"/>
      <c r="OOY117" s="15"/>
      <c r="OOZ117" s="15"/>
      <c r="OPA117" s="15"/>
      <c r="OPB117" s="15"/>
      <c r="OPC117" s="15"/>
      <c r="OPD117" s="14"/>
      <c r="OPE117" s="15"/>
      <c r="OPF117" s="15"/>
      <c r="OPG117" s="15"/>
      <c r="OPH117" s="15"/>
      <c r="OPI117" s="15"/>
      <c r="OPJ117" s="15"/>
      <c r="OPK117" s="15"/>
      <c r="OPL117" s="15"/>
      <c r="OPM117" s="15"/>
      <c r="OPN117" s="15"/>
      <c r="OPO117" s="15"/>
      <c r="OPP117" s="15"/>
      <c r="OPQ117" s="15"/>
      <c r="OPR117" s="15"/>
      <c r="OPS117" s="15"/>
      <c r="OPT117" s="15"/>
      <c r="OPU117" s="15"/>
      <c r="OPV117" s="15"/>
      <c r="OPW117" s="15"/>
      <c r="OPX117" s="15"/>
      <c r="OPY117" s="15"/>
      <c r="OPZ117" s="14"/>
      <c r="OQA117" s="15"/>
      <c r="OQB117" s="15"/>
      <c r="OQC117" s="15"/>
      <c r="OQD117" s="15"/>
      <c r="OQE117" s="15"/>
      <c r="OQF117" s="15"/>
      <c r="OQG117" s="15"/>
      <c r="OQH117" s="15"/>
      <c r="OQI117" s="15"/>
      <c r="OQJ117" s="15"/>
      <c r="OQK117" s="15"/>
      <c r="OQL117" s="15"/>
      <c r="OQM117" s="15"/>
      <c r="OQN117" s="15"/>
      <c r="OQO117" s="15"/>
      <c r="OQP117" s="15"/>
      <c r="OQQ117" s="15"/>
      <c r="OQR117" s="15"/>
      <c r="OQS117" s="15"/>
      <c r="OQT117" s="15"/>
      <c r="OQU117" s="15"/>
      <c r="OQV117" s="14"/>
      <c r="OQW117" s="15"/>
      <c r="OQX117" s="15"/>
      <c r="OQY117" s="15"/>
      <c r="OQZ117" s="15"/>
      <c r="ORA117" s="15"/>
      <c r="ORB117" s="15"/>
      <c r="ORC117" s="15"/>
      <c r="ORD117" s="15"/>
      <c r="ORE117" s="15"/>
      <c r="ORF117" s="15"/>
      <c r="ORG117" s="15"/>
      <c r="ORH117" s="15"/>
      <c r="ORI117" s="15"/>
      <c r="ORJ117" s="15"/>
      <c r="ORK117" s="15"/>
      <c r="ORL117" s="15"/>
      <c r="ORM117" s="15"/>
      <c r="ORN117" s="15"/>
      <c r="ORO117" s="15"/>
      <c r="ORP117" s="15"/>
      <c r="ORQ117" s="15"/>
      <c r="ORR117" s="14"/>
      <c r="ORS117" s="15"/>
      <c r="ORT117" s="15"/>
      <c r="ORU117" s="15"/>
      <c r="ORV117" s="15"/>
      <c r="ORW117" s="15"/>
      <c r="ORX117" s="15"/>
      <c r="ORY117" s="15"/>
      <c r="ORZ117" s="15"/>
      <c r="OSA117" s="15"/>
      <c r="OSB117" s="15"/>
      <c r="OSC117" s="15"/>
      <c r="OSD117" s="15"/>
      <c r="OSE117" s="15"/>
      <c r="OSF117" s="15"/>
      <c r="OSG117" s="15"/>
      <c r="OSH117" s="15"/>
      <c r="OSI117" s="15"/>
      <c r="OSJ117" s="15"/>
      <c r="OSK117" s="15"/>
      <c r="OSL117" s="15"/>
      <c r="OSM117" s="15"/>
      <c r="OSN117" s="14"/>
      <c r="OSO117" s="15"/>
      <c r="OSP117" s="15"/>
      <c r="OSQ117" s="15"/>
      <c r="OSR117" s="15"/>
      <c r="OSS117" s="15"/>
      <c r="OST117" s="15"/>
      <c r="OSU117" s="15"/>
      <c r="OSV117" s="15"/>
      <c r="OSW117" s="15"/>
      <c r="OSX117" s="15"/>
      <c r="OSY117" s="15"/>
      <c r="OSZ117" s="15"/>
      <c r="OTA117" s="15"/>
      <c r="OTB117" s="15"/>
      <c r="OTC117" s="15"/>
      <c r="OTD117" s="15"/>
      <c r="OTE117" s="15"/>
      <c r="OTF117" s="15"/>
      <c r="OTG117" s="15"/>
      <c r="OTH117" s="15"/>
      <c r="OTI117" s="15"/>
      <c r="OTJ117" s="14"/>
      <c r="OTK117" s="15"/>
      <c r="OTL117" s="15"/>
      <c r="OTM117" s="15"/>
      <c r="OTN117" s="15"/>
      <c r="OTO117" s="15"/>
      <c r="OTP117" s="15"/>
      <c r="OTQ117" s="15"/>
      <c r="OTR117" s="15"/>
      <c r="OTS117" s="15"/>
      <c r="OTT117" s="15"/>
      <c r="OTU117" s="15"/>
      <c r="OTV117" s="15"/>
      <c r="OTW117" s="15"/>
      <c r="OTX117" s="15"/>
      <c r="OTY117" s="15"/>
      <c r="OTZ117" s="15"/>
      <c r="OUA117" s="15"/>
      <c r="OUB117" s="15"/>
      <c r="OUC117" s="15"/>
      <c r="OUD117" s="15"/>
      <c r="OUE117" s="15"/>
      <c r="OUF117" s="14"/>
      <c r="OUG117" s="15"/>
      <c r="OUH117" s="15"/>
      <c r="OUI117" s="15"/>
      <c r="OUJ117" s="15"/>
      <c r="OUK117" s="15"/>
      <c r="OUL117" s="15"/>
      <c r="OUM117" s="15"/>
      <c r="OUN117" s="15"/>
      <c r="OUO117" s="15"/>
      <c r="OUP117" s="15"/>
      <c r="OUQ117" s="15"/>
      <c r="OUR117" s="15"/>
      <c r="OUS117" s="15"/>
      <c r="OUT117" s="15"/>
      <c r="OUU117" s="15"/>
      <c r="OUV117" s="15"/>
      <c r="OUW117" s="15"/>
      <c r="OUX117" s="15"/>
      <c r="OUY117" s="15"/>
      <c r="OUZ117" s="15"/>
      <c r="OVA117" s="15"/>
      <c r="OVB117" s="14"/>
      <c r="OVC117" s="15"/>
      <c r="OVD117" s="15"/>
      <c r="OVE117" s="15"/>
      <c r="OVF117" s="15"/>
      <c r="OVG117" s="15"/>
      <c r="OVH117" s="15"/>
      <c r="OVI117" s="15"/>
      <c r="OVJ117" s="15"/>
      <c r="OVK117" s="15"/>
      <c r="OVL117" s="15"/>
      <c r="OVM117" s="15"/>
      <c r="OVN117" s="15"/>
      <c r="OVO117" s="15"/>
      <c r="OVP117" s="15"/>
      <c r="OVQ117" s="15"/>
      <c r="OVR117" s="15"/>
      <c r="OVS117" s="15"/>
      <c r="OVT117" s="15"/>
      <c r="OVU117" s="15"/>
      <c r="OVV117" s="15"/>
      <c r="OVW117" s="15"/>
      <c r="OVX117" s="14"/>
      <c r="OVY117" s="15"/>
      <c r="OVZ117" s="15"/>
      <c r="OWA117" s="15"/>
      <c r="OWB117" s="15"/>
      <c r="OWC117" s="15"/>
      <c r="OWD117" s="15"/>
      <c r="OWE117" s="15"/>
      <c r="OWF117" s="15"/>
      <c r="OWG117" s="15"/>
      <c r="OWH117" s="15"/>
      <c r="OWI117" s="15"/>
      <c r="OWJ117" s="15"/>
      <c r="OWK117" s="15"/>
      <c r="OWL117" s="15"/>
      <c r="OWM117" s="15"/>
      <c r="OWN117" s="15"/>
      <c r="OWO117" s="15"/>
      <c r="OWP117" s="15"/>
      <c r="OWQ117" s="15"/>
      <c r="OWR117" s="15"/>
      <c r="OWS117" s="15"/>
      <c r="OWT117" s="14"/>
      <c r="OWU117" s="15"/>
      <c r="OWV117" s="15"/>
      <c r="OWW117" s="15"/>
      <c r="OWX117" s="15"/>
      <c r="OWY117" s="15"/>
      <c r="OWZ117" s="15"/>
      <c r="OXA117" s="15"/>
      <c r="OXB117" s="15"/>
      <c r="OXC117" s="15"/>
      <c r="OXD117" s="15"/>
      <c r="OXE117" s="15"/>
      <c r="OXF117" s="15"/>
      <c r="OXG117" s="15"/>
      <c r="OXH117" s="15"/>
      <c r="OXI117" s="15"/>
      <c r="OXJ117" s="15"/>
      <c r="OXK117" s="15"/>
      <c r="OXL117" s="15"/>
      <c r="OXM117" s="15"/>
      <c r="OXN117" s="15"/>
      <c r="OXO117" s="15"/>
      <c r="OXP117" s="14"/>
      <c r="OXQ117" s="15"/>
      <c r="OXR117" s="15"/>
      <c r="OXS117" s="15"/>
      <c r="OXT117" s="15"/>
      <c r="OXU117" s="15"/>
      <c r="OXV117" s="15"/>
      <c r="OXW117" s="15"/>
      <c r="OXX117" s="15"/>
      <c r="OXY117" s="15"/>
      <c r="OXZ117" s="15"/>
      <c r="OYA117" s="15"/>
      <c r="OYB117" s="15"/>
      <c r="OYC117" s="15"/>
      <c r="OYD117" s="15"/>
      <c r="OYE117" s="15"/>
      <c r="OYF117" s="15"/>
      <c r="OYG117" s="15"/>
      <c r="OYH117" s="15"/>
      <c r="OYI117" s="15"/>
      <c r="OYJ117" s="15"/>
      <c r="OYK117" s="15"/>
      <c r="OYL117" s="14"/>
      <c r="OYM117" s="15"/>
      <c r="OYN117" s="15"/>
      <c r="OYO117" s="15"/>
      <c r="OYP117" s="15"/>
      <c r="OYQ117" s="15"/>
      <c r="OYR117" s="15"/>
      <c r="OYS117" s="15"/>
      <c r="OYT117" s="15"/>
      <c r="OYU117" s="15"/>
      <c r="OYV117" s="15"/>
      <c r="OYW117" s="15"/>
      <c r="OYX117" s="15"/>
      <c r="OYY117" s="15"/>
      <c r="OYZ117" s="15"/>
      <c r="OZA117" s="15"/>
      <c r="OZB117" s="15"/>
      <c r="OZC117" s="15"/>
      <c r="OZD117" s="15"/>
      <c r="OZE117" s="15"/>
      <c r="OZF117" s="15"/>
      <c r="OZG117" s="15"/>
      <c r="OZH117" s="14"/>
      <c r="OZI117" s="15"/>
      <c r="OZJ117" s="15"/>
      <c r="OZK117" s="15"/>
      <c r="OZL117" s="15"/>
      <c r="OZM117" s="15"/>
      <c r="OZN117" s="15"/>
      <c r="OZO117" s="15"/>
      <c r="OZP117" s="15"/>
      <c r="OZQ117" s="15"/>
      <c r="OZR117" s="15"/>
      <c r="OZS117" s="15"/>
      <c r="OZT117" s="15"/>
      <c r="OZU117" s="15"/>
      <c r="OZV117" s="15"/>
      <c r="OZW117" s="15"/>
      <c r="OZX117" s="15"/>
      <c r="OZY117" s="15"/>
      <c r="OZZ117" s="15"/>
      <c r="PAA117" s="15"/>
      <c r="PAB117" s="15"/>
      <c r="PAC117" s="15"/>
      <c r="PAD117" s="14"/>
      <c r="PAE117" s="15"/>
      <c r="PAF117" s="15"/>
      <c r="PAG117" s="15"/>
      <c r="PAH117" s="15"/>
      <c r="PAI117" s="15"/>
      <c r="PAJ117" s="15"/>
      <c r="PAK117" s="15"/>
      <c r="PAL117" s="15"/>
      <c r="PAM117" s="15"/>
      <c r="PAN117" s="15"/>
      <c r="PAO117" s="15"/>
      <c r="PAP117" s="15"/>
      <c r="PAQ117" s="15"/>
      <c r="PAR117" s="15"/>
      <c r="PAS117" s="15"/>
      <c r="PAT117" s="15"/>
      <c r="PAU117" s="15"/>
      <c r="PAV117" s="15"/>
      <c r="PAW117" s="15"/>
      <c r="PAX117" s="15"/>
      <c r="PAY117" s="15"/>
      <c r="PAZ117" s="14"/>
      <c r="PBA117" s="15"/>
      <c r="PBB117" s="15"/>
      <c r="PBC117" s="15"/>
      <c r="PBD117" s="15"/>
      <c r="PBE117" s="15"/>
      <c r="PBF117" s="15"/>
      <c r="PBG117" s="15"/>
      <c r="PBH117" s="15"/>
      <c r="PBI117" s="15"/>
      <c r="PBJ117" s="15"/>
      <c r="PBK117" s="15"/>
      <c r="PBL117" s="15"/>
      <c r="PBM117" s="15"/>
      <c r="PBN117" s="15"/>
      <c r="PBO117" s="15"/>
      <c r="PBP117" s="15"/>
      <c r="PBQ117" s="15"/>
      <c r="PBR117" s="15"/>
      <c r="PBS117" s="15"/>
      <c r="PBT117" s="15"/>
      <c r="PBU117" s="15"/>
      <c r="PBV117" s="14"/>
      <c r="PBW117" s="15"/>
      <c r="PBX117" s="15"/>
      <c r="PBY117" s="15"/>
      <c r="PBZ117" s="15"/>
      <c r="PCA117" s="15"/>
      <c r="PCB117" s="15"/>
      <c r="PCC117" s="15"/>
      <c r="PCD117" s="15"/>
      <c r="PCE117" s="15"/>
      <c r="PCF117" s="15"/>
      <c r="PCG117" s="15"/>
      <c r="PCH117" s="15"/>
      <c r="PCI117" s="15"/>
      <c r="PCJ117" s="15"/>
      <c r="PCK117" s="15"/>
      <c r="PCL117" s="15"/>
      <c r="PCM117" s="15"/>
      <c r="PCN117" s="15"/>
      <c r="PCO117" s="15"/>
      <c r="PCP117" s="15"/>
      <c r="PCQ117" s="15"/>
      <c r="PCR117" s="14"/>
      <c r="PCS117" s="15"/>
      <c r="PCT117" s="15"/>
      <c r="PCU117" s="15"/>
      <c r="PCV117" s="15"/>
      <c r="PCW117" s="15"/>
      <c r="PCX117" s="15"/>
      <c r="PCY117" s="15"/>
      <c r="PCZ117" s="15"/>
      <c r="PDA117" s="15"/>
      <c r="PDB117" s="15"/>
      <c r="PDC117" s="15"/>
      <c r="PDD117" s="15"/>
      <c r="PDE117" s="15"/>
      <c r="PDF117" s="15"/>
      <c r="PDG117" s="15"/>
      <c r="PDH117" s="15"/>
      <c r="PDI117" s="15"/>
      <c r="PDJ117" s="15"/>
      <c r="PDK117" s="15"/>
      <c r="PDL117" s="15"/>
      <c r="PDM117" s="15"/>
      <c r="PDN117" s="14"/>
      <c r="PDO117" s="15"/>
      <c r="PDP117" s="15"/>
      <c r="PDQ117" s="15"/>
      <c r="PDR117" s="15"/>
      <c r="PDS117" s="15"/>
      <c r="PDT117" s="15"/>
      <c r="PDU117" s="15"/>
      <c r="PDV117" s="15"/>
      <c r="PDW117" s="15"/>
      <c r="PDX117" s="15"/>
      <c r="PDY117" s="15"/>
      <c r="PDZ117" s="15"/>
      <c r="PEA117" s="15"/>
      <c r="PEB117" s="15"/>
      <c r="PEC117" s="15"/>
      <c r="PED117" s="15"/>
      <c r="PEE117" s="15"/>
      <c r="PEF117" s="15"/>
      <c r="PEG117" s="15"/>
      <c r="PEH117" s="15"/>
      <c r="PEI117" s="15"/>
      <c r="PEJ117" s="14"/>
      <c r="PEK117" s="15"/>
      <c r="PEL117" s="15"/>
      <c r="PEM117" s="15"/>
      <c r="PEN117" s="15"/>
      <c r="PEO117" s="15"/>
      <c r="PEP117" s="15"/>
      <c r="PEQ117" s="15"/>
      <c r="PER117" s="15"/>
      <c r="PES117" s="15"/>
      <c r="PET117" s="15"/>
      <c r="PEU117" s="15"/>
      <c r="PEV117" s="15"/>
      <c r="PEW117" s="15"/>
      <c r="PEX117" s="15"/>
      <c r="PEY117" s="15"/>
      <c r="PEZ117" s="15"/>
      <c r="PFA117" s="15"/>
      <c r="PFB117" s="15"/>
      <c r="PFC117" s="15"/>
      <c r="PFD117" s="15"/>
      <c r="PFE117" s="15"/>
      <c r="PFF117" s="14"/>
      <c r="PFG117" s="15"/>
      <c r="PFH117" s="15"/>
      <c r="PFI117" s="15"/>
      <c r="PFJ117" s="15"/>
      <c r="PFK117" s="15"/>
      <c r="PFL117" s="15"/>
      <c r="PFM117" s="15"/>
      <c r="PFN117" s="15"/>
      <c r="PFO117" s="15"/>
      <c r="PFP117" s="15"/>
      <c r="PFQ117" s="15"/>
      <c r="PFR117" s="15"/>
      <c r="PFS117" s="15"/>
      <c r="PFT117" s="15"/>
      <c r="PFU117" s="15"/>
      <c r="PFV117" s="15"/>
      <c r="PFW117" s="15"/>
      <c r="PFX117" s="15"/>
      <c r="PFY117" s="15"/>
      <c r="PFZ117" s="15"/>
      <c r="PGA117" s="15"/>
      <c r="PGB117" s="14"/>
      <c r="PGC117" s="15"/>
      <c r="PGD117" s="15"/>
      <c r="PGE117" s="15"/>
      <c r="PGF117" s="15"/>
      <c r="PGG117" s="15"/>
      <c r="PGH117" s="15"/>
      <c r="PGI117" s="15"/>
      <c r="PGJ117" s="15"/>
      <c r="PGK117" s="15"/>
      <c r="PGL117" s="15"/>
      <c r="PGM117" s="15"/>
      <c r="PGN117" s="15"/>
      <c r="PGO117" s="15"/>
      <c r="PGP117" s="15"/>
      <c r="PGQ117" s="15"/>
      <c r="PGR117" s="15"/>
      <c r="PGS117" s="15"/>
      <c r="PGT117" s="15"/>
      <c r="PGU117" s="15"/>
      <c r="PGV117" s="15"/>
      <c r="PGW117" s="15"/>
      <c r="PGX117" s="14"/>
      <c r="PGY117" s="15"/>
      <c r="PGZ117" s="15"/>
      <c r="PHA117" s="15"/>
      <c r="PHB117" s="15"/>
      <c r="PHC117" s="15"/>
      <c r="PHD117" s="15"/>
      <c r="PHE117" s="15"/>
      <c r="PHF117" s="15"/>
      <c r="PHG117" s="15"/>
      <c r="PHH117" s="15"/>
      <c r="PHI117" s="15"/>
      <c r="PHJ117" s="15"/>
      <c r="PHK117" s="15"/>
      <c r="PHL117" s="15"/>
      <c r="PHM117" s="15"/>
      <c r="PHN117" s="15"/>
      <c r="PHO117" s="15"/>
      <c r="PHP117" s="15"/>
      <c r="PHQ117" s="15"/>
      <c r="PHR117" s="15"/>
      <c r="PHS117" s="15"/>
      <c r="PHT117" s="14"/>
      <c r="PHU117" s="15"/>
      <c r="PHV117" s="15"/>
      <c r="PHW117" s="15"/>
      <c r="PHX117" s="15"/>
      <c r="PHY117" s="15"/>
      <c r="PHZ117" s="15"/>
      <c r="PIA117" s="15"/>
      <c r="PIB117" s="15"/>
      <c r="PIC117" s="15"/>
      <c r="PID117" s="15"/>
      <c r="PIE117" s="15"/>
      <c r="PIF117" s="15"/>
      <c r="PIG117" s="15"/>
      <c r="PIH117" s="15"/>
      <c r="PII117" s="15"/>
      <c r="PIJ117" s="15"/>
      <c r="PIK117" s="15"/>
      <c r="PIL117" s="15"/>
      <c r="PIM117" s="15"/>
      <c r="PIN117" s="15"/>
      <c r="PIO117" s="15"/>
      <c r="PIP117" s="14"/>
      <c r="PIQ117" s="15"/>
      <c r="PIR117" s="15"/>
      <c r="PIS117" s="15"/>
      <c r="PIT117" s="15"/>
      <c r="PIU117" s="15"/>
      <c r="PIV117" s="15"/>
      <c r="PIW117" s="15"/>
      <c r="PIX117" s="15"/>
      <c r="PIY117" s="15"/>
      <c r="PIZ117" s="15"/>
      <c r="PJA117" s="15"/>
      <c r="PJB117" s="15"/>
      <c r="PJC117" s="15"/>
      <c r="PJD117" s="15"/>
      <c r="PJE117" s="15"/>
      <c r="PJF117" s="15"/>
      <c r="PJG117" s="15"/>
      <c r="PJH117" s="15"/>
      <c r="PJI117" s="15"/>
      <c r="PJJ117" s="15"/>
      <c r="PJK117" s="15"/>
      <c r="PJL117" s="14"/>
      <c r="PJM117" s="15"/>
      <c r="PJN117" s="15"/>
      <c r="PJO117" s="15"/>
      <c r="PJP117" s="15"/>
      <c r="PJQ117" s="15"/>
      <c r="PJR117" s="15"/>
      <c r="PJS117" s="15"/>
      <c r="PJT117" s="15"/>
      <c r="PJU117" s="15"/>
      <c r="PJV117" s="15"/>
      <c r="PJW117" s="15"/>
      <c r="PJX117" s="15"/>
      <c r="PJY117" s="15"/>
      <c r="PJZ117" s="15"/>
      <c r="PKA117" s="15"/>
      <c r="PKB117" s="15"/>
      <c r="PKC117" s="15"/>
      <c r="PKD117" s="15"/>
      <c r="PKE117" s="15"/>
      <c r="PKF117" s="15"/>
      <c r="PKG117" s="15"/>
      <c r="PKH117" s="14"/>
      <c r="PKI117" s="15"/>
      <c r="PKJ117" s="15"/>
      <c r="PKK117" s="15"/>
      <c r="PKL117" s="15"/>
      <c r="PKM117" s="15"/>
      <c r="PKN117" s="15"/>
      <c r="PKO117" s="15"/>
      <c r="PKP117" s="15"/>
      <c r="PKQ117" s="15"/>
      <c r="PKR117" s="15"/>
      <c r="PKS117" s="15"/>
      <c r="PKT117" s="15"/>
      <c r="PKU117" s="15"/>
      <c r="PKV117" s="15"/>
      <c r="PKW117" s="15"/>
      <c r="PKX117" s="15"/>
      <c r="PKY117" s="15"/>
      <c r="PKZ117" s="15"/>
      <c r="PLA117" s="15"/>
      <c r="PLB117" s="15"/>
      <c r="PLC117" s="15"/>
      <c r="PLD117" s="14"/>
      <c r="PLE117" s="15"/>
      <c r="PLF117" s="15"/>
      <c r="PLG117" s="15"/>
      <c r="PLH117" s="15"/>
      <c r="PLI117" s="15"/>
      <c r="PLJ117" s="15"/>
      <c r="PLK117" s="15"/>
      <c r="PLL117" s="15"/>
      <c r="PLM117" s="15"/>
      <c r="PLN117" s="15"/>
      <c r="PLO117" s="15"/>
      <c r="PLP117" s="15"/>
      <c r="PLQ117" s="15"/>
      <c r="PLR117" s="15"/>
      <c r="PLS117" s="15"/>
      <c r="PLT117" s="15"/>
      <c r="PLU117" s="15"/>
      <c r="PLV117" s="15"/>
      <c r="PLW117" s="15"/>
      <c r="PLX117" s="15"/>
      <c r="PLY117" s="15"/>
      <c r="PLZ117" s="14"/>
      <c r="PMA117" s="15"/>
      <c r="PMB117" s="15"/>
      <c r="PMC117" s="15"/>
      <c r="PMD117" s="15"/>
      <c r="PME117" s="15"/>
      <c r="PMF117" s="15"/>
      <c r="PMG117" s="15"/>
      <c r="PMH117" s="15"/>
      <c r="PMI117" s="15"/>
      <c r="PMJ117" s="15"/>
      <c r="PMK117" s="15"/>
      <c r="PML117" s="15"/>
      <c r="PMM117" s="15"/>
      <c r="PMN117" s="15"/>
      <c r="PMO117" s="15"/>
      <c r="PMP117" s="15"/>
      <c r="PMQ117" s="15"/>
      <c r="PMR117" s="15"/>
      <c r="PMS117" s="15"/>
      <c r="PMT117" s="15"/>
      <c r="PMU117" s="15"/>
      <c r="PMV117" s="14"/>
      <c r="PMW117" s="15"/>
      <c r="PMX117" s="15"/>
      <c r="PMY117" s="15"/>
      <c r="PMZ117" s="15"/>
      <c r="PNA117" s="15"/>
      <c r="PNB117" s="15"/>
      <c r="PNC117" s="15"/>
      <c r="PND117" s="15"/>
      <c r="PNE117" s="15"/>
      <c r="PNF117" s="15"/>
      <c r="PNG117" s="15"/>
      <c r="PNH117" s="15"/>
      <c r="PNI117" s="15"/>
      <c r="PNJ117" s="15"/>
      <c r="PNK117" s="15"/>
      <c r="PNL117" s="15"/>
      <c r="PNM117" s="15"/>
      <c r="PNN117" s="15"/>
      <c r="PNO117" s="15"/>
      <c r="PNP117" s="15"/>
      <c r="PNQ117" s="15"/>
      <c r="PNR117" s="14"/>
      <c r="PNS117" s="15"/>
      <c r="PNT117" s="15"/>
      <c r="PNU117" s="15"/>
      <c r="PNV117" s="15"/>
      <c r="PNW117" s="15"/>
      <c r="PNX117" s="15"/>
      <c r="PNY117" s="15"/>
      <c r="PNZ117" s="15"/>
      <c r="POA117" s="15"/>
      <c r="POB117" s="15"/>
      <c r="POC117" s="15"/>
      <c r="POD117" s="15"/>
      <c r="POE117" s="15"/>
      <c r="POF117" s="15"/>
      <c r="POG117" s="15"/>
      <c r="POH117" s="15"/>
      <c r="POI117" s="15"/>
      <c r="POJ117" s="15"/>
      <c r="POK117" s="15"/>
      <c r="POL117" s="15"/>
      <c r="POM117" s="15"/>
      <c r="PON117" s="14"/>
      <c r="POO117" s="15"/>
      <c r="POP117" s="15"/>
      <c r="POQ117" s="15"/>
      <c r="POR117" s="15"/>
      <c r="POS117" s="15"/>
      <c r="POT117" s="15"/>
      <c r="POU117" s="15"/>
      <c r="POV117" s="15"/>
      <c r="POW117" s="15"/>
      <c r="POX117" s="15"/>
      <c r="POY117" s="15"/>
      <c r="POZ117" s="15"/>
      <c r="PPA117" s="15"/>
      <c r="PPB117" s="15"/>
      <c r="PPC117" s="15"/>
      <c r="PPD117" s="15"/>
      <c r="PPE117" s="15"/>
      <c r="PPF117" s="15"/>
      <c r="PPG117" s="15"/>
      <c r="PPH117" s="15"/>
      <c r="PPI117" s="15"/>
      <c r="PPJ117" s="14"/>
      <c r="PPK117" s="15"/>
      <c r="PPL117" s="15"/>
      <c r="PPM117" s="15"/>
      <c r="PPN117" s="15"/>
      <c r="PPO117" s="15"/>
      <c r="PPP117" s="15"/>
      <c r="PPQ117" s="15"/>
      <c r="PPR117" s="15"/>
      <c r="PPS117" s="15"/>
      <c r="PPT117" s="15"/>
      <c r="PPU117" s="15"/>
      <c r="PPV117" s="15"/>
      <c r="PPW117" s="15"/>
      <c r="PPX117" s="15"/>
      <c r="PPY117" s="15"/>
      <c r="PPZ117" s="15"/>
      <c r="PQA117" s="15"/>
      <c r="PQB117" s="15"/>
      <c r="PQC117" s="15"/>
      <c r="PQD117" s="15"/>
      <c r="PQE117" s="15"/>
      <c r="PQF117" s="14"/>
      <c r="PQG117" s="15"/>
      <c r="PQH117" s="15"/>
      <c r="PQI117" s="15"/>
      <c r="PQJ117" s="15"/>
      <c r="PQK117" s="15"/>
      <c r="PQL117" s="15"/>
      <c r="PQM117" s="15"/>
      <c r="PQN117" s="15"/>
      <c r="PQO117" s="15"/>
      <c r="PQP117" s="15"/>
      <c r="PQQ117" s="15"/>
      <c r="PQR117" s="15"/>
      <c r="PQS117" s="15"/>
      <c r="PQT117" s="15"/>
      <c r="PQU117" s="15"/>
      <c r="PQV117" s="15"/>
      <c r="PQW117" s="15"/>
      <c r="PQX117" s="15"/>
      <c r="PQY117" s="15"/>
      <c r="PQZ117" s="15"/>
      <c r="PRA117" s="15"/>
      <c r="PRB117" s="14"/>
      <c r="PRC117" s="15"/>
      <c r="PRD117" s="15"/>
      <c r="PRE117" s="15"/>
      <c r="PRF117" s="15"/>
      <c r="PRG117" s="15"/>
      <c r="PRH117" s="15"/>
      <c r="PRI117" s="15"/>
      <c r="PRJ117" s="15"/>
      <c r="PRK117" s="15"/>
      <c r="PRL117" s="15"/>
      <c r="PRM117" s="15"/>
      <c r="PRN117" s="15"/>
      <c r="PRO117" s="15"/>
      <c r="PRP117" s="15"/>
      <c r="PRQ117" s="15"/>
      <c r="PRR117" s="15"/>
      <c r="PRS117" s="15"/>
      <c r="PRT117" s="15"/>
      <c r="PRU117" s="15"/>
      <c r="PRV117" s="15"/>
      <c r="PRW117" s="15"/>
      <c r="PRX117" s="14"/>
      <c r="PRY117" s="15"/>
      <c r="PRZ117" s="15"/>
      <c r="PSA117" s="15"/>
      <c r="PSB117" s="15"/>
      <c r="PSC117" s="15"/>
      <c r="PSD117" s="15"/>
      <c r="PSE117" s="15"/>
      <c r="PSF117" s="15"/>
      <c r="PSG117" s="15"/>
      <c r="PSH117" s="15"/>
      <c r="PSI117" s="15"/>
      <c r="PSJ117" s="15"/>
      <c r="PSK117" s="15"/>
      <c r="PSL117" s="15"/>
      <c r="PSM117" s="15"/>
      <c r="PSN117" s="15"/>
      <c r="PSO117" s="15"/>
      <c r="PSP117" s="15"/>
      <c r="PSQ117" s="15"/>
      <c r="PSR117" s="15"/>
      <c r="PSS117" s="15"/>
      <c r="PST117" s="14"/>
      <c r="PSU117" s="15"/>
      <c r="PSV117" s="15"/>
      <c r="PSW117" s="15"/>
      <c r="PSX117" s="15"/>
      <c r="PSY117" s="15"/>
      <c r="PSZ117" s="15"/>
      <c r="PTA117" s="15"/>
      <c r="PTB117" s="15"/>
      <c r="PTC117" s="15"/>
      <c r="PTD117" s="15"/>
      <c r="PTE117" s="15"/>
      <c r="PTF117" s="15"/>
      <c r="PTG117" s="15"/>
      <c r="PTH117" s="15"/>
      <c r="PTI117" s="15"/>
      <c r="PTJ117" s="15"/>
      <c r="PTK117" s="15"/>
      <c r="PTL117" s="15"/>
      <c r="PTM117" s="15"/>
      <c r="PTN117" s="15"/>
      <c r="PTO117" s="15"/>
      <c r="PTP117" s="14"/>
      <c r="PTQ117" s="15"/>
      <c r="PTR117" s="15"/>
      <c r="PTS117" s="15"/>
      <c r="PTT117" s="15"/>
      <c r="PTU117" s="15"/>
      <c r="PTV117" s="15"/>
      <c r="PTW117" s="15"/>
      <c r="PTX117" s="15"/>
      <c r="PTY117" s="15"/>
      <c r="PTZ117" s="15"/>
      <c r="PUA117" s="15"/>
      <c r="PUB117" s="15"/>
      <c r="PUC117" s="15"/>
      <c r="PUD117" s="15"/>
      <c r="PUE117" s="15"/>
      <c r="PUF117" s="15"/>
      <c r="PUG117" s="15"/>
      <c r="PUH117" s="15"/>
      <c r="PUI117" s="15"/>
      <c r="PUJ117" s="15"/>
      <c r="PUK117" s="15"/>
      <c r="PUL117" s="14"/>
      <c r="PUM117" s="15"/>
      <c r="PUN117" s="15"/>
      <c r="PUO117" s="15"/>
      <c r="PUP117" s="15"/>
      <c r="PUQ117" s="15"/>
      <c r="PUR117" s="15"/>
      <c r="PUS117" s="15"/>
      <c r="PUT117" s="15"/>
      <c r="PUU117" s="15"/>
      <c r="PUV117" s="15"/>
      <c r="PUW117" s="15"/>
      <c r="PUX117" s="15"/>
      <c r="PUY117" s="15"/>
      <c r="PUZ117" s="15"/>
      <c r="PVA117" s="15"/>
      <c r="PVB117" s="15"/>
      <c r="PVC117" s="15"/>
      <c r="PVD117" s="15"/>
      <c r="PVE117" s="15"/>
      <c r="PVF117" s="15"/>
      <c r="PVG117" s="15"/>
      <c r="PVH117" s="14"/>
      <c r="PVI117" s="15"/>
      <c r="PVJ117" s="15"/>
      <c r="PVK117" s="15"/>
      <c r="PVL117" s="15"/>
      <c r="PVM117" s="15"/>
      <c r="PVN117" s="15"/>
      <c r="PVO117" s="15"/>
      <c r="PVP117" s="15"/>
      <c r="PVQ117" s="15"/>
      <c r="PVR117" s="15"/>
      <c r="PVS117" s="15"/>
      <c r="PVT117" s="15"/>
      <c r="PVU117" s="15"/>
      <c r="PVV117" s="15"/>
      <c r="PVW117" s="15"/>
      <c r="PVX117" s="15"/>
      <c r="PVY117" s="15"/>
      <c r="PVZ117" s="15"/>
      <c r="PWA117" s="15"/>
      <c r="PWB117" s="15"/>
      <c r="PWC117" s="15"/>
      <c r="PWD117" s="14"/>
      <c r="PWE117" s="15"/>
      <c r="PWF117" s="15"/>
      <c r="PWG117" s="15"/>
      <c r="PWH117" s="15"/>
      <c r="PWI117" s="15"/>
      <c r="PWJ117" s="15"/>
      <c r="PWK117" s="15"/>
      <c r="PWL117" s="15"/>
      <c r="PWM117" s="15"/>
      <c r="PWN117" s="15"/>
      <c r="PWO117" s="15"/>
      <c r="PWP117" s="15"/>
      <c r="PWQ117" s="15"/>
      <c r="PWR117" s="15"/>
      <c r="PWS117" s="15"/>
      <c r="PWT117" s="15"/>
      <c r="PWU117" s="15"/>
      <c r="PWV117" s="15"/>
      <c r="PWW117" s="15"/>
      <c r="PWX117" s="15"/>
      <c r="PWY117" s="15"/>
      <c r="PWZ117" s="14"/>
      <c r="PXA117" s="15"/>
      <c r="PXB117" s="15"/>
      <c r="PXC117" s="15"/>
      <c r="PXD117" s="15"/>
      <c r="PXE117" s="15"/>
      <c r="PXF117" s="15"/>
      <c r="PXG117" s="15"/>
      <c r="PXH117" s="15"/>
      <c r="PXI117" s="15"/>
      <c r="PXJ117" s="15"/>
      <c r="PXK117" s="15"/>
      <c r="PXL117" s="15"/>
      <c r="PXM117" s="15"/>
      <c r="PXN117" s="15"/>
      <c r="PXO117" s="15"/>
      <c r="PXP117" s="15"/>
      <c r="PXQ117" s="15"/>
      <c r="PXR117" s="15"/>
      <c r="PXS117" s="15"/>
      <c r="PXT117" s="15"/>
      <c r="PXU117" s="15"/>
      <c r="PXV117" s="14"/>
      <c r="PXW117" s="15"/>
      <c r="PXX117" s="15"/>
      <c r="PXY117" s="15"/>
      <c r="PXZ117" s="15"/>
      <c r="PYA117" s="15"/>
      <c r="PYB117" s="15"/>
      <c r="PYC117" s="15"/>
      <c r="PYD117" s="15"/>
      <c r="PYE117" s="15"/>
      <c r="PYF117" s="15"/>
      <c r="PYG117" s="15"/>
      <c r="PYH117" s="15"/>
      <c r="PYI117" s="15"/>
      <c r="PYJ117" s="15"/>
      <c r="PYK117" s="15"/>
      <c r="PYL117" s="15"/>
      <c r="PYM117" s="15"/>
      <c r="PYN117" s="15"/>
      <c r="PYO117" s="15"/>
      <c r="PYP117" s="15"/>
      <c r="PYQ117" s="15"/>
      <c r="PYR117" s="14"/>
      <c r="PYS117" s="15"/>
      <c r="PYT117" s="15"/>
      <c r="PYU117" s="15"/>
      <c r="PYV117" s="15"/>
      <c r="PYW117" s="15"/>
      <c r="PYX117" s="15"/>
      <c r="PYY117" s="15"/>
      <c r="PYZ117" s="15"/>
      <c r="PZA117" s="15"/>
      <c r="PZB117" s="15"/>
      <c r="PZC117" s="15"/>
      <c r="PZD117" s="15"/>
      <c r="PZE117" s="15"/>
      <c r="PZF117" s="15"/>
      <c r="PZG117" s="15"/>
      <c r="PZH117" s="15"/>
      <c r="PZI117" s="15"/>
      <c r="PZJ117" s="15"/>
      <c r="PZK117" s="15"/>
      <c r="PZL117" s="15"/>
      <c r="PZM117" s="15"/>
      <c r="PZN117" s="14"/>
      <c r="PZO117" s="15"/>
      <c r="PZP117" s="15"/>
      <c r="PZQ117" s="15"/>
      <c r="PZR117" s="15"/>
      <c r="PZS117" s="15"/>
      <c r="PZT117" s="15"/>
      <c r="PZU117" s="15"/>
      <c r="PZV117" s="15"/>
      <c r="PZW117" s="15"/>
      <c r="PZX117" s="15"/>
      <c r="PZY117" s="15"/>
      <c r="PZZ117" s="15"/>
      <c r="QAA117" s="15"/>
      <c r="QAB117" s="15"/>
      <c r="QAC117" s="15"/>
      <c r="QAD117" s="15"/>
      <c r="QAE117" s="15"/>
      <c r="QAF117" s="15"/>
      <c r="QAG117" s="15"/>
      <c r="QAH117" s="15"/>
      <c r="QAI117" s="15"/>
      <c r="QAJ117" s="14"/>
      <c r="QAK117" s="15"/>
      <c r="QAL117" s="15"/>
      <c r="QAM117" s="15"/>
      <c r="QAN117" s="15"/>
      <c r="QAO117" s="15"/>
      <c r="QAP117" s="15"/>
      <c r="QAQ117" s="15"/>
      <c r="QAR117" s="15"/>
      <c r="QAS117" s="15"/>
      <c r="QAT117" s="15"/>
      <c r="QAU117" s="15"/>
      <c r="QAV117" s="15"/>
      <c r="QAW117" s="15"/>
      <c r="QAX117" s="15"/>
      <c r="QAY117" s="15"/>
      <c r="QAZ117" s="15"/>
      <c r="QBA117" s="15"/>
      <c r="QBB117" s="15"/>
      <c r="QBC117" s="15"/>
      <c r="QBD117" s="15"/>
      <c r="QBE117" s="15"/>
      <c r="QBF117" s="14"/>
      <c r="QBG117" s="15"/>
      <c r="QBH117" s="15"/>
      <c r="QBI117" s="15"/>
      <c r="QBJ117" s="15"/>
      <c r="QBK117" s="15"/>
      <c r="QBL117" s="15"/>
      <c r="QBM117" s="15"/>
      <c r="QBN117" s="15"/>
      <c r="QBO117" s="15"/>
      <c r="QBP117" s="15"/>
      <c r="QBQ117" s="15"/>
      <c r="QBR117" s="15"/>
      <c r="QBS117" s="15"/>
      <c r="QBT117" s="15"/>
      <c r="QBU117" s="15"/>
      <c r="QBV117" s="15"/>
      <c r="QBW117" s="15"/>
      <c r="QBX117" s="15"/>
      <c r="QBY117" s="15"/>
      <c r="QBZ117" s="15"/>
      <c r="QCA117" s="15"/>
      <c r="QCB117" s="14"/>
      <c r="QCC117" s="15"/>
      <c r="QCD117" s="15"/>
      <c r="QCE117" s="15"/>
      <c r="QCF117" s="15"/>
      <c r="QCG117" s="15"/>
      <c r="QCH117" s="15"/>
      <c r="QCI117" s="15"/>
      <c r="QCJ117" s="15"/>
      <c r="QCK117" s="15"/>
      <c r="QCL117" s="15"/>
      <c r="QCM117" s="15"/>
      <c r="QCN117" s="15"/>
      <c r="QCO117" s="15"/>
      <c r="QCP117" s="15"/>
      <c r="QCQ117" s="15"/>
      <c r="QCR117" s="15"/>
      <c r="QCS117" s="15"/>
      <c r="QCT117" s="15"/>
      <c r="QCU117" s="15"/>
      <c r="QCV117" s="15"/>
      <c r="QCW117" s="15"/>
      <c r="QCX117" s="14"/>
      <c r="QCY117" s="15"/>
      <c r="QCZ117" s="15"/>
      <c r="QDA117" s="15"/>
      <c r="QDB117" s="15"/>
      <c r="QDC117" s="15"/>
      <c r="QDD117" s="15"/>
      <c r="QDE117" s="15"/>
      <c r="QDF117" s="15"/>
      <c r="QDG117" s="15"/>
      <c r="QDH117" s="15"/>
      <c r="QDI117" s="15"/>
      <c r="QDJ117" s="15"/>
      <c r="QDK117" s="15"/>
      <c r="QDL117" s="15"/>
      <c r="QDM117" s="15"/>
      <c r="QDN117" s="15"/>
      <c r="QDO117" s="15"/>
      <c r="QDP117" s="15"/>
      <c r="QDQ117" s="15"/>
      <c r="QDR117" s="15"/>
      <c r="QDS117" s="15"/>
      <c r="QDT117" s="14"/>
      <c r="QDU117" s="15"/>
      <c r="QDV117" s="15"/>
      <c r="QDW117" s="15"/>
      <c r="QDX117" s="15"/>
      <c r="QDY117" s="15"/>
      <c r="QDZ117" s="15"/>
      <c r="QEA117" s="15"/>
      <c r="QEB117" s="15"/>
      <c r="QEC117" s="15"/>
      <c r="QED117" s="15"/>
      <c r="QEE117" s="15"/>
      <c r="QEF117" s="15"/>
      <c r="QEG117" s="15"/>
      <c r="QEH117" s="15"/>
      <c r="QEI117" s="15"/>
      <c r="QEJ117" s="15"/>
      <c r="QEK117" s="15"/>
      <c r="QEL117" s="15"/>
      <c r="QEM117" s="15"/>
      <c r="QEN117" s="15"/>
      <c r="QEO117" s="15"/>
      <c r="QEP117" s="14"/>
      <c r="QEQ117" s="15"/>
      <c r="QER117" s="15"/>
      <c r="QES117" s="15"/>
      <c r="QET117" s="15"/>
      <c r="QEU117" s="15"/>
      <c r="QEV117" s="15"/>
      <c r="QEW117" s="15"/>
      <c r="QEX117" s="15"/>
      <c r="QEY117" s="15"/>
      <c r="QEZ117" s="15"/>
      <c r="QFA117" s="15"/>
      <c r="QFB117" s="15"/>
      <c r="QFC117" s="15"/>
      <c r="QFD117" s="15"/>
      <c r="QFE117" s="15"/>
      <c r="QFF117" s="15"/>
      <c r="QFG117" s="15"/>
      <c r="QFH117" s="15"/>
      <c r="QFI117" s="15"/>
      <c r="QFJ117" s="15"/>
      <c r="QFK117" s="15"/>
      <c r="QFL117" s="14"/>
      <c r="QFM117" s="15"/>
      <c r="QFN117" s="15"/>
      <c r="QFO117" s="15"/>
      <c r="QFP117" s="15"/>
      <c r="QFQ117" s="15"/>
      <c r="QFR117" s="15"/>
      <c r="QFS117" s="15"/>
      <c r="QFT117" s="15"/>
      <c r="QFU117" s="15"/>
      <c r="QFV117" s="15"/>
      <c r="QFW117" s="15"/>
      <c r="QFX117" s="15"/>
      <c r="QFY117" s="15"/>
      <c r="QFZ117" s="15"/>
      <c r="QGA117" s="15"/>
      <c r="QGB117" s="15"/>
      <c r="QGC117" s="15"/>
      <c r="QGD117" s="15"/>
      <c r="QGE117" s="15"/>
      <c r="QGF117" s="15"/>
      <c r="QGG117" s="15"/>
      <c r="QGH117" s="14"/>
      <c r="QGI117" s="15"/>
      <c r="QGJ117" s="15"/>
      <c r="QGK117" s="15"/>
      <c r="QGL117" s="15"/>
      <c r="QGM117" s="15"/>
      <c r="QGN117" s="15"/>
      <c r="QGO117" s="15"/>
      <c r="QGP117" s="15"/>
      <c r="QGQ117" s="15"/>
      <c r="QGR117" s="15"/>
      <c r="QGS117" s="15"/>
      <c r="QGT117" s="15"/>
      <c r="QGU117" s="15"/>
      <c r="QGV117" s="15"/>
      <c r="QGW117" s="15"/>
      <c r="QGX117" s="15"/>
      <c r="QGY117" s="15"/>
      <c r="QGZ117" s="15"/>
      <c r="QHA117" s="15"/>
      <c r="QHB117" s="15"/>
      <c r="QHC117" s="15"/>
      <c r="QHD117" s="14"/>
      <c r="QHE117" s="15"/>
      <c r="QHF117" s="15"/>
      <c r="QHG117" s="15"/>
      <c r="QHH117" s="15"/>
      <c r="QHI117" s="15"/>
      <c r="QHJ117" s="15"/>
      <c r="QHK117" s="15"/>
      <c r="QHL117" s="15"/>
      <c r="QHM117" s="15"/>
      <c r="QHN117" s="15"/>
      <c r="QHO117" s="15"/>
      <c r="QHP117" s="15"/>
      <c r="QHQ117" s="15"/>
      <c r="QHR117" s="15"/>
      <c r="QHS117" s="15"/>
      <c r="QHT117" s="15"/>
      <c r="QHU117" s="15"/>
      <c r="QHV117" s="15"/>
      <c r="QHW117" s="15"/>
      <c r="QHX117" s="15"/>
      <c r="QHY117" s="15"/>
      <c r="QHZ117" s="14"/>
      <c r="QIA117" s="15"/>
      <c r="QIB117" s="15"/>
      <c r="QIC117" s="15"/>
      <c r="QID117" s="15"/>
      <c r="QIE117" s="15"/>
      <c r="QIF117" s="15"/>
      <c r="QIG117" s="15"/>
      <c r="QIH117" s="15"/>
      <c r="QII117" s="15"/>
      <c r="QIJ117" s="15"/>
      <c r="QIK117" s="15"/>
      <c r="QIL117" s="15"/>
      <c r="QIM117" s="15"/>
      <c r="QIN117" s="15"/>
      <c r="QIO117" s="15"/>
      <c r="QIP117" s="15"/>
      <c r="QIQ117" s="15"/>
      <c r="QIR117" s="15"/>
      <c r="QIS117" s="15"/>
      <c r="QIT117" s="15"/>
      <c r="QIU117" s="15"/>
      <c r="QIV117" s="14"/>
      <c r="QIW117" s="15"/>
      <c r="QIX117" s="15"/>
      <c r="QIY117" s="15"/>
      <c r="QIZ117" s="15"/>
      <c r="QJA117" s="15"/>
      <c r="QJB117" s="15"/>
      <c r="QJC117" s="15"/>
      <c r="QJD117" s="15"/>
      <c r="QJE117" s="15"/>
      <c r="QJF117" s="15"/>
      <c r="QJG117" s="15"/>
      <c r="QJH117" s="15"/>
      <c r="QJI117" s="15"/>
      <c r="QJJ117" s="15"/>
      <c r="QJK117" s="15"/>
      <c r="QJL117" s="15"/>
      <c r="QJM117" s="15"/>
      <c r="QJN117" s="15"/>
      <c r="QJO117" s="15"/>
      <c r="QJP117" s="15"/>
      <c r="QJQ117" s="15"/>
      <c r="QJR117" s="14"/>
      <c r="QJS117" s="15"/>
      <c r="QJT117" s="15"/>
      <c r="QJU117" s="15"/>
      <c r="QJV117" s="15"/>
      <c r="QJW117" s="15"/>
      <c r="QJX117" s="15"/>
      <c r="QJY117" s="15"/>
      <c r="QJZ117" s="15"/>
      <c r="QKA117" s="15"/>
      <c r="QKB117" s="15"/>
      <c r="QKC117" s="15"/>
      <c r="QKD117" s="15"/>
      <c r="QKE117" s="15"/>
      <c r="QKF117" s="15"/>
      <c r="QKG117" s="15"/>
      <c r="QKH117" s="15"/>
      <c r="QKI117" s="15"/>
      <c r="QKJ117" s="15"/>
      <c r="QKK117" s="15"/>
      <c r="QKL117" s="15"/>
      <c r="QKM117" s="15"/>
      <c r="QKN117" s="14"/>
      <c r="QKO117" s="15"/>
      <c r="QKP117" s="15"/>
      <c r="QKQ117" s="15"/>
      <c r="QKR117" s="15"/>
      <c r="QKS117" s="15"/>
      <c r="QKT117" s="15"/>
      <c r="QKU117" s="15"/>
      <c r="QKV117" s="15"/>
      <c r="QKW117" s="15"/>
      <c r="QKX117" s="15"/>
      <c r="QKY117" s="15"/>
      <c r="QKZ117" s="15"/>
      <c r="QLA117" s="15"/>
      <c r="QLB117" s="15"/>
      <c r="QLC117" s="15"/>
      <c r="QLD117" s="15"/>
      <c r="QLE117" s="15"/>
      <c r="QLF117" s="15"/>
      <c r="QLG117" s="15"/>
      <c r="QLH117" s="15"/>
      <c r="QLI117" s="15"/>
      <c r="QLJ117" s="14"/>
      <c r="QLK117" s="15"/>
      <c r="QLL117" s="15"/>
      <c r="QLM117" s="15"/>
      <c r="QLN117" s="15"/>
      <c r="QLO117" s="15"/>
      <c r="QLP117" s="15"/>
      <c r="QLQ117" s="15"/>
      <c r="QLR117" s="15"/>
      <c r="QLS117" s="15"/>
      <c r="QLT117" s="15"/>
      <c r="QLU117" s="15"/>
      <c r="QLV117" s="15"/>
      <c r="QLW117" s="15"/>
      <c r="QLX117" s="15"/>
      <c r="QLY117" s="15"/>
      <c r="QLZ117" s="15"/>
      <c r="QMA117" s="15"/>
      <c r="QMB117" s="15"/>
      <c r="QMC117" s="15"/>
      <c r="QMD117" s="15"/>
      <c r="QME117" s="15"/>
      <c r="QMF117" s="14"/>
      <c r="QMG117" s="15"/>
      <c r="QMH117" s="15"/>
      <c r="QMI117" s="15"/>
      <c r="QMJ117" s="15"/>
      <c r="QMK117" s="15"/>
      <c r="QML117" s="15"/>
      <c r="QMM117" s="15"/>
      <c r="QMN117" s="15"/>
      <c r="QMO117" s="15"/>
      <c r="QMP117" s="15"/>
      <c r="QMQ117" s="15"/>
      <c r="QMR117" s="15"/>
      <c r="QMS117" s="15"/>
      <c r="QMT117" s="15"/>
      <c r="QMU117" s="15"/>
      <c r="QMV117" s="15"/>
      <c r="QMW117" s="15"/>
      <c r="QMX117" s="15"/>
      <c r="QMY117" s="15"/>
      <c r="QMZ117" s="15"/>
      <c r="QNA117" s="15"/>
      <c r="QNB117" s="14"/>
      <c r="QNC117" s="15"/>
      <c r="QND117" s="15"/>
      <c r="QNE117" s="15"/>
      <c r="QNF117" s="15"/>
      <c r="QNG117" s="15"/>
      <c r="QNH117" s="15"/>
      <c r="QNI117" s="15"/>
      <c r="QNJ117" s="15"/>
      <c r="QNK117" s="15"/>
      <c r="QNL117" s="15"/>
      <c r="QNM117" s="15"/>
      <c r="QNN117" s="15"/>
      <c r="QNO117" s="15"/>
      <c r="QNP117" s="15"/>
      <c r="QNQ117" s="15"/>
      <c r="QNR117" s="15"/>
      <c r="QNS117" s="15"/>
      <c r="QNT117" s="15"/>
      <c r="QNU117" s="15"/>
      <c r="QNV117" s="15"/>
      <c r="QNW117" s="15"/>
      <c r="QNX117" s="14"/>
      <c r="QNY117" s="15"/>
      <c r="QNZ117" s="15"/>
      <c r="QOA117" s="15"/>
      <c r="QOB117" s="15"/>
      <c r="QOC117" s="15"/>
      <c r="QOD117" s="15"/>
      <c r="QOE117" s="15"/>
      <c r="QOF117" s="15"/>
      <c r="QOG117" s="15"/>
      <c r="QOH117" s="15"/>
      <c r="QOI117" s="15"/>
      <c r="QOJ117" s="15"/>
      <c r="QOK117" s="15"/>
      <c r="QOL117" s="15"/>
      <c r="QOM117" s="15"/>
      <c r="QON117" s="15"/>
      <c r="QOO117" s="15"/>
      <c r="QOP117" s="15"/>
      <c r="QOQ117" s="15"/>
      <c r="QOR117" s="15"/>
      <c r="QOS117" s="15"/>
      <c r="QOT117" s="14"/>
      <c r="QOU117" s="15"/>
      <c r="QOV117" s="15"/>
      <c r="QOW117" s="15"/>
      <c r="QOX117" s="15"/>
      <c r="QOY117" s="15"/>
      <c r="QOZ117" s="15"/>
      <c r="QPA117" s="15"/>
      <c r="QPB117" s="15"/>
      <c r="QPC117" s="15"/>
      <c r="QPD117" s="15"/>
      <c r="QPE117" s="15"/>
      <c r="QPF117" s="15"/>
      <c r="QPG117" s="15"/>
      <c r="QPH117" s="15"/>
      <c r="QPI117" s="15"/>
      <c r="QPJ117" s="15"/>
      <c r="QPK117" s="15"/>
      <c r="QPL117" s="15"/>
      <c r="QPM117" s="15"/>
      <c r="QPN117" s="15"/>
      <c r="QPO117" s="15"/>
      <c r="QPP117" s="14"/>
      <c r="QPQ117" s="15"/>
      <c r="QPR117" s="15"/>
      <c r="QPS117" s="15"/>
      <c r="QPT117" s="15"/>
      <c r="QPU117" s="15"/>
      <c r="QPV117" s="15"/>
      <c r="QPW117" s="15"/>
      <c r="QPX117" s="15"/>
      <c r="QPY117" s="15"/>
      <c r="QPZ117" s="15"/>
      <c r="QQA117" s="15"/>
      <c r="QQB117" s="15"/>
      <c r="QQC117" s="15"/>
      <c r="QQD117" s="15"/>
      <c r="QQE117" s="15"/>
      <c r="QQF117" s="15"/>
      <c r="QQG117" s="15"/>
      <c r="QQH117" s="15"/>
      <c r="QQI117" s="15"/>
      <c r="QQJ117" s="15"/>
      <c r="QQK117" s="15"/>
      <c r="QQL117" s="14"/>
      <c r="QQM117" s="15"/>
      <c r="QQN117" s="15"/>
      <c r="QQO117" s="15"/>
      <c r="QQP117" s="15"/>
      <c r="QQQ117" s="15"/>
      <c r="QQR117" s="15"/>
      <c r="QQS117" s="15"/>
      <c r="QQT117" s="15"/>
      <c r="QQU117" s="15"/>
      <c r="QQV117" s="15"/>
      <c r="QQW117" s="15"/>
      <c r="QQX117" s="15"/>
      <c r="QQY117" s="15"/>
      <c r="QQZ117" s="15"/>
      <c r="QRA117" s="15"/>
      <c r="QRB117" s="15"/>
      <c r="QRC117" s="15"/>
      <c r="QRD117" s="15"/>
      <c r="QRE117" s="15"/>
      <c r="QRF117" s="15"/>
      <c r="QRG117" s="15"/>
      <c r="QRH117" s="14"/>
      <c r="QRI117" s="15"/>
      <c r="QRJ117" s="15"/>
      <c r="QRK117" s="15"/>
      <c r="QRL117" s="15"/>
      <c r="QRM117" s="15"/>
      <c r="QRN117" s="15"/>
      <c r="QRO117" s="15"/>
      <c r="QRP117" s="15"/>
      <c r="QRQ117" s="15"/>
      <c r="QRR117" s="15"/>
      <c r="QRS117" s="15"/>
      <c r="QRT117" s="15"/>
      <c r="QRU117" s="15"/>
      <c r="QRV117" s="15"/>
      <c r="QRW117" s="15"/>
      <c r="QRX117" s="15"/>
      <c r="QRY117" s="15"/>
      <c r="QRZ117" s="15"/>
      <c r="QSA117" s="15"/>
      <c r="QSB117" s="15"/>
      <c r="QSC117" s="15"/>
      <c r="QSD117" s="14"/>
      <c r="QSE117" s="15"/>
      <c r="QSF117" s="15"/>
      <c r="QSG117" s="15"/>
      <c r="QSH117" s="15"/>
      <c r="QSI117" s="15"/>
      <c r="QSJ117" s="15"/>
      <c r="QSK117" s="15"/>
      <c r="QSL117" s="15"/>
      <c r="QSM117" s="15"/>
      <c r="QSN117" s="15"/>
      <c r="QSO117" s="15"/>
      <c r="QSP117" s="15"/>
      <c r="QSQ117" s="15"/>
      <c r="QSR117" s="15"/>
      <c r="QSS117" s="15"/>
      <c r="QST117" s="15"/>
      <c r="QSU117" s="15"/>
      <c r="QSV117" s="15"/>
      <c r="QSW117" s="15"/>
      <c r="QSX117" s="15"/>
      <c r="QSY117" s="15"/>
      <c r="QSZ117" s="14"/>
      <c r="QTA117" s="15"/>
      <c r="QTB117" s="15"/>
      <c r="QTC117" s="15"/>
      <c r="QTD117" s="15"/>
      <c r="QTE117" s="15"/>
      <c r="QTF117" s="15"/>
      <c r="QTG117" s="15"/>
      <c r="QTH117" s="15"/>
      <c r="QTI117" s="15"/>
      <c r="QTJ117" s="15"/>
      <c r="QTK117" s="15"/>
      <c r="QTL117" s="15"/>
      <c r="QTM117" s="15"/>
      <c r="QTN117" s="15"/>
      <c r="QTO117" s="15"/>
      <c r="QTP117" s="15"/>
      <c r="QTQ117" s="15"/>
      <c r="QTR117" s="15"/>
      <c r="QTS117" s="15"/>
      <c r="QTT117" s="15"/>
      <c r="QTU117" s="15"/>
      <c r="QTV117" s="14"/>
      <c r="QTW117" s="15"/>
      <c r="QTX117" s="15"/>
      <c r="QTY117" s="15"/>
      <c r="QTZ117" s="15"/>
      <c r="QUA117" s="15"/>
      <c r="QUB117" s="15"/>
      <c r="QUC117" s="15"/>
      <c r="QUD117" s="15"/>
      <c r="QUE117" s="15"/>
      <c r="QUF117" s="15"/>
      <c r="QUG117" s="15"/>
      <c r="QUH117" s="15"/>
      <c r="QUI117" s="15"/>
      <c r="QUJ117" s="15"/>
      <c r="QUK117" s="15"/>
      <c r="QUL117" s="15"/>
      <c r="QUM117" s="15"/>
      <c r="QUN117" s="15"/>
      <c r="QUO117" s="15"/>
      <c r="QUP117" s="15"/>
      <c r="QUQ117" s="15"/>
      <c r="QUR117" s="14"/>
      <c r="QUS117" s="15"/>
      <c r="QUT117" s="15"/>
      <c r="QUU117" s="15"/>
      <c r="QUV117" s="15"/>
      <c r="QUW117" s="15"/>
      <c r="QUX117" s="15"/>
      <c r="QUY117" s="15"/>
      <c r="QUZ117" s="15"/>
      <c r="QVA117" s="15"/>
      <c r="QVB117" s="15"/>
      <c r="QVC117" s="15"/>
      <c r="QVD117" s="15"/>
      <c r="QVE117" s="15"/>
      <c r="QVF117" s="15"/>
      <c r="QVG117" s="15"/>
      <c r="QVH117" s="15"/>
      <c r="QVI117" s="15"/>
      <c r="QVJ117" s="15"/>
      <c r="QVK117" s="15"/>
      <c r="QVL117" s="15"/>
      <c r="QVM117" s="15"/>
      <c r="QVN117" s="14"/>
      <c r="QVO117" s="15"/>
      <c r="QVP117" s="15"/>
      <c r="QVQ117" s="15"/>
      <c r="QVR117" s="15"/>
      <c r="QVS117" s="15"/>
      <c r="QVT117" s="15"/>
      <c r="QVU117" s="15"/>
      <c r="QVV117" s="15"/>
      <c r="QVW117" s="15"/>
      <c r="QVX117" s="15"/>
      <c r="QVY117" s="15"/>
      <c r="QVZ117" s="15"/>
      <c r="QWA117" s="15"/>
      <c r="QWB117" s="15"/>
      <c r="QWC117" s="15"/>
      <c r="QWD117" s="15"/>
      <c r="QWE117" s="15"/>
      <c r="QWF117" s="15"/>
      <c r="QWG117" s="15"/>
      <c r="QWH117" s="15"/>
      <c r="QWI117" s="15"/>
      <c r="QWJ117" s="14"/>
      <c r="QWK117" s="15"/>
      <c r="QWL117" s="15"/>
      <c r="QWM117" s="15"/>
      <c r="QWN117" s="15"/>
      <c r="QWO117" s="15"/>
      <c r="QWP117" s="15"/>
      <c r="QWQ117" s="15"/>
      <c r="QWR117" s="15"/>
      <c r="QWS117" s="15"/>
      <c r="QWT117" s="15"/>
      <c r="QWU117" s="15"/>
      <c r="QWV117" s="15"/>
      <c r="QWW117" s="15"/>
      <c r="QWX117" s="15"/>
      <c r="QWY117" s="15"/>
      <c r="QWZ117" s="15"/>
      <c r="QXA117" s="15"/>
      <c r="QXB117" s="15"/>
      <c r="QXC117" s="15"/>
      <c r="QXD117" s="15"/>
      <c r="QXE117" s="15"/>
      <c r="QXF117" s="14"/>
      <c r="QXG117" s="15"/>
      <c r="QXH117" s="15"/>
      <c r="QXI117" s="15"/>
      <c r="QXJ117" s="15"/>
      <c r="QXK117" s="15"/>
      <c r="QXL117" s="15"/>
      <c r="QXM117" s="15"/>
      <c r="QXN117" s="15"/>
      <c r="QXO117" s="15"/>
      <c r="QXP117" s="15"/>
      <c r="QXQ117" s="15"/>
      <c r="QXR117" s="15"/>
      <c r="QXS117" s="15"/>
      <c r="QXT117" s="15"/>
      <c r="QXU117" s="15"/>
      <c r="QXV117" s="15"/>
      <c r="QXW117" s="15"/>
      <c r="QXX117" s="15"/>
      <c r="QXY117" s="15"/>
      <c r="QXZ117" s="15"/>
      <c r="QYA117" s="15"/>
      <c r="QYB117" s="14"/>
      <c r="QYC117" s="15"/>
      <c r="QYD117" s="15"/>
      <c r="QYE117" s="15"/>
      <c r="QYF117" s="15"/>
      <c r="QYG117" s="15"/>
      <c r="QYH117" s="15"/>
      <c r="QYI117" s="15"/>
      <c r="QYJ117" s="15"/>
      <c r="QYK117" s="15"/>
      <c r="QYL117" s="15"/>
      <c r="QYM117" s="15"/>
      <c r="QYN117" s="15"/>
      <c r="QYO117" s="15"/>
      <c r="QYP117" s="15"/>
      <c r="QYQ117" s="15"/>
      <c r="QYR117" s="15"/>
      <c r="QYS117" s="15"/>
      <c r="QYT117" s="15"/>
      <c r="QYU117" s="15"/>
      <c r="QYV117" s="15"/>
      <c r="QYW117" s="15"/>
      <c r="QYX117" s="14"/>
      <c r="QYY117" s="15"/>
      <c r="QYZ117" s="15"/>
      <c r="QZA117" s="15"/>
      <c r="QZB117" s="15"/>
      <c r="QZC117" s="15"/>
      <c r="QZD117" s="15"/>
      <c r="QZE117" s="15"/>
      <c r="QZF117" s="15"/>
      <c r="QZG117" s="15"/>
      <c r="QZH117" s="15"/>
      <c r="QZI117" s="15"/>
      <c r="QZJ117" s="15"/>
      <c r="QZK117" s="15"/>
      <c r="QZL117" s="15"/>
      <c r="QZM117" s="15"/>
      <c r="QZN117" s="15"/>
      <c r="QZO117" s="15"/>
      <c r="QZP117" s="15"/>
      <c r="QZQ117" s="15"/>
      <c r="QZR117" s="15"/>
      <c r="QZS117" s="15"/>
      <c r="QZT117" s="14"/>
      <c r="QZU117" s="15"/>
      <c r="QZV117" s="15"/>
      <c r="QZW117" s="15"/>
      <c r="QZX117" s="15"/>
      <c r="QZY117" s="15"/>
      <c r="QZZ117" s="15"/>
      <c r="RAA117" s="15"/>
      <c r="RAB117" s="15"/>
      <c r="RAC117" s="15"/>
      <c r="RAD117" s="15"/>
      <c r="RAE117" s="15"/>
      <c r="RAF117" s="15"/>
      <c r="RAG117" s="15"/>
      <c r="RAH117" s="15"/>
      <c r="RAI117" s="15"/>
      <c r="RAJ117" s="15"/>
      <c r="RAK117" s="15"/>
      <c r="RAL117" s="15"/>
      <c r="RAM117" s="15"/>
      <c r="RAN117" s="15"/>
      <c r="RAO117" s="15"/>
      <c r="RAP117" s="14"/>
      <c r="RAQ117" s="15"/>
      <c r="RAR117" s="15"/>
      <c r="RAS117" s="15"/>
      <c r="RAT117" s="15"/>
      <c r="RAU117" s="15"/>
      <c r="RAV117" s="15"/>
      <c r="RAW117" s="15"/>
      <c r="RAX117" s="15"/>
      <c r="RAY117" s="15"/>
      <c r="RAZ117" s="15"/>
      <c r="RBA117" s="15"/>
      <c r="RBB117" s="15"/>
      <c r="RBC117" s="15"/>
      <c r="RBD117" s="15"/>
      <c r="RBE117" s="15"/>
      <c r="RBF117" s="15"/>
      <c r="RBG117" s="15"/>
      <c r="RBH117" s="15"/>
      <c r="RBI117" s="15"/>
      <c r="RBJ117" s="15"/>
      <c r="RBK117" s="15"/>
      <c r="RBL117" s="14"/>
      <c r="RBM117" s="15"/>
      <c r="RBN117" s="15"/>
      <c r="RBO117" s="15"/>
      <c r="RBP117" s="15"/>
      <c r="RBQ117" s="15"/>
      <c r="RBR117" s="15"/>
      <c r="RBS117" s="15"/>
      <c r="RBT117" s="15"/>
      <c r="RBU117" s="15"/>
      <c r="RBV117" s="15"/>
      <c r="RBW117" s="15"/>
      <c r="RBX117" s="15"/>
      <c r="RBY117" s="15"/>
      <c r="RBZ117" s="15"/>
      <c r="RCA117" s="15"/>
      <c r="RCB117" s="15"/>
      <c r="RCC117" s="15"/>
      <c r="RCD117" s="15"/>
      <c r="RCE117" s="15"/>
      <c r="RCF117" s="15"/>
      <c r="RCG117" s="15"/>
      <c r="RCH117" s="14"/>
      <c r="RCI117" s="15"/>
      <c r="RCJ117" s="15"/>
      <c r="RCK117" s="15"/>
      <c r="RCL117" s="15"/>
      <c r="RCM117" s="15"/>
      <c r="RCN117" s="15"/>
      <c r="RCO117" s="15"/>
      <c r="RCP117" s="15"/>
      <c r="RCQ117" s="15"/>
      <c r="RCR117" s="15"/>
      <c r="RCS117" s="15"/>
      <c r="RCT117" s="15"/>
      <c r="RCU117" s="15"/>
      <c r="RCV117" s="15"/>
      <c r="RCW117" s="15"/>
      <c r="RCX117" s="15"/>
      <c r="RCY117" s="15"/>
      <c r="RCZ117" s="15"/>
      <c r="RDA117" s="15"/>
      <c r="RDB117" s="15"/>
      <c r="RDC117" s="15"/>
      <c r="RDD117" s="14"/>
      <c r="RDE117" s="15"/>
      <c r="RDF117" s="15"/>
      <c r="RDG117" s="15"/>
      <c r="RDH117" s="15"/>
      <c r="RDI117" s="15"/>
      <c r="RDJ117" s="15"/>
      <c r="RDK117" s="15"/>
      <c r="RDL117" s="15"/>
      <c r="RDM117" s="15"/>
      <c r="RDN117" s="15"/>
      <c r="RDO117" s="15"/>
      <c r="RDP117" s="15"/>
      <c r="RDQ117" s="15"/>
      <c r="RDR117" s="15"/>
      <c r="RDS117" s="15"/>
      <c r="RDT117" s="15"/>
      <c r="RDU117" s="15"/>
      <c r="RDV117" s="15"/>
      <c r="RDW117" s="15"/>
      <c r="RDX117" s="15"/>
      <c r="RDY117" s="15"/>
      <c r="RDZ117" s="14"/>
      <c r="REA117" s="15"/>
      <c r="REB117" s="15"/>
      <c r="REC117" s="15"/>
      <c r="RED117" s="15"/>
      <c r="REE117" s="15"/>
      <c r="REF117" s="15"/>
      <c r="REG117" s="15"/>
      <c r="REH117" s="15"/>
      <c r="REI117" s="15"/>
      <c r="REJ117" s="15"/>
      <c r="REK117" s="15"/>
      <c r="REL117" s="15"/>
      <c r="REM117" s="15"/>
      <c r="REN117" s="15"/>
      <c r="REO117" s="15"/>
      <c r="REP117" s="15"/>
      <c r="REQ117" s="15"/>
      <c r="RER117" s="15"/>
      <c r="RES117" s="15"/>
      <c r="RET117" s="15"/>
      <c r="REU117" s="15"/>
      <c r="REV117" s="14"/>
      <c r="REW117" s="15"/>
      <c r="REX117" s="15"/>
      <c r="REY117" s="15"/>
      <c r="REZ117" s="15"/>
      <c r="RFA117" s="15"/>
      <c r="RFB117" s="15"/>
      <c r="RFC117" s="15"/>
      <c r="RFD117" s="15"/>
      <c r="RFE117" s="15"/>
      <c r="RFF117" s="15"/>
      <c r="RFG117" s="15"/>
      <c r="RFH117" s="15"/>
      <c r="RFI117" s="15"/>
      <c r="RFJ117" s="15"/>
      <c r="RFK117" s="15"/>
      <c r="RFL117" s="15"/>
      <c r="RFM117" s="15"/>
      <c r="RFN117" s="15"/>
      <c r="RFO117" s="15"/>
      <c r="RFP117" s="15"/>
      <c r="RFQ117" s="15"/>
      <c r="RFR117" s="14"/>
      <c r="RFS117" s="15"/>
      <c r="RFT117" s="15"/>
      <c r="RFU117" s="15"/>
      <c r="RFV117" s="15"/>
      <c r="RFW117" s="15"/>
      <c r="RFX117" s="15"/>
      <c r="RFY117" s="15"/>
      <c r="RFZ117" s="15"/>
      <c r="RGA117" s="15"/>
      <c r="RGB117" s="15"/>
      <c r="RGC117" s="15"/>
      <c r="RGD117" s="15"/>
      <c r="RGE117" s="15"/>
      <c r="RGF117" s="15"/>
      <c r="RGG117" s="15"/>
      <c r="RGH117" s="15"/>
      <c r="RGI117" s="15"/>
      <c r="RGJ117" s="15"/>
      <c r="RGK117" s="15"/>
      <c r="RGL117" s="15"/>
      <c r="RGM117" s="15"/>
      <c r="RGN117" s="14"/>
      <c r="RGO117" s="15"/>
      <c r="RGP117" s="15"/>
      <c r="RGQ117" s="15"/>
      <c r="RGR117" s="15"/>
      <c r="RGS117" s="15"/>
      <c r="RGT117" s="15"/>
      <c r="RGU117" s="15"/>
      <c r="RGV117" s="15"/>
      <c r="RGW117" s="15"/>
      <c r="RGX117" s="15"/>
      <c r="RGY117" s="15"/>
      <c r="RGZ117" s="15"/>
      <c r="RHA117" s="15"/>
      <c r="RHB117" s="15"/>
      <c r="RHC117" s="15"/>
      <c r="RHD117" s="15"/>
      <c r="RHE117" s="15"/>
      <c r="RHF117" s="15"/>
      <c r="RHG117" s="15"/>
      <c r="RHH117" s="15"/>
      <c r="RHI117" s="15"/>
      <c r="RHJ117" s="14"/>
      <c r="RHK117" s="15"/>
      <c r="RHL117" s="15"/>
      <c r="RHM117" s="15"/>
      <c r="RHN117" s="15"/>
      <c r="RHO117" s="15"/>
      <c r="RHP117" s="15"/>
      <c r="RHQ117" s="15"/>
      <c r="RHR117" s="15"/>
      <c r="RHS117" s="15"/>
      <c r="RHT117" s="15"/>
      <c r="RHU117" s="15"/>
      <c r="RHV117" s="15"/>
      <c r="RHW117" s="15"/>
      <c r="RHX117" s="15"/>
      <c r="RHY117" s="15"/>
      <c r="RHZ117" s="15"/>
      <c r="RIA117" s="15"/>
      <c r="RIB117" s="15"/>
      <c r="RIC117" s="15"/>
      <c r="RID117" s="15"/>
      <c r="RIE117" s="15"/>
      <c r="RIF117" s="14"/>
      <c r="RIG117" s="15"/>
      <c r="RIH117" s="15"/>
      <c r="RII117" s="15"/>
      <c r="RIJ117" s="15"/>
      <c r="RIK117" s="15"/>
      <c r="RIL117" s="15"/>
      <c r="RIM117" s="15"/>
      <c r="RIN117" s="15"/>
      <c r="RIO117" s="15"/>
      <c r="RIP117" s="15"/>
      <c r="RIQ117" s="15"/>
      <c r="RIR117" s="15"/>
      <c r="RIS117" s="15"/>
      <c r="RIT117" s="15"/>
      <c r="RIU117" s="15"/>
      <c r="RIV117" s="15"/>
      <c r="RIW117" s="15"/>
      <c r="RIX117" s="15"/>
      <c r="RIY117" s="15"/>
      <c r="RIZ117" s="15"/>
      <c r="RJA117" s="15"/>
      <c r="RJB117" s="14"/>
      <c r="RJC117" s="15"/>
      <c r="RJD117" s="15"/>
      <c r="RJE117" s="15"/>
      <c r="RJF117" s="15"/>
      <c r="RJG117" s="15"/>
      <c r="RJH117" s="15"/>
      <c r="RJI117" s="15"/>
      <c r="RJJ117" s="15"/>
      <c r="RJK117" s="15"/>
      <c r="RJL117" s="15"/>
      <c r="RJM117" s="15"/>
      <c r="RJN117" s="15"/>
      <c r="RJO117" s="15"/>
      <c r="RJP117" s="15"/>
      <c r="RJQ117" s="15"/>
      <c r="RJR117" s="15"/>
      <c r="RJS117" s="15"/>
      <c r="RJT117" s="15"/>
      <c r="RJU117" s="15"/>
      <c r="RJV117" s="15"/>
      <c r="RJW117" s="15"/>
      <c r="RJX117" s="14"/>
      <c r="RJY117" s="15"/>
      <c r="RJZ117" s="15"/>
      <c r="RKA117" s="15"/>
      <c r="RKB117" s="15"/>
      <c r="RKC117" s="15"/>
      <c r="RKD117" s="15"/>
      <c r="RKE117" s="15"/>
      <c r="RKF117" s="15"/>
      <c r="RKG117" s="15"/>
      <c r="RKH117" s="15"/>
      <c r="RKI117" s="15"/>
      <c r="RKJ117" s="15"/>
      <c r="RKK117" s="15"/>
      <c r="RKL117" s="15"/>
      <c r="RKM117" s="15"/>
      <c r="RKN117" s="15"/>
      <c r="RKO117" s="15"/>
      <c r="RKP117" s="15"/>
      <c r="RKQ117" s="15"/>
      <c r="RKR117" s="15"/>
      <c r="RKS117" s="15"/>
      <c r="RKT117" s="14"/>
      <c r="RKU117" s="15"/>
      <c r="RKV117" s="15"/>
      <c r="RKW117" s="15"/>
      <c r="RKX117" s="15"/>
      <c r="RKY117" s="15"/>
      <c r="RKZ117" s="15"/>
      <c r="RLA117" s="15"/>
      <c r="RLB117" s="15"/>
      <c r="RLC117" s="15"/>
      <c r="RLD117" s="15"/>
      <c r="RLE117" s="15"/>
      <c r="RLF117" s="15"/>
      <c r="RLG117" s="15"/>
      <c r="RLH117" s="15"/>
      <c r="RLI117" s="15"/>
      <c r="RLJ117" s="15"/>
      <c r="RLK117" s="15"/>
      <c r="RLL117" s="15"/>
      <c r="RLM117" s="15"/>
      <c r="RLN117" s="15"/>
      <c r="RLO117" s="15"/>
      <c r="RLP117" s="14"/>
      <c r="RLQ117" s="15"/>
      <c r="RLR117" s="15"/>
      <c r="RLS117" s="15"/>
      <c r="RLT117" s="15"/>
      <c r="RLU117" s="15"/>
      <c r="RLV117" s="15"/>
      <c r="RLW117" s="15"/>
      <c r="RLX117" s="15"/>
      <c r="RLY117" s="15"/>
      <c r="RLZ117" s="15"/>
      <c r="RMA117" s="15"/>
      <c r="RMB117" s="15"/>
      <c r="RMC117" s="15"/>
      <c r="RMD117" s="15"/>
      <c r="RME117" s="15"/>
      <c r="RMF117" s="15"/>
      <c r="RMG117" s="15"/>
      <c r="RMH117" s="15"/>
      <c r="RMI117" s="15"/>
      <c r="RMJ117" s="15"/>
      <c r="RMK117" s="15"/>
      <c r="RML117" s="14"/>
      <c r="RMM117" s="15"/>
      <c r="RMN117" s="15"/>
      <c r="RMO117" s="15"/>
      <c r="RMP117" s="15"/>
      <c r="RMQ117" s="15"/>
      <c r="RMR117" s="15"/>
      <c r="RMS117" s="15"/>
      <c r="RMT117" s="15"/>
      <c r="RMU117" s="15"/>
      <c r="RMV117" s="15"/>
      <c r="RMW117" s="15"/>
      <c r="RMX117" s="15"/>
      <c r="RMY117" s="15"/>
      <c r="RMZ117" s="15"/>
      <c r="RNA117" s="15"/>
      <c r="RNB117" s="15"/>
      <c r="RNC117" s="15"/>
      <c r="RND117" s="15"/>
      <c r="RNE117" s="15"/>
      <c r="RNF117" s="15"/>
      <c r="RNG117" s="15"/>
      <c r="RNH117" s="14"/>
      <c r="RNI117" s="15"/>
      <c r="RNJ117" s="15"/>
      <c r="RNK117" s="15"/>
      <c r="RNL117" s="15"/>
      <c r="RNM117" s="15"/>
      <c r="RNN117" s="15"/>
      <c r="RNO117" s="15"/>
      <c r="RNP117" s="15"/>
      <c r="RNQ117" s="15"/>
      <c r="RNR117" s="15"/>
      <c r="RNS117" s="15"/>
      <c r="RNT117" s="15"/>
      <c r="RNU117" s="15"/>
      <c r="RNV117" s="15"/>
      <c r="RNW117" s="15"/>
      <c r="RNX117" s="15"/>
      <c r="RNY117" s="15"/>
      <c r="RNZ117" s="15"/>
      <c r="ROA117" s="15"/>
      <c r="ROB117" s="15"/>
      <c r="ROC117" s="15"/>
      <c r="ROD117" s="14"/>
      <c r="ROE117" s="15"/>
      <c r="ROF117" s="15"/>
      <c r="ROG117" s="15"/>
      <c r="ROH117" s="15"/>
      <c r="ROI117" s="15"/>
      <c r="ROJ117" s="15"/>
      <c r="ROK117" s="15"/>
      <c r="ROL117" s="15"/>
      <c r="ROM117" s="15"/>
      <c r="RON117" s="15"/>
      <c r="ROO117" s="15"/>
      <c r="ROP117" s="15"/>
      <c r="ROQ117" s="15"/>
      <c r="ROR117" s="15"/>
      <c r="ROS117" s="15"/>
      <c r="ROT117" s="15"/>
      <c r="ROU117" s="15"/>
      <c r="ROV117" s="15"/>
      <c r="ROW117" s="15"/>
      <c r="ROX117" s="15"/>
      <c r="ROY117" s="15"/>
      <c r="ROZ117" s="14"/>
      <c r="RPA117" s="15"/>
      <c r="RPB117" s="15"/>
      <c r="RPC117" s="15"/>
      <c r="RPD117" s="15"/>
      <c r="RPE117" s="15"/>
      <c r="RPF117" s="15"/>
      <c r="RPG117" s="15"/>
      <c r="RPH117" s="15"/>
      <c r="RPI117" s="15"/>
      <c r="RPJ117" s="15"/>
      <c r="RPK117" s="15"/>
      <c r="RPL117" s="15"/>
      <c r="RPM117" s="15"/>
      <c r="RPN117" s="15"/>
      <c r="RPO117" s="15"/>
      <c r="RPP117" s="15"/>
      <c r="RPQ117" s="15"/>
      <c r="RPR117" s="15"/>
      <c r="RPS117" s="15"/>
      <c r="RPT117" s="15"/>
      <c r="RPU117" s="15"/>
      <c r="RPV117" s="14"/>
      <c r="RPW117" s="15"/>
      <c r="RPX117" s="15"/>
      <c r="RPY117" s="15"/>
      <c r="RPZ117" s="15"/>
      <c r="RQA117" s="15"/>
      <c r="RQB117" s="15"/>
      <c r="RQC117" s="15"/>
      <c r="RQD117" s="15"/>
      <c r="RQE117" s="15"/>
      <c r="RQF117" s="15"/>
      <c r="RQG117" s="15"/>
      <c r="RQH117" s="15"/>
      <c r="RQI117" s="15"/>
      <c r="RQJ117" s="15"/>
      <c r="RQK117" s="15"/>
      <c r="RQL117" s="15"/>
      <c r="RQM117" s="15"/>
      <c r="RQN117" s="15"/>
      <c r="RQO117" s="15"/>
      <c r="RQP117" s="15"/>
      <c r="RQQ117" s="15"/>
      <c r="RQR117" s="14"/>
      <c r="RQS117" s="15"/>
      <c r="RQT117" s="15"/>
      <c r="RQU117" s="15"/>
      <c r="RQV117" s="15"/>
      <c r="RQW117" s="15"/>
      <c r="RQX117" s="15"/>
      <c r="RQY117" s="15"/>
      <c r="RQZ117" s="15"/>
      <c r="RRA117" s="15"/>
      <c r="RRB117" s="15"/>
      <c r="RRC117" s="15"/>
      <c r="RRD117" s="15"/>
      <c r="RRE117" s="15"/>
      <c r="RRF117" s="15"/>
      <c r="RRG117" s="15"/>
      <c r="RRH117" s="15"/>
      <c r="RRI117" s="15"/>
      <c r="RRJ117" s="15"/>
      <c r="RRK117" s="15"/>
      <c r="RRL117" s="15"/>
      <c r="RRM117" s="15"/>
      <c r="RRN117" s="14"/>
      <c r="RRO117" s="15"/>
      <c r="RRP117" s="15"/>
      <c r="RRQ117" s="15"/>
      <c r="RRR117" s="15"/>
      <c r="RRS117" s="15"/>
      <c r="RRT117" s="15"/>
      <c r="RRU117" s="15"/>
      <c r="RRV117" s="15"/>
      <c r="RRW117" s="15"/>
      <c r="RRX117" s="15"/>
      <c r="RRY117" s="15"/>
      <c r="RRZ117" s="15"/>
      <c r="RSA117" s="15"/>
      <c r="RSB117" s="15"/>
      <c r="RSC117" s="15"/>
      <c r="RSD117" s="15"/>
      <c r="RSE117" s="15"/>
      <c r="RSF117" s="15"/>
      <c r="RSG117" s="15"/>
      <c r="RSH117" s="15"/>
      <c r="RSI117" s="15"/>
      <c r="RSJ117" s="14"/>
      <c r="RSK117" s="15"/>
      <c r="RSL117" s="15"/>
      <c r="RSM117" s="15"/>
      <c r="RSN117" s="15"/>
      <c r="RSO117" s="15"/>
      <c r="RSP117" s="15"/>
      <c r="RSQ117" s="15"/>
      <c r="RSR117" s="15"/>
      <c r="RSS117" s="15"/>
      <c r="RST117" s="15"/>
      <c r="RSU117" s="15"/>
      <c r="RSV117" s="15"/>
      <c r="RSW117" s="15"/>
      <c r="RSX117" s="15"/>
      <c r="RSY117" s="15"/>
      <c r="RSZ117" s="15"/>
      <c r="RTA117" s="15"/>
      <c r="RTB117" s="15"/>
      <c r="RTC117" s="15"/>
      <c r="RTD117" s="15"/>
      <c r="RTE117" s="15"/>
      <c r="RTF117" s="14"/>
      <c r="RTG117" s="15"/>
      <c r="RTH117" s="15"/>
      <c r="RTI117" s="15"/>
      <c r="RTJ117" s="15"/>
      <c r="RTK117" s="15"/>
      <c r="RTL117" s="15"/>
      <c r="RTM117" s="15"/>
      <c r="RTN117" s="15"/>
      <c r="RTO117" s="15"/>
      <c r="RTP117" s="15"/>
      <c r="RTQ117" s="15"/>
      <c r="RTR117" s="15"/>
      <c r="RTS117" s="15"/>
      <c r="RTT117" s="15"/>
      <c r="RTU117" s="15"/>
      <c r="RTV117" s="15"/>
      <c r="RTW117" s="15"/>
      <c r="RTX117" s="15"/>
      <c r="RTY117" s="15"/>
      <c r="RTZ117" s="15"/>
      <c r="RUA117" s="15"/>
      <c r="RUB117" s="14"/>
      <c r="RUC117" s="15"/>
      <c r="RUD117" s="15"/>
      <c r="RUE117" s="15"/>
      <c r="RUF117" s="15"/>
      <c r="RUG117" s="15"/>
      <c r="RUH117" s="15"/>
      <c r="RUI117" s="15"/>
      <c r="RUJ117" s="15"/>
      <c r="RUK117" s="15"/>
      <c r="RUL117" s="15"/>
      <c r="RUM117" s="15"/>
      <c r="RUN117" s="15"/>
      <c r="RUO117" s="15"/>
      <c r="RUP117" s="15"/>
      <c r="RUQ117" s="15"/>
      <c r="RUR117" s="15"/>
      <c r="RUS117" s="15"/>
      <c r="RUT117" s="15"/>
      <c r="RUU117" s="15"/>
      <c r="RUV117" s="15"/>
      <c r="RUW117" s="15"/>
      <c r="RUX117" s="14"/>
      <c r="RUY117" s="15"/>
      <c r="RUZ117" s="15"/>
      <c r="RVA117" s="15"/>
      <c r="RVB117" s="15"/>
      <c r="RVC117" s="15"/>
      <c r="RVD117" s="15"/>
      <c r="RVE117" s="15"/>
      <c r="RVF117" s="15"/>
      <c r="RVG117" s="15"/>
      <c r="RVH117" s="15"/>
      <c r="RVI117" s="15"/>
      <c r="RVJ117" s="15"/>
      <c r="RVK117" s="15"/>
      <c r="RVL117" s="15"/>
      <c r="RVM117" s="15"/>
      <c r="RVN117" s="15"/>
      <c r="RVO117" s="15"/>
      <c r="RVP117" s="15"/>
      <c r="RVQ117" s="15"/>
      <c r="RVR117" s="15"/>
      <c r="RVS117" s="15"/>
      <c r="RVT117" s="14"/>
      <c r="RVU117" s="15"/>
      <c r="RVV117" s="15"/>
      <c r="RVW117" s="15"/>
      <c r="RVX117" s="15"/>
      <c r="RVY117" s="15"/>
      <c r="RVZ117" s="15"/>
      <c r="RWA117" s="15"/>
      <c r="RWB117" s="15"/>
      <c r="RWC117" s="15"/>
      <c r="RWD117" s="15"/>
      <c r="RWE117" s="15"/>
      <c r="RWF117" s="15"/>
      <c r="RWG117" s="15"/>
      <c r="RWH117" s="15"/>
      <c r="RWI117" s="15"/>
      <c r="RWJ117" s="15"/>
      <c r="RWK117" s="15"/>
      <c r="RWL117" s="15"/>
      <c r="RWM117" s="15"/>
      <c r="RWN117" s="15"/>
      <c r="RWO117" s="15"/>
      <c r="RWP117" s="14"/>
      <c r="RWQ117" s="15"/>
      <c r="RWR117" s="15"/>
      <c r="RWS117" s="15"/>
      <c r="RWT117" s="15"/>
      <c r="RWU117" s="15"/>
      <c r="RWV117" s="15"/>
      <c r="RWW117" s="15"/>
      <c r="RWX117" s="15"/>
      <c r="RWY117" s="15"/>
      <c r="RWZ117" s="15"/>
      <c r="RXA117" s="15"/>
      <c r="RXB117" s="15"/>
      <c r="RXC117" s="15"/>
      <c r="RXD117" s="15"/>
      <c r="RXE117" s="15"/>
      <c r="RXF117" s="15"/>
      <c r="RXG117" s="15"/>
      <c r="RXH117" s="15"/>
      <c r="RXI117" s="15"/>
      <c r="RXJ117" s="15"/>
      <c r="RXK117" s="15"/>
      <c r="RXL117" s="14"/>
      <c r="RXM117" s="15"/>
      <c r="RXN117" s="15"/>
      <c r="RXO117" s="15"/>
      <c r="RXP117" s="15"/>
      <c r="RXQ117" s="15"/>
      <c r="RXR117" s="15"/>
      <c r="RXS117" s="15"/>
      <c r="RXT117" s="15"/>
      <c r="RXU117" s="15"/>
      <c r="RXV117" s="15"/>
      <c r="RXW117" s="15"/>
      <c r="RXX117" s="15"/>
      <c r="RXY117" s="15"/>
      <c r="RXZ117" s="15"/>
      <c r="RYA117" s="15"/>
      <c r="RYB117" s="15"/>
      <c r="RYC117" s="15"/>
      <c r="RYD117" s="15"/>
      <c r="RYE117" s="15"/>
      <c r="RYF117" s="15"/>
      <c r="RYG117" s="15"/>
      <c r="RYH117" s="14"/>
      <c r="RYI117" s="15"/>
      <c r="RYJ117" s="15"/>
      <c r="RYK117" s="15"/>
      <c r="RYL117" s="15"/>
      <c r="RYM117" s="15"/>
      <c r="RYN117" s="15"/>
      <c r="RYO117" s="15"/>
      <c r="RYP117" s="15"/>
      <c r="RYQ117" s="15"/>
      <c r="RYR117" s="15"/>
      <c r="RYS117" s="15"/>
      <c r="RYT117" s="15"/>
      <c r="RYU117" s="15"/>
      <c r="RYV117" s="15"/>
      <c r="RYW117" s="15"/>
      <c r="RYX117" s="15"/>
      <c r="RYY117" s="15"/>
      <c r="RYZ117" s="15"/>
      <c r="RZA117" s="15"/>
      <c r="RZB117" s="15"/>
      <c r="RZC117" s="15"/>
      <c r="RZD117" s="14"/>
      <c r="RZE117" s="15"/>
      <c r="RZF117" s="15"/>
      <c r="RZG117" s="15"/>
      <c r="RZH117" s="15"/>
      <c r="RZI117" s="15"/>
      <c r="RZJ117" s="15"/>
      <c r="RZK117" s="15"/>
      <c r="RZL117" s="15"/>
      <c r="RZM117" s="15"/>
      <c r="RZN117" s="15"/>
      <c r="RZO117" s="15"/>
      <c r="RZP117" s="15"/>
      <c r="RZQ117" s="15"/>
      <c r="RZR117" s="15"/>
      <c r="RZS117" s="15"/>
      <c r="RZT117" s="15"/>
      <c r="RZU117" s="15"/>
      <c r="RZV117" s="15"/>
      <c r="RZW117" s="15"/>
      <c r="RZX117" s="15"/>
      <c r="RZY117" s="15"/>
      <c r="RZZ117" s="14"/>
      <c r="SAA117" s="15"/>
      <c r="SAB117" s="15"/>
      <c r="SAC117" s="15"/>
      <c r="SAD117" s="15"/>
      <c r="SAE117" s="15"/>
      <c r="SAF117" s="15"/>
      <c r="SAG117" s="15"/>
      <c r="SAH117" s="15"/>
      <c r="SAI117" s="15"/>
      <c r="SAJ117" s="15"/>
      <c r="SAK117" s="15"/>
      <c r="SAL117" s="15"/>
      <c r="SAM117" s="15"/>
      <c r="SAN117" s="15"/>
      <c r="SAO117" s="15"/>
      <c r="SAP117" s="15"/>
      <c r="SAQ117" s="15"/>
      <c r="SAR117" s="15"/>
      <c r="SAS117" s="15"/>
      <c r="SAT117" s="15"/>
      <c r="SAU117" s="15"/>
      <c r="SAV117" s="14"/>
      <c r="SAW117" s="15"/>
      <c r="SAX117" s="15"/>
      <c r="SAY117" s="15"/>
      <c r="SAZ117" s="15"/>
      <c r="SBA117" s="15"/>
      <c r="SBB117" s="15"/>
      <c r="SBC117" s="15"/>
      <c r="SBD117" s="15"/>
      <c r="SBE117" s="15"/>
      <c r="SBF117" s="15"/>
      <c r="SBG117" s="15"/>
      <c r="SBH117" s="15"/>
      <c r="SBI117" s="15"/>
      <c r="SBJ117" s="15"/>
      <c r="SBK117" s="15"/>
      <c r="SBL117" s="15"/>
      <c r="SBM117" s="15"/>
      <c r="SBN117" s="15"/>
      <c r="SBO117" s="15"/>
      <c r="SBP117" s="15"/>
      <c r="SBQ117" s="15"/>
      <c r="SBR117" s="14"/>
      <c r="SBS117" s="15"/>
      <c r="SBT117" s="15"/>
      <c r="SBU117" s="15"/>
      <c r="SBV117" s="15"/>
      <c r="SBW117" s="15"/>
      <c r="SBX117" s="15"/>
      <c r="SBY117" s="15"/>
      <c r="SBZ117" s="15"/>
      <c r="SCA117" s="15"/>
      <c r="SCB117" s="15"/>
      <c r="SCC117" s="15"/>
      <c r="SCD117" s="15"/>
      <c r="SCE117" s="15"/>
      <c r="SCF117" s="15"/>
      <c r="SCG117" s="15"/>
      <c r="SCH117" s="15"/>
      <c r="SCI117" s="15"/>
      <c r="SCJ117" s="15"/>
      <c r="SCK117" s="15"/>
      <c r="SCL117" s="15"/>
      <c r="SCM117" s="15"/>
      <c r="SCN117" s="14"/>
      <c r="SCO117" s="15"/>
      <c r="SCP117" s="15"/>
      <c r="SCQ117" s="15"/>
      <c r="SCR117" s="15"/>
      <c r="SCS117" s="15"/>
      <c r="SCT117" s="15"/>
      <c r="SCU117" s="15"/>
      <c r="SCV117" s="15"/>
      <c r="SCW117" s="15"/>
      <c r="SCX117" s="15"/>
      <c r="SCY117" s="15"/>
      <c r="SCZ117" s="15"/>
      <c r="SDA117" s="15"/>
      <c r="SDB117" s="15"/>
      <c r="SDC117" s="15"/>
      <c r="SDD117" s="15"/>
      <c r="SDE117" s="15"/>
      <c r="SDF117" s="15"/>
      <c r="SDG117" s="15"/>
      <c r="SDH117" s="15"/>
      <c r="SDI117" s="15"/>
      <c r="SDJ117" s="14"/>
      <c r="SDK117" s="15"/>
      <c r="SDL117" s="15"/>
      <c r="SDM117" s="15"/>
      <c r="SDN117" s="15"/>
      <c r="SDO117" s="15"/>
      <c r="SDP117" s="15"/>
      <c r="SDQ117" s="15"/>
      <c r="SDR117" s="15"/>
      <c r="SDS117" s="15"/>
      <c r="SDT117" s="15"/>
      <c r="SDU117" s="15"/>
      <c r="SDV117" s="15"/>
      <c r="SDW117" s="15"/>
      <c r="SDX117" s="15"/>
      <c r="SDY117" s="15"/>
      <c r="SDZ117" s="15"/>
      <c r="SEA117" s="15"/>
      <c r="SEB117" s="15"/>
      <c r="SEC117" s="15"/>
      <c r="SED117" s="15"/>
      <c r="SEE117" s="15"/>
      <c r="SEF117" s="14"/>
      <c r="SEG117" s="15"/>
      <c r="SEH117" s="15"/>
      <c r="SEI117" s="15"/>
      <c r="SEJ117" s="15"/>
      <c r="SEK117" s="15"/>
      <c r="SEL117" s="15"/>
      <c r="SEM117" s="15"/>
      <c r="SEN117" s="15"/>
      <c r="SEO117" s="15"/>
      <c r="SEP117" s="15"/>
      <c r="SEQ117" s="15"/>
      <c r="SER117" s="15"/>
      <c r="SES117" s="15"/>
      <c r="SET117" s="15"/>
      <c r="SEU117" s="15"/>
      <c r="SEV117" s="15"/>
      <c r="SEW117" s="15"/>
      <c r="SEX117" s="15"/>
      <c r="SEY117" s="15"/>
      <c r="SEZ117" s="15"/>
      <c r="SFA117" s="15"/>
      <c r="SFB117" s="14"/>
      <c r="SFC117" s="15"/>
      <c r="SFD117" s="15"/>
      <c r="SFE117" s="15"/>
      <c r="SFF117" s="15"/>
      <c r="SFG117" s="15"/>
      <c r="SFH117" s="15"/>
      <c r="SFI117" s="15"/>
      <c r="SFJ117" s="15"/>
      <c r="SFK117" s="15"/>
      <c r="SFL117" s="15"/>
      <c r="SFM117" s="15"/>
      <c r="SFN117" s="15"/>
      <c r="SFO117" s="15"/>
      <c r="SFP117" s="15"/>
      <c r="SFQ117" s="15"/>
      <c r="SFR117" s="15"/>
      <c r="SFS117" s="15"/>
      <c r="SFT117" s="15"/>
      <c r="SFU117" s="15"/>
      <c r="SFV117" s="15"/>
      <c r="SFW117" s="15"/>
      <c r="SFX117" s="14"/>
      <c r="SFY117" s="15"/>
      <c r="SFZ117" s="15"/>
      <c r="SGA117" s="15"/>
      <c r="SGB117" s="15"/>
      <c r="SGC117" s="15"/>
      <c r="SGD117" s="15"/>
      <c r="SGE117" s="15"/>
      <c r="SGF117" s="15"/>
      <c r="SGG117" s="15"/>
      <c r="SGH117" s="15"/>
      <c r="SGI117" s="15"/>
      <c r="SGJ117" s="15"/>
      <c r="SGK117" s="15"/>
      <c r="SGL117" s="15"/>
      <c r="SGM117" s="15"/>
      <c r="SGN117" s="15"/>
      <c r="SGO117" s="15"/>
      <c r="SGP117" s="15"/>
      <c r="SGQ117" s="15"/>
      <c r="SGR117" s="15"/>
      <c r="SGS117" s="15"/>
      <c r="SGT117" s="14"/>
      <c r="SGU117" s="15"/>
      <c r="SGV117" s="15"/>
      <c r="SGW117" s="15"/>
      <c r="SGX117" s="15"/>
      <c r="SGY117" s="15"/>
      <c r="SGZ117" s="15"/>
      <c r="SHA117" s="15"/>
      <c r="SHB117" s="15"/>
      <c r="SHC117" s="15"/>
      <c r="SHD117" s="15"/>
      <c r="SHE117" s="15"/>
      <c r="SHF117" s="15"/>
      <c r="SHG117" s="15"/>
      <c r="SHH117" s="15"/>
      <c r="SHI117" s="15"/>
      <c r="SHJ117" s="15"/>
      <c r="SHK117" s="15"/>
      <c r="SHL117" s="15"/>
      <c r="SHM117" s="15"/>
      <c r="SHN117" s="15"/>
      <c r="SHO117" s="15"/>
      <c r="SHP117" s="14"/>
      <c r="SHQ117" s="15"/>
      <c r="SHR117" s="15"/>
      <c r="SHS117" s="15"/>
      <c r="SHT117" s="15"/>
      <c r="SHU117" s="15"/>
      <c r="SHV117" s="15"/>
      <c r="SHW117" s="15"/>
      <c r="SHX117" s="15"/>
      <c r="SHY117" s="15"/>
      <c r="SHZ117" s="15"/>
      <c r="SIA117" s="15"/>
      <c r="SIB117" s="15"/>
      <c r="SIC117" s="15"/>
      <c r="SID117" s="15"/>
      <c r="SIE117" s="15"/>
      <c r="SIF117" s="15"/>
      <c r="SIG117" s="15"/>
      <c r="SIH117" s="15"/>
      <c r="SII117" s="15"/>
      <c r="SIJ117" s="15"/>
      <c r="SIK117" s="15"/>
      <c r="SIL117" s="14"/>
      <c r="SIM117" s="15"/>
      <c r="SIN117" s="15"/>
      <c r="SIO117" s="15"/>
      <c r="SIP117" s="15"/>
      <c r="SIQ117" s="15"/>
      <c r="SIR117" s="15"/>
      <c r="SIS117" s="15"/>
      <c r="SIT117" s="15"/>
      <c r="SIU117" s="15"/>
      <c r="SIV117" s="15"/>
      <c r="SIW117" s="15"/>
      <c r="SIX117" s="15"/>
      <c r="SIY117" s="15"/>
      <c r="SIZ117" s="15"/>
      <c r="SJA117" s="15"/>
      <c r="SJB117" s="15"/>
      <c r="SJC117" s="15"/>
      <c r="SJD117" s="15"/>
      <c r="SJE117" s="15"/>
      <c r="SJF117" s="15"/>
      <c r="SJG117" s="15"/>
      <c r="SJH117" s="14"/>
      <c r="SJI117" s="15"/>
      <c r="SJJ117" s="15"/>
      <c r="SJK117" s="15"/>
      <c r="SJL117" s="15"/>
      <c r="SJM117" s="15"/>
      <c r="SJN117" s="15"/>
      <c r="SJO117" s="15"/>
      <c r="SJP117" s="15"/>
      <c r="SJQ117" s="15"/>
      <c r="SJR117" s="15"/>
      <c r="SJS117" s="15"/>
      <c r="SJT117" s="15"/>
      <c r="SJU117" s="15"/>
      <c r="SJV117" s="15"/>
      <c r="SJW117" s="15"/>
      <c r="SJX117" s="15"/>
      <c r="SJY117" s="15"/>
      <c r="SJZ117" s="15"/>
      <c r="SKA117" s="15"/>
      <c r="SKB117" s="15"/>
      <c r="SKC117" s="15"/>
      <c r="SKD117" s="14"/>
      <c r="SKE117" s="15"/>
      <c r="SKF117" s="15"/>
      <c r="SKG117" s="15"/>
      <c r="SKH117" s="15"/>
      <c r="SKI117" s="15"/>
      <c r="SKJ117" s="15"/>
      <c r="SKK117" s="15"/>
      <c r="SKL117" s="15"/>
      <c r="SKM117" s="15"/>
      <c r="SKN117" s="15"/>
      <c r="SKO117" s="15"/>
      <c r="SKP117" s="15"/>
      <c r="SKQ117" s="15"/>
      <c r="SKR117" s="15"/>
      <c r="SKS117" s="15"/>
      <c r="SKT117" s="15"/>
      <c r="SKU117" s="15"/>
      <c r="SKV117" s="15"/>
      <c r="SKW117" s="15"/>
      <c r="SKX117" s="15"/>
      <c r="SKY117" s="15"/>
      <c r="SKZ117" s="14"/>
      <c r="SLA117" s="15"/>
      <c r="SLB117" s="15"/>
      <c r="SLC117" s="15"/>
      <c r="SLD117" s="15"/>
      <c r="SLE117" s="15"/>
      <c r="SLF117" s="15"/>
      <c r="SLG117" s="15"/>
      <c r="SLH117" s="15"/>
      <c r="SLI117" s="15"/>
      <c r="SLJ117" s="15"/>
      <c r="SLK117" s="15"/>
      <c r="SLL117" s="15"/>
      <c r="SLM117" s="15"/>
      <c r="SLN117" s="15"/>
      <c r="SLO117" s="15"/>
      <c r="SLP117" s="15"/>
      <c r="SLQ117" s="15"/>
      <c r="SLR117" s="15"/>
      <c r="SLS117" s="15"/>
      <c r="SLT117" s="15"/>
      <c r="SLU117" s="15"/>
      <c r="SLV117" s="14"/>
      <c r="SLW117" s="15"/>
      <c r="SLX117" s="15"/>
      <c r="SLY117" s="15"/>
      <c r="SLZ117" s="15"/>
      <c r="SMA117" s="15"/>
      <c r="SMB117" s="15"/>
      <c r="SMC117" s="15"/>
      <c r="SMD117" s="15"/>
      <c r="SME117" s="15"/>
      <c r="SMF117" s="15"/>
      <c r="SMG117" s="15"/>
      <c r="SMH117" s="15"/>
      <c r="SMI117" s="15"/>
      <c r="SMJ117" s="15"/>
      <c r="SMK117" s="15"/>
      <c r="SML117" s="15"/>
      <c r="SMM117" s="15"/>
      <c r="SMN117" s="15"/>
      <c r="SMO117" s="15"/>
      <c r="SMP117" s="15"/>
      <c r="SMQ117" s="15"/>
      <c r="SMR117" s="14"/>
      <c r="SMS117" s="15"/>
      <c r="SMT117" s="15"/>
      <c r="SMU117" s="15"/>
      <c r="SMV117" s="15"/>
      <c r="SMW117" s="15"/>
      <c r="SMX117" s="15"/>
      <c r="SMY117" s="15"/>
      <c r="SMZ117" s="15"/>
      <c r="SNA117" s="15"/>
      <c r="SNB117" s="15"/>
      <c r="SNC117" s="15"/>
      <c r="SND117" s="15"/>
      <c r="SNE117" s="15"/>
      <c r="SNF117" s="15"/>
      <c r="SNG117" s="15"/>
      <c r="SNH117" s="15"/>
      <c r="SNI117" s="15"/>
      <c r="SNJ117" s="15"/>
      <c r="SNK117" s="15"/>
      <c r="SNL117" s="15"/>
      <c r="SNM117" s="15"/>
      <c r="SNN117" s="14"/>
      <c r="SNO117" s="15"/>
      <c r="SNP117" s="15"/>
      <c r="SNQ117" s="15"/>
      <c r="SNR117" s="15"/>
      <c r="SNS117" s="15"/>
      <c r="SNT117" s="15"/>
      <c r="SNU117" s="15"/>
      <c r="SNV117" s="15"/>
      <c r="SNW117" s="15"/>
      <c r="SNX117" s="15"/>
      <c r="SNY117" s="15"/>
      <c r="SNZ117" s="15"/>
      <c r="SOA117" s="15"/>
      <c r="SOB117" s="15"/>
      <c r="SOC117" s="15"/>
      <c r="SOD117" s="15"/>
      <c r="SOE117" s="15"/>
      <c r="SOF117" s="15"/>
      <c r="SOG117" s="15"/>
      <c r="SOH117" s="15"/>
      <c r="SOI117" s="15"/>
      <c r="SOJ117" s="14"/>
      <c r="SOK117" s="15"/>
      <c r="SOL117" s="15"/>
      <c r="SOM117" s="15"/>
      <c r="SON117" s="15"/>
      <c r="SOO117" s="15"/>
      <c r="SOP117" s="15"/>
      <c r="SOQ117" s="15"/>
      <c r="SOR117" s="15"/>
      <c r="SOS117" s="15"/>
      <c r="SOT117" s="15"/>
      <c r="SOU117" s="15"/>
      <c r="SOV117" s="15"/>
      <c r="SOW117" s="15"/>
      <c r="SOX117" s="15"/>
      <c r="SOY117" s="15"/>
      <c r="SOZ117" s="15"/>
      <c r="SPA117" s="15"/>
      <c r="SPB117" s="15"/>
      <c r="SPC117" s="15"/>
      <c r="SPD117" s="15"/>
      <c r="SPE117" s="15"/>
      <c r="SPF117" s="14"/>
      <c r="SPG117" s="15"/>
      <c r="SPH117" s="15"/>
      <c r="SPI117" s="15"/>
      <c r="SPJ117" s="15"/>
      <c r="SPK117" s="15"/>
      <c r="SPL117" s="15"/>
      <c r="SPM117" s="15"/>
      <c r="SPN117" s="15"/>
      <c r="SPO117" s="15"/>
      <c r="SPP117" s="15"/>
      <c r="SPQ117" s="15"/>
      <c r="SPR117" s="15"/>
      <c r="SPS117" s="15"/>
      <c r="SPT117" s="15"/>
      <c r="SPU117" s="15"/>
      <c r="SPV117" s="15"/>
      <c r="SPW117" s="15"/>
      <c r="SPX117" s="15"/>
      <c r="SPY117" s="15"/>
      <c r="SPZ117" s="15"/>
      <c r="SQA117" s="15"/>
      <c r="SQB117" s="14"/>
      <c r="SQC117" s="15"/>
      <c r="SQD117" s="15"/>
      <c r="SQE117" s="15"/>
      <c r="SQF117" s="15"/>
      <c r="SQG117" s="15"/>
      <c r="SQH117" s="15"/>
      <c r="SQI117" s="15"/>
      <c r="SQJ117" s="15"/>
      <c r="SQK117" s="15"/>
      <c r="SQL117" s="15"/>
      <c r="SQM117" s="15"/>
      <c r="SQN117" s="15"/>
      <c r="SQO117" s="15"/>
      <c r="SQP117" s="15"/>
      <c r="SQQ117" s="15"/>
      <c r="SQR117" s="15"/>
      <c r="SQS117" s="15"/>
      <c r="SQT117" s="15"/>
      <c r="SQU117" s="15"/>
      <c r="SQV117" s="15"/>
      <c r="SQW117" s="15"/>
      <c r="SQX117" s="14"/>
      <c r="SQY117" s="15"/>
      <c r="SQZ117" s="15"/>
      <c r="SRA117" s="15"/>
      <c r="SRB117" s="15"/>
      <c r="SRC117" s="15"/>
      <c r="SRD117" s="15"/>
      <c r="SRE117" s="15"/>
      <c r="SRF117" s="15"/>
      <c r="SRG117" s="15"/>
      <c r="SRH117" s="15"/>
      <c r="SRI117" s="15"/>
      <c r="SRJ117" s="15"/>
      <c r="SRK117" s="15"/>
      <c r="SRL117" s="15"/>
      <c r="SRM117" s="15"/>
      <c r="SRN117" s="15"/>
      <c r="SRO117" s="15"/>
      <c r="SRP117" s="15"/>
      <c r="SRQ117" s="15"/>
      <c r="SRR117" s="15"/>
      <c r="SRS117" s="15"/>
      <c r="SRT117" s="14"/>
      <c r="SRU117" s="15"/>
      <c r="SRV117" s="15"/>
      <c r="SRW117" s="15"/>
      <c r="SRX117" s="15"/>
      <c r="SRY117" s="15"/>
      <c r="SRZ117" s="15"/>
      <c r="SSA117" s="15"/>
      <c r="SSB117" s="15"/>
      <c r="SSC117" s="15"/>
      <c r="SSD117" s="15"/>
      <c r="SSE117" s="15"/>
      <c r="SSF117" s="15"/>
      <c r="SSG117" s="15"/>
      <c r="SSH117" s="15"/>
      <c r="SSI117" s="15"/>
      <c r="SSJ117" s="15"/>
      <c r="SSK117" s="15"/>
      <c r="SSL117" s="15"/>
      <c r="SSM117" s="15"/>
      <c r="SSN117" s="15"/>
      <c r="SSO117" s="15"/>
      <c r="SSP117" s="14"/>
      <c r="SSQ117" s="15"/>
      <c r="SSR117" s="15"/>
      <c r="SSS117" s="15"/>
      <c r="SST117" s="15"/>
      <c r="SSU117" s="15"/>
      <c r="SSV117" s="15"/>
      <c r="SSW117" s="15"/>
      <c r="SSX117" s="15"/>
      <c r="SSY117" s="15"/>
      <c r="SSZ117" s="15"/>
      <c r="STA117" s="15"/>
      <c r="STB117" s="15"/>
      <c r="STC117" s="15"/>
      <c r="STD117" s="15"/>
      <c r="STE117" s="15"/>
      <c r="STF117" s="15"/>
      <c r="STG117" s="15"/>
      <c r="STH117" s="15"/>
      <c r="STI117" s="15"/>
      <c r="STJ117" s="15"/>
      <c r="STK117" s="15"/>
      <c r="STL117" s="14"/>
      <c r="STM117" s="15"/>
      <c r="STN117" s="15"/>
      <c r="STO117" s="15"/>
      <c r="STP117" s="15"/>
      <c r="STQ117" s="15"/>
      <c r="STR117" s="15"/>
      <c r="STS117" s="15"/>
      <c r="STT117" s="15"/>
      <c r="STU117" s="15"/>
      <c r="STV117" s="15"/>
      <c r="STW117" s="15"/>
      <c r="STX117" s="15"/>
      <c r="STY117" s="15"/>
      <c r="STZ117" s="15"/>
      <c r="SUA117" s="15"/>
      <c r="SUB117" s="15"/>
      <c r="SUC117" s="15"/>
      <c r="SUD117" s="15"/>
      <c r="SUE117" s="15"/>
      <c r="SUF117" s="15"/>
      <c r="SUG117" s="15"/>
      <c r="SUH117" s="14"/>
      <c r="SUI117" s="15"/>
      <c r="SUJ117" s="15"/>
      <c r="SUK117" s="15"/>
      <c r="SUL117" s="15"/>
      <c r="SUM117" s="15"/>
      <c r="SUN117" s="15"/>
      <c r="SUO117" s="15"/>
      <c r="SUP117" s="15"/>
      <c r="SUQ117" s="15"/>
      <c r="SUR117" s="15"/>
      <c r="SUS117" s="15"/>
      <c r="SUT117" s="15"/>
      <c r="SUU117" s="15"/>
      <c r="SUV117" s="15"/>
      <c r="SUW117" s="15"/>
      <c r="SUX117" s="15"/>
      <c r="SUY117" s="15"/>
      <c r="SUZ117" s="15"/>
      <c r="SVA117" s="15"/>
      <c r="SVB117" s="15"/>
      <c r="SVC117" s="15"/>
      <c r="SVD117" s="14"/>
      <c r="SVE117" s="15"/>
      <c r="SVF117" s="15"/>
      <c r="SVG117" s="15"/>
      <c r="SVH117" s="15"/>
      <c r="SVI117" s="15"/>
      <c r="SVJ117" s="15"/>
      <c r="SVK117" s="15"/>
      <c r="SVL117" s="15"/>
      <c r="SVM117" s="15"/>
      <c r="SVN117" s="15"/>
      <c r="SVO117" s="15"/>
      <c r="SVP117" s="15"/>
      <c r="SVQ117" s="15"/>
      <c r="SVR117" s="15"/>
      <c r="SVS117" s="15"/>
      <c r="SVT117" s="15"/>
      <c r="SVU117" s="15"/>
      <c r="SVV117" s="15"/>
      <c r="SVW117" s="15"/>
      <c r="SVX117" s="15"/>
      <c r="SVY117" s="15"/>
      <c r="SVZ117" s="14"/>
      <c r="SWA117" s="15"/>
      <c r="SWB117" s="15"/>
      <c r="SWC117" s="15"/>
      <c r="SWD117" s="15"/>
      <c r="SWE117" s="15"/>
      <c r="SWF117" s="15"/>
      <c r="SWG117" s="15"/>
      <c r="SWH117" s="15"/>
      <c r="SWI117" s="15"/>
      <c r="SWJ117" s="15"/>
      <c r="SWK117" s="15"/>
      <c r="SWL117" s="15"/>
      <c r="SWM117" s="15"/>
      <c r="SWN117" s="15"/>
      <c r="SWO117" s="15"/>
      <c r="SWP117" s="15"/>
      <c r="SWQ117" s="15"/>
      <c r="SWR117" s="15"/>
      <c r="SWS117" s="15"/>
      <c r="SWT117" s="15"/>
      <c r="SWU117" s="15"/>
      <c r="SWV117" s="14"/>
      <c r="SWW117" s="15"/>
      <c r="SWX117" s="15"/>
      <c r="SWY117" s="15"/>
      <c r="SWZ117" s="15"/>
      <c r="SXA117" s="15"/>
      <c r="SXB117" s="15"/>
      <c r="SXC117" s="15"/>
      <c r="SXD117" s="15"/>
      <c r="SXE117" s="15"/>
      <c r="SXF117" s="15"/>
      <c r="SXG117" s="15"/>
      <c r="SXH117" s="15"/>
      <c r="SXI117" s="15"/>
      <c r="SXJ117" s="15"/>
      <c r="SXK117" s="15"/>
      <c r="SXL117" s="15"/>
      <c r="SXM117" s="15"/>
      <c r="SXN117" s="15"/>
      <c r="SXO117" s="15"/>
      <c r="SXP117" s="15"/>
      <c r="SXQ117" s="15"/>
      <c r="SXR117" s="14"/>
      <c r="SXS117" s="15"/>
      <c r="SXT117" s="15"/>
      <c r="SXU117" s="15"/>
      <c r="SXV117" s="15"/>
      <c r="SXW117" s="15"/>
      <c r="SXX117" s="15"/>
      <c r="SXY117" s="15"/>
      <c r="SXZ117" s="15"/>
      <c r="SYA117" s="15"/>
      <c r="SYB117" s="15"/>
      <c r="SYC117" s="15"/>
      <c r="SYD117" s="15"/>
      <c r="SYE117" s="15"/>
      <c r="SYF117" s="15"/>
      <c r="SYG117" s="15"/>
      <c r="SYH117" s="15"/>
      <c r="SYI117" s="15"/>
      <c r="SYJ117" s="15"/>
      <c r="SYK117" s="15"/>
      <c r="SYL117" s="15"/>
      <c r="SYM117" s="15"/>
      <c r="SYN117" s="14"/>
      <c r="SYO117" s="15"/>
      <c r="SYP117" s="15"/>
      <c r="SYQ117" s="15"/>
      <c r="SYR117" s="15"/>
      <c r="SYS117" s="15"/>
      <c r="SYT117" s="15"/>
      <c r="SYU117" s="15"/>
      <c r="SYV117" s="15"/>
      <c r="SYW117" s="15"/>
      <c r="SYX117" s="15"/>
      <c r="SYY117" s="15"/>
      <c r="SYZ117" s="15"/>
      <c r="SZA117" s="15"/>
      <c r="SZB117" s="15"/>
      <c r="SZC117" s="15"/>
      <c r="SZD117" s="15"/>
      <c r="SZE117" s="15"/>
      <c r="SZF117" s="15"/>
      <c r="SZG117" s="15"/>
      <c r="SZH117" s="15"/>
      <c r="SZI117" s="15"/>
      <c r="SZJ117" s="14"/>
      <c r="SZK117" s="15"/>
      <c r="SZL117" s="15"/>
      <c r="SZM117" s="15"/>
      <c r="SZN117" s="15"/>
      <c r="SZO117" s="15"/>
      <c r="SZP117" s="15"/>
      <c r="SZQ117" s="15"/>
      <c r="SZR117" s="15"/>
      <c r="SZS117" s="15"/>
      <c r="SZT117" s="15"/>
      <c r="SZU117" s="15"/>
      <c r="SZV117" s="15"/>
      <c r="SZW117" s="15"/>
      <c r="SZX117" s="15"/>
      <c r="SZY117" s="15"/>
      <c r="SZZ117" s="15"/>
      <c r="TAA117" s="15"/>
      <c r="TAB117" s="15"/>
      <c r="TAC117" s="15"/>
      <c r="TAD117" s="15"/>
      <c r="TAE117" s="15"/>
      <c r="TAF117" s="14"/>
      <c r="TAG117" s="15"/>
      <c r="TAH117" s="15"/>
      <c r="TAI117" s="15"/>
      <c r="TAJ117" s="15"/>
      <c r="TAK117" s="15"/>
      <c r="TAL117" s="15"/>
      <c r="TAM117" s="15"/>
      <c r="TAN117" s="15"/>
      <c r="TAO117" s="15"/>
      <c r="TAP117" s="15"/>
      <c r="TAQ117" s="15"/>
      <c r="TAR117" s="15"/>
      <c r="TAS117" s="15"/>
      <c r="TAT117" s="15"/>
      <c r="TAU117" s="15"/>
      <c r="TAV117" s="15"/>
      <c r="TAW117" s="15"/>
      <c r="TAX117" s="15"/>
      <c r="TAY117" s="15"/>
      <c r="TAZ117" s="15"/>
      <c r="TBA117" s="15"/>
      <c r="TBB117" s="14"/>
      <c r="TBC117" s="15"/>
      <c r="TBD117" s="15"/>
      <c r="TBE117" s="15"/>
      <c r="TBF117" s="15"/>
      <c r="TBG117" s="15"/>
      <c r="TBH117" s="15"/>
      <c r="TBI117" s="15"/>
      <c r="TBJ117" s="15"/>
      <c r="TBK117" s="15"/>
      <c r="TBL117" s="15"/>
      <c r="TBM117" s="15"/>
      <c r="TBN117" s="15"/>
      <c r="TBO117" s="15"/>
      <c r="TBP117" s="15"/>
      <c r="TBQ117" s="15"/>
      <c r="TBR117" s="15"/>
      <c r="TBS117" s="15"/>
      <c r="TBT117" s="15"/>
      <c r="TBU117" s="15"/>
      <c r="TBV117" s="15"/>
      <c r="TBW117" s="15"/>
      <c r="TBX117" s="14"/>
      <c r="TBY117" s="15"/>
      <c r="TBZ117" s="15"/>
      <c r="TCA117" s="15"/>
      <c r="TCB117" s="15"/>
      <c r="TCC117" s="15"/>
      <c r="TCD117" s="15"/>
      <c r="TCE117" s="15"/>
      <c r="TCF117" s="15"/>
      <c r="TCG117" s="15"/>
      <c r="TCH117" s="15"/>
      <c r="TCI117" s="15"/>
      <c r="TCJ117" s="15"/>
      <c r="TCK117" s="15"/>
      <c r="TCL117" s="15"/>
      <c r="TCM117" s="15"/>
      <c r="TCN117" s="15"/>
      <c r="TCO117" s="15"/>
      <c r="TCP117" s="15"/>
      <c r="TCQ117" s="15"/>
      <c r="TCR117" s="15"/>
      <c r="TCS117" s="15"/>
      <c r="TCT117" s="14"/>
      <c r="TCU117" s="15"/>
      <c r="TCV117" s="15"/>
      <c r="TCW117" s="15"/>
      <c r="TCX117" s="15"/>
      <c r="TCY117" s="15"/>
      <c r="TCZ117" s="15"/>
      <c r="TDA117" s="15"/>
      <c r="TDB117" s="15"/>
      <c r="TDC117" s="15"/>
      <c r="TDD117" s="15"/>
      <c r="TDE117" s="15"/>
      <c r="TDF117" s="15"/>
      <c r="TDG117" s="15"/>
      <c r="TDH117" s="15"/>
      <c r="TDI117" s="15"/>
      <c r="TDJ117" s="15"/>
      <c r="TDK117" s="15"/>
      <c r="TDL117" s="15"/>
      <c r="TDM117" s="15"/>
      <c r="TDN117" s="15"/>
      <c r="TDO117" s="15"/>
      <c r="TDP117" s="14"/>
      <c r="TDQ117" s="15"/>
      <c r="TDR117" s="15"/>
      <c r="TDS117" s="15"/>
      <c r="TDT117" s="15"/>
      <c r="TDU117" s="15"/>
      <c r="TDV117" s="15"/>
      <c r="TDW117" s="15"/>
      <c r="TDX117" s="15"/>
      <c r="TDY117" s="15"/>
      <c r="TDZ117" s="15"/>
      <c r="TEA117" s="15"/>
      <c r="TEB117" s="15"/>
      <c r="TEC117" s="15"/>
      <c r="TED117" s="15"/>
      <c r="TEE117" s="15"/>
      <c r="TEF117" s="15"/>
      <c r="TEG117" s="15"/>
      <c r="TEH117" s="15"/>
      <c r="TEI117" s="15"/>
      <c r="TEJ117" s="15"/>
      <c r="TEK117" s="15"/>
      <c r="TEL117" s="14"/>
      <c r="TEM117" s="15"/>
      <c r="TEN117" s="15"/>
      <c r="TEO117" s="15"/>
      <c r="TEP117" s="15"/>
      <c r="TEQ117" s="15"/>
      <c r="TER117" s="15"/>
      <c r="TES117" s="15"/>
      <c r="TET117" s="15"/>
      <c r="TEU117" s="15"/>
      <c r="TEV117" s="15"/>
      <c r="TEW117" s="15"/>
      <c r="TEX117" s="15"/>
      <c r="TEY117" s="15"/>
      <c r="TEZ117" s="15"/>
      <c r="TFA117" s="15"/>
      <c r="TFB117" s="15"/>
      <c r="TFC117" s="15"/>
      <c r="TFD117" s="15"/>
      <c r="TFE117" s="15"/>
      <c r="TFF117" s="15"/>
      <c r="TFG117" s="15"/>
      <c r="TFH117" s="14"/>
      <c r="TFI117" s="15"/>
      <c r="TFJ117" s="15"/>
      <c r="TFK117" s="15"/>
      <c r="TFL117" s="15"/>
      <c r="TFM117" s="15"/>
      <c r="TFN117" s="15"/>
      <c r="TFO117" s="15"/>
      <c r="TFP117" s="15"/>
      <c r="TFQ117" s="15"/>
      <c r="TFR117" s="15"/>
      <c r="TFS117" s="15"/>
      <c r="TFT117" s="15"/>
      <c r="TFU117" s="15"/>
      <c r="TFV117" s="15"/>
      <c r="TFW117" s="15"/>
      <c r="TFX117" s="15"/>
      <c r="TFY117" s="15"/>
      <c r="TFZ117" s="15"/>
      <c r="TGA117" s="15"/>
      <c r="TGB117" s="15"/>
      <c r="TGC117" s="15"/>
      <c r="TGD117" s="14"/>
      <c r="TGE117" s="15"/>
      <c r="TGF117" s="15"/>
      <c r="TGG117" s="15"/>
      <c r="TGH117" s="15"/>
      <c r="TGI117" s="15"/>
      <c r="TGJ117" s="15"/>
      <c r="TGK117" s="15"/>
      <c r="TGL117" s="15"/>
      <c r="TGM117" s="15"/>
      <c r="TGN117" s="15"/>
      <c r="TGO117" s="15"/>
      <c r="TGP117" s="15"/>
      <c r="TGQ117" s="15"/>
      <c r="TGR117" s="15"/>
      <c r="TGS117" s="15"/>
      <c r="TGT117" s="15"/>
      <c r="TGU117" s="15"/>
      <c r="TGV117" s="15"/>
      <c r="TGW117" s="15"/>
      <c r="TGX117" s="15"/>
      <c r="TGY117" s="15"/>
      <c r="TGZ117" s="14"/>
      <c r="THA117" s="15"/>
      <c r="THB117" s="15"/>
      <c r="THC117" s="15"/>
      <c r="THD117" s="15"/>
      <c r="THE117" s="15"/>
      <c r="THF117" s="15"/>
      <c r="THG117" s="15"/>
      <c r="THH117" s="15"/>
      <c r="THI117" s="15"/>
      <c r="THJ117" s="15"/>
      <c r="THK117" s="15"/>
      <c r="THL117" s="15"/>
      <c r="THM117" s="15"/>
      <c r="THN117" s="15"/>
      <c r="THO117" s="15"/>
      <c r="THP117" s="15"/>
      <c r="THQ117" s="15"/>
      <c r="THR117" s="15"/>
      <c r="THS117" s="15"/>
      <c r="THT117" s="15"/>
      <c r="THU117" s="15"/>
      <c r="THV117" s="14"/>
      <c r="THW117" s="15"/>
      <c r="THX117" s="15"/>
      <c r="THY117" s="15"/>
      <c r="THZ117" s="15"/>
      <c r="TIA117" s="15"/>
      <c r="TIB117" s="15"/>
      <c r="TIC117" s="15"/>
      <c r="TID117" s="15"/>
      <c r="TIE117" s="15"/>
      <c r="TIF117" s="15"/>
      <c r="TIG117" s="15"/>
      <c r="TIH117" s="15"/>
      <c r="TII117" s="15"/>
      <c r="TIJ117" s="15"/>
      <c r="TIK117" s="15"/>
      <c r="TIL117" s="15"/>
      <c r="TIM117" s="15"/>
      <c r="TIN117" s="15"/>
      <c r="TIO117" s="15"/>
      <c r="TIP117" s="15"/>
      <c r="TIQ117" s="15"/>
      <c r="TIR117" s="14"/>
      <c r="TIS117" s="15"/>
      <c r="TIT117" s="15"/>
      <c r="TIU117" s="15"/>
      <c r="TIV117" s="15"/>
      <c r="TIW117" s="15"/>
      <c r="TIX117" s="15"/>
      <c r="TIY117" s="15"/>
      <c r="TIZ117" s="15"/>
      <c r="TJA117" s="15"/>
      <c r="TJB117" s="15"/>
      <c r="TJC117" s="15"/>
      <c r="TJD117" s="15"/>
      <c r="TJE117" s="15"/>
      <c r="TJF117" s="15"/>
      <c r="TJG117" s="15"/>
      <c r="TJH117" s="15"/>
      <c r="TJI117" s="15"/>
      <c r="TJJ117" s="15"/>
      <c r="TJK117" s="15"/>
      <c r="TJL117" s="15"/>
      <c r="TJM117" s="15"/>
      <c r="TJN117" s="14"/>
      <c r="TJO117" s="15"/>
      <c r="TJP117" s="15"/>
      <c r="TJQ117" s="15"/>
      <c r="TJR117" s="15"/>
      <c r="TJS117" s="15"/>
      <c r="TJT117" s="15"/>
      <c r="TJU117" s="15"/>
      <c r="TJV117" s="15"/>
      <c r="TJW117" s="15"/>
      <c r="TJX117" s="15"/>
      <c r="TJY117" s="15"/>
      <c r="TJZ117" s="15"/>
      <c r="TKA117" s="15"/>
      <c r="TKB117" s="15"/>
      <c r="TKC117" s="15"/>
      <c r="TKD117" s="15"/>
      <c r="TKE117" s="15"/>
      <c r="TKF117" s="15"/>
      <c r="TKG117" s="15"/>
      <c r="TKH117" s="15"/>
      <c r="TKI117" s="15"/>
      <c r="TKJ117" s="14"/>
      <c r="TKK117" s="15"/>
      <c r="TKL117" s="15"/>
      <c r="TKM117" s="15"/>
      <c r="TKN117" s="15"/>
      <c r="TKO117" s="15"/>
      <c r="TKP117" s="15"/>
      <c r="TKQ117" s="15"/>
      <c r="TKR117" s="15"/>
      <c r="TKS117" s="15"/>
      <c r="TKT117" s="15"/>
      <c r="TKU117" s="15"/>
      <c r="TKV117" s="15"/>
      <c r="TKW117" s="15"/>
      <c r="TKX117" s="15"/>
      <c r="TKY117" s="15"/>
      <c r="TKZ117" s="15"/>
      <c r="TLA117" s="15"/>
      <c r="TLB117" s="15"/>
      <c r="TLC117" s="15"/>
      <c r="TLD117" s="15"/>
      <c r="TLE117" s="15"/>
      <c r="TLF117" s="14"/>
      <c r="TLG117" s="15"/>
      <c r="TLH117" s="15"/>
      <c r="TLI117" s="15"/>
      <c r="TLJ117" s="15"/>
      <c r="TLK117" s="15"/>
      <c r="TLL117" s="15"/>
      <c r="TLM117" s="15"/>
      <c r="TLN117" s="15"/>
      <c r="TLO117" s="15"/>
      <c r="TLP117" s="15"/>
      <c r="TLQ117" s="15"/>
      <c r="TLR117" s="15"/>
      <c r="TLS117" s="15"/>
      <c r="TLT117" s="15"/>
      <c r="TLU117" s="15"/>
      <c r="TLV117" s="15"/>
      <c r="TLW117" s="15"/>
      <c r="TLX117" s="15"/>
      <c r="TLY117" s="15"/>
      <c r="TLZ117" s="15"/>
      <c r="TMA117" s="15"/>
      <c r="TMB117" s="14"/>
      <c r="TMC117" s="15"/>
      <c r="TMD117" s="15"/>
      <c r="TME117" s="15"/>
      <c r="TMF117" s="15"/>
      <c r="TMG117" s="15"/>
      <c r="TMH117" s="15"/>
      <c r="TMI117" s="15"/>
      <c r="TMJ117" s="15"/>
      <c r="TMK117" s="15"/>
      <c r="TML117" s="15"/>
      <c r="TMM117" s="15"/>
      <c r="TMN117" s="15"/>
      <c r="TMO117" s="15"/>
      <c r="TMP117" s="15"/>
      <c r="TMQ117" s="15"/>
      <c r="TMR117" s="15"/>
      <c r="TMS117" s="15"/>
      <c r="TMT117" s="15"/>
      <c r="TMU117" s="15"/>
      <c r="TMV117" s="15"/>
      <c r="TMW117" s="15"/>
      <c r="TMX117" s="14"/>
      <c r="TMY117" s="15"/>
      <c r="TMZ117" s="15"/>
      <c r="TNA117" s="15"/>
      <c r="TNB117" s="15"/>
      <c r="TNC117" s="15"/>
      <c r="TND117" s="15"/>
      <c r="TNE117" s="15"/>
      <c r="TNF117" s="15"/>
      <c r="TNG117" s="15"/>
      <c r="TNH117" s="15"/>
      <c r="TNI117" s="15"/>
      <c r="TNJ117" s="15"/>
      <c r="TNK117" s="15"/>
      <c r="TNL117" s="15"/>
      <c r="TNM117" s="15"/>
      <c r="TNN117" s="15"/>
      <c r="TNO117" s="15"/>
      <c r="TNP117" s="15"/>
      <c r="TNQ117" s="15"/>
      <c r="TNR117" s="15"/>
      <c r="TNS117" s="15"/>
      <c r="TNT117" s="14"/>
      <c r="TNU117" s="15"/>
      <c r="TNV117" s="15"/>
      <c r="TNW117" s="15"/>
      <c r="TNX117" s="15"/>
      <c r="TNY117" s="15"/>
      <c r="TNZ117" s="15"/>
      <c r="TOA117" s="15"/>
      <c r="TOB117" s="15"/>
      <c r="TOC117" s="15"/>
      <c r="TOD117" s="15"/>
      <c r="TOE117" s="15"/>
      <c r="TOF117" s="15"/>
      <c r="TOG117" s="15"/>
      <c r="TOH117" s="15"/>
      <c r="TOI117" s="15"/>
      <c r="TOJ117" s="15"/>
      <c r="TOK117" s="15"/>
      <c r="TOL117" s="15"/>
      <c r="TOM117" s="15"/>
      <c r="TON117" s="15"/>
      <c r="TOO117" s="15"/>
      <c r="TOP117" s="14"/>
      <c r="TOQ117" s="15"/>
      <c r="TOR117" s="15"/>
      <c r="TOS117" s="15"/>
      <c r="TOT117" s="15"/>
      <c r="TOU117" s="15"/>
      <c r="TOV117" s="15"/>
      <c r="TOW117" s="15"/>
      <c r="TOX117" s="15"/>
      <c r="TOY117" s="15"/>
      <c r="TOZ117" s="15"/>
      <c r="TPA117" s="15"/>
      <c r="TPB117" s="15"/>
      <c r="TPC117" s="15"/>
      <c r="TPD117" s="15"/>
      <c r="TPE117" s="15"/>
      <c r="TPF117" s="15"/>
      <c r="TPG117" s="15"/>
      <c r="TPH117" s="15"/>
      <c r="TPI117" s="15"/>
      <c r="TPJ117" s="15"/>
      <c r="TPK117" s="15"/>
      <c r="TPL117" s="14"/>
      <c r="TPM117" s="15"/>
      <c r="TPN117" s="15"/>
      <c r="TPO117" s="15"/>
      <c r="TPP117" s="15"/>
      <c r="TPQ117" s="15"/>
      <c r="TPR117" s="15"/>
      <c r="TPS117" s="15"/>
      <c r="TPT117" s="15"/>
      <c r="TPU117" s="15"/>
      <c r="TPV117" s="15"/>
      <c r="TPW117" s="15"/>
      <c r="TPX117" s="15"/>
      <c r="TPY117" s="15"/>
      <c r="TPZ117" s="15"/>
      <c r="TQA117" s="15"/>
      <c r="TQB117" s="15"/>
      <c r="TQC117" s="15"/>
      <c r="TQD117" s="15"/>
      <c r="TQE117" s="15"/>
      <c r="TQF117" s="15"/>
      <c r="TQG117" s="15"/>
      <c r="TQH117" s="14"/>
      <c r="TQI117" s="15"/>
      <c r="TQJ117" s="15"/>
      <c r="TQK117" s="15"/>
      <c r="TQL117" s="15"/>
      <c r="TQM117" s="15"/>
      <c r="TQN117" s="15"/>
      <c r="TQO117" s="15"/>
      <c r="TQP117" s="15"/>
      <c r="TQQ117" s="15"/>
      <c r="TQR117" s="15"/>
      <c r="TQS117" s="15"/>
      <c r="TQT117" s="15"/>
      <c r="TQU117" s="15"/>
      <c r="TQV117" s="15"/>
      <c r="TQW117" s="15"/>
      <c r="TQX117" s="15"/>
      <c r="TQY117" s="15"/>
      <c r="TQZ117" s="15"/>
      <c r="TRA117" s="15"/>
      <c r="TRB117" s="15"/>
      <c r="TRC117" s="15"/>
      <c r="TRD117" s="14"/>
      <c r="TRE117" s="15"/>
      <c r="TRF117" s="15"/>
      <c r="TRG117" s="15"/>
      <c r="TRH117" s="15"/>
      <c r="TRI117" s="15"/>
      <c r="TRJ117" s="15"/>
      <c r="TRK117" s="15"/>
      <c r="TRL117" s="15"/>
      <c r="TRM117" s="15"/>
      <c r="TRN117" s="15"/>
      <c r="TRO117" s="15"/>
      <c r="TRP117" s="15"/>
      <c r="TRQ117" s="15"/>
      <c r="TRR117" s="15"/>
      <c r="TRS117" s="15"/>
      <c r="TRT117" s="15"/>
      <c r="TRU117" s="15"/>
      <c r="TRV117" s="15"/>
      <c r="TRW117" s="15"/>
      <c r="TRX117" s="15"/>
      <c r="TRY117" s="15"/>
      <c r="TRZ117" s="14"/>
      <c r="TSA117" s="15"/>
      <c r="TSB117" s="15"/>
      <c r="TSC117" s="15"/>
      <c r="TSD117" s="15"/>
      <c r="TSE117" s="15"/>
      <c r="TSF117" s="15"/>
      <c r="TSG117" s="15"/>
      <c r="TSH117" s="15"/>
      <c r="TSI117" s="15"/>
      <c r="TSJ117" s="15"/>
      <c r="TSK117" s="15"/>
      <c r="TSL117" s="15"/>
      <c r="TSM117" s="15"/>
      <c r="TSN117" s="15"/>
      <c r="TSO117" s="15"/>
      <c r="TSP117" s="15"/>
      <c r="TSQ117" s="15"/>
      <c r="TSR117" s="15"/>
      <c r="TSS117" s="15"/>
      <c r="TST117" s="15"/>
      <c r="TSU117" s="15"/>
      <c r="TSV117" s="14"/>
      <c r="TSW117" s="15"/>
      <c r="TSX117" s="15"/>
      <c r="TSY117" s="15"/>
      <c r="TSZ117" s="15"/>
      <c r="TTA117" s="15"/>
      <c r="TTB117" s="15"/>
      <c r="TTC117" s="15"/>
      <c r="TTD117" s="15"/>
      <c r="TTE117" s="15"/>
      <c r="TTF117" s="15"/>
      <c r="TTG117" s="15"/>
      <c r="TTH117" s="15"/>
      <c r="TTI117" s="15"/>
      <c r="TTJ117" s="15"/>
      <c r="TTK117" s="15"/>
      <c r="TTL117" s="15"/>
      <c r="TTM117" s="15"/>
      <c r="TTN117" s="15"/>
      <c r="TTO117" s="15"/>
      <c r="TTP117" s="15"/>
      <c r="TTQ117" s="15"/>
      <c r="TTR117" s="14"/>
      <c r="TTS117" s="15"/>
      <c r="TTT117" s="15"/>
      <c r="TTU117" s="15"/>
      <c r="TTV117" s="15"/>
      <c r="TTW117" s="15"/>
      <c r="TTX117" s="15"/>
      <c r="TTY117" s="15"/>
      <c r="TTZ117" s="15"/>
      <c r="TUA117" s="15"/>
      <c r="TUB117" s="15"/>
      <c r="TUC117" s="15"/>
      <c r="TUD117" s="15"/>
      <c r="TUE117" s="15"/>
      <c r="TUF117" s="15"/>
      <c r="TUG117" s="15"/>
      <c r="TUH117" s="15"/>
      <c r="TUI117" s="15"/>
      <c r="TUJ117" s="15"/>
      <c r="TUK117" s="15"/>
      <c r="TUL117" s="15"/>
      <c r="TUM117" s="15"/>
      <c r="TUN117" s="14"/>
      <c r="TUO117" s="15"/>
      <c r="TUP117" s="15"/>
      <c r="TUQ117" s="15"/>
      <c r="TUR117" s="15"/>
      <c r="TUS117" s="15"/>
      <c r="TUT117" s="15"/>
      <c r="TUU117" s="15"/>
      <c r="TUV117" s="15"/>
      <c r="TUW117" s="15"/>
      <c r="TUX117" s="15"/>
      <c r="TUY117" s="15"/>
      <c r="TUZ117" s="15"/>
      <c r="TVA117" s="15"/>
      <c r="TVB117" s="15"/>
      <c r="TVC117" s="15"/>
      <c r="TVD117" s="15"/>
      <c r="TVE117" s="15"/>
      <c r="TVF117" s="15"/>
      <c r="TVG117" s="15"/>
      <c r="TVH117" s="15"/>
      <c r="TVI117" s="15"/>
      <c r="TVJ117" s="14"/>
      <c r="TVK117" s="15"/>
      <c r="TVL117" s="15"/>
      <c r="TVM117" s="15"/>
      <c r="TVN117" s="15"/>
      <c r="TVO117" s="15"/>
      <c r="TVP117" s="15"/>
      <c r="TVQ117" s="15"/>
      <c r="TVR117" s="15"/>
      <c r="TVS117" s="15"/>
      <c r="TVT117" s="15"/>
      <c r="TVU117" s="15"/>
      <c r="TVV117" s="15"/>
      <c r="TVW117" s="15"/>
      <c r="TVX117" s="15"/>
      <c r="TVY117" s="15"/>
      <c r="TVZ117" s="15"/>
      <c r="TWA117" s="15"/>
      <c r="TWB117" s="15"/>
      <c r="TWC117" s="15"/>
      <c r="TWD117" s="15"/>
      <c r="TWE117" s="15"/>
      <c r="TWF117" s="14"/>
      <c r="TWG117" s="15"/>
      <c r="TWH117" s="15"/>
      <c r="TWI117" s="15"/>
      <c r="TWJ117" s="15"/>
      <c r="TWK117" s="15"/>
      <c r="TWL117" s="15"/>
      <c r="TWM117" s="15"/>
      <c r="TWN117" s="15"/>
      <c r="TWO117" s="15"/>
      <c r="TWP117" s="15"/>
      <c r="TWQ117" s="15"/>
      <c r="TWR117" s="15"/>
      <c r="TWS117" s="15"/>
      <c r="TWT117" s="15"/>
      <c r="TWU117" s="15"/>
      <c r="TWV117" s="15"/>
      <c r="TWW117" s="15"/>
      <c r="TWX117" s="15"/>
      <c r="TWY117" s="15"/>
      <c r="TWZ117" s="15"/>
      <c r="TXA117" s="15"/>
      <c r="TXB117" s="14"/>
      <c r="TXC117" s="15"/>
      <c r="TXD117" s="15"/>
      <c r="TXE117" s="15"/>
      <c r="TXF117" s="15"/>
      <c r="TXG117" s="15"/>
      <c r="TXH117" s="15"/>
      <c r="TXI117" s="15"/>
      <c r="TXJ117" s="15"/>
      <c r="TXK117" s="15"/>
      <c r="TXL117" s="15"/>
      <c r="TXM117" s="15"/>
      <c r="TXN117" s="15"/>
      <c r="TXO117" s="15"/>
      <c r="TXP117" s="15"/>
      <c r="TXQ117" s="15"/>
      <c r="TXR117" s="15"/>
      <c r="TXS117" s="15"/>
      <c r="TXT117" s="15"/>
      <c r="TXU117" s="15"/>
      <c r="TXV117" s="15"/>
      <c r="TXW117" s="15"/>
      <c r="TXX117" s="14"/>
      <c r="TXY117" s="15"/>
      <c r="TXZ117" s="15"/>
      <c r="TYA117" s="15"/>
      <c r="TYB117" s="15"/>
      <c r="TYC117" s="15"/>
      <c r="TYD117" s="15"/>
      <c r="TYE117" s="15"/>
      <c r="TYF117" s="15"/>
      <c r="TYG117" s="15"/>
      <c r="TYH117" s="15"/>
      <c r="TYI117" s="15"/>
      <c r="TYJ117" s="15"/>
      <c r="TYK117" s="15"/>
      <c r="TYL117" s="15"/>
      <c r="TYM117" s="15"/>
      <c r="TYN117" s="15"/>
      <c r="TYO117" s="15"/>
      <c r="TYP117" s="15"/>
      <c r="TYQ117" s="15"/>
      <c r="TYR117" s="15"/>
      <c r="TYS117" s="15"/>
      <c r="TYT117" s="14"/>
      <c r="TYU117" s="15"/>
      <c r="TYV117" s="15"/>
      <c r="TYW117" s="15"/>
      <c r="TYX117" s="15"/>
      <c r="TYY117" s="15"/>
      <c r="TYZ117" s="15"/>
      <c r="TZA117" s="15"/>
      <c r="TZB117" s="15"/>
      <c r="TZC117" s="15"/>
      <c r="TZD117" s="15"/>
      <c r="TZE117" s="15"/>
      <c r="TZF117" s="15"/>
      <c r="TZG117" s="15"/>
      <c r="TZH117" s="15"/>
      <c r="TZI117" s="15"/>
      <c r="TZJ117" s="15"/>
      <c r="TZK117" s="15"/>
      <c r="TZL117" s="15"/>
      <c r="TZM117" s="15"/>
      <c r="TZN117" s="15"/>
      <c r="TZO117" s="15"/>
      <c r="TZP117" s="14"/>
      <c r="TZQ117" s="15"/>
      <c r="TZR117" s="15"/>
      <c r="TZS117" s="15"/>
      <c r="TZT117" s="15"/>
      <c r="TZU117" s="15"/>
      <c r="TZV117" s="15"/>
      <c r="TZW117" s="15"/>
      <c r="TZX117" s="15"/>
      <c r="TZY117" s="15"/>
      <c r="TZZ117" s="15"/>
      <c r="UAA117" s="15"/>
      <c r="UAB117" s="15"/>
      <c r="UAC117" s="15"/>
      <c r="UAD117" s="15"/>
      <c r="UAE117" s="15"/>
      <c r="UAF117" s="15"/>
      <c r="UAG117" s="15"/>
      <c r="UAH117" s="15"/>
      <c r="UAI117" s="15"/>
      <c r="UAJ117" s="15"/>
      <c r="UAK117" s="15"/>
      <c r="UAL117" s="14"/>
      <c r="UAM117" s="15"/>
      <c r="UAN117" s="15"/>
      <c r="UAO117" s="15"/>
      <c r="UAP117" s="15"/>
      <c r="UAQ117" s="15"/>
      <c r="UAR117" s="15"/>
      <c r="UAS117" s="15"/>
      <c r="UAT117" s="15"/>
      <c r="UAU117" s="15"/>
      <c r="UAV117" s="15"/>
      <c r="UAW117" s="15"/>
      <c r="UAX117" s="15"/>
      <c r="UAY117" s="15"/>
      <c r="UAZ117" s="15"/>
      <c r="UBA117" s="15"/>
      <c r="UBB117" s="15"/>
      <c r="UBC117" s="15"/>
      <c r="UBD117" s="15"/>
      <c r="UBE117" s="15"/>
      <c r="UBF117" s="15"/>
      <c r="UBG117" s="15"/>
      <c r="UBH117" s="14"/>
      <c r="UBI117" s="15"/>
      <c r="UBJ117" s="15"/>
      <c r="UBK117" s="15"/>
      <c r="UBL117" s="15"/>
      <c r="UBM117" s="15"/>
      <c r="UBN117" s="15"/>
      <c r="UBO117" s="15"/>
      <c r="UBP117" s="15"/>
      <c r="UBQ117" s="15"/>
      <c r="UBR117" s="15"/>
      <c r="UBS117" s="15"/>
      <c r="UBT117" s="15"/>
      <c r="UBU117" s="15"/>
      <c r="UBV117" s="15"/>
      <c r="UBW117" s="15"/>
      <c r="UBX117" s="15"/>
      <c r="UBY117" s="15"/>
      <c r="UBZ117" s="15"/>
      <c r="UCA117" s="15"/>
      <c r="UCB117" s="15"/>
      <c r="UCC117" s="15"/>
      <c r="UCD117" s="14"/>
      <c r="UCE117" s="15"/>
      <c r="UCF117" s="15"/>
      <c r="UCG117" s="15"/>
      <c r="UCH117" s="15"/>
      <c r="UCI117" s="15"/>
      <c r="UCJ117" s="15"/>
      <c r="UCK117" s="15"/>
      <c r="UCL117" s="15"/>
      <c r="UCM117" s="15"/>
      <c r="UCN117" s="15"/>
      <c r="UCO117" s="15"/>
      <c r="UCP117" s="15"/>
      <c r="UCQ117" s="15"/>
      <c r="UCR117" s="15"/>
      <c r="UCS117" s="15"/>
      <c r="UCT117" s="15"/>
      <c r="UCU117" s="15"/>
      <c r="UCV117" s="15"/>
      <c r="UCW117" s="15"/>
      <c r="UCX117" s="15"/>
      <c r="UCY117" s="15"/>
      <c r="UCZ117" s="14"/>
      <c r="UDA117" s="15"/>
      <c r="UDB117" s="15"/>
      <c r="UDC117" s="15"/>
      <c r="UDD117" s="15"/>
      <c r="UDE117" s="15"/>
      <c r="UDF117" s="15"/>
      <c r="UDG117" s="15"/>
      <c r="UDH117" s="15"/>
      <c r="UDI117" s="15"/>
      <c r="UDJ117" s="15"/>
      <c r="UDK117" s="15"/>
      <c r="UDL117" s="15"/>
      <c r="UDM117" s="15"/>
      <c r="UDN117" s="15"/>
      <c r="UDO117" s="15"/>
      <c r="UDP117" s="15"/>
      <c r="UDQ117" s="15"/>
      <c r="UDR117" s="15"/>
      <c r="UDS117" s="15"/>
      <c r="UDT117" s="15"/>
      <c r="UDU117" s="15"/>
      <c r="UDV117" s="14"/>
      <c r="UDW117" s="15"/>
      <c r="UDX117" s="15"/>
      <c r="UDY117" s="15"/>
      <c r="UDZ117" s="15"/>
      <c r="UEA117" s="15"/>
      <c r="UEB117" s="15"/>
      <c r="UEC117" s="15"/>
      <c r="UED117" s="15"/>
      <c r="UEE117" s="15"/>
      <c r="UEF117" s="15"/>
      <c r="UEG117" s="15"/>
      <c r="UEH117" s="15"/>
      <c r="UEI117" s="15"/>
      <c r="UEJ117" s="15"/>
      <c r="UEK117" s="15"/>
      <c r="UEL117" s="15"/>
      <c r="UEM117" s="15"/>
      <c r="UEN117" s="15"/>
      <c r="UEO117" s="15"/>
      <c r="UEP117" s="15"/>
      <c r="UEQ117" s="15"/>
      <c r="UER117" s="14"/>
      <c r="UES117" s="15"/>
      <c r="UET117" s="15"/>
      <c r="UEU117" s="15"/>
      <c r="UEV117" s="15"/>
      <c r="UEW117" s="15"/>
      <c r="UEX117" s="15"/>
      <c r="UEY117" s="15"/>
      <c r="UEZ117" s="15"/>
      <c r="UFA117" s="15"/>
      <c r="UFB117" s="15"/>
      <c r="UFC117" s="15"/>
      <c r="UFD117" s="15"/>
      <c r="UFE117" s="15"/>
      <c r="UFF117" s="15"/>
      <c r="UFG117" s="15"/>
      <c r="UFH117" s="15"/>
      <c r="UFI117" s="15"/>
      <c r="UFJ117" s="15"/>
      <c r="UFK117" s="15"/>
      <c r="UFL117" s="15"/>
      <c r="UFM117" s="15"/>
      <c r="UFN117" s="14"/>
      <c r="UFO117" s="15"/>
      <c r="UFP117" s="15"/>
      <c r="UFQ117" s="15"/>
      <c r="UFR117" s="15"/>
      <c r="UFS117" s="15"/>
      <c r="UFT117" s="15"/>
      <c r="UFU117" s="15"/>
      <c r="UFV117" s="15"/>
      <c r="UFW117" s="15"/>
      <c r="UFX117" s="15"/>
      <c r="UFY117" s="15"/>
      <c r="UFZ117" s="15"/>
      <c r="UGA117" s="15"/>
      <c r="UGB117" s="15"/>
      <c r="UGC117" s="15"/>
      <c r="UGD117" s="15"/>
      <c r="UGE117" s="15"/>
      <c r="UGF117" s="15"/>
      <c r="UGG117" s="15"/>
      <c r="UGH117" s="15"/>
      <c r="UGI117" s="15"/>
      <c r="UGJ117" s="14"/>
      <c r="UGK117" s="15"/>
      <c r="UGL117" s="15"/>
      <c r="UGM117" s="15"/>
      <c r="UGN117" s="15"/>
      <c r="UGO117" s="15"/>
      <c r="UGP117" s="15"/>
      <c r="UGQ117" s="15"/>
      <c r="UGR117" s="15"/>
      <c r="UGS117" s="15"/>
      <c r="UGT117" s="15"/>
      <c r="UGU117" s="15"/>
      <c r="UGV117" s="15"/>
      <c r="UGW117" s="15"/>
      <c r="UGX117" s="15"/>
      <c r="UGY117" s="15"/>
      <c r="UGZ117" s="15"/>
      <c r="UHA117" s="15"/>
      <c r="UHB117" s="15"/>
      <c r="UHC117" s="15"/>
      <c r="UHD117" s="15"/>
      <c r="UHE117" s="15"/>
      <c r="UHF117" s="14"/>
      <c r="UHG117" s="15"/>
      <c r="UHH117" s="15"/>
      <c r="UHI117" s="15"/>
      <c r="UHJ117" s="15"/>
      <c r="UHK117" s="15"/>
      <c r="UHL117" s="15"/>
      <c r="UHM117" s="15"/>
      <c r="UHN117" s="15"/>
      <c r="UHO117" s="15"/>
      <c r="UHP117" s="15"/>
      <c r="UHQ117" s="15"/>
      <c r="UHR117" s="15"/>
      <c r="UHS117" s="15"/>
      <c r="UHT117" s="15"/>
      <c r="UHU117" s="15"/>
      <c r="UHV117" s="15"/>
      <c r="UHW117" s="15"/>
      <c r="UHX117" s="15"/>
      <c r="UHY117" s="15"/>
      <c r="UHZ117" s="15"/>
      <c r="UIA117" s="15"/>
      <c r="UIB117" s="14"/>
      <c r="UIC117" s="15"/>
      <c r="UID117" s="15"/>
      <c r="UIE117" s="15"/>
      <c r="UIF117" s="15"/>
      <c r="UIG117" s="15"/>
      <c r="UIH117" s="15"/>
      <c r="UII117" s="15"/>
      <c r="UIJ117" s="15"/>
      <c r="UIK117" s="15"/>
      <c r="UIL117" s="15"/>
      <c r="UIM117" s="15"/>
      <c r="UIN117" s="15"/>
      <c r="UIO117" s="15"/>
      <c r="UIP117" s="15"/>
      <c r="UIQ117" s="15"/>
      <c r="UIR117" s="15"/>
      <c r="UIS117" s="15"/>
      <c r="UIT117" s="15"/>
      <c r="UIU117" s="15"/>
      <c r="UIV117" s="15"/>
      <c r="UIW117" s="15"/>
      <c r="UIX117" s="14"/>
      <c r="UIY117" s="15"/>
      <c r="UIZ117" s="15"/>
      <c r="UJA117" s="15"/>
      <c r="UJB117" s="15"/>
      <c r="UJC117" s="15"/>
      <c r="UJD117" s="15"/>
      <c r="UJE117" s="15"/>
      <c r="UJF117" s="15"/>
      <c r="UJG117" s="15"/>
      <c r="UJH117" s="15"/>
      <c r="UJI117" s="15"/>
      <c r="UJJ117" s="15"/>
      <c r="UJK117" s="15"/>
      <c r="UJL117" s="15"/>
      <c r="UJM117" s="15"/>
      <c r="UJN117" s="15"/>
      <c r="UJO117" s="15"/>
      <c r="UJP117" s="15"/>
      <c r="UJQ117" s="15"/>
      <c r="UJR117" s="15"/>
      <c r="UJS117" s="15"/>
      <c r="UJT117" s="14"/>
      <c r="UJU117" s="15"/>
      <c r="UJV117" s="15"/>
      <c r="UJW117" s="15"/>
      <c r="UJX117" s="15"/>
      <c r="UJY117" s="15"/>
      <c r="UJZ117" s="15"/>
      <c r="UKA117" s="15"/>
      <c r="UKB117" s="15"/>
      <c r="UKC117" s="15"/>
      <c r="UKD117" s="15"/>
      <c r="UKE117" s="15"/>
      <c r="UKF117" s="15"/>
      <c r="UKG117" s="15"/>
      <c r="UKH117" s="15"/>
      <c r="UKI117" s="15"/>
      <c r="UKJ117" s="15"/>
      <c r="UKK117" s="15"/>
      <c r="UKL117" s="15"/>
      <c r="UKM117" s="15"/>
      <c r="UKN117" s="15"/>
      <c r="UKO117" s="15"/>
      <c r="UKP117" s="14"/>
      <c r="UKQ117" s="15"/>
      <c r="UKR117" s="15"/>
      <c r="UKS117" s="15"/>
      <c r="UKT117" s="15"/>
      <c r="UKU117" s="15"/>
      <c r="UKV117" s="15"/>
      <c r="UKW117" s="15"/>
      <c r="UKX117" s="15"/>
      <c r="UKY117" s="15"/>
      <c r="UKZ117" s="15"/>
      <c r="ULA117" s="15"/>
      <c r="ULB117" s="15"/>
      <c r="ULC117" s="15"/>
      <c r="ULD117" s="15"/>
      <c r="ULE117" s="15"/>
      <c r="ULF117" s="15"/>
      <c r="ULG117" s="15"/>
      <c r="ULH117" s="15"/>
      <c r="ULI117" s="15"/>
      <c r="ULJ117" s="15"/>
      <c r="ULK117" s="15"/>
      <c r="ULL117" s="14"/>
      <c r="ULM117" s="15"/>
      <c r="ULN117" s="15"/>
      <c r="ULO117" s="15"/>
      <c r="ULP117" s="15"/>
      <c r="ULQ117" s="15"/>
      <c r="ULR117" s="15"/>
      <c r="ULS117" s="15"/>
      <c r="ULT117" s="15"/>
      <c r="ULU117" s="15"/>
      <c r="ULV117" s="15"/>
      <c r="ULW117" s="15"/>
      <c r="ULX117" s="15"/>
      <c r="ULY117" s="15"/>
      <c r="ULZ117" s="15"/>
      <c r="UMA117" s="15"/>
      <c r="UMB117" s="15"/>
      <c r="UMC117" s="15"/>
      <c r="UMD117" s="15"/>
      <c r="UME117" s="15"/>
      <c r="UMF117" s="15"/>
      <c r="UMG117" s="15"/>
      <c r="UMH117" s="14"/>
      <c r="UMI117" s="15"/>
      <c r="UMJ117" s="15"/>
      <c r="UMK117" s="15"/>
      <c r="UML117" s="15"/>
      <c r="UMM117" s="15"/>
      <c r="UMN117" s="15"/>
      <c r="UMO117" s="15"/>
      <c r="UMP117" s="15"/>
      <c r="UMQ117" s="15"/>
      <c r="UMR117" s="15"/>
      <c r="UMS117" s="15"/>
      <c r="UMT117" s="15"/>
      <c r="UMU117" s="15"/>
      <c r="UMV117" s="15"/>
      <c r="UMW117" s="15"/>
      <c r="UMX117" s="15"/>
      <c r="UMY117" s="15"/>
      <c r="UMZ117" s="15"/>
      <c r="UNA117" s="15"/>
      <c r="UNB117" s="15"/>
      <c r="UNC117" s="15"/>
      <c r="UND117" s="14"/>
      <c r="UNE117" s="15"/>
      <c r="UNF117" s="15"/>
      <c r="UNG117" s="15"/>
      <c r="UNH117" s="15"/>
      <c r="UNI117" s="15"/>
      <c r="UNJ117" s="15"/>
      <c r="UNK117" s="15"/>
      <c r="UNL117" s="15"/>
      <c r="UNM117" s="15"/>
      <c r="UNN117" s="15"/>
      <c r="UNO117" s="15"/>
      <c r="UNP117" s="15"/>
      <c r="UNQ117" s="15"/>
      <c r="UNR117" s="15"/>
      <c r="UNS117" s="15"/>
      <c r="UNT117" s="15"/>
      <c r="UNU117" s="15"/>
      <c r="UNV117" s="15"/>
      <c r="UNW117" s="15"/>
      <c r="UNX117" s="15"/>
      <c r="UNY117" s="15"/>
      <c r="UNZ117" s="14"/>
      <c r="UOA117" s="15"/>
      <c r="UOB117" s="15"/>
      <c r="UOC117" s="15"/>
      <c r="UOD117" s="15"/>
      <c r="UOE117" s="15"/>
      <c r="UOF117" s="15"/>
      <c r="UOG117" s="15"/>
      <c r="UOH117" s="15"/>
      <c r="UOI117" s="15"/>
      <c r="UOJ117" s="15"/>
      <c r="UOK117" s="15"/>
      <c r="UOL117" s="15"/>
      <c r="UOM117" s="15"/>
      <c r="UON117" s="15"/>
      <c r="UOO117" s="15"/>
      <c r="UOP117" s="15"/>
      <c r="UOQ117" s="15"/>
      <c r="UOR117" s="15"/>
      <c r="UOS117" s="15"/>
      <c r="UOT117" s="15"/>
      <c r="UOU117" s="15"/>
      <c r="UOV117" s="14"/>
      <c r="UOW117" s="15"/>
      <c r="UOX117" s="15"/>
      <c r="UOY117" s="15"/>
      <c r="UOZ117" s="15"/>
      <c r="UPA117" s="15"/>
      <c r="UPB117" s="15"/>
      <c r="UPC117" s="15"/>
      <c r="UPD117" s="15"/>
      <c r="UPE117" s="15"/>
      <c r="UPF117" s="15"/>
      <c r="UPG117" s="15"/>
      <c r="UPH117" s="15"/>
      <c r="UPI117" s="15"/>
      <c r="UPJ117" s="15"/>
      <c r="UPK117" s="15"/>
      <c r="UPL117" s="15"/>
      <c r="UPM117" s="15"/>
      <c r="UPN117" s="15"/>
      <c r="UPO117" s="15"/>
      <c r="UPP117" s="15"/>
      <c r="UPQ117" s="15"/>
      <c r="UPR117" s="14"/>
      <c r="UPS117" s="15"/>
      <c r="UPT117" s="15"/>
      <c r="UPU117" s="15"/>
      <c r="UPV117" s="15"/>
      <c r="UPW117" s="15"/>
      <c r="UPX117" s="15"/>
      <c r="UPY117" s="15"/>
      <c r="UPZ117" s="15"/>
      <c r="UQA117" s="15"/>
      <c r="UQB117" s="15"/>
      <c r="UQC117" s="15"/>
      <c r="UQD117" s="15"/>
      <c r="UQE117" s="15"/>
      <c r="UQF117" s="15"/>
      <c r="UQG117" s="15"/>
      <c r="UQH117" s="15"/>
      <c r="UQI117" s="15"/>
      <c r="UQJ117" s="15"/>
      <c r="UQK117" s="15"/>
      <c r="UQL117" s="15"/>
      <c r="UQM117" s="15"/>
      <c r="UQN117" s="14"/>
      <c r="UQO117" s="15"/>
      <c r="UQP117" s="15"/>
      <c r="UQQ117" s="15"/>
      <c r="UQR117" s="15"/>
      <c r="UQS117" s="15"/>
      <c r="UQT117" s="15"/>
      <c r="UQU117" s="15"/>
      <c r="UQV117" s="15"/>
      <c r="UQW117" s="15"/>
      <c r="UQX117" s="15"/>
      <c r="UQY117" s="15"/>
      <c r="UQZ117" s="15"/>
      <c r="URA117" s="15"/>
      <c r="URB117" s="15"/>
      <c r="URC117" s="15"/>
      <c r="URD117" s="15"/>
      <c r="URE117" s="15"/>
      <c r="URF117" s="15"/>
      <c r="URG117" s="15"/>
      <c r="URH117" s="15"/>
      <c r="URI117" s="15"/>
      <c r="URJ117" s="14"/>
      <c r="URK117" s="15"/>
      <c r="URL117" s="15"/>
      <c r="URM117" s="15"/>
      <c r="URN117" s="15"/>
      <c r="URO117" s="15"/>
      <c r="URP117" s="15"/>
      <c r="URQ117" s="15"/>
      <c r="URR117" s="15"/>
      <c r="URS117" s="15"/>
      <c r="URT117" s="15"/>
      <c r="URU117" s="15"/>
      <c r="URV117" s="15"/>
      <c r="URW117" s="15"/>
      <c r="URX117" s="15"/>
      <c r="URY117" s="15"/>
      <c r="URZ117" s="15"/>
      <c r="USA117" s="15"/>
      <c r="USB117" s="15"/>
      <c r="USC117" s="15"/>
      <c r="USD117" s="15"/>
      <c r="USE117" s="15"/>
      <c r="USF117" s="14"/>
      <c r="USG117" s="15"/>
      <c r="USH117" s="15"/>
      <c r="USI117" s="15"/>
      <c r="USJ117" s="15"/>
      <c r="USK117" s="15"/>
      <c r="USL117" s="15"/>
      <c r="USM117" s="15"/>
      <c r="USN117" s="15"/>
      <c r="USO117" s="15"/>
      <c r="USP117" s="15"/>
      <c r="USQ117" s="15"/>
      <c r="USR117" s="15"/>
      <c r="USS117" s="15"/>
      <c r="UST117" s="15"/>
      <c r="USU117" s="15"/>
      <c r="USV117" s="15"/>
      <c r="USW117" s="15"/>
      <c r="USX117" s="15"/>
      <c r="USY117" s="15"/>
      <c r="USZ117" s="15"/>
      <c r="UTA117" s="15"/>
      <c r="UTB117" s="14"/>
      <c r="UTC117" s="15"/>
      <c r="UTD117" s="15"/>
      <c r="UTE117" s="15"/>
      <c r="UTF117" s="15"/>
      <c r="UTG117" s="15"/>
      <c r="UTH117" s="15"/>
      <c r="UTI117" s="15"/>
      <c r="UTJ117" s="15"/>
      <c r="UTK117" s="15"/>
      <c r="UTL117" s="15"/>
      <c r="UTM117" s="15"/>
      <c r="UTN117" s="15"/>
      <c r="UTO117" s="15"/>
      <c r="UTP117" s="15"/>
      <c r="UTQ117" s="15"/>
      <c r="UTR117" s="15"/>
      <c r="UTS117" s="15"/>
      <c r="UTT117" s="15"/>
      <c r="UTU117" s="15"/>
      <c r="UTV117" s="15"/>
      <c r="UTW117" s="15"/>
      <c r="UTX117" s="14"/>
      <c r="UTY117" s="15"/>
      <c r="UTZ117" s="15"/>
      <c r="UUA117" s="15"/>
      <c r="UUB117" s="15"/>
      <c r="UUC117" s="15"/>
      <c r="UUD117" s="15"/>
      <c r="UUE117" s="15"/>
      <c r="UUF117" s="15"/>
      <c r="UUG117" s="15"/>
      <c r="UUH117" s="15"/>
      <c r="UUI117" s="15"/>
      <c r="UUJ117" s="15"/>
      <c r="UUK117" s="15"/>
      <c r="UUL117" s="15"/>
      <c r="UUM117" s="15"/>
      <c r="UUN117" s="15"/>
      <c r="UUO117" s="15"/>
      <c r="UUP117" s="15"/>
      <c r="UUQ117" s="15"/>
      <c r="UUR117" s="15"/>
      <c r="UUS117" s="15"/>
      <c r="UUT117" s="14"/>
      <c r="UUU117" s="15"/>
      <c r="UUV117" s="15"/>
      <c r="UUW117" s="15"/>
      <c r="UUX117" s="15"/>
      <c r="UUY117" s="15"/>
      <c r="UUZ117" s="15"/>
      <c r="UVA117" s="15"/>
      <c r="UVB117" s="15"/>
      <c r="UVC117" s="15"/>
      <c r="UVD117" s="15"/>
      <c r="UVE117" s="15"/>
      <c r="UVF117" s="15"/>
      <c r="UVG117" s="15"/>
      <c r="UVH117" s="15"/>
      <c r="UVI117" s="15"/>
      <c r="UVJ117" s="15"/>
      <c r="UVK117" s="15"/>
      <c r="UVL117" s="15"/>
      <c r="UVM117" s="15"/>
      <c r="UVN117" s="15"/>
      <c r="UVO117" s="15"/>
      <c r="UVP117" s="14"/>
      <c r="UVQ117" s="15"/>
      <c r="UVR117" s="15"/>
      <c r="UVS117" s="15"/>
      <c r="UVT117" s="15"/>
      <c r="UVU117" s="15"/>
      <c r="UVV117" s="15"/>
      <c r="UVW117" s="15"/>
      <c r="UVX117" s="15"/>
      <c r="UVY117" s="15"/>
      <c r="UVZ117" s="15"/>
      <c r="UWA117" s="15"/>
      <c r="UWB117" s="15"/>
      <c r="UWC117" s="15"/>
      <c r="UWD117" s="15"/>
      <c r="UWE117" s="15"/>
      <c r="UWF117" s="15"/>
      <c r="UWG117" s="15"/>
      <c r="UWH117" s="15"/>
      <c r="UWI117" s="15"/>
      <c r="UWJ117" s="15"/>
      <c r="UWK117" s="15"/>
      <c r="UWL117" s="14"/>
      <c r="UWM117" s="15"/>
      <c r="UWN117" s="15"/>
      <c r="UWO117" s="15"/>
      <c r="UWP117" s="15"/>
      <c r="UWQ117" s="15"/>
      <c r="UWR117" s="15"/>
      <c r="UWS117" s="15"/>
      <c r="UWT117" s="15"/>
      <c r="UWU117" s="15"/>
      <c r="UWV117" s="15"/>
      <c r="UWW117" s="15"/>
      <c r="UWX117" s="15"/>
      <c r="UWY117" s="15"/>
      <c r="UWZ117" s="15"/>
      <c r="UXA117" s="15"/>
      <c r="UXB117" s="15"/>
      <c r="UXC117" s="15"/>
      <c r="UXD117" s="15"/>
      <c r="UXE117" s="15"/>
      <c r="UXF117" s="15"/>
      <c r="UXG117" s="15"/>
      <c r="UXH117" s="14"/>
      <c r="UXI117" s="15"/>
      <c r="UXJ117" s="15"/>
      <c r="UXK117" s="15"/>
      <c r="UXL117" s="15"/>
      <c r="UXM117" s="15"/>
      <c r="UXN117" s="15"/>
      <c r="UXO117" s="15"/>
      <c r="UXP117" s="15"/>
      <c r="UXQ117" s="15"/>
      <c r="UXR117" s="15"/>
      <c r="UXS117" s="15"/>
      <c r="UXT117" s="15"/>
      <c r="UXU117" s="15"/>
      <c r="UXV117" s="15"/>
      <c r="UXW117" s="15"/>
      <c r="UXX117" s="15"/>
      <c r="UXY117" s="15"/>
      <c r="UXZ117" s="15"/>
      <c r="UYA117" s="15"/>
      <c r="UYB117" s="15"/>
      <c r="UYC117" s="15"/>
      <c r="UYD117" s="14"/>
      <c r="UYE117" s="15"/>
      <c r="UYF117" s="15"/>
      <c r="UYG117" s="15"/>
      <c r="UYH117" s="15"/>
      <c r="UYI117" s="15"/>
      <c r="UYJ117" s="15"/>
      <c r="UYK117" s="15"/>
      <c r="UYL117" s="15"/>
      <c r="UYM117" s="15"/>
      <c r="UYN117" s="15"/>
      <c r="UYO117" s="15"/>
      <c r="UYP117" s="15"/>
      <c r="UYQ117" s="15"/>
      <c r="UYR117" s="15"/>
      <c r="UYS117" s="15"/>
      <c r="UYT117" s="15"/>
      <c r="UYU117" s="15"/>
      <c r="UYV117" s="15"/>
      <c r="UYW117" s="15"/>
      <c r="UYX117" s="15"/>
      <c r="UYY117" s="15"/>
      <c r="UYZ117" s="14"/>
      <c r="UZA117" s="15"/>
      <c r="UZB117" s="15"/>
      <c r="UZC117" s="15"/>
      <c r="UZD117" s="15"/>
      <c r="UZE117" s="15"/>
      <c r="UZF117" s="15"/>
      <c r="UZG117" s="15"/>
      <c r="UZH117" s="15"/>
      <c r="UZI117" s="15"/>
      <c r="UZJ117" s="15"/>
      <c r="UZK117" s="15"/>
      <c r="UZL117" s="15"/>
      <c r="UZM117" s="15"/>
      <c r="UZN117" s="15"/>
      <c r="UZO117" s="15"/>
      <c r="UZP117" s="15"/>
      <c r="UZQ117" s="15"/>
      <c r="UZR117" s="15"/>
      <c r="UZS117" s="15"/>
      <c r="UZT117" s="15"/>
      <c r="UZU117" s="15"/>
      <c r="UZV117" s="14"/>
      <c r="UZW117" s="15"/>
      <c r="UZX117" s="15"/>
      <c r="UZY117" s="15"/>
      <c r="UZZ117" s="15"/>
      <c r="VAA117" s="15"/>
      <c r="VAB117" s="15"/>
      <c r="VAC117" s="15"/>
      <c r="VAD117" s="15"/>
      <c r="VAE117" s="15"/>
      <c r="VAF117" s="15"/>
      <c r="VAG117" s="15"/>
      <c r="VAH117" s="15"/>
      <c r="VAI117" s="15"/>
      <c r="VAJ117" s="15"/>
      <c r="VAK117" s="15"/>
      <c r="VAL117" s="15"/>
      <c r="VAM117" s="15"/>
      <c r="VAN117" s="15"/>
      <c r="VAO117" s="15"/>
      <c r="VAP117" s="15"/>
      <c r="VAQ117" s="15"/>
      <c r="VAR117" s="14"/>
      <c r="VAS117" s="15"/>
      <c r="VAT117" s="15"/>
      <c r="VAU117" s="15"/>
      <c r="VAV117" s="15"/>
      <c r="VAW117" s="15"/>
      <c r="VAX117" s="15"/>
      <c r="VAY117" s="15"/>
      <c r="VAZ117" s="15"/>
      <c r="VBA117" s="15"/>
      <c r="VBB117" s="15"/>
      <c r="VBC117" s="15"/>
      <c r="VBD117" s="15"/>
      <c r="VBE117" s="15"/>
      <c r="VBF117" s="15"/>
      <c r="VBG117" s="15"/>
      <c r="VBH117" s="15"/>
      <c r="VBI117" s="15"/>
      <c r="VBJ117" s="15"/>
      <c r="VBK117" s="15"/>
      <c r="VBL117" s="15"/>
      <c r="VBM117" s="15"/>
      <c r="VBN117" s="14"/>
      <c r="VBO117" s="15"/>
      <c r="VBP117" s="15"/>
      <c r="VBQ117" s="15"/>
      <c r="VBR117" s="15"/>
      <c r="VBS117" s="15"/>
      <c r="VBT117" s="15"/>
      <c r="VBU117" s="15"/>
      <c r="VBV117" s="15"/>
      <c r="VBW117" s="15"/>
      <c r="VBX117" s="15"/>
      <c r="VBY117" s="15"/>
      <c r="VBZ117" s="15"/>
      <c r="VCA117" s="15"/>
      <c r="VCB117" s="15"/>
      <c r="VCC117" s="15"/>
      <c r="VCD117" s="15"/>
      <c r="VCE117" s="15"/>
      <c r="VCF117" s="15"/>
      <c r="VCG117" s="15"/>
      <c r="VCH117" s="15"/>
      <c r="VCI117" s="15"/>
      <c r="VCJ117" s="14"/>
      <c r="VCK117" s="15"/>
      <c r="VCL117" s="15"/>
      <c r="VCM117" s="15"/>
      <c r="VCN117" s="15"/>
      <c r="VCO117" s="15"/>
      <c r="VCP117" s="15"/>
      <c r="VCQ117" s="15"/>
      <c r="VCR117" s="15"/>
      <c r="VCS117" s="15"/>
      <c r="VCT117" s="15"/>
      <c r="VCU117" s="15"/>
      <c r="VCV117" s="15"/>
      <c r="VCW117" s="15"/>
      <c r="VCX117" s="15"/>
      <c r="VCY117" s="15"/>
      <c r="VCZ117" s="15"/>
      <c r="VDA117" s="15"/>
      <c r="VDB117" s="15"/>
      <c r="VDC117" s="15"/>
      <c r="VDD117" s="15"/>
      <c r="VDE117" s="15"/>
      <c r="VDF117" s="14"/>
      <c r="VDG117" s="15"/>
      <c r="VDH117" s="15"/>
      <c r="VDI117" s="15"/>
      <c r="VDJ117" s="15"/>
      <c r="VDK117" s="15"/>
      <c r="VDL117" s="15"/>
      <c r="VDM117" s="15"/>
      <c r="VDN117" s="15"/>
      <c r="VDO117" s="15"/>
      <c r="VDP117" s="15"/>
      <c r="VDQ117" s="15"/>
      <c r="VDR117" s="15"/>
      <c r="VDS117" s="15"/>
      <c r="VDT117" s="15"/>
      <c r="VDU117" s="15"/>
      <c r="VDV117" s="15"/>
      <c r="VDW117" s="15"/>
      <c r="VDX117" s="15"/>
      <c r="VDY117" s="15"/>
      <c r="VDZ117" s="15"/>
      <c r="VEA117" s="15"/>
      <c r="VEB117" s="14"/>
      <c r="VEC117" s="15"/>
      <c r="VED117" s="15"/>
      <c r="VEE117" s="15"/>
      <c r="VEF117" s="15"/>
      <c r="VEG117" s="15"/>
      <c r="VEH117" s="15"/>
      <c r="VEI117" s="15"/>
      <c r="VEJ117" s="15"/>
      <c r="VEK117" s="15"/>
      <c r="VEL117" s="15"/>
      <c r="VEM117" s="15"/>
      <c r="VEN117" s="15"/>
      <c r="VEO117" s="15"/>
      <c r="VEP117" s="15"/>
      <c r="VEQ117" s="15"/>
      <c r="VER117" s="15"/>
      <c r="VES117" s="15"/>
      <c r="VET117" s="15"/>
      <c r="VEU117" s="15"/>
      <c r="VEV117" s="15"/>
      <c r="VEW117" s="15"/>
      <c r="VEX117" s="14"/>
      <c r="VEY117" s="15"/>
      <c r="VEZ117" s="15"/>
      <c r="VFA117" s="15"/>
      <c r="VFB117" s="15"/>
      <c r="VFC117" s="15"/>
      <c r="VFD117" s="15"/>
      <c r="VFE117" s="15"/>
      <c r="VFF117" s="15"/>
      <c r="VFG117" s="15"/>
      <c r="VFH117" s="15"/>
      <c r="VFI117" s="15"/>
      <c r="VFJ117" s="15"/>
      <c r="VFK117" s="15"/>
      <c r="VFL117" s="15"/>
      <c r="VFM117" s="15"/>
      <c r="VFN117" s="15"/>
      <c r="VFO117" s="15"/>
      <c r="VFP117" s="15"/>
      <c r="VFQ117" s="15"/>
      <c r="VFR117" s="15"/>
      <c r="VFS117" s="15"/>
      <c r="VFT117" s="14"/>
      <c r="VFU117" s="15"/>
      <c r="VFV117" s="15"/>
      <c r="VFW117" s="15"/>
      <c r="VFX117" s="15"/>
      <c r="VFY117" s="15"/>
      <c r="VFZ117" s="15"/>
      <c r="VGA117" s="15"/>
      <c r="VGB117" s="15"/>
      <c r="VGC117" s="15"/>
      <c r="VGD117" s="15"/>
      <c r="VGE117" s="15"/>
      <c r="VGF117" s="15"/>
      <c r="VGG117" s="15"/>
      <c r="VGH117" s="15"/>
      <c r="VGI117" s="15"/>
      <c r="VGJ117" s="15"/>
      <c r="VGK117" s="15"/>
      <c r="VGL117" s="15"/>
      <c r="VGM117" s="15"/>
      <c r="VGN117" s="15"/>
      <c r="VGO117" s="15"/>
      <c r="VGP117" s="14"/>
      <c r="VGQ117" s="15"/>
      <c r="VGR117" s="15"/>
      <c r="VGS117" s="15"/>
      <c r="VGT117" s="15"/>
      <c r="VGU117" s="15"/>
      <c r="VGV117" s="15"/>
      <c r="VGW117" s="15"/>
      <c r="VGX117" s="15"/>
      <c r="VGY117" s="15"/>
      <c r="VGZ117" s="15"/>
      <c r="VHA117" s="15"/>
      <c r="VHB117" s="15"/>
      <c r="VHC117" s="15"/>
      <c r="VHD117" s="15"/>
      <c r="VHE117" s="15"/>
      <c r="VHF117" s="15"/>
      <c r="VHG117" s="15"/>
      <c r="VHH117" s="15"/>
      <c r="VHI117" s="15"/>
      <c r="VHJ117" s="15"/>
      <c r="VHK117" s="15"/>
      <c r="VHL117" s="14"/>
      <c r="VHM117" s="15"/>
      <c r="VHN117" s="15"/>
      <c r="VHO117" s="15"/>
      <c r="VHP117" s="15"/>
      <c r="VHQ117" s="15"/>
      <c r="VHR117" s="15"/>
      <c r="VHS117" s="15"/>
      <c r="VHT117" s="15"/>
      <c r="VHU117" s="15"/>
      <c r="VHV117" s="15"/>
      <c r="VHW117" s="15"/>
      <c r="VHX117" s="15"/>
      <c r="VHY117" s="15"/>
      <c r="VHZ117" s="15"/>
      <c r="VIA117" s="15"/>
      <c r="VIB117" s="15"/>
      <c r="VIC117" s="15"/>
      <c r="VID117" s="15"/>
      <c r="VIE117" s="15"/>
      <c r="VIF117" s="15"/>
      <c r="VIG117" s="15"/>
      <c r="VIH117" s="14"/>
      <c r="VII117" s="15"/>
      <c r="VIJ117" s="15"/>
      <c r="VIK117" s="15"/>
      <c r="VIL117" s="15"/>
      <c r="VIM117" s="15"/>
      <c r="VIN117" s="15"/>
      <c r="VIO117" s="15"/>
      <c r="VIP117" s="15"/>
      <c r="VIQ117" s="15"/>
      <c r="VIR117" s="15"/>
      <c r="VIS117" s="15"/>
      <c r="VIT117" s="15"/>
      <c r="VIU117" s="15"/>
      <c r="VIV117" s="15"/>
      <c r="VIW117" s="15"/>
      <c r="VIX117" s="15"/>
      <c r="VIY117" s="15"/>
      <c r="VIZ117" s="15"/>
      <c r="VJA117" s="15"/>
      <c r="VJB117" s="15"/>
      <c r="VJC117" s="15"/>
      <c r="VJD117" s="14"/>
      <c r="VJE117" s="15"/>
      <c r="VJF117" s="15"/>
      <c r="VJG117" s="15"/>
      <c r="VJH117" s="15"/>
      <c r="VJI117" s="15"/>
      <c r="VJJ117" s="15"/>
      <c r="VJK117" s="15"/>
      <c r="VJL117" s="15"/>
      <c r="VJM117" s="15"/>
      <c r="VJN117" s="15"/>
      <c r="VJO117" s="15"/>
      <c r="VJP117" s="15"/>
      <c r="VJQ117" s="15"/>
      <c r="VJR117" s="15"/>
      <c r="VJS117" s="15"/>
      <c r="VJT117" s="15"/>
      <c r="VJU117" s="15"/>
      <c r="VJV117" s="15"/>
      <c r="VJW117" s="15"/>
      <c r="VJX117" s="15"/>
      <c r="VJY117" s="15"/>
      <c r="VJZ117" s="14"/>
      <c r="VKA117" s="15"/>
      <c r="VKB117" s="15"/>
      <c r="VKC117" s="15"/>
      <c r="VKD117" s="15"/>
      <c r="VKE117" s="15"/>
      <c r="VKF117" s="15"/>
      <c r="VKG117" s="15"/>
      <c r="VKH117" s="15"/>
      <c r="VKI117" s="15"/>
      <c r="VKJ117" s="15"/>
      <c r="VKK117" s="15"/>
      <c r="VKL117" s="15"/>
      <c r="VKM117" s="15"/>
      <c r="VKN117" s="15"/>
      <c r="VKO117" s="15"/>
      <c r="VKP117" s="15"/>
      <c r="VKQ117" s="15"/>
      <c r="VKR117" s="15"/>
      <c r="VKS117" s="15"/>
      <c r="VKT117" s="15"/>
      <c r="VKU117" s="15"/>
      <c r="VKV117" s="14"/>
      <c r="VKW117" s="15"/>
      <c r="VKX117" s="15"/>
      <c r="VKY117" s="15"/>
      <c r="VKZ117" s="15"/>
      <c r="VLA117" s="15"/>
      <c r="VLB117" s="15"/>
      <c r="VLC117" s="15"/>
      <c r="VLD117" s="15"/>
      <c r="VLE117" s="15"/>
      <c r="VLF117" s="15"/>
      <c r="VLG117" s="15"/>
      <c r="VLH117" s="15"/>
      <c r="VLI117" s="15"/>
      <c r="VLJ117" s="15"/>
      <c r="VLK117" s="15"/>
      <c r="VLL117" s="15"/>
      <c r="VLM117" s="15"/>
      <c r="VLN117" s="15"/>
      <c r="VLO117" s="15"/>
      <c r="VLP117" s="15"/>
      <c r="VLQ117" s="15"/>
      <c r="VLR117" s="14"/>
      <c r="VLS117" s="15"/>
      <c r="VLT117" s="15"/>
      <c r="VLU117" s="15"/>
      <c r="VLV117" s="15"/>
      <c r="VLW117" s="15"/>
      <c r="VLX117" s="15"/>
      <c r="VLY117" s="15"/>
      <c r="VLZ117" s="15"/>
      <c r="VMA117" s="15"/>
      <c r="VMB117" s="15"/>
      <c r="VMC117" s="15"/>
      <c r="VMD117" s="15"/>
      <c r="VME117" s="15"/>
      <c r="VMF117" s="15"/>
      <c r="VMG117" s="15"/>
      <c r="VMH117" s="15"/>
      <c r="VMI117" s="15"/>
      <c r="VMJ117" s="15"/>
      <c r="VMK117" s="15"/>
      <c r="VML117" s="15"/>
      <c r="VMM117" s="15"/>
      <c r="VMN117" s="14"/>
      <c r="VMO117" s="15"/>
      <c r="VMP117" s="15"/>
      <c r="VMQ117" s="15"/>
      <c r="VMR117" s="15"/>
      <c r="VMS117" s="15"/>
      <c r="VMT117" s="15"/>
      <c r="VMU117" s="15"/>
      <c r="VMV117" s="15"/>
      <c r="VMW117" s="15"/>
      <c r="VMX117" s="15"/>
      <c r="VMY117" s="15"/>
      <c r="VMZ117" s="15"/>
      <c r="VNA117" s="15"/>
      <c r="VNB117" s="15"/>
      <c r="VNC117" s="15"/>
      <c r="VND117" s="15"/>
      <c r="VNE117" s="15"/>
      <c r="VNF117" s="15"/>
      <c r="VNG117" s="15"/>
      <c r="VNH117" s="15"/>
      <c r="VNI117" s="15"/>
      <c r="VNJ117" s="14"/>
      <c r="VNK117" s="15"/>
      <c r="VNL117" s="15"/>
      <c r="VNM117" s="15"/>
      <c r="VNN117" s="15"/>
      <c r="VNO117" s="15"/>
      <c r="VNP117" s="15"/>
      <c r="VNQ117" s="15"/>
      <c r="VNR117" s="15"/>
      <c r="VNS117" s="15"/>
      <c r="VNT117" s="15"/>
      <c r="VNU117" s="15"/>
      <c r="VNV117" s="15"/>
      <c r="VNW117" s="15"/>
      <c r="VNX117" s="15"/>
      <c r="VNY117" s="15"/>
      <c r="VNZ117" s="15"/>
      <c r="VOA117" s="15"/>
      <c r="VOB117" s="15"/>
      <c r="VOC117" s="15"/>
      <c r="VOD117" s="15"/>
      <c r="VOE117" s="15"/>
      <c r="VOF117" s="14"/>
      <c r="VOG117" s="15"/>
      <c r="VOH117" s="15"/>
      <c r="VOI117" s="15"/>
      <c r="VOJ117" s="15"/>
      <c r="VOK117" s="15"/>
      <c r="VOL117" s="15"/>
      <c r="VOM117" s="15"/>
      <c r="VON117" s="15"/>
      <c r="VOO117" s="15"/>
      <c r="VOP117" s="15"/>
      <c r="VOQ117" s="15"/>
      <c r="VOR117" s="15"/>
      <c r="VOS117" s="15"/>
      <c r="VOT117" s="15"/>
      <c r="VOU117" s="15"/>
      <c r="VOV117" s="15"/>
      <c r="VOW117" s="15"/>
      <c r="VOX117" s="15"/>
      <c r="VOY117" s="15"/>
      <c r="VOZ117" s="15"/>
      <c r="VPA117" s="15"/>
      <c r="VPB117" s="14"/>
      <c r="VPC117" s="15"/>
      <c r="VPD117" s="15"/>
      <c r="VPE117" s="15"/>
      <c r="VPF117" s="15"/>
      <c r="VPG117" s="15"/>
      <c r="VPH117" s="15"/>
      <c r="VPI117" s="15"/>
      <c r="VPJ117" s="15"/>
      <c r="VPK117" s="15"/>
      <c r="VPL117" s="15"/>
      <c r="VPM117" s="15"/>
      <c r="VPN117" s="15"/>
      <c r="VPO117" s="15"/>
      <c r="VPP117" s="15"/>
      <c r="VPQ117" s="15"/>
      <c r="VPR117" s="15"/>
      <c r="VPS117" s="15"/>
      <c r="VPT117" s="15"/>
      <c r="VPU117" s="15"/>
      <c r="VPV117" s="15"/>
      <c r="VPW117" s="15"/>
      <c r="VPX117" s="14"/>
      <c r="VPY117" s="15"/>
      <c r="VPZ117" s="15"/>
      <c r="VQA117" s="15"/>
      <c r="VQB117" s="15"/>
      <c r="VQC117" s="15"/>
      <c r="VQD117" s="15"/>
      <c r="VQE117" s="15"/>
      <c r="VQF117" s="15"/>
      <c r="VQG117" s="15"/>
      <c r="VQH117" s="15"/>
      <c r="VQI117" s="15"/>
      <c r="VQJ117" s="15"/>
      <c r="VQK117" s="15"/>
      <c r="VQL117" s="15"/>
      <c r="VQM117" s="15"/>
      <c r="VQN117" s="15"/>
      <c r="VQO117" s="15"/>
      <c r="VQP117" s="15"/>
      <c r="VQQ117" s="15"/>
      <c r="VQR117" s="15"/>
      <c r="VQS117" s="15"/>
      <c r="VQT117" s="14"/>
      <c r="VQU117" s="15"/>
      <c r="VQV117" s="15"/>
      <c r="VQW117" s="15"/>
      <c r="VQX117" s="15"/>
      <c r="VQY117" s="15"/>
      <c r="VQZ117" s="15"/>
      <c r="VRA117" s="15"/>
      <c r="VRB117" s="15"/>
      <c r="VRC117" s="15"/>
      <c r="VRD117" s="15"/>
      <c r="VRE117" s="15"/>
      <c r="VRF117" s="15"/>
      <c r="VRG117" s="15"/>
      <c r="VRH117" s="15"/>
      <c r="VRI117" s="15"/>
      <c r="VRJ117" s="15"/>
      <c r="VRK117" s="15"/>
      <c r="VRL117" s="15"/>
      <c r="VRM117" s="15"/>
      <c r="VRN117" s="15"/>
      <c r="VRO117" s="15"/>
      <c r="VRP117" s="14"/>
      <c r="VRQ117" s="15"/>
      <c r="VRR117" s="15"/>
      <c r="VRS117" s="15"/>
      <c r="VRT117" s="15"/>
      <c r="VRU117" s="15"/>
      <c r="VRV117" s="15"/>
      <c r="VRW117" s="15"/>
      <c r="VRX117" s="15"/>
      <c r="VRY117" s="15"/>
      <c r="VRZ117" s="15"/>
      <c r="VSA117" s="15"/>
      <c r="VSB117" s="15"/>
      <c r="VSC117" s="15"/>
      <c r="VSD117" s="15"/>
      <c r="VSE117" s="15"/>
      <c r="VSF117" s="15"/>
      <c r="VSG117" s="15"/>
      <c r="VSH117" s="15"/>
      <c r="VSI117" s="15"/>
      <c r="VSJ117" s="15"/>
      <c r="VSK117" s="15"/>
      <c r="VSL117" s="14"/>
      <c r="VSM117" s="15"/>
      <c r="VSN117" s="15"/>
      <c r="VSO117" s="15"/>
      <c r="VSP117" s="15"/>
      <c r="VSQ117" s="15"/>
      <c r="VSR117" s="15"/>
      <c r="VSS117" s="15"/>
      <c r="VST117" s="15"/>
      <c r="VSU117" s="15"/>
      <c r="VSV117" s="15"/>
      <c r="VSW117" s="15"/>
      <c r="VSX117" s="15"/>
      <c r="VSY117" s="15"/>
      <c r="VSZ117" s="15"/>
      <c r="VTA117" s="15"/>
      <c r="VTB117" s="15"/>
      <c r="VTC117" s="15"/>
      <c r="VTD117" s="15"/>
      <c r="VTE117" s="15"/>
      <c r="VTF117" s="15"/>
      <c r="VTG117" s="15"/>
      <c r="VTH117" s="14"/>
      <c r="VTI117" s="15"/>
      <c r="VTJ117" s="15"/>
      <c r="VTK117" s="15"/>
      <c r="VTL117" s="15"/>
      <c r="VTM117" s="15"/>
      <c r="VTN117" s="15"/>
      <c r="VTO117" s="15"/>
      <c r="VTP117" s="15"/>
      <c r="VTQ117" s="15"/>
      <c r="VTR117" s="15"/>
      <c r="VTS117" s="15"/>
      <c r="VTT117" s="15"/>
      <c r="VTU117" s="15"/>
      <c r="VTV117" s="15"/>
      <c r="VTW117" s="15"/>
      <c r="VTX117" s="15"/>
      <c r="VTY117" s="15"/>
      <c r="VTZ117" s="15"/>
      <c r="VUA117" s="15"/>
      <c r="VUB117" s="15"/>
      <c r="VUC117" s="15"/>
      <c r="VUD117" s="14"/>
      <c r="VUE117" s="15"/>
      <c r="VUF117" s="15"/>
      <c r="VUG117" s="15"/>
      <c r="VUH117" s="15"/>
      <c r="VUI117" s="15"/>
      <c r="VUJ117" s="15"/>
      <c r="VUK117" s="15"/>
      <c r="VUL117" s="15"/>
      <c r="VUM117" s="15"/>
      <c r="VUN117" s="15"/>
      <c r="VUO117" s="15"/>
      <c r="VUP117" s="15"/>
      <c r="VUQ117" s="15"/>
      <c r="VUR117" s="15"/>
      <c r="VUS117" s="15"/>
      <c r="VUT117" s="15"/>
      <c r="VUU117" s="15"/>
      <c r="VUV117" s="15"/>
      <c r="VUW117" s="15"/>
      <c r="VUX117" s="15"/>
      <c r="VUY117" s="15"/>
      <c r="VUZ117" s="14"/>
      <c r="VVA117" s="15"/>
      <c r="VVB117" s="15"/>
      <c r="VVC117" s="15"/>
      <c r="VVD117" s="15"/>
      <c r="VVE117" s="15"/>
      <c r="VVF117" s="15"/>
      <c r="VVG117" s="15"/>
      <c r="VVH117" s="15"/>
      <c r="VVI117" s="15"/>
      <c r="VVJ117" s="15"/>
      <c r="VVK117" s="15"/>
      <c r="VVL117" s="15"/>
      <c r="VVM117" s="15"/>
      <c r="VVN117" s="15"/>
      <c r="VVO117" s="15"/>
      <c r="VVP117" s="15"/>
      <c r="VVQ117" s="15"/>
      <c r="VVR117" s="15"/>
      <c r="VVS117" s="15"/>
      <c r="VVT117" s="15"/>
      <c r="VVU117" s="15"/>
      <c r="VVV117" s="14"/>
      <c r="VVW117" s="15"/>
      <c r="VVX117" s="15"/>
      <c r="VVY117" s="15"/>
      <c r="VVZ117" s="15"/>
      <c r="VWA117" s="15"/>
      <c r="VWB117" s="15"/>
      <c r="VWC117" s="15"/>
      <c r="VWD117" s="15"/>
      <c r="VWE117" s="15"/>
      <c r="VWF117" s="15"/>
      <c r="VWG117" s="15"/>
      <c r="VWH117" s="15"/>
      <c r="VWI117" s="15"/>
      <c r="VWJ117" s="15"/>
      <c r="VWK117" s="15"/>
      <c r="VWL117" s="15"/>
      <c r="VWM117" s="15"/>
      <c r="VWN117" s="15"/>
      <c r="VWO117" s="15"/>
      <c r="VWP117" s="15"/>
      <c r="VWQ117" s="15"/>
      <c r="VWR117" s="14"/>
      <c r="VWS117" s="15"/>
      <c r="VWT117" s="15"/>
      <c r="VWU117" s="15"/>
      <c r="VWV117" s="15"/>
      <c r="VWW117" s="15"/>
      <c r="VWX117" s="15"/>
      <c r="VWY117" s="15"/>
      <c r="VWZ117" s="15"/>
      <c r="VXA117" s="15"/>
      <c r="VXB117" s="15"/>
      <c r="VXC117" s="15"/>
      <c r="VXD117" s="15"/>
      <c r="VXE117" s="15"/>
      <c r="VXF117" s="15"/>
      <c r="VXG117" s="15"/>
      <c r="VXH117" s="15"/>
      <c r="VXI117" s="15"/>
      <c r="VXJ117" s="15"/>
      <c r="VXK117" s="15"/>
      <c r="VXL117" s="15"/>
      <c r="VXM117" s="15"/>
      <c r="VXN117" s="14"/>
      <c r="VXO117" s="15"/>
      <c r="VXP117" s="15"/>
      <c r="VXQ117" s="15"/>
      <c r="VXR117" s="15"/>
      <c r="VXS117" s="15"/>
      <c r="VXT117" s="15"/>
      <c r="VXU117" s="15"/>
      <c r="VXV117" s="15"/>
      <c r="VXW117" s="15"/>
      <c r="VXX117" s="15"/>
      <c r="VXY117" s="15"/>
      <c r="VXZ117" s="15"/>
      <c r="VYA117" s="15"/>
      <c r="VYB117" s="15"/>
      <c r="VYC117" s="15"/>
      <c r="VYD117" s="15"/>
      <c r="VYE117" s="15"/>
      <c r="VYF117" s="15"/>
      <c r="VYG117" s="15"/>
      <c r="VYH117" s="15"/>
      <c r="VYI117" s="15"/>
      <c r="VYJ117" s="14"/>
      <c r="VYK117" s="15"/>
      <c r="VYL117" s="15"/>
      <c r="VYM117" s="15"/>
      <c r="VYN117" s="15"/>
      <c r="VYO117" s="15"/>
      <c r="VYP117" s="15"/>
      <c r="VYQ117" s="15"/>
      <c r="VYR117" s="15"/>
      <c r="VYS117" s="15"/>
      <c r="VYT117" s="15"/>
      <c r="VYU117" s="15"/>
      <c r="VYV117" s="15"/>
      <c r="VYW117" s="15"/>
      <c r="VYX117" s="15"/>
      <c r="VYY117" s="15"/>
      <c r="VYZ117" s="15"/>
      <c r="VZA117" s="15"/>
      <c r="VZB117" s="15"/>
      <c r="VZC117" s="15"/>
      <c r="VZD117" s="15"/>
      <c r="VZE117" s="15"/>
      <c r="VZF117" s="14"/>
      <c r="VZG117" s="15"/>
      <c r="VZH117" s="15"/>
      <c r="VZI117" s="15"/>
      <c r="VZJ117" s="15"/>
      <c r="VZK117" s="15"/>
      <c r="VZL117" s="15"/>
      <c r="VZM117" s="15"/>
      <c r="VZN117" s="15"/>
      <c r="VZO117" s="15"/>
      <c r="VZP117" s="15"/>
      <c r="VZQ117" s="15"/>
      <c r="VZR117" s="15"/>
      <c r="VZS117" s="15"/>
      <c r="VZT117" s="15"/>
      <c r="VZU117" s="15"/>
      <c r="VZV117" s="15"/>
      <c r="VZW117" s="15"/>
      <c r="VZX117" s="15"/>
      <c r="VZY117" s="15"/>
      <c r="VZZ117" s="15"/>
      <c r="WAA117" s="15"/>
      <c r="WAB117" s="14"/>
      <c r="WAC117" s="15"/>
      <c r="WAD117" s="15"/>
      <c r="WAE117" s="15"/>
      <c r="WAF117" s="15"/>
      <c r="WAG117" s="15"/>
      <c r="WAH117" s="15"/>
      <c r="WAI117" s="15"/>
      <c r="WAJ117" s="15"/>
      <c r="WAK117" s="15"/>
      <c r="WAL117" s="15"/>
      <c r="WAM117" s="15"/>
      <c r="WAN117" s="15"/>
      <c r="WAO117" s="15"/>
      <c r="WAP117" s="15"/>
      <c r="WAQ117" s="15"/>
      <c r="WAR117" s="15"/>
      <c r="WAS117" s="15"/>
      <c r="WAT117" s="15"/>
      <c r="WAU117" s="15"/>
      <c r="WAV117" s="15"/>
      <c r="WAW117" s="15"/>
      <c r="WAX117" s="14"/>
      <c r="WAY117" s="15"/>
      <c r="WAZ117" s="15"/>
      <c r="WBA117" s="15"/>
      <c r="WBB117" s="15"/>
      <c r="WBC117" s="15"/>
      <c r="WBD117" s="15"/>
      <c r="WBE117" s="15"/>
      <c r="WBF117" s="15"/>
      <c r="WBG117" s="15"/>
      <c r="WBH117" s="15"/>
      <c r="WBI117" s="15"/>
      <c r="WBJ117" s="15"/>
      <c r="WBK117" s="15"/>
      <c r="WBL117" s="15"/>
      <c r="WBM117" s="15"/>
      <c r="WBN117" s="15"/>
      <c r="WBO117" s="15"/>
      <c r="WBP117" s="15"/>
      <c r="WBQ117" s="15"/>
      <c r="WBR117" s="15"/>
      <c r="WBS117" s="15"/>
      <c r="WBT117" s="14"/>
      <c r="WBU117" s="15"/>
      <c r="WBV117" s="15"/>
      <c r="WBW117" s="15"/>
      <c r="WBX117" s="15"/>
      <c r="WBY117" s="15"/>
      <c r="WBZ117" s="15"/>
      <c r="WCA117" s="15"/>
      <c r="WCB117" s="15"/>
      <c r="WCC117" s="15"/>
      <c r="WCD117" s="15"/>
      <c r="WCE117" s="15"/>
      <c r="WCF117" s="15"/>
      <c r="WCG117" s="15"/>
      <c r="WCH117" s="15"/>
      <c r="WCI117" s="15"/>
      <c r="WCJ117" s="15"/>
      <c r="WCK117" s="15"/>
      <c r="WCL117" s="15"/>
      <c r="WCM117" s="15"/>
      <c r="WCN117" s="15"/>
      <c r="WCO117" s="15"/>
      <c r="WCP117" s="14"/>
      <c r="WCQ117" s="15"/>
      <c r="WCR117" s="15"/>
      <c r="WCS117" s="15"/>
      <c r="WCT117" s="15"/>
      <c r="WCU117" s="15"/>
      <c r="WCV117" s="15"/>
      <c r="WCW117" s="15"/>
      <c r="WCX117" s="15"/>
      <c r="WCY117" s="15"/>
      <c r="WCZ117" s="15"/>
      <c r="WDA117" s="15"/>
      <c r="WDB117" s="15"/>
      <c r="WDC117" s="15"/>
      <c r="WDD117" s="15"/>
      <c r="WDE117" s="15"/>
      <c r="WDF117" s="15"/>
      <c r="WDG117" s="15"/>
      <c r="WDH117" s="15"/>
      <c r="WDI117" s="15"/>
      <c r="WDJ117" s="15"/>
      <c r="WDK117" s="15"/>
      <c r="WDL117" s="14"/>
      <c r="WDM117" s="15"/>
      <c r="WDN117" s="15"/>
      <c r="WDO117" s="15"/>
      <c r="WDP117" s="15"/>
      <c r="WDQ117" s="15"/>
      <c r="WDR117" s="15"/>
      <c r="WDS117" s="15"/>
      <c r="WDT117" s="15"/>
      <c r="WDU117" s="15"/>
      <c r="WDV117" s="15"/>
      <c r="WDW117" s="15"/>
      <c r="WDX117" s="15"/>
      <c r="WDY117" s="15"/>
      <c r="WDZ117" s="15"/>
      <c r="WEA117" s="15"/>
      <c r="WEB117" s="15"/>
      <c r="WEC117" s="15"/>
      <c r="WED117" s="15"/>
      <c r="WEE117" s="15"/>
      <c r="WEF117" s="15"/>
      <c r="WEG117" s="15"/>
      <c r="WEH117" s="14"/>
      <c r="WEI117" s="15"/>
      <c r="WEJ117" s="15"/>
      <c r="WEK117" s="15"/>
      <c r="WEL117" s="15"/>
      <c r="WEM117" s="15"/>
      <c r="WEN117" s="15"/>
      <c r="WEO117" s="15"/>
      <c r="WEP117" s="15"/>
      <c r="WEQ117" s="15"/>
      <c r="WER117" s="15"/>
      <c r="WES117" s="15"/>
      <c r="WET117" s="15"/>
      <c r="WEU117" s="15"/>
      <c r="WEV117" s="15"/>
      <c r="WEW117" s="15"/>
      <c r="WEX117" s="15"/>
      <c r="WEY117" s="15"/>
      <c r="WEZ117" s="15"/>
      <c r="WFA117" s="15"/>
      <c r="WFB117" s="15"/>
      <c r="WFC117" s="15"/>
      <c r="WFD117" s="14"/>
      <c r="WFE117" s="15"/>
      <c r="WFF117" s="15"/>
      <c r="WFG117" s="15"/>
      <c r="WFH117" s="15"/>
      <c r="WFI117" s="15"/>
      <c r="WFJ117" s="15"/>
      <c r="WFK117" s="15"/>
      <c r="WFL117" s="15"/>
      <c r="WFM117" s="15"/>
      <c r="WFN117" s="15"/>
      <c r="WFO117" s="15"/>
      <c r="WFP117" s="15"/>
      <c r="WFQ117" s="15"/>
      <c r="WFR117" s="15"/>
      <c r="WFS117" s="15"/>
      <c r="WFT117" s="15"/>
      <c r="WFU117" s="15"/>
      <c r="WFV117" s="15"/>
      <c r="WFW117" s="15"/>
      <c r="WFX117" s="15"/>
      <c r="WFY117" s="15"/>
      <c r="WFZ117" s="14"/>
      <c r="WGA117" s="15"/>
      <c r="WGB117" s="15"/>
      <c r="WGC117" s="15"/>
      <c r="WGD117" s="15"/>
      <c r="WGE117" s="15"/>
      <c r="WGF117" s="15"/>
      <c r="WGG117" s="15"/>
      <c r="WGH117" s="15"/>
      <c r="WGI117" s="15"/>
      <c r="WGJ117" s="15"/>
      <c r="WGK117" s="15"/>
      <c r="WGL117" s="15"/>
      <c r="WGM117" s="15"/>
      <c r="WGN117" s="15"/>
      <c r="WGO117" s="15"/>
      <c r="WGP117" s="15"/>
      <c r="WGQ117" s="15"/>
      <c r="WGR117" s="15"/>
      <c r="WGS117" s="15"/>
      <c r="WGT117" s="15"/>
      <c r="WGU117" s="15"/>
      <c r="WGV117" s="14"/>
      <c r="WGW117" s="15"/>
      <c r="WGX117" s="15"/>
      <c r="WGY117" s="15"/>
      <c r="WGZ117" s="15"/>
      <c r="WHA117" s="15"/>
      <c r="WHB117" s="15"/>
      <c r="WHC117" s="15"/>
      <c r="WHD117" s="15"/>
      <c r="WHE117" s="15"/>
      <c r="WHF117" s="15"/>
      <c r="WHG117" s="15"/>
      <c r="WHH117" s="15"/>
      <c r="WHI117" s="15"/>
      <c r="WHJ117" s="15"/>
      <c r="WHK117" s="15"/>
      <c r="WHL117" s="15"/>
      <c r="WHM117" s="15"/>
      <c r="WHN117" s="15"/>
      <c r="WHO117" s="15"/>
      <c r="WHP117" s="15"/>
      <c r="WHQ117" s="15"/>
      <c r="WHR117" s="14"/>
      <c r="WHS117" s="15"/>
      <c r="WHT117" s="15"/>
      <c r="WHU117" s="15"/>
      <c r="WHV117" s="15"/>
      <c r="WHW117" s="15"/>
      <c r="WHX117" s="15"/>
      <c r="WHY117" s="15"/>
      <c r="WHZ117" s="15"/>
      <c r="WIA117" s="15"/>
      <c r="WIB117" s="15"/>
      <c r="WIC117" s="15"/>
      <c r="WID117" s="15"/>
      <c r="WIE117" s="15"/>
      <c r="WIF117" s="15"/>
      <c r="WIG117" s="15"/>
      <c r="WIH117" s="15"/>
      <c r="WII117" s="15"/>
      <c r="WIJ117" s="15"/>
      <c r="WIK117" s="15"/>
      <c r="WIL117" s="15"/>
      <c r="WIM117" s="15"/>
      <c r="WIN117" s="14"/>
      <c r="WIO117" s="15"/>
      <c r="WIP117" s="15"/>
      <c r="WIQ117" s="15"/>
      <c r="WIR117" s="15"/>
      <c r="WIS117" s="15"/>
      <c r="WIT117" s="15"/>
      <c r="WIU117" s="15"/>
      <c r="WIV117" s="15"/>
      <c r="WIW117" s="15"/>
      <c r="WIX117" s="15"/>
      <c r="WIY117" s="15"/>
      <c r="WIZ117" s="15"/>
      <c r="WJA117" s="15"/>
      <c r="WJB117" s="15"/>
      <c r="WJC117" s="15"/>
      <c r="WJD117" s="15"/>
      <c r="WJE117" s="15"/>
      <c r="WJF117" s="15"/>
      <c r="WJG117" s="15"/>
      <c r="WJH117" s="15"/>
      <c r="WJI117" s="15"/>
      <c r="WJJ117" s="14"/>
      <c r="WJK117" s="15"/>
      <c r="WJL117" s="15"/>
      <c r="WJM117" s="15"/>
      <c r="WJN117" s="15"/>
      <c r="WJO117" s="15"/>
      <c r="WJP117" s="15"/>
      <c r="WJQ117" s="15"/>
      <c r="WJR117" s="15"/>
      <c r="WJS117" s="15"/>
      <c r="WJT117" s="15"/>
      <c r="WJU117" s="15"/>
      <c r="WJV117" s="15"/>
      <c r="WJW117" s="15"/>
      <c r="WJX117" s="15"/>
      <c r="WJY117" s="15"/>
      <c r="WJZ117" s="15"/>
      <c r="WKA117" s="15"/>
      <c r="WKB117" s="15"/>
      <c r="WKC117" s="15"/>
      <c r="WKD117" s="15"/>
      <c r="WKE117" s="15"/>
      <c r="WKF117" s="14"/>
      <c r="WKG117" s="15"/>
      <c r="WKH117" s="15"/>
      <c r="WKI117" s="15"/>
      <c r="WKJ117" s="15"/>
      <c r="WKK117" s="15"/>
      <c r="WKL117" s="15"/>
      <c r="WKM117" s="15"/>
      <c r="WKN117" s="15"/>
      <c r="WKO117" s="15"/>
      <c r="WKP117" s="15"/>
      <c r="WKQ117" s="15"/>
      <c r="WKR117" s="15"/>
      <c r="WKS117" s="15"/>
      <c r="WKT117" s="15"/>
      <c r="WKU117" s="15"/>
      <c r="WKV117" s="15"/>
      <c r="WKW117" s="15"/>
      <c r="WKX117" s="15"/>
      <c r="WKY117" s="15"/>
      <c r="WKZ117" s="15"/>
      <c r="WLA117" s="15"/>
      <c r="WLB117" s="14"/>
      <c r="WLC117" s="15"/>
      <c r="WLD117" s="15"/>
      <c r="WLE117" s="15"/>
      <c r="WLF117" s="15"/>
      <c r="WLG117" s="15"/>
      <c r="WLH117" s="15"/>
      <c r="WLI117" s="15"/>
      <c r="WLJ117" s="15"/>
      <c r="WLK117" s="15"/>
      <c r="WLL117" s="15"/>
      <c r="WLM117" s="15"/>
      <c r="WLN117" s="15"/>
      <c r="WLO117" s="15"/>
      <c r="WLP117" s="15"/>
      <c r="WLQ117" s="15"/>
      <c r="WLR117" s="15"/>
      <c r="WLS117" s="15"/>
      <c r="WLT117" s="15"/>
      <c r="WLU117" s="15"/>
      <c r="WLV117" s="15"/>
      <c r="WLW117" s="15"/>
      <c r="WLX117" s="14"/>
      <c r="WLY117" s="15"/>
      <c r="WLZ117" s="15"/>
      <c r="WMA117" s="15"/>
      <c r="WMB117" s="15"/>
      <c r="WMC117" s="15"/>
      <c r="WMD117" s="15"/>
      <c r="WME117" s="15"/>
      <c r="WMF117" s="15"/>
      <c r="WMG117" s="15"/>
      <c r="WMH117" s="15"/>
      <c r="WMI117" s="15"/>
      <c r="WMJ117" s="15"/>
      <c r="WMK117" s="15"/>
      <c r="WML117" s="15"/>
      <c r="WMM117" s="15"/>
      <c r="WMN117" s="15"/>
      <c r="WMO117" s="15"/>
      <c r="WMP117" s="15"/>
      <c r="WMQ117" s="15"/>
      <c r="WMR117" s="15"/>
      <c r="WMS117" s="15"/>
      <c r="WMT117" s="14"/>
      <c r="WMU117" s="15"/>
      <c r="WMV117" s="15"/>
      <c r="WMW117" s="15"/>
      <c r="WMX117" s="15"/>
      <c r="WMY117" s="15"/>
      <c r="WMZ117" s="15"/>
      <c r="WNA117" s="15"/>
      <c r="WNB117" s="15"/>
      <c r="WNC117" s="15"/>
      <c r="WND117" s="15"/>
      <c r="WNE117" s="15"/>
      <c r="WNF117" s="15"/>
      <c r="WNG117" s="15"/>
      <c r="WNH117" s="15"/>
      <c r="WNI117" s="15"/>
      <c r="WNJ117" s="15"/>
      <c r="WNK117" s="15"/>
      <c r="WNL117" s="15"/>
      <c r="WNM117" s="15"/>
      <c r="WNN117" s="15"/>
      <c r="WNO117" s="15"/>
      <c r="WNP117" s="14"/>
      <c r="WNQ117" s="15"/>
      <c r="WNR117" s="15"/>
      <c r="WNS117" s="15"/>
      <c r="WNT117" s="15"/>
      <c r="WNU117" s="15"/>
      <c r="WNV117" s="15"/>
      <c r="WNW117" s="15"/>
      <c r="WNX117" s="15"/>
      <c r="WNY117" s="15"/>
      <c r="WNZ117" s="15"/>
      <c r="WOA117" s="15"/>
      <c r="WOB117" s="15"/>
      <c r="WOC117" s="15"/>
      <c r="WOD117" s="15"/>
      <c r="WOE117" s="15"/>
      <c r="WOF117" s="15"/>
      <c r="WOG117" s="15"/>
      <c r="WOH117" s="15"/>
      <c r="WOI117" s="15"/>
      <c r="WOJ117" s="15"/>
      <c r="WOK117" s="15"/>
      <c r="WOL117" s="14"/>
      <c r="WOM117" s="15"/>
      <c r="WON117" s="15"/>
      <c r="WOO117" s="15"/>
      <c r="WOP117" s="15"/>
      <c r="WOQ117" s="15"/>
      <c r="WOR117" s="15"/>
      <c r="WOS117" s="15"/>
      <c r="WOT117" s="15"/>
      <c r="WOU117" s="15"/>
      <c r="WOV117" s="15"/>
      <c r="WOW117" s="15"/>
      <c r="WOX117" s="15"/>
      <c r="WOY117" s="15"/>
      <c r="WOZ117" s="15"/>
      <c r="WPA117" s="15"/>
      <c r="WPB117" s="15"/>
      <c r="WPC117" s="15"/>
      <c r="WPD117" s="15"/>
      <c r="WPE117" s="15"/>
      <c r="WPF117" s="15"/>
      <c r="WPG117" s="15"/>
      <c r="WPH117" s="14"/>
      <c r="WPI117" s="15"/>
      <c r="WPJ117" s="15"/>
      <c r="WPK117" s="15"/>
      <c r="WPL117" s="15"/>
      <c r="WPM117" s="15"/>
      <c r="WPN117" s="15"/>
      <c r="WPO117" s="15"/>
      <c r="WPP117" s="15"/>
      <c r="WPQ117" s="15"/>
      <c r="WPR117" s="15"/>
      <c r="WPS117" s="15"/>
      <c r="WPT117" s="15"/>
      <c r="WPU117" s="15"/>
      <c r="WPV117" s="15"/>
      <c r="WPW117" s="15"/>
      <c r="WPX117" s="15"/>
      <c r="WPY117" s="15"/>
      <c r="WPZ117" s="15"/>
      <c r="WQA117" s="15"/>
      <c r="WQB117" s="15"/>
      <c r="WQC117" s="15"/>
      <c r="WQD117" s="14"/>
      <c r="WQE117" s="15"/>
      <c r="WQF117" s="15"/>
      <c r="WQG117" s="15"/>
      <c r="WQH117" s="15"/>
      <c r="WQI117" s="15"/>
      <c r="WQJ117" s="15"/>
      <c r="WQK117" s="15"/>
      <c r="WQL117" s="15"/>
      <c r="WQM117" s="15"/>
      <c r="WQN117" s="15"/>
      <c r="WQO117" s="15"/>
      <c r="WQP117" s="15"/>
      <c r="WQQ117" s="15"/>
      <c r="WQR117" s="15"/>
      <c r="WQS117" s="15"/>
      <c r="WQT117" s="15"/>
      <c r="WQU117" s="15"/>
      <c r="WQV117" s="15"/>
      <c r="WQW117" s="15"/>
      <c r="WQX117" s="15"/>
      <c r="WQY117" s="15"/>
      <c r="WQZ117" s="14"/>
      <c r="WRA117" s="15"/>
      <c r="WRB117" s="15"/>
      <c r="WRC117" s="15"/>
      <c r="WRD117" s="15"/>
      <c r="WRE117" s="15"/>
      <c r="WRF117" s="15"/>
      <c r="WRG117" s="15"/>
      <c r="WRH117" s="15"/>
      <c r="WRI117" s="15"/>
      <c r="WRJ117" s="15"/>
      <c r="WRK117" s="15"/>
      <c r="WRL117" s="15"/>
      <c r="WRM117" s="15"/>
      <c r="WRN117" s="15"/>
      <c r="WRO117" s="15"/>
      <c r="WRP117" s="15"/>
      <c r="WRQ117" s="15"/>
      <c r="WRR117" s="15"/>
      <c r="WRS117" s="15"/>
      <c r="WRT117" s="15"/>
      <c r="WRU117" s="15"/>
      <c r="WRV117" s="14"/>
      <c r="WRW117" s="15"/>
      <c r="WRX117" s="15"/>
      <c r="WRY117" s="15"/>
      <c r="WRZ117" s="15"/>
      <c r="WSA117" s="15"/>
      <c r="WSB117" s="15"/>
      <c r="WSC117" s="15"/>
      <c r="WSD117" s="15"/>
      <c r="WSE117" s="15"/>
      <c r="WSF117" s="15"/>
      <c r="WSG117" s="15"/>
      <c r="WSH117" s="15"/>
      <c r="WSI117" s="15"/>
      <c r="WSJ117" s="15"/>
      <c r="WSK117" s="15"/>
      <c r="WSL117" s="15"/>
      <c r="WSM117" s="15"/>
      <c r="WSN117" s="15"/>
      <c r="WSO117" s="15"/>
      <c r="WSP117" s="15"/>
      <c r="WSQ117" s="15"/>
      <c r="WSR117" s="14"/>
      <c r="WSS117" s="15"/>
      <c r="WST117" s="15"/>
      <c r="WSU117" s="15"/>
      <c r="WSV117" s="15"/>
      <c r="WSW117" s="15"/>
      <c r="WSX117" s="15"/>
      <c r="WSY117" s="15"/>
      <c r="WSZ117" s="15"/>
      <c r="WTA117" s="15"/>
      <c r="WTB117" s="15"/>
      <c r="WTC117" s="15"/>
      <c r="WTD117" s="15"/>
      <c r="WTE117" s="15"/>
      <c r="WTF117" s="15"/>
      <c r="WTG117" s="15"/>
      <c r="WTH117" s="15"/>
      <c r="WTI117" s="15"/>
      <c r="WTJ117" s="15"/>
      <c r="WTK117" s="15"/>
      <c r="WTL117" s="15"/>
      <c r="WTM117" s="15"/>
      <c r="WTN117" s="14"/>
      <c r="WTO117" s="15"/>
      <c r="WTP117" s="15"/>
      <c r="WTQ117" s="15"/>
      <c r="WTR117" s="15"/>
      <c r="WTS117" s="15"/>
      <c r="WTT117" s="15"/>
      <c r="WTU117" s="15"/>
      <c r="WTV117" s="15"/>
      <c r="WTW117" s="15"/>
      <c r="WTX117" s="15"/>
      <c r="WTY117" s="15"/>
      <c r="WTZ117" s="15"/>
      <c r="WUA117" s="15"/>
      <c r="WUB117" s="15"/>
      <c r="WUC117" s="15"/>
      <c r="WUD117" s="15"/>
      <c r="WUE117" s="15"/>
      <c r="WUF117" s="15"/>
      <c r="WUG117" s="15"/>
      <c r="WUH117" s="15"/>
      <c r="WUI117" s="15"/>
      <c r="WUJ117" s="14"/>
      <c r="WUK117" s="15"/>
      <c r="WUL117" s="15"/>
      <c r="WUM117" s="15"/>
      <c r="WUN117" s="15"/>
      <c r="WUO117" s="15"/>
      <c r="WUP117" s="15"/>
      <c r="WUQ117" s="15"/>
      <c r="WUR117" s="15"/>
      <c r="WUS117" s="15"/>
      <c r="WUT117" s="15"/>
      <c r="WUU117" s="15"/>
      <c r="WUV117" s="15"/>
      <c r="WUW117" s="15"/>
      <c r="WUX117" s="15"/>
      <c r="WUY117" s="15"/>
      <c r="WUZ117" s="15"/>
      <c r="WVA117" s="15"/>
      <c r="WVB117" s="15"/>
      <c r="WVC117" s="15"/>
      <c r="WVD117" s="15"/>
      <c r="WVE117" s="15"/>
      <c r="WVF117" s="14"/>
      <c r="WVG117" s="15"/>
      <c r="WVH117" s="15"/>
      <c r="WVI117" s="15"/>
      <c r="WVJ117" s="15"/>
      <c r="WVK117" s="15"/>
      <c r="WVL117" s="15"/>
      <c r="WVM117" s="15"/>
      <c r="WVN117" s="15"/>
      <c r="WVO117" s="15"/>
      <c r="WVP117" s="15"/>
      <c r="WVQ117" s="15"/>
      <c r="WVR117" s="15"/>
      <c r="WVS117" s="15"/>
      <c r="WVT117" s="15"/>
      <c r="WVU117" s="15"/>
      <c r="WVV117" s="15"/>
      <c r="WVW117" s="15"/>
      <c r="WVX117" s="15"/>
      <c r="WVY117" s="15"/>
      <c r="WVZ117" s="15"/>
      <c r="WWA117" s="15"/>
      <c r="WWB117" s="14"/>
      <c r="WWC117" s="15"/>
      <c r="WWD117" s="15"/>
      <c r="WWE117" s="15"/>
      <c r="WWF117" s="15"/>
      <c r="WWG117" s="15"/>
      <c r="WWH117" s="15"/>
      <c r="WWI117" s="15"/>
      <c r="WWJ117" s="15"/>
      <c r="WWK117" s="15"/>
      <c r="WWL117" s="15"/>
      <c r="WWM117" s="15"/>
      <c r="WWN117" s="15"/>
      <c r="WWO117" s="15"/>
      <c r="WWP117" s="15"/>
      <c r="WWQ117" s="15"/>
      <c r="WWR117" s="15"/>
      <c r="WWS117" s="15"/>
      <c r="WWT117" s="15"/>
      <c r="WWU117" s="15"/>
      <c r="WWV117" s="15"/>
      <c r="WWW117" s="15"/>
      <c r="WWX117" s="14"/>
      <c r="WWY117" s="15"/>
      <c r="WWZ117" s="15"/>
      <c r="WXA117" s="15"/>
      <c r="WXB117" s="15"/>
      <c r="WXC117" s="15"/>
      <c r="WXD117" s="15"/>
      <c r="WXE117" s="15"/>
      <c r="WXF117" s="15"/>
      <c r="WXG117" s="15"/>
      <c r="WXH117" s="15"/>
      <c r="WXI117" s="15"/>
      <c r="WXJ117" s="15"/>
      <c r="WXK117" s="15"/>
      <c r="WXL117" s="15"/>
      <c r="WXM117" s="15"/>
      <c r="WXN117" s="15"/>
      <c r="WXO117" s="15"/>
      <c r="WXP117" s="15"/>
      <c r="WXQ117" s="15"/>
      <c r="WXR117" s="15"/>
      <c r="WXS117" s="15"/>
      <c r="WXT117" s="14"/>
      <c r="WXU117" s="15"/>
      <c r="WXV117" s="15"/>
      <c r="WXW117" s="15"/>
      <c r="WXX117" s="15"/>
      <c r="WXY117" s="15"/>
      <c r="WXZ117" s="15"/>
      <c r="WYA117" s="15"/>
      <c r="WYB117" s="15"/>
      <c r="WYC117" s="15"/>
      <c r="WYD117" s="15"/>
      <c r="WYE117" s="15"/>
      <c r="WYF117" s="15"/>
      <c r="WYG117" s="15"/>
      <c r="WYH117" s="15"/>
      <c r="WYI117" s="15"/>
      <c r="WYJ117" s="15"/>
      <c r="WYK117" s="15"/>
      <c r="WYL117" s="15"/>
      <c r="WYM117" s="15"/>
      <c r="WYN117" s="15"/>
      <c r="WYO117" s="15"/>
      <c r="WYP117" s="14"/>
      <c r="WYQ117" s="15"/>
      <c r="WYR117" s="15"/>
      <c r="WYS117" s="15"/>
      <c r="WYT117" s="15"/>
      <c r="WYU117" s="15"/>
      <c r="WYV117" s="15"/>
      <c r="WYW117" s="15"/>
      <c r="WYX117" s="15"/>
      <c r="WYY117" s="15"/>
      <c r="WYZ117" s="15"/>
      <c r="WZA117" s="15"/>
      <c r="WZB117" s="15"/>
      <c r="WZC117" s="15"/>
      <c r="WZD117" s="15"/>
      <c r="WZE117" s="15"/>
      <c r="WZF117" s="15"/>
      <c r="WZG117" s="15"/>
      <c r="WZH117" s="15"/>
      <c r="WZI117" s="15"/>
      <c r="WZJ117" s="15"/>
      <c r="WZK117" s="15"/>
      <c r="WZL117" s="14"/>
      <c r="WZM117" s="15"/>
      <c r="WZN117" s="15"/>
      <c r="WZO117" s="15"/>
      <c r="WZP117" s="15"/>
      <c r="WZQ117" s="15"/>
      <c r="WZR117" s="15"/>
      <c r="WZS117" s="15"/>
      <c r="WZT117" s="15"/>
      <c r="WZU117" s="15"/>
      <c r="WZV117" s="15"/>
      <c r="WZW117" s="15"/>
      <c r="WZX117" s="15"/>
      <c r="WZY117" s="15"/>
      <c r="WZZ117" s="15"/>
      <c r="XAA117" s="15"/>
      <c r="XAB117" s="15"/>
      <c r="XAC117" s="15"/>
      <c r="XAD117" s="15"/>
      <c r="XAE117" s="15"/>
      <c r="XAF117" s="15"/>
      <c r="XAG117" s="15"/>
      <c r="XAH117" s="14"/>
      <c r="XAI117" s="15"/>
      <c r="XAJ117" s="15"/>
      <c r="XAK117" s="15"/>
      <c r="XAL117" s="15"/>
      <c r="XAM117" s="15"/>
      <c r="XAN117" s="15"/>
      <c r="XAO117" s="15"/>
      <c r="XAP117" s="15"/>
      <c r="XAQ117" s="15"/>
      <c r="XAR117" s="15"/>
      <c r="XAS117" s="15"/>
      <c r="XAT117" s="15"/>
      <c r="XAU117" s="15"/>
      <c r="XAV117" s="15"/>
      <c r="XAW117" s="15"/>
      <c r="XAX117" s="15"/>
      <c r="XAY117" s="15"/>
      <c r="XAZ117" s="15"/>
      <c r="XBA117" s="15"/>
      <c r="XBB117" s="15"/>
      <c r="XBC117" s="15"/>
      <c r="XBD117" s="14"/>
      <c r="XBE117" s="15"/>
      <c r="XBF117" s="15"/>
      <c r="XBG117" s="15"/>
      <c r="XBH117" s="15"/>
      <c r="XBI117" s="15"/>
      <c r="XBJ117" s="15"/>
      <c r="XBK117" s="15"/>
      <c r="XBL117" s="15"/>
      <c r="XBM117" s="15"/>
      <c r="XBN117" s="15"/>
      <c r="XBO117" s="15"/>
      <c r="XBP117" s="15"/>
      <c r="XBQ117" s="15"/>
      <c r="XBR117" s="15"/>
      <c r="XBS117" s="15"/>
      <c r="XBT117" s="15"/>
      <c r="XBU117" s="15"/>
      <c r="XBV117" s="15"/>
      <c r="XBW117" s="15"/>
      <c r="XBX117" s="15"/>
      <c r="XBY117" s="15"/>
      <c r="XBZ117" s="14"/>
      <c r="XCA117" s="15"/>
      <c r="XCB117" s="15"/>
      <c r="XCC117" s="15"/>
      <c r="XCD117" s="15"/>
      <c r="XCE117" s="15"/>
      <c r="XCF117" s="15"/>
      <c r="XCG117" s="15"/>
      <c r="XCH117" s="15"/>
      <c r="XCI117" s="15"/>
      <c r="XCJ117" s="15"/>
      <c r="XCK117" s="15"/>
      <c r="XCL117" s="15"/>
      <c r="XCM117" s="15"/>
      <c r="XCN117" s="15"/>
      <c r="XCO117" s="15"/>
      <c r="XCP117" s="15"/>
      <c r="XCQ117" s="15"/>
      <c r="XCR117" s="15"/>
      <c r="XCS117" s="15"/>
      <c r="XCT117" s="15"/>
      <c r="XCU117" s="15"/>
      <c r="XCV117" s="14"/>
      <c r="XCW117" s="15"/>
      <c r="XCX117" s="15"/>
      <c r="XCY117" s="15"/>
      <c r="XCZ117" s="15"/>
      <c r="XDA117" s="15"/>
      <c r="XDB117" s="15"/>
      <c r="XDC117" s="15"/>
      <c r="XDD117" s="15"/>
      <c r="XDE117" s="15"/>
      <c r="XDF117" s="15"/>
      <c r="XDG117" s="15"/>
      <c r="XDH117" s="15"/>
      <c r="XDI117" s="15"/>
      <c r="XDJ117" s="15"/>
      <c r="XDK117" s="15"/>
      <c r="XDL117" s="15"/>
      <c r="XDM117" s="15"/>
      <c r="XDN117" s="15"/>
      <c r="XDO117" s="15"/>
      <c r="XDP117" s="15"/>
      <c r="XDQ117" s="15"/>
      <c r="XDR117" s="14"/>
      <c r="XDS117" s="15"/>
      <c r="XDT117" s="15"/>
      <c r="XDU117" s="15"/>
      <c r="XDV117" s="15"/>
      <c r="XDW117" s="15"/>
      <c r="XDX117" s="15"/>
      <c r="XDY117" s="15"/>
      <c r="XDZ117" s="15"/>
      <c r="XEA117" s="15"/>
      <c r="XEB117" s="15"/>
      <c r="XEC117" s="15"/>
      <c r="XED117" s="15"/>
      <c r="XEE117" s="15"/>
      <c r="XEF117" s="15"/>
      <c r="XEG117" s="15"/>
      <c r="XEH117" s="15"/>
      <c r="XEI117" s="15"/>
      <c r="XEJ117" s="15"/>
      <c r="XEK117" s="15"/>
      <c r="XEL117" s="15"/>
      <c r="XEM117" s="15"/>
      <c r="XEN117" s="14"/>
      <c r="XEO117" s="14"/>
      <c r="XEP117" s="14"/>
      <c r="XEQ117" s="14"/>
      <c r="XER117" s="14"/>
      <c r="XES117" s="14"/>
      <c r="XET117" s="14"/>
      <c r="XEU117" s="14"/>
      <c r="XEV117" s="14"/>
      <c r="XEW117" s="14"/>
      <c r="XEX117" s="14"/>
      <c r="XEY117" s="14"/>
      <c r="XEZ117" s="14"/>
      <c r="XFA117" s="14"/>
      <c r="XFB117" s="14"/>
      <c r="XFC117" s="14"/>
    </row>
    <row r="118" spans="1:16383" s="13" customFormat="1" ht="15.9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4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4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4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4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4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4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4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4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4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4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  <c r="IV118" s="15"/>
      <c r="IW118" s="15"/>
      <c r="IX118" s="15"/>
      <c r="IY118" s="15"/>
      <c r="IZ118" s="15"/>
      <c r="JA118" s="15"/>
      <c r="JB118" s="15"/>
      <c r="JC118" s="15"/>
      <c r="JD118" s="14"/>
      <c r="JE118" s="15"/>
      <c r="JF118" s="15"/>
      <c r="JG118" s="15"/>
      <c r="JH118" s="15"/>
      <c r="JI118" s="15"/>
      <c r="JJ118" s="15"/>
      <c r="JK118" s="15"/>
      <c r="JL118" s="15"/>
      <c r="JM118" s="15"/>
      <c r="JN118" s="15"/>
      <c r="JO118" s="15"/>
      <c r="JP118" s="15"/>
      <c r="JQ118" s="15"/>
      <c r="JR118" s="15"/>
      <c r="JS118" s="15"/>
      <c r="JT118" s="15"/>
      <c r="JU118" s="15"/>
      <c r="JV118" s="15"/>
      <c r="JW118" s="15"/>
      <c r="JX118" s="15"/>
      <c r="JY118" s="15"/>
      <c r="JZ118" s="14"/>
      <c r="KA118" s="15"/>
      <c r="KB118" s="15"/>
      <c r="KC118" s="15"/>
      <c r="KD118" s="15"/>
      <c r="KE118" s="15"/>
      <c r="KF118" s="15"/>
      <c r="KG118" s="15"/>
      <c r="KH118" s="15"/>
      <c r="KI118" s="15"/>
      <c r="KJ118" s="15"/>
      <c r="KK118" s="15"/>
      <c r="KL118" s="15"/>
      <c r="KM118" s="15"/>
      <c r="KN118" s="15"/>
      <c r="KO118" s="15"/>
      <c r="KP118" s="15"/>
      <c r="KQ118" s="15"/>
      <c r="KR118" s="15"/>
      <c r="KS118" s="15"/>
      <c r="KT118" s="15"/>
      <c r="KU118" s="15"/>
      <c r="KV118" s="14"/>
      <c r="KW118" s="15"/>
      <c r="KX118" s="15"/>
      <c r="KY118" s="15"/>
      <c r="KZ118" s="15"/>
      <c r="LA118" s="15"/>
      <c r="LB118" s="15"/>
      <c r="LC118" s="15"/>
      <c r="LD118" s="15"/>
      <c r="LE118" s="15"/>
      <c r="LF118" s="15"/>
      <c r="LG118" s="15"/>
      <c r="LH118" s="15"/>
      <c r="LI118" s="15"/>
      <c r="LJ118" s="15"/>
      <c r="LK118" s="15"/>
      <c r="LL118" s="15"/>
      <c r="LM118" s="15"/>
      <c r="LN118" s="15"/>
      <c r="LO118" s="15"/>
      <c r="LP118" s="15"/>
      <c r="LQ118" s="15"/>
      <c r="LR118" s="14"/>
      <c r="LS118" s="15"/>
      <c r="LT118" s="15"/>
      <c r="LU118" s="15"/>
      <c r="LV118" s="15"/>
      <c r="LW118" s="15"/>
      <c r="LX118" s="15"/>
      <c r="LY118" s="15"/>
      <c r="LZ118" s="15"/>
      <c r="MA118" s="15"/>
      <c r="MB118" s="15"/>
      <c r="MC118" s="15"/>
      <c r="MD118" s="15"/>
      <c r="ME118" s="15"/>
      <c r="MF118" s="15"/>
      <c r="MG118" s="15"/>
      <c r="MH118" s="15"/>
      <c r="MI118" s="15"/>
      <c r="MJ118" s="15"/>
      <c r="MK118" s="15"/>
      <c r="ML118" s="15"/>
      <c r="MM118" s="15"/>
      <c r="MN118" s="14"/>
      <c r="MO118" s="15"/>
      <c r="MP118" s="15"/>
      <c r="MQ118" s="15"/>
      <c r="MR118" s="15"/>
      <c r="MS118" s="15"/>
      <c r="MT118" s="15"/>
      <c r="MU118" s="15"/>
      <c r="MV118" s="15"/>
      <c r="MW118" s="15"/>
      <c r="MX118" s="15"/>
      <c r="MY118" s="15"/>
      <c r="MZ118" s="15"/>
      <c r="NA118" s="15"/>
      <c r="NB118" s="15"/>
      <c r="NC118" s="15"/>
      <c r="ND118" s="15"/>
      <c r="NE118" s="15"/>
      <c r="NF118" s="15"/>
      <c r="NG118" s="15"/>
      <c r="NH118" s="15"/>
      <c r="NI118" s="15"/>
      <c r="NJ118" s="14"/>
      <c r="NK118" s="15"/>
      <c r="NL118" s="15"/>
      <c r="NM118" s="15"/>
      <c r="NN118" s="15"/>
      <c r="NO118" s="15"/>
      <c r="NP118" s="15"/>
      <c r="NQ118" s="15"/>
      <c r="NR118" s="15"/>
      <c r="NS118" s="15"/>
      <c r="NT118" s="15"/>
      <c r="NU118" s="15"/>
      <c r="NV118" s="15"/>
      <c r="NW118" s="15"/>
      <c r="NX118" s="15"/>
      <c r="NY118" s="15"/>
      <c r="NZ118" s="15"/>
      <c r="OA118" s="15"/>
      <c r="OB118" s="15"/>
      <c r="OC118" s="15"/>
      <c r="OD118" s="15"/>
      <c r="OE118" s="15"/>
      <c r="OF118" s="14"/>
      <c r="OG118" s="15"/>
      <c r="OH118" s="15"/>
      <c r="OI118" s="15"/>
      <c r="OJ118" s="15"/>
      <c r="OK118" s="15"/>
      <c r="OL118" s="15"/>
      <c r="OM118" s="15"/>
      <c r="ON118" s="15"/>
      <c r="OO118" s="15"/>
      <c r="OP118" s="15"/>
      <c r="OQ118" s="15"/>
      <c r="OR118" s="15"/>
      <c r="OS118" s="15"/>
      <c r="OT118" s="15"/>
      <c r="OU118" s="15"/>
      <c r="OV118" s="15"/>
      <c r="OW118" s="15"/>
      <c r="OX118" s="15"/>
      <c r="OY118" s="15"/>
      <c r="OZ118" s="15"/>
      <c r="PA118" s="15"/>
      <c r="PB118" s="14"/>
      <c r="PC118" s="15"/>
      <c r="PD118" s="15"/>
      <c r="PE118" s="15"/>
      <c r="PF118" s="15"/>
      <c r="PG118" s="15"/>
      <c r="PH118" s="15"/>
      <c r="PI118" s="15"/>
      <c r="PJ118" s="15"/>
      <c r="PK118" s="15"/>
      <c r="PL118" s="15"/>
      <c r="PM118" s="15"/>
      <c r="PN118" s="15"/>
      <c r="PO118" s="15"/>
      <c r="PP118" s="15"/>
      <c r="PQ118" s="15"/>
      <c r="PR118" s="15"/>
      <c r="PS118" s="15"/>
      <c r="PT118" s="15"/>
      <c r="PU118" s="15"/>
      <c r="PV118" s="15"/>
      <c r="PW118" s="15"/>
      <c r="PX118" s="14"/>
      <c r="PY118" s="15"/>
      <c r="PZ118" s="15"/>
      <c r="QA118" s="15"/>
      <c r="QB118" s="15"/>
      <c r="QC118" s="15"/>
      <c r="QD118" s="15"/>
      <c r="QE118" s="15"/>
      <c r="QF118" s="15"/>
      <c r="QG118" s="15"/>
      <c r="QH118" s="15"/>
      <c r="QI118" s="15"/>
      <c r="QJ118" s="15"/>
      <c r="QK118" s="15"/>
      <c r="QL118" s="15"/>
      <c r="QM118" s="15"/>
      <c r="QN118" s="15"/>
      <c r="QO118" s="15"/>
      <c r="QP118" s="15"/>
      <c r="QQ118" s="15"/>
      <c r="QR118" s="15"/>
      <c r="QS118" s="15"/>
      <c r="QT118" s="14"/>
      <c r="QU118" s="15"/>
      <c r="QV118" s="15"/>
      <c r="QW118" s="15"/>
      <c r="QX118" s="15"/>
      <c r="QY118" s="15"/>
      <c r="QZ118" s="15"/>
      <c r="RA118" s="15"/>
      <c r="RB118" s="15"/>
      <c r="RC118" s="15"/>
      <c r="RD118" s="15"/>
      <c r="RE118" s="15"/>
      <c r="RF118" s="15"/>
      <c r="RG118" s="15"/>
      <c r="RH118" s="15"/>
      <c r="RI118" s="15"/>
      <c r="RJ118" s="15"/>
      <c r="RK118" s="15"/>
      <c r="RL118" s="15"/>
      <c r="RM118" s="15"/>
      <c r="RN118" s="15"/>
      <c r="RO118" s="15"/>
      <c r="RP118" s="14"/>
      <c r="RQ118" s="15"/>
      <c r="RR118" s="15"/>
      <c r="RS118" s="15"/>
      <c r="RT118" s="15"/>
      <c r="RU118" s="15"/>
      <c r="RV118" s="15"/>
      <c r="RW118" s="15"/>
      <c r="RX118" s="15"/>
      <c r="RY118" s="15"/>
      <c r="RZ118" s="15"/>
      <c r="SA118" s="15"/>
      <c r="SB118" s="15"/>
      <c r="SC118" s="15"/>
      <c r="SD118" s="15"/>
      <c r="SE118" s="15"/>
      <c r="SF118" s="15"/>
      <c r="SG118" s="15"/>
      <c r="SH118" s="15"/>
      <c r="SI118" s="15"/>
      <c r="SJ118" s="15"/>
      <c r="SK118" s="15"/>
      <c r="SL118" s="14"/>
      <c r="SM118" s="15"/>
      <c r="SN118" s="15"/>
      <c r="SO118" s="15"/>
      <c r="SP118" s="15"/>
      <c r="SQ118" s="15"/>
      <c r="SR118" s="15"/>
      <c r="SS118" s="15"/>
      <c r="ST118" s="15"/>
      <c r="SU118" s="15"/>
      <c r="SV118" s="15"/>
      <c r="SW118" s="15"/>
      <c r="SX118" s="15"/>
      <c r="SY118" s="15"/>
      <c r="SZ118" s="15"/>
      <c r="TA118" s="15"/>
      <c r="TB118" s="15"/>
      <c r="TC118" s="15"/>
      <c r="TD118" s="15"/>
      <c r="TE118" s="15"/>
      <c r="TF118" s="15"/>
      <c r="TG118" s="15"/>
      <c r="TH118" s="14"/>
      <c r="TI118" s="15"/>
      <c r="TJ118" s="15"/>
      <c r="TK118" s="15"/>
      <c r="TL118" s="15"/>
      <c r="TM118" s="15"/>
      <c r="TN118" s="15"/>
      <c r="TO118" s="15"/>
      <c r="TP118" s="15"/>
      <c r="TQ118" s="15"/>
      <c r="TR118" s="15"/>
      <c r="TS118" s="15"/>
      <c r="TT118" s="15"/>
      <c r="TU118" s="15"/>
      <c r="TV118" s="15"/>
      <c r="TW118" s="15"/>
      <c r="TX118" s="15"/>
      <c r="TY118" s="15"/>
      <c r="TZ118" s="15"/>
      <c r="UA118" s="15"/>
      <c r="UB118" s="15"/>
      <c r="UC118" s="15"/>
      <c r="UD118" s="14"/>
      <c r="UE118" s="15"/>
      <c r="UF118" s="15"/>
      <c r="UG118" s="15"/>
      <c r="UH118" s="15"/>
      <c r="UI118" s="15"/>
      <c r="UJ118" s="15"/>
      <c r="UK118" s="15"/>
      <c r="UL118" s="15"/>
      <c r="UM118" s="15"/>
      <c r="UN118" s="15"/>
      <c r="UO118" s="15"/>
      <c r="UP118" s="15"/>
      <c r="UQ118" s="15"/>
      <c r="UR118" s="15"/>
      <c r="US118" s="15"/>
      <c r="UT118" s="15"/>
      <c r="UU118" s="15"/>
      <c r="UV118" s="15"/>
      <c r="UW118" s="15"/>
      <c r="UX118" s="15"/>
      <c r="UY118" s="15"/>
      <c r="UZ118" s="14"/>
      <c r="VA118" s="15"/>
      <c r="VB118" s="15"/>
      <c r="VC118" s="15"/>
      <c r="VD118" s="15"/>
      <c r="VE118" s="15"/>
      <c r="VF118" s="15"/>
      <c r="VG118" s="15"/>
      <c r="VH118" s="15"/>
      <c r="VI118" s="15"/>
      <c r="VJ118" s="15"/>
      <c r="VK118" s="15"/>
      <c r="VL118" s="15"/>
      <c r="VM118" s="15"/>
      <c r="VN118" s="15"/>
      <c r="VO118" s="15"/>
      <c r="VP118" s="15"/>
      <c r="VQ118" s="15"/>
      <c r="VR118" s="15"/>
      <c r="VS118" s="15"/>
      <c r="VT118" s="15"/>
      <c r="VU118" s="15"/>
      <c r="VV118" s="14"/>
      <c r="VW118" s="15"/>
      <c r="VX118" s="15"/>
      <c r="VY118" s="15"/>
      <c r="VZ118" s="15"/>
      <c r="WA118" s="15"/>
      <c r="WB118" s="15"/>
      <c r="WC118" s="15"/>
      <c r="WD118" s="15"/>
      <c r="WE118" s="15"/>
      <c r="WF118" s="15"/>
      <c r="WG118" s="15"/>
      <c r="WH118" s="15"/>
      <c r="WI118" s="15"/>
      <c r="WJ118" s="15"/>
      <c r="WK118" s="15"/>
      <c r="WL118" s="15"/>
      <c r="WM118" s="15"/>
      <c r="WN118" s="15"/>
      <c r="WO118" s="15"/>
      <c r="WP118" s="15"/>
      <c r="WQ118" s="15"/>
      <c r="WR118" s="14"/>
      <c r="WS118" s="15"/>
      <c r="WT118" s="15"/>
      <c r="WU118" s="15"/>
      <c r="WV118" s="15"/>
      <c r="WW118" s="15"/>
      <c r="WX118" s="15"/>
      <c r="WY118" s="15"/>
      <c r="WZ118" s="15"/>
      <c r="XA118" s="15"/>
      <c r="XB118" s="15"/>
      <c r="XC118" s="15"/>
      <c r="XD118" s="15"/>
      <c r="XE118" s="15"/>
      <c r="XF118" s="15"/>
      <c r="XG118" s="15"/>
      <c r="XH118" s="15"/>
      <c r="XI118" s="15"/>
      <c r="XJ118" s="15"/>
      <c r="XK118" s="15"/>
      <c r="XL118" s="15"/>
      <c r="XM118" s="15"/>
      <c r="XN118" s="14"/>
      <c r="XO118" s="15"/>
      <c r="XP118" s="15"/>
      <c r="XQ118" s="15"/>
      <c r="XR118" s="15"/>
      <c r="XS118" s="15"/>
      <c r="XT118" s="15"/>
      <c r="XU118" s="15"/>
      <c r="XV118" s="15"/>
      <c r="XW118" s="15"/>
      <c r="XX118" s="15"/>
      <c r="XY118" s="15"/>
      <c r="XZ118" s="15"/>
      <c r="YA118" s="15"/>
      <c r="YB118" s="15"/>
      <c r="YC118" s="15"/>
      <c r="YD118" s="15"/>
      <c r="YE118" s="15"/>
      <c r="YF118" s="15"/>
      <c r="YG118" s="15"/>
      <c r="YH118" s="15"/>
      <c r="YI118" s="15"/>
      <c r="YJ118" s="14"/>
      <c r="YK118" s="15"/>
      <c r="YL118" s="15"/>
      <c r="YM118" s="15"/>
      <c r="YN118" s="15"/>
      <c r="YO118" s="15"/>
      <c r="YP118" s="15"/>
      <c r="YQ118" s="15"/>
      <c r="YR118" s="15"/>
      <c r="YS118" s="15"/>
      <c r="YT118" s="15"/>
      <c r="YU118" s="15"/>
      <c r="YV118" s="15"/>
      <c r="YW118" s="15"/>
      <c r="YX118" s="15"/>
      <c r="YY118" s="15"/>
      <c r="YZ118" s="15"/>
      <c r="ZA118" s="15"/>
      <c r="ZB118" s="15"/>
      <c r="ZC118" s="15"/>
      <c r="ZD118" s="15"/>
      <c r="ZE118" s="15"/>
      <c r="ZF118" s="14"/>
      <c r="ZG118" s="15"/>
      <c r="ZH118" s="15"/>
      <c r="ZI118" s="15"/>
      <c r="ZJ118" s="15"/>
      <c r="ZK118" s="15"/>
      <c r="ZL118" s="15"/>
      <c r="ZM118" s="15"/>
      <c r="ZN118" s="15"/>
      <c r="ZO118" s="15"/>
      <c r="ZP118" s="15"/>
      <c r="ZQ118" s="15"/>
      <c r="ZR118" s="15"/>
      <c r="ZS118" s="15"/>
      <c r="ZT118" s="15"/>
      <c r="ZU118" s="15"/>
      <c r="ZV118" s="15"/>
      <c r="ZW118" s="15"/>
      <c r="ZX118" s="15"/>
      <c r="ZY118" s="15"/>
      <c r="ZZ118" s="15"/>
      <c r="AAA118" s="15"/>
      <c r="AAB118" s="14"/>
      <c r="AAC118" s="15"/>
      <c r="AAD118" s="15"/>
      <c r="AAE118" s="15"/>
      <c r="AAF118" s="15"/>
      <c r="AAG118" s="15"/>
      <c r="AAH118" s="15"/>
      <c r="AAI118" s="15"/>
      <c r="AAJ118" s="15"/>
      <c r="AAK118" s="15"/>
      <c r="AAL118" s="15"/>
      <c r="AAM118" s="15"/>
      <c r="AAN118" s="15"/>
      <c r="AAO118" s="15"/>
      <c r="AAP118" s="15"/>
      <c r="AAQ118" s="15"/>
      <c r="AAR118" s="15"/>
      <c r="AAS118" s="15"/>
      <c r="AAT118" s="15"/>
      <c r="AAU118" s="15"/>
      <c r="AAV118" s="15"/>
      <c r="AAW118" s="15"/>
      <c r="AAX118" s="14"/>
      <c r="AAY118" s="15"/>
      <c r="AAZ118" s="15"/>
      <c r="ABA118" s="15"/>
      <c r="ABB118" s="15"/>
      <c r="ABC118" s="15"/>
      <c r="ABD118" s="15"/>
      <c r="ABE118" s="15"/>
      <c r="ABF118" s="15"/>
      <c r="ABG118" s="15"/>
      <c r="ABH118" s="15"/>
      <c r="ABI118" s="15"/>
      <c r="ABJ118" s="15"/>
      <c r="ABK118" s="15"/>
      <c r="ABL118" s="15"/>
      <c r="ABM118" s="15"/>
      <c r="ABN118" s="15"/>
      <c r="ABO118" s="15"/>
      <c r="ABP118" s="15"/>
      <c r="ABQ118" s="15"/>
      <c r="ABR118" s="15"/>
      <c r="ABS118" s="15"/>
      <c r="ABT118" s="14"/>
      <c r="ABU118" s="15"/>
      <c r="ABV118" s="15"/>
      <c r="ABW118" s="15"/>
      <c r="ABX118" s="15"/>
      <c r="ABY118" s="15"/>
      <c r="ABZ118" s="15"/>
      <c r="ACA118" s="15"/>
      <c r="ACB118" s="15"/>
      <c r="ACC118" s="15"/>
      <c r="ACD118" s="15"/>
      <c r="ACE118" s="15"/>
      <c r="ACF118" s="15"/>
      <c r="ACG118" s="15"/>
      <c r="ACH118" s="15"/>
      <c r="ACI118" s="15"/>
      <c r="ACJ118" s="15"/>
      <c r="ACK118" s="15"/>
      <c r="ACL118" s="15"/>
      <c r="ACM118" s="15"/>
      <c r="ACN118" s="15"/>
      <c r="ACO118" s="15"/>
      <c r="ACP118" s="14"/>
      <c r="ACQ118" s="15"/>
      <c r="ACR118" s="15"/>
      <c r="ACS118" s="15"/>
      <c r="ACT118" s="15"/>
      <c r="ACU118" s="15"/>
      <c r="ACV118" s="15"/>
      <c r="ACW118" s="15"/>
      <c r="ACX118" s="15"/>
      <c r="ACY118" s="15"/>
      <c r="ACZ118" s="15"/>
      <c r="ADA118" s="15"/>
      <c r="ADB118" s="15"/>
      <c r="ADC118" s="15"/>
      <c r="ADD118" s="15"/>
      <c r="ADE118" s="15"/>
      <c r="ADF118" s="15"/>
      <c r="ADG118" s="15"/>
      <c r="ADH118" s="15"/>
      <c r="ADI118" s="15"/>
      <c r="ADJ118" s="15"/>
      <c r="ADK118" s="15"/>
      <c r="ADL118" s="14"/>
      <c r="ADM118" s="15"/>
      <c r="ADN118" s="15"/>
      <c r="ADO118" s="15"/>
      <c r="ADP118" s="15"/>
      <c r="ADQ118" s="15"/>
      <c r="ADR118" s="15"/>
      <c r="ADS118" s="15"/>
      <c r="ADT118" s="15"/>
      <c r="ADU118" s="15"/>
      <c r="ADV118" s="15"/>
      <c r="ADW118" s="15"/>
      <c r="ADX118" s="15"/>
      <c r="ADY118" s="15"/>
      <c r="ADZ118" s="15"/>
      <c r="AEA118" s="15"/>
      <c r="AEB118" s="15"/>
      <c r="AEC118" s="15"/>
      <c r="AED118" s="15"/>
      <c r="AEE118" s="15"/>
      <c r="AEF118" s="15"/>
      <c r="AEG118" s="15"/>
      <c r="AEH118" s="14"/>
      <c r="AEI118" s="15"/>
      <c r="AEJ118" s="15"/>
      <c r="AEK118" s="15"/>
      <c r="AEL118" s="15"/>
      <c r="AEM118" s="15"/>
      <c r="AEN118" s="15"/>
      <c r="AEO118" s="15"/>
      <c r="AEP118" s="15"/>
      <c r="AEQ118" s="15"/>
      <c r="AER118" s="15"/>
      <c r="AES118" s="15"/>
      <c r="AET118" s="15"/>
      <c r="AEU118" s="15"/>
      <c r="AEV118" s="15"/>
      <c r="AEW118" s="15"/>
      <c r="AEX118" s="15"/>
      <c r="AEY118" s="15"/>
      <c r="AEZ118" s="15"/>
      <c r="AFA118" s="15"/>
      <c r="AFB118" s="15"/>
      <c r="AFC118" s="15"/>
      <c r="AFD118" s="14"/>
      <c r="AFE118" s="15"/>
      <c r="AFF118" s="15"/>
      <c r="AFG118" s="15"/>
      <c r="AFH118" s="15"/>
      <c r="AFI118" s="15"/>
      <c r="AFJ118" s="15"/>
      <c r="AFK118" s="15"/>
      <c r="AFL118" s="15"/>
      <c r="AFM118" s="15"/>
      <c r="AFN118" s="15"/>
      <c r="AFO118" s="15"/>
      <c r="AFP118" s="15"/>
      <c r="AFQ118" s="15"/>
      <c r="AFR118" s="15"/>
      <c r="AFS118" s="15"/>
      <c r="AFT118" s="15"/>
      <c r="AFU118" s="15"/>
      <c r="AFV118" s="15"/>
      <c r="AFW118" s="15"/>
      <c r="AFX118" s="15"/>
      <c r="AFY118" s="15"/>
      <c r="AFZ118" s="14"/>
      <c r="AGA118" s="15"/>
      <c r="AGB118" s="15"/>
      <c r="AGC118" s="15"/>
      <c r="AGD118" s="15"/>
      <c r="AGE118" s="15"/>
      <c r="AGF118" s="15"/>
      <c r="AGG118" s="15"/>
      <c r="AGH118" s="15"/>
      <c r="AGI118" s="15"/>
      <c r="AGJ118" s="15"/>
      <c r="AGK118" s="15"/>
      <c r="AGL118" s="15"/>
      <c r="AGM118" s="15"/>
      <c r="AGN118" s="15"/>
      <c r="AGO118" s="15"/>
      <c r="AGP118" s="15"/>
      <c r="AGQ118" s="15"/>
      <c r="AGR118" s="15"/>
      <c r="AGS118" s="15"/>
      <c r="AGT118" s="15"/>
      <c r="AGU118" s="15"/>
      <c r="AGV118" s="14"/>
      <c r="AGW118" s="15"/>
      <c r="AGX118" s="15"/>
      <c r="AGY118" s="15"/>
      <c r="AGZ118" s="15"/>
      <c r="AHA118" s="15"/>
      <c r="AHB118" s="15"/>
      <c r="AHC118" s="15"/>
      <c r="AHD118" s="15"/>
      <c r="AHE118" s="15"/>
      <c r="AHF118" s="15"/>
      <c r="AHG118" s="15"/>
      <c r="AHH118" s="15"/>
      <c r="AHI118" s="15"/>
      <c r="AHJ118" s="15"/>
      <c r="AHK118" s="15"/>
      <c r="AHL118" s="15"/>
      <c r="AHM118" s="15"/>
      <c r="AHN118" s="15"/>
      <c r="AHO118" s="15"/>
      <c r="AHP118" s="15"/>
      <c r="AHQ118" s="15"/>
      <c r="AHR118" s="14"/>
      <c r="AHS118" s="15"/>
      <c r="AHT118" s="15"/>
      <c r="AHU118" s="15"/>
      <c r="AHV118" s="15"/>
      <c r="AHW118" s="15"/>
      <c r="AHX118" s="15"/>
      <c r="AHY118" s="15"/>
      <c r="AHZ118" s="15"/>
      <c r="AIA118" s="15"/>
      <c r="AIB118" s="15"/>
      <c r="AIC118" s="15"/>
      <c r="AID118" s="15"/>
      <c r="AIE118" s="15"/>
      <c r="AIF118" s="15"/>
      <c r="AIG118" s="15"/>
      <c r="AIH118" s="15"/>
      <c r="AII118" s="15"/>
      <c r="AIJ118" s="15"/>
      <c r="AIK118" s="15"/>
      <c r="AIL118" s="15"/>
      <c r="AIM118" s="15"/>
      <c r="AIN118" s="14"/>
      <c r="AIO118" s="15"/>
      <c r="AIP118" s="15"/>
      <c r="AIQ118" s="15"/>
      <c r="AIR118" s="15"/>
      <c r="AIS118" s="15"/>
      <c r="AIT118" s="15"/>
      <c r="AIU118" s="15"/>
      <c r="AIV118" s="15"/>
      <c r="AIW118" s="15"/>
      <c r="AIX118" s="15"/>
      <c r="AIY118" s="15"/>
      <c r="AIZ118" s="15"/>
      <c r="AJA118" s="15"/>
      <c r="AJB118" s="15"/>
      <c r="AJC118" s="15"/>
      <c r="AJD118" s="15"/>
      <c r="AJE118" s="15"/>
      <c r="AJF118" s="15"/>
      <c r="AJG118" s="15"/>
      <c r="AJH118" s="15"/>
      <c r="AJI118" s="15"/>
      <c r="AJJ118" s="14"/>
      <c r="AJK118" s="15"/>
      <c r="AJL118" s="15"/>
      <c r="AJM118" s="15"/>
      <c r="AJN118" s="15"/>
      <c r="AJO118" s="15"/>
      <c r="AJP118" s="15"/>
      <c r="AJQ118" s="15"/>
      <c r="AJR118" s="15"/>
      <c r="AJS118" s="15"/>
      <c r="AJT118" s="15"/>
      <c r="AJU118" s="15"/>
      <c r="AJV118" s="15"/>
      <c r="AJW118" s="15"/>
      <c r="AJX118" s="15"/>
      <c r="AJY118" s="15"/>
      <c r="AJZ118" s="15"/>
      <c r="AKA118" s="15"/>
      <c r="AKB118" s="15"/>
      <c r="AKC118" s="15"/>
      <c r="AKD118" s="15"/>
      <c r="AKE118" s="15"/>
      <c r="AKF118" s="14"/>
      <c r="AKG118" s="15"/>
      <c r="AKH118" s="15"/>
      <c r="AKI118" s="15"/>
      <c r="AKJ118" s="15"/>
      <c r="AKK118" s="15"/>
      <c r="AKL118" s="15"/>
      <c r="AKM118" s="15"/>
      <c r="AKN118" s="15"/>
      <c r="AKO118" s="15"/>
      <c r="AKP118" s="15"/>
      <c r="AKQ118" s="15"/>
      <c r="AKR118" s="15"/>
      <c r="AKS118" s="15"/>
      <c r="AKT118" s="15"/>
      <c r="AKU118" s="15"/>
      <c r="AKV118" s="15"/>
      <c r="AKW118" s="15"/>
      <c r="AKX118" s="15"/>
      <c r="AKY118" s="15"/>
      <c r="AKZ118" s="15"/>
      <c r="ALA118" s="15"/>
      <c r="ALB118" s="14"/>
      <c r="ALC118" s="15"/>
      <c r="ALD118" s="15"/>
      <c r="ALE118" s="15"/>
      <c r="ALF118" s="15"/>
      <c r="ALG118" s="15"/>
      <c r="ALH118" s="15"/>
      <c r="ALI118" s="15"/>
      <c r="ALJ118" s="15"/>
      <c r="ALK118" s="15"/>
      <c r="ALL118" s="15"/>
      <c r="ALM118" s="15"/>
      <c r="ALN118" s="15"/>
      <c r="ALO118" s="15"/>
      <c r="ALP118" s="15"/>
      <c r="ALQ118" s="15"/>
      <c r="ALR118" s="15"/>
      <c r="ALS118" s="15"/>
      <c r="ALT118" s="15"/>
      <c r="ALU118" s="15"/>
      <c r="ALV118" s="15"/>
      <c r="ALW118" s="15"/>
      <c r="ALX118" s="14"/>
      <c r="ALY118" s="15"/>
      <c r="ALZ118" s="15"/>
      <c r="AMA118" s="15"/>
      <c r="AMB118" s="15"/>
      <c r="AMC118" s="15"/>
      <c r="AMD118" s="15"/>
      <c r="AME118" s="15"/>
      <c r="AMF118" s="15"/>
      <c r="AMG118" s="15"/>
      <c r="AMH118" s="15"/>
      <c r="AMI118" s="15"/>
      <c r="AMJ118" s="15"/>
      <c r="AMK118" s="15"/>
      <c r="AML118" s="15"/>
      <c r="AMM118" s="15"/>
      <c r="AMN118" s="15"/>
      <c r="AMO118" s="15"/>
      <c r="AMP118" s="15"/>
      <c r="AMQ118" s="15"/>
      <c r="AMR118" s="15"/>
      <c r="AMS118" s="15"/>
      <c r="AMT118" s="14"/>
      <c r="AMU118" s="15"/>
      <c r="AMV118" s="15"/>
      <c r="AMW118" s="15"/>
      <c r="AMX118" s="15"/>
      <c r="AMY118" s="15"/>
      <c r="AMZ118" s="15"/>
      <c r="ANA118" s="15"/>
      <c r="ANB118" s="15"/>
      <c r="ANC118" s="15"/>
      <c r="AND118" s="15"/>
      <c r="ANE118" s="15"/>
      <c r="ANF118" s="15"/>
      <c r="ANG118" s="15"/>
      <c r="ANH118" s="15"/>
      <c r="ANI118" s="15"/>
      <c r="ANJ118" s="15"/>
      <c r="ANK118" s="15"/>
      <c r="ANL118" s="15"/>
      <c r="ANM118" s="15"/>
      <c r="ANN118" s="15"/>
      <c r="ANO118" s="15"/>
      <c r="ANP118" s="14"/>
      <c r="ANQ118" s="15"/>
      <c r="ANR118" s="15"/>
      <c r="ANS118" s="15"/>
      <c r="ANT118" s="15"/>
      <c r="ANU118" s="15"/>
      <c r="ANV118" s="15"/>
      <c r="ANW118" s="15"/>
      <c r="ANX118" s="15"/>
      <c r="ANY118" s="15"/>
      <c r="ANZ118" s="15"/>
      <c r="AOA118" s="15"/>
      <c r="AOB118" s="15"/>
      <c r="AOC118" s="15"/>
      <c r="AOD118" s="15"/>
      <c r="AOE118" s="15"/>
      <c r="AOF118" s="15"/>
      <c r="AOG118" s="15"/>
      <c r="AOH118" s="15"/>
      <c r="AOI118" s="15"/>
      <c r="AOJ118" s="15"/>
      <c r="AOK118" s="15"/>
      <c r="AOL118" s="14"/>
      <c r="AOM118" s="15"/>
      <c r="AON118" s="15"/>
      <c r="AOO118" s="15"/>
      <c r="AOP118" s="15"/>
      <c r="AOQ118" s="15"/>
      <c r="AOR118" s="15"/>
      <c r="AOS118" s="15"/>
      <c r="AOT118" s="15"/>
      <c r="AOU118" s="15"/>
      <c r="AOV118" s="15"/>
      <c r="AOW118" s="15"/>
      <c r="AOX118" s="15"/>
      <c r="AOY118" s="15"/>
      <c r="AOZ118" s="15"/>
      <c r="APA118" s="15"/>
      <c r="APB118" s="15"/>
      <c r="APC118" s="15"/>
      <c r="APD118" s="15"/>
      <c r="APE118" s="15"/>
      <c r="APF118" s="15"/>
      <c r="APG118" s="15"/>
      <c r="APH118" s="14"/>
      <c r="API118" s="15"/>
      <c r="APJ118" s="15"/>
      <c r="APK118" s="15"/>
      <c r="APL118" s="15"/>
      <c r="APM118" s="15"/>
      <c r="APN118" s="15"/>
      <c r="APO118" s="15"/>
      <c r="APP118" s="15"/>
      <c r="APQ118" s="15"/>
      <c r="APR118" s="15"/>
      <c r="APS118" s="15"/>
      <c r="APT118" s="15"/>
      <c r="APU118" s="15"/>
      <c r="APV118" s="15"/>
      <c r="APW118" s="15"/>
      <c r="APX118" s="15"/>
      <c r="APY118" s="15"/>
      <c r="APZ118" s="15"/>
      <c r="AQA118" s="15"/>
      <c r="AQB118" s="15"/>
      <c r="AQC118" s="15"/>
      <c r="AQD118" s="14"/>
      <c r="AQE118" s="15"/>
      <c r="AQF118" s="15"/>
      <c r="AQG118" s="15"/>
      <c r="AQH118" s="15"/>
      <c r="AQI118" s="15"/>
      <c r="AQJ118" s="15"/>
      <c r="AQK118" s="15"/>
      <c r="AQL118" s="15"/>
      <c r="AQM118" s="15"/>
      <c r="AQN118" s="15"/>
      <c r="AQO118" s="15"/>
      <c r="AQP118" s="15"/>
      <c r="AQQ118" s="15"/>
      <c r="AQR118" s="15"/>
      <c r="AQS118" s="15"/>
      <c r="AQT118" s="15"/>
      <c r="AQU118" s="15"/>
      <c r="AQV118" s="15"/>
      <c r="AQW118" s="15"/>
      <c r="AQX118" s="15"/>
      <c r="AQY118" s="15"/>
      <c r="AQZ118" s="14"/>
      <c r="ARA118" s="15"/>
      <c r="ARB118" s="15"/>
      <c r="ARC118" s="15"/>
      <c r="ARD118" s="15"/>
      <c r="ARE118" s="15"/>
      <c r="ARF118" s="15"/>
      <c r="ARG118" s="15"/>
      <c r="ARH118" s="15"/>
      <c r="ARI118" s="15"/>
      <c r="ARJ118" s="15"/>
      <c r="ARK118" s="15"/>
      <c r="ARL118" s="15"/>
      <c r="ARM118" s="15"/>
      <c r="ARN118" s="15"/>
      <c r="ARO118" s="15"/>
      <c r="ARP118" s="15"/>
      <c r="ARQ118" s="15"/>
      <c r="ARR118" s="15"/>
      <c r="ARS118" s="15"/>
      <c r="ART118" s="15"/>
      <c r="ARU118" s="15"/>
      <c r="ARV118" s="14"/>
      <c r="ARW118" s="15"/>
      <c r="ARX118" s="15"/>
      <c r="ARY118" s="15"/>
      <c r="ARZ118" s="15"/>
      <c r="ASA118" s="15"/>
      <c r="ASB118" s="15"/>
      <c r="ASC118" s="15"/>
      <c r="ASD118" s="15"/>
      <c r="ASE118" s="15"/>
      <c r="ASF118" s="15"/>
      <c r="ASG118" s="15"/>
      <c r="ASH118" s="15"/>
      <c r="ASI118" s="15"/>
      <c r="ASJ118" s="15"/>
      <c r="ASK118" s="15"/>
      <c r="ASL118" s="15"/>
      <c r="ASM118" s="15"/>
      <c r="ASN118" s="15"/>
      <c r="ASO118" s="15"/>
      <c r="ASP118" s="15"/>
      <c r="ASQ118" s="15"/>
      <c r="ASR118" s="14"/>
      <c r="ASS118" s="15"/>
      <c r="AST118" s="15"/>
      <c r="ASU118" s="15"/>
      <c r="ASV118" s="15"/>
      <c r="ASW118" s="15"/>
      <c r="ASX118" s="15"/>
      <c r="ASY118" s="15"/>
      <c r="ASZ118" s="15"/>
      <c r="ATA118" s="15"/>
      <c r="ATB118" s="15"/>
      <c r="ATC118" s="15"/>
      <c r="ATD118" s="15"/>
      <c r="ATE118" s="15"/>
      <c r="ATF118" s="15"/>
      <c r="ATG118" s="15"/>
      <c r="ATH118" s="15"/>
      <c r="ATI118" s="15"/>
      <c r="ATJ118" s="15"/>
      <c r="ATK118" s="15"/>
      <c r="ATL118" s="15"/>
      <c r="ATM118" s="15"/>
      <c r="ATN118" s="14"/>
      <c r="ATO118" s="15"/>
      <c r="ATP118" s="15"/>
      <c r="ATQ118" s="15"/>
      <c r="ATR118" s="15"/>
      <c r="ATS118" s="15"/>
      <c r="ATT118" s="15"/>
      <c r="ATU118" s="15"/>
      <c r="ATV118" s="15"/>
      <c r="ATW118" s="15"/>
      <c r="ATX118" s="15"/>
      <c r="ATY118" s="15"/>
      <c r="ATZ118" s="15"/>
      <c r="AUA118" s="15"/>
      <c r="AUB118" s="15"/>
      <c r="AUC118" s="15"/>
      <c r="AUD118" s="15"/>
      <c r="AUE118" s="15"/>
      <c r="AUF118" s="15"/>
      <c r="AUG118" s="15"/>
      <c r="AUH118" s="15"/>
      <c r="AUI118" s="15"/>
      <c r="AUJ118" s="14"/>
      <c r="AUK118" s="15"/>
      <c r="AUL118" s="15"/>
      <c r="AUM118" s="15"/>
      <c r="AUN118" s="15"/>
      <c r="AUO118" s="15"/>
      <c r="AUP118" s="15"/>
      <c r="AUQ118" s="15"/>
      <c r="AUR118" s="15"/>
      <c r="AUS118" s="15"/>
      <c r="AUT118" s="15"/>
      <c r="AUU118" s="15"/>
      <c r="AUV118" s="15"/>
      <c r="AUW118" s="15"/>
      <c r="AUX118" s="15"/>
      <c r="AUY118" s="15"/>
      <c r="AUZ118" s="15"/>
      <c r="AVA118" s="15"/>
      <c r="AVB118" s="15"/>
      <c r="AVC118" s="15"/>
      <c r="AVD118" s="15"/>
      <c r="AVE118" s="15"/>
      <c r="AVF118" s="14"/>
      <c r="AVG118" s="15"/>
      <c r="AVH118" s="15"/>
      <c r="AVI118" s="15"/>
      <c r="AVJ118" s="15"/>
      <c r="AVK118" s="15"/>
      <c r="AVL118" s="15"/>
      <c r="AVM118" s="15"/>
      <c r="AVN118" s="15"/>
      <c r="AVO118" s="15"/>
      <c r="AVP118" s="15"/>
      <c r="AVQ118" s="15"/>
      <c r="AVR118" s="15"/>
      <c r="AVS118" s="15"/>
      <c r="AVT118" s="15"/>
      <c r="AVU118" s="15"/>
      <c r="AVV118" s="15"/>
      <c r="AVW118" s="15"/>
      <c r="AVX118" s="15"/>
      <c r="AVY118" s="15"/>
      <c r="AVZ118" s="15"/>
      <c r="AWA118" s="15"/>
      <c r="AWB118" s="14"/>
      <c r="AWC118" s="15"/>
      <c r="AWD118" s="15"/>
      <c r="AWE118" s="15"/>
      <c r="AWF118" s="15"/>
      <c r="AWG118" s="15"/>
      <c r="AWH118" s="15"/>
      <c r="AWI118" s="15"/>
      <c r="AWJ118" s="15"/>
      <c r="AWK118" s="15"/>
      <c r="AWL118" s="15"/>
      <c r="AWM118" s="15"/>
      <c r="AWN118" s="15"/>
      <c r="AWO118" s="15"/>
      <c r="AWP118" s="15"/>
      <c r="AWQ118" s="15"/>
      <c r="AWR118" s="15"/>
      <c r="AWS118" s="15"/>
      <c r="AWT118" s="15"/>
      <c r="AWU118" s="15"/>
      <c r="AWV118" s="15"/>
      <c r="AWW118" s="15"/>
      <c r="AWX118" s="14"/>
      <c r="AWY118" s="15"/>
      <c r="AWZ118" s="15"/>
      <c r="AXA118" s="15"/>
      <c r="AXB118" s="15"/>
      <c r="AXC118" s="15"/>
      <c r="AXD118" s="15"/>
      <c r="AXE118" s="15"/>
      <c r="AXF118" s="15"/>
      <c r="AXG118" s="15"/>
      <c r="AXH118" s="15"/>
      <c r="AXI118" s="15"/>
      <c r="AXJ118" s="15"/>
      <c r="AXK118" s="15"/>
      <c r="AXL118" s="15"/>
      <c r="AXM118" s="15"/>
      <c r="AXN118" s="15"/>
      <c r="AXO118" s="15"/>
      <c r="AXP118" s="15"/>
      <c r="AXQ118" s="15"/>
      <c r="AXR118" s="15"/>
      <c r="AXS118" s="15"/>
      <c r="AXT118" s="14"/>
      <c r="AXU118" s="15"/>
      <c r="AXV118" s="15"/>
      <c r="AXW118" s="15"/>
      <c r="AXX118" s="15"/>
      <c r="AXY118" s="15"/>
      <c r="AXZ118" s="15"/>
      <c r="AYA118" s="15"/>
      <c r="AYB118" s="15"/>
      <c r="AYC118" s="15"/>
      <c r="AYD118" s="15"/>
      <c r="AYE118" s="15"/>
      <c r="AYF118" s="15"/>
      <c r="AYG118" s="15"/>
      <c r="AYH118" s="15"/>
      <c r="AYI118" s="15"/>
      <c r="AYJ118" s="15"/>
      <c r="AYK118" s="15"/>
      <c r="AYL118" s="15"/>
      <c r="AYM118" s="15"/>
      <c r="AYN118" s="15"/>
      <c r="AYO118" s="15"/>
      <c r="AYP118" s="14"/>
      <c r="AYQ118" s="15"/>
      <c r="AYR118" s="15"/>
      <c r="AYS118" s="15"/>
      <c r="AYT118" s="15"/>
      <c r="AYU118" s="15"/>
      <c r="AYV118" s="15"/>
      <c r="AYW118" s="15"/>
      <c r="AYX118" s="15"/>
      <c r="AYY118" s="15"/>
      <c r="AYZ118" s="15"/>
      <c r="AZA118" s="15"/>
      <c r="AZB118" s="15"/>
      <c r="AZC118" s="15"/>
      <c r="AZD118" s="15"/>
      <c r="AZE118" s="15"/>
      <c r="AZF118" s="15"/>
      <c r="AZG118" s="15"/>
      <c r="AZH118" s="15"/>
      <c r="AZI118" s="15"/>
      <c r="AZJ118" s="15"/>
      <c r="AZK118" s="15"/>
      <c r="AZL118" s="14"/>
      <c r="AZM118" s="15"/>
      <c r="AZN118" s="15"/>
      <c r="AZO118" s="15"/>
      <c r="AZP118" s="15"/>
      <c r="AZQ118" s="15"/>
      <c r="AZR118" s="15"/>
      <c r="AZS118" s="15"/>
      <c r="AZT118" s="15"/>
      <c r="AZU118" s="15"/>
      <c r="AZV118" s="15"/>
      <c r="AZW118" s="15"/>
      <c r="AZX118" s="15"/>
      <c r="AZY118" s="15"/>
      <c r="AZZ118" s="15"/>
      <c r="BAA118" s="15"/>
      <c r="BAB118" s="15"/>
      <c r="BAC118" s="15"/>
      <c r="BAD118" s="15"/>
      <c r="BAE118" s="15"/>
      <c r="BAF118" s="15"/>
      <c r="BAG118" s="15"/>
      <c r="BAH118" s="14"/>
      <c r="BAI118" s="15"/>
      <c r="BAJ118" s="15"/>
      <c r="BAK118" s="15"/>
      <c r="BAL118" s="15"/>
      <c r="BAM118" s="15"/>
      <c r="BAN118" s="15"/>
      <c r="BAO118" s="15"/>
      <c r="BAP118" s="15"/>
      <c r="BAQ118" s="15"/>
      <c r="BAR118" s="15"/>
      <c r="BAS118" s="15"/>
      <c r="BAT118" s="15"/>
      <c r="BAU118" s="15"/>
      <c r="BAV118" s="15"/>
      <c r="BAW118" s="15"/>
      <c r="BAX118" s="15"/>
      <c r="BAY118" s="15"/>
      <c r="BAZ118" s="15"/>
      <c r="BBA118" s="15"/>
      <c r="BBB118" s="15"/>
      <c r="BBC118" s="15"/>
      <c r="BBD118" s="14"/>
      <c r="BBE118" s="15"/>
      <c r="BBF118" s="15"/>
      <c r="BBG118" s="15"/>
      <c r="BBH118" s="15"/>
      <c r="BBI118" s="15"/>
      <c r="BBJ118" s="15"/>
      <c r="BBK118" s="15"/>
      <c r="BBL118" s="15"/>
      <c r="BBM118" s="15"/>
      <c r="BBN118" s="15"/>
      <c r="BBO118" s="15"/>
      <c r="BBP118" s="15"/>
      <c r="BBQ118" s="15"/>
      <c r="BBR118" s="15"/>
      <c r="BBS118" s="15"/>
      <c r="BBT118" s="15"/>
      <c r="BBU118" s="15"/>
      <c r="BBV118" s="15"/>
      <c r="BBW118" s="15"/>
      <c r="BBX118" s="15"/>
      <c r="BBY118" s="15"/>
      <c r="BBZ118" s="14"/>
      <c r="BCA118" s="15"/>
      <c r="BCB118" s="15"/>
      <c r="BCC118" s="15"/>
      <c r="BCD118" s="15"/>
      <c r="BCE118" s="15"/>
      <c r="BCF118" s="15"/>
      <c r="BCG118" s="15"/>
      <c r="BCH118" s="15"/>
      <c r="BCI118" s="15"/>
      <c r="BCJ118" s="15"/>
      <c r="BCK118" s="15"/>
      <c r="BCL118" s="15"/>
      <c r="BCM118" s="15"/>
      <c r="BCN118" s="15"/>
      <c r="BCO118" s="15"/>
      <c r="BCP118" s="15"/>
      <c r="BCQ118" s="15"/>
      <c r="BCR118" s="15"/>
      <c r="BCS118" s="15"/>
      <c r="BCT118" s="15"/>
      <c r="BCU118" s="15"/>
      <c r="BCV118" s="14"/>
      <c r="BCW118" s="15"/>
      <c r="BCX118" s="15"/>
      <c r="BCY118" s="15"/>
      <c r="BCZ118" s="15"/>
      <c r="BDA118" s="15"/>
      <c r="BDB118" s="15"/>
      <c r="BDC118" s="15"/>
      <c r="BDD118" s="15"/>
      <c r="BDE118" s="15"/>
      <c r="BDF118" s="15"/>
      <c r="BDG118" s="15"/>
      <c r="BDH118" s="15"/>
      <c r="BDI118" s="15"/>
      <c r="BDJ118" s="15"/>
      <c r="BDK118" s="15"/>
      <c r="BDL118" s="15"/>
      <c r="BDM118" s="15"/>
      <c r="BDN118" s="15"/>
      <c r="BDO118" s="15"/>
      <c r="BDP118" s="15"/>
      <c r="BDQ118" s="15"/>
      <c r="BDR118" s="14"/>
      <c r="BDS118" s="15"/>
      <c r="BDT118" s="15"/>
      <c r="BDU118" s="15"/>
      <c r="BDV118" s="15"/>
      <c r="BDW118" s="15"/>
      <c r="BDX118" s="15"/>
      <c r="BDY118" s="15"/>
      <c r="BDZ118" s="15"/>
      <c r="BEA118" s="15"/>
      <c r="BEB118" s="15"/>
      <c r="BEC118" s="15"/>
      <c r="BED118" s="15"/>
      <c r="BEE118" s="15"/>
      <c r="BEF118" s="15"/>
      <c r="BEG118" s="15"/>
      <c r="BEH118" s="15"/>
      <c r="BEI118" s="15"/>
      <c r="BEJ118" s="15"/>
      <c r="BEK118" s="15"/>
      <c r="BEL118" s="15"/>
      <c r="BEM118" s="15"/>
      <c r="BEN118" s="14"/>
      <c r="BEO118" s="15"/>
      <c r="BEP118" s="15"/>
      <c r="BEQ118" s="15"/>
      <c r="BER118" s="15"/>
      <c r="BES118" s="15"/>
      <c r="BET118" s="15"/>
      <c r="BEU118" s="15"/>
      <c r="BEV118" s="15"/>
      <c r="BEW118" s="15"/>
      <c r="BEX118" s="15"/>
      <c r="BEY118" s="15"/>
      <c r="BEZ118" s="15"/>
      <c r="BFA118" s="15"/>
      <c r="BFB118" s="15"/>
      <c r="BFC118" s="15"/>
      <c r="BFD118" s="15"/>
      <c r="BFE118" s="15"/>
      <c r="BFF118" s="15"/>
      <c r="BFG118" s="15"/>
      <c r="BFH118" s="15"/>
      <c r="BFI118" s="15"/>
      <c r="BFJ118" s="14"/>
      <c r="BFK118" s="15"/>
      <c r="BFL118" s="15"/>
      <c r="BFM118" s="15"/>
      <c r="BFN118" s="15"/>
      <c r="BFO118" s="15"/>
      <c r="BFP118" s="15"/>
      <c r="BFQ118" s="15"/>
      <c r="BFR118" s="15"/>
      <c r="BFS118" s="15"/>
      <c r="BFT118" s="15"/>
      <c r="BFU118" s="15"/>
      <c r="BFV118" s="15"/>
      <c r="BFW118" s="15"/>
      <c r="BFX118" s="15"/>
      <c r="BFY118" s="15"/>
      <c r="BFZ118" s="15"/>
      <c r="BGA118" s="15"/>
      <c r="BGB118" s="15"/>
      <c r="BGC118" s="15"/>
      <c r="BGD118" s="15"/>
      <c r="BGE118" s="15"/>
      <c r="BGF118" s="14"/>
      <c r="BGG118" s="15"/>
      <c r="BGH118" s="15"/>
      <c r="BGI118" s="15"/>
      <c r="BGJ118" s="15"/>
      <c r="BGK118" s="15"/>
      <c r="BGL118" s="15"/>
      <c r="BGM118" s="15"/>
      <c r="BGN118" s="15"/>
      <c r="BGO118" s="15"/>
      <c r="BGP118" s="15"/>
      <c r="BGQ118" s="15"/>
      <c r="BGR118" s="15"/>
      <c r="BGS118" s="15"/>
      <c r="BGT118" s="15"/>
      <c r="BGU118" s="15"/>
      <c r="BGV118" s="15"/>
      <c r="BGW118" s="15"/>
      <c r="BGX118" s="15"/>
      <c r="BGY118" s="15"/>
      <c r="BGZ118" s="15"/>
      <c r="BHA118" s="15"/>
      <c r="BHB118" s="14"/>
      <c r="BHC118" s="15"/>
      <c r="BHD118" s="15"/>
      <c r="BHE118" s="15"/>
      <c r="BHF118" s="15"/>
      <c r="BHG118" s="15"/>
      <c r="BHH118" s="15"/>
      <c r="BHI118" s="15"/>
      <c r="BHJ118" s="15"/>
      <c r="BHK118" s="15"/>
      <c r="BHL118" s="15"/>
      <c r="BHM118" s="15"/>
      <c r="BHN118" s="15"/>
      <c r="BHO118" s="15"/>
      <c r="BHP118" s="15"/>
      <c r="BHQ118" s="15"/>
      <c r="BHR118" s="15"/>
      <c r="BHS118" s="15"/>
      <c r="BHT118" s="15"/>
      <c r="BHU118" s="15"/>
      <c r="BHV118" s="15"/>
      <c r="BHW118" s="15"/>
      <c r="BHX118" s="14"/>
      <c r="BHY118" s="15"/>
      <c r="BHZ118" s="15"/>
      <c r="BIA118" s="15"/>
      <c r="BIB118" s="15"/>
      <c r="BIC118" s="15"/>
      <c r="BID118" s="15"/>
      <c r="BIE118" s="15"/>
      <c r="BIF118" s="15"/>
      <c r="BIG118" s="15"/>
      <c r="BIH118" s="15"/>
      <c r="BII118" s="15"/>
      <c r="BIJ118" s="15"/>
      <c r="BIK118" s="15"/>
      <c r="BIL118" s="15"/>
      <c r="BIM118" s="15"/>
      <c r="BIN118" s="15"/>
      <c r="BIO118" s="15"/>
      <c r="BIP118" s="15"/>
      <c r="BIQ118" s="15"/>
      <c r="BIR118" s="15"/>
      <c r="BIS118" s="15"/>
      <c r="BIT118" s="14"/>
      <c r="BIU118" s="15"/>
      <c r="BIV118" s="15"/>
      <c r="BIW118" s="15"/>
      <c r="BIX118" s="15"/>
      <c r="BIY118" s="15"/>
      <c r="BIZ118" s="15"/>
      <c r="BJA118" s="15"/>
      <c r="BJB118" s="15"/>
      <c r="BJC118" s="15"/>
      <c r="BJD118" s="15"/>
      <c r="BJE118" s="15"/>
      <c r="BJF118" s="15"/>
      <c r="BJG118" s="15"/>
      <c r="BJH118" s="15"/>
      <c r="BJI118" s="15"/>
      <c r="BJJ118" s="15"/>
      <c r="BJK118" s="15"/>
      <c r="BJL118" s="15"/>
      <c r="BJM118" s="15"/>
      <c r="BJN118" s="15"/>
      <c r="BJO118" s="15"/>
      <c r="BJP118" s="14"/>
      <c r="BJQ118" s="15"/>
      <c r="BJR118" s="15"/>
      <c r="BJS118" s="15"/>
      <c r="BJT118" s="15"/>
      <c r="BJU118" s="15"/>
      <c r="BJV118" s="15"/>
      <c r="BJW118" s="15"/>
      <c r="BJX118" s="15"/>
      <c r="BJY118" s="15"/>
      <c r="BJZ118" s="15"/>
      <c r="BKA118" s="15"/>
      <c r="BKB118" s="15"/>
      <c r="BKC118" s="15"/>
      <c r="BKD118" s="15"/>
      <c r="BKE118" s="15"/>
      <c r="BKF118" s="15"/>
      <c r="BKG118" s="15"/>
      <c r="BKH118" s="15"/>
      <c r="BKI118" s="15"/>
      <c r="BKJ118" s="15"/>
      <c r="BKK118" s="15"/>
      <c r="BKL118" s="14"/>
      <c r="BKM118" s="15"/>
      <c r="BKN118" s="15"/>
      <c r="BKO118" s="15"/>
      <c r="BKP118" s="15"/>
      <c r="BKQ118" s="15"/>
      <c r="BKR118" s="15"/>
      <c r="BKS118" s="15"/>
      <c r="BKT118" s="15"/>
      <c r="BKU118" s="15"/>
      <c r="BKV118" s="15"/>
      <c r="BKW118" s="15"/>
      <c r="BKX118" s="15"/>
      <c r="BKY118" s="15"/>
      <c r="BKZ118" s="15"/>
      <c r="BLA118" s="15"/>
      <c r="BLB118" s="15"/>
      <c r="BLC118" s="15"/>
      <c r="BLD118" s="15"/>
      <c r="BLE118" s="15"/>
      <c r="BLF118" s="15"/>
      <c r="BLG118" s="15"/>
      <c r="BLH118" s="14"/>
      <c r="BLI118" s="15"/>
      <c r="BLJ118" s="15"/>
      <c r="BLK118" s="15"/>
      <c r="BLL118" s="15"/>
      <c r="BLM118" s="15"/>
      <c r="BLN118" s="15"/>
      <c r="BLO118" s="15"/>
      <c r="BLP118" s="15"/>
      <c r="BLQ118" s="15"/>
      <c r="BLR118" s="15"/>
      <c r="BLS118" s="15"/>
      <c r="BLT118" s="15"/>
      <c r="BLU118" s="15"/>
      <c r="BLV118" s="15"/>
      <c r="BLW118" s="15"/>
      <c r="BLX118" s="15"/>
      <c r="BLY118" s="15"/>
      <c r="BLZ118" s="15"/>
      <c r="BMA118" s="15"/>
      <c r="BMB118" s="15"/>
      <c r="BMC118" s="15"/>
      <c r="BMD118" s="14"/>
      <c r="BME118" s="15"/>
      <c r="BMF118" s="15"/>
      <c r="BMG118" s="15"/>
      <c r="BMH118" s="15"/>
      <c r="BMI118" s="15"/>
      <c r="BMJ118" s="15"/>
      <c r="BMK118" s="15"/>
      <c r="BML118" s="15"/>
      <c r="BMM118" s="15"/>
      <c r="BMN118" s="15"/>
      <c r="BMO118" s="15"/>
      <c r="BMP118" s="15"/>
      <c r="BMQ118" s="15"/>
      <c r="BMR118" s="15"/>
      <c r="BMS118" s="15"/>
      <c r="BMT118" s="15"/>
      <c r="BMU118" s="15"/>
      <c r="BMV118" s="15"/>
      <c r="BMW118" s="15"/>
      <c r="BMX118" s="15"/>
      <c r="BMY118" s="15"/>
      <c r="BMZ118" s="14"/>
      <c r="BNA118" s="15"/>
      <c r="BNB118" s="15"/>
      <c r="BNC118" s="15"/>
      <c r="BND118" s="15"/>
      <c r="BNE118" s="15"/>
      <c r="BNF118" s="15"/>
      <c r="BNG118" s="15"/>
      <c r="BNH118" s="15"/>
      <c r="BNI118" s="15"/>
      <c r="BNJ118" s="15"/>
      <c r="BNK118" s="15"/>
      <c r="BNL118" s="15"/>
      <c r="BNM118" s="15"/>
      <c r="BNN118" s="15"/>
      <c r="BNO118" s="15"/>
      <c r="BNP118" s="15"/>
      <c r="BNQ118" s="15"/>
      <c r="BNR118" s="15"/>
      <c r="BNS118" s="15"/>
      <c r="BNT118" s="15"/>
      <c r="BNU118" s="15"/>
      <c r="BNV118" s="14"/>
      <c r="BNW118" s="15"/>
      <c r="BNX118" s="15"/>
      <c r="BNY118" s="15"/>
      <c r="BNZ118" s="15"/>
      <c r="BOA118" s="15"/>
      <c r="BOB118" s="15"/>
      <c r="BOC118" s="15"/>
      <c r="BOD118" s="15"/>
      <c r="BOE118" s="15"/>
      <c r="BOF118" s="15"/>
      <c r="BOG118" s="15"/>
      <c r="BOH118" s="15"/>
      <c r="BOI118" s="15"/>
      <c r="BOJ118" s="15"/>
      <c r="BOK118" s="15"/>
      <c r="BOL118" s="15"/>
      <c r="BOM118" s="15"/>
      <c r="BON118" s="15"/>
      <c r="BOO118" s="15"/>
      <c r="BOP118" s="15"/>
      <c r="BOQ118" s="15"/>
      <c r="BOR118" s="14"/>
      <c r="BOS118" s="15"/>
      <c r="BOT118" s="15"/>
      <c r="BOU118" s="15"/>
      <c r="BOV118" s="15"/>
      <c r="BOW118" s="15"/>
      <c r="BOX118" s="15"/>
      <c r="BOY118" s="15"/>
      <c r="BOZ118" s="15"/>
      <c r="BPA118" s="15"/>
      <c r="BPB118" s="15"/>
      <c r="BPC118" s="15"/>
      <c r="BPD118" s="15"/>
      <c r="BPE118" s="15"/>
      <c r="BPF118" s="15"/>
      <c r="BPG118" s="15"/>
      <c r="BPH118" s="15"/>
      <c r="BPI118" s="15"/>
      <c r="BPJ118" s="15"/>
      <c r="BPK118" s="15"/>
      <c r="BPL118" s="15"/>
      <c r="BPM118" s="15"/>
      <c r="BPN118" s="14"/>
      <c r="BPO118" s="15"/>
      <c r="BPP118" s="15"/>
      <c r="BPQ118" s="15"/>
      <c r="BPR118" s="15"/>
      <c r="BPS118" s="15"/>
      <c r="BPT118" s="15"/>
      <c r="BPU118" s="15"/>
      <c r="BPV118" s="15"/>
      <c r="BPW118" s="15"/>
      <c r="BPX118" s="15"/>
      <c r="BPY118" s="15"/>
      <c r="BPZ118" s="15"/>
      <c r="BQA118" s="15"/>
      <c r="BQB118" s="15"/>
      <c r="BQC118" s="15"/>
      <c r="BQD118" s="15"/>
      <c r="BQE118" s="15"/>
      <c r="BQF118" s="15"/>
      <c r="BQG118" s="15"/>
      <c r="BQH118" s="15"/>
      <c r="BQI118" s="15"/>
      <c r="BQJ118" s="14"/>
      <c r="BQK118" s="15"/>
      <c r="BQL118" s="15"/>
      <c r="BQM118" s="15"/>
      <c r="BQN118" s="15"/>
      <c r="BQO118" s="15"/>
      <c r="BQP118" s="15"/>
      <c r="BQQ118" s="15"/>
      <c r="BQR118" s="15"/>
      <c r="BQS118" s="15"/>
      <c r="BQT118" s="15"/>
      <c r="BQU118" s="15"/>
      <c r="BQV118" s="15"/>
      <c r="BQW118" s="15"/>
      <c r="BQX118" s="15"/>
      <c r="BQY118" s="15"/>
      <c r="BQZ118" s="15"/>
      <c r="BRA118" s="15"/>
      <c r="BRB118" s="15"/>
      <c r="BRC118" s="15"/>
      <c r="BRD118" s="15"/>
      <c r="BRE118" s="15"/>
      <c r="BRF118" s="14"/>
      <c r="BRG118" s="15"/>
      <c r="BRH118" s="15"/>
      <c r="BRI118" s="15"/>
      <c r="BRJ118" s="15"/>
      <c r="BRK118" s="15"/>
      <c r="BRL118" s="15"/>
      <c r="BRM118" s="15"/>
      <c r="BRN118" s="15"/>
      <c r="BRO118" s="15"/>
      <c r="BRP118" s="15"/>
      <c r="BRQ118" s="15"/>
      <c r="BRR118" s="15"/>
      <c r="BRS118" s="15"/>
      <c r="BRT118" s="15"/>
      <c r="BRU118" s="15"/>
      <c r="BRV118" s="15"/>
      <c r="BRW118" s="15"/>
      <c r="BRX118" s="15"/>
      <c r="BRY118" s="15"/>
      <c r="BRZ118" s="15"/>
      <c r="BSA118" s="15"/>
      <c r="BSB118" s="14"/>
      <c r="BSC118" s="15"/>
      <c r="BSD118" s="15"/>
      <c r="BSE118" s="15"/>
      <c r="BSF118" s="15"/>
      <c r="BSG118" s="15"/>
      <c r="BSH118" s="15"/>
      <c r="BSI118" s="15"/>
      <c r="BSJ118" s="15"/>
      <c r="BSK118" s="15"/>
      <c r="BSL118" s="15"/>
      <c r="BSM118" s="15"/>
      <c r="BSN118" s="15"/>
      <c r="BSO118" s="15"/>
      <c r="BSP118" s="15"/>
      <c r="BSQ118" s="15"/>
      <c r="BSR118" s="15"/>
      <c r="BSS118" s="15"/>
      <c r="BST118" s="15"/>
      <c r="BSU118" s="15"/>
      <c r="BSV118" s="15"/>
      <c r="BSW118" s="15"/>
      <c r="BSX118" s="14"/>
      <c r="BSY118" s="15"/>
      <c r="BSZ118" s="15"/>
      <c r="BTA118" s="15"/>
      <c r="BTB118" s="15"/>
      <c r="BTC118" s="15"/>
      <c r="BTD118" s="15"/>
      <c r="BTE118" s="15"/>
      <c r="BTF118" s="15"/>
      <c r="BTG118" s="15"/>
      <c r="BTH118" s="15"/>
      <c r="BTI118" s="15"/>
      <c r="BTJ118" s="15"/>
      <c r="BTK118" s="15"/>
      <c r="BTL118" s="15"/>
      <c r="BTM118" s="15"/>
      <c r="BTN118" s="15"/>
      <c r="BTO118" s="15"/>
      <c r="BTP118" s="15"/>
      <c r="BTQ118" s="15"/>
      <c r="BTR118" s="15"/>
      <c r="BTS118" s="15"/>
      <c r="BTT118" s="14"/>
      <c r="BTU118" s="15"/>
      <c r="BTV118" s="15"/>
      <c r="BTW118" s="15"/>
      <c r="BTX118" s="15"/>
      <c r="BTY118" s="15"/>
      <c r="BTZ118" s="15"/>
      <c r="BUA118" s="15"/>
      <c r="BUB118" s="15"/>
      <c r="BUC118" s="15"/>
      <c r="BUD118" s="15"/>
      <c r="BUE118" s="15"/>
      <c r="BUF118" s="15"/>
      <c r="BUG118" s="15"/>
      <c r="BUH118" s="15"/>
      <c r="BUI118" s="15"/>
      <c r="BUJ118" s="15"/>
      <c r="BUK118" s="15"/>
      <c r="BUL118" s="15"/>
      <c r="BUM118" s="15"/>
      <c r="BUN118" s="15"/>
      <c r="BUO118" s="15"/>
      <c r="BUP118" s="14"/>
      <c r="BUQ118" s="15"/>
      <c r="BUR118" s="15"/>
      <c r="BUS118" s="15"/>
      <c r="BUT118" s="15"/>
      <c r="BUU118" s="15"/>
      <c r="BUV118" s="15"/>
      <c r="BUW118" s="15"/>
      <c r="BUX118" s="15"/>
      <c r="BUY118" s="15"/>
      <c r="BUZ118" s="15"/>
      <c r="BVA118" s="15"/>
      <c r="BVB118" s="15"/>
      <c r="BVC118" s="15"/>
      <c r="BVD118" s="15"/>
      <c r="BVE118" s="15"/>
      <c r="BVF118" s="15"/>
      <c r="BVG118" s="15"/>
      <c r="BVH118" s="15"/>
      <c r="BVI118" s="15"/>
      <c r="BVJ118" s="15"/>
      <c r="BVK118" s="15"/>
      <c r="BVL118" s="14"/>
      <c r="BVM118" s="15"/>
      <c r="BVN118" s="15"/>
      <c r="BVO118" s="15"/>
      <c r="BVP118" s="15"/>
      <c r="BVQ118" s="15"/>
      <c r="BVR118" s="15"/>
      <c r="BVS118" s="15"/>
      <c r="BVT118" s="15"/>
      <c r="BVU118" s="15"/>
      <c r="BVV118" s="15"/>
      <c r="BVW118" s="15"/>
      <c r="BVX118" s="15"/>
      <c r="BVY118" s="15"/>
      <c r="BVZ118" s="15"/>
      <c r="BWA118" s="15"/>
      <c r="BWB118" s="15"/>
      <c r="BWC118" s="15"/>
      <c r="BWD118" s="15"/>
      <c r="BWE118" s="15"/>
      <c r="BWF118" s="15"/>
      <c r="BWG118" s="15"/>
      <c r="BWH118" s="14"/>
      <c r="BWI118" s="15"/>
      <c r="BWJ118" s="15"/>
      <c r="BWK118" s="15"/>
      <c r="BWL118" s="15"/>
      <c r="BWM118" s="15"/>
      <c r="BWN118" s="15"/>
      <c r="BWO118" s="15"/>
      <c r="BWP118" s="15"/>
      <c r="BWQ118" s="15"/>
      <c r="BWR118" s="15"/>
      <c r="BWS118" s="15"/>
      <c r="BWT118" s="15"/>
      <c r="BWU118" s="15"/>
      <c r="BWV118" s="15"/>
      <c r="BWW118" s="15"/>
      <c r="BWX118" s="15"/>
      <c r="BWY118" s="15"/>
      <c r="BWZ118" s="15"/>
      <c r="BXA118" s="15"/>
      <c r="BXB118" s="15"/>
      <c r="BXC118" s="15"/>
      <c r="BXD118" s="14"/>
      <c r="BXE118" s="15"/>
      <c r="BXF118" s="15"/>
      <c r="BXG118" s="15"/>
      <c r="BXH118" s="15"/>
      <c r="BXI118" s="15"/>
      <c r="BXJ118" s="15"/>
      <c r="BXK118" s="15"/>
      <c r="BXL118" s="15"/>
      <c r="BXM118" s="15"/>
      <c r="BXN118" s="15"/>
      <c r="BXO118" s="15"/>
      <c r="BXP118" s="15"/>
      <c r="BXQ118" s="15"/>
      <c r="BXR118" s="15"/>
      <c r="BXS118" s="15"/>
      <c r="BXT118" s="15"/>
      <c r="BXU118" s="15"/>
      <c r="BXV118" s="15"/>
      <c r="BXW118" s="15"/>
      <c r="BXX118" s="15"/>
      <c r="BXY118" s="15"/>
      <c r="BXZ118" s="14"/>
      <c r="BYA118" s="15"/>
      <c r="BYB118" s="15"/>
      <c r="BYC118" s="15"/>
      <c r="BYD118" s="15"/>
      <c r="BYE118" s="15"/>
      <c r="BYF118" s="15"/>
      <c r="BYG118" s="15"/>
      <c r="BYH118" s="15"/>
      <c r="BYI118" s="15"/>
      <c r="BYJ118" s="15"/>
      <c r="BYK118" s="15"/>
      <c r="BYL118" s="15"/>
      <c r="BYM118" s="15"/>
      <c r="BYN118" s="15"/>
      <c r="BYO118" s="15"/>
      <c r="BYP118" s="15"/>
      <c r="BYQ118" s="15"/>
      <c r="BYR118" s="15"/>
      <c r="BYS118" s="15"/>
      <c r="BYT118" s="15"/>
      <c r="BYU118" s="15"/>
      <c r="BYV118" s="14"/>
      <c r="BYW118" s="15"/>
      <c r="BYX118" s="15"/>
      <c r="BYY118" s="15"/>
      <c r="BYZ118" s="15"/>
      <c r="BZA118" s="15"/>
      <c r="BZB118" s="15"/>
      <c r="BZC118" s="15"/>
      <c r="BZD118" s="15"/>
      <c r="BZE118" s="15"/>
      <c r="BZF118" s="15"/>
      <c r="BZG118" s="15"/>
      <c r="BZH118" s="15"/>
      <c r="BZI118" s="15"/>
      <c r="BZJ118" s="15"/>
      <c r="BZK118" s="15"/>
      <c r="BZL118" s="15"/>
      <c r="BZM118" s="15"/>
      <c r="BZN118" s="15"/>
      <c r="BZO118" s="15"/>
      <c r="BZP118" s="15"/>
      <c r="BZQ118" s="15"/>
      <c r="BZR118" s="14"/>
      <c r="BZS118" s="15"/>
      <c r="BZT118" s="15"/>
      <c r="BZU118" s="15"/>
      <c r="BZV118" s="15"/>
      <c r="BZW118" s="15"/>
      <c r="BZX118" s="15"/>
      <c r="BZY118" s="15"/>
      <c r="BZZ118" s="15"/>
      <c r="CAA118" s="15"/>
      <c r="CAB118" s="15"/>
      <c r="CAC118" s="15"/>
      <c r="CAD118" s="15"/>
      <c r="CAE118" s="15"/>
      <c r="CAF118" s="15"/>
      <c r="CAG118" s="15"/>
      <c r="CAH118" s="15"/>
      <c r="CAI118" s="15"/>
      <c r="CAJ118" s="15"/>
      <c r="CAK118" s="15"/>
      <c r="CAL118" s="15"/>
      <c r="CAM118" s="15"/>
      <c r="CAN118" s="14"/>
      <c r="CAO118" s="15"/>
      <c r="CAP118" s="15"/>
      <c r="CAQ118" s="15"/>
      <c r="CAR118" s="15"/>
      <c r="CAS118" s="15"/>
      <c r="CAT118" s="15"/>
      <c r="CAU118" s="15"/>
      <c r="CAV118" s="15"/>
      <c r="CAW118" s="15"/>
      <c r="CAX118" s="15"/>
      <c r="CAY118" s="15"/>
      <c r="CAZ118" s="15"/>
      <c r="CBA118" s="15"/>
      <c r="CBB118" s="15"/>
      <c r="CBC118" s="15"/>
      <c r="CBD118" s="15"/>
      <c r="CBE118" s="15"/>
      <c r="CBF118" s="15"/>
      <c r="CBG118" s="15"/>
      <c r="CBH118" s="15"/>
      <c r="CBI118" s="15"/>
      <c r="CBJ118" s="14"/>
      <c r="CBK118" s="15"/>
      <c r="CBL118" s="15"/>
      <c r="CBM118" s="15"/>
      <c r="CBN118" s="15"/>
      <c r="CBO118" s="15"/>
      <c r="CBP118" s="15"/>
      <c r="CBQ118" s="15"/>
      <c r="CBR118" s="15"/>
      <c r="CBS118" s="15"/>
      <c r="CBT118" s="15"/>
      <c r="CBU118" s="15"/>
      <c r="CBV118" s="15"/>
      <c r="CBW118" s="15"/>
      <c r="CBX118" s="15"/>
      <c r="CBY118" s="15"/>
      <c r="CBZ118" s="15"/>
      <c r="CCA118" s="15"/>
      <c r="CCB118" s="15"/>
      <c r="CCC118" s="15"/>
      <c r="CCD118" s="15"/>
      <c r="CCE118" s="15"/>
      <c r="CCF118" s="14"/>
      <c r="CCG118" s="15"/>
      <c r="CCH118" s="15"/>
      <c r="CCI118" s="15"/>
      <c r="CCJ118" s="15"/>
      <c r="CCK118" s="15"/>
      <c r="CCL118" s="15"/>
      <c r="CCM118" s="15"/>
      <c r="CCN118" s="15"/>
      <c r="CCO118" s="15"/>
      <c r="CCP118" s="15"/>
      <c r="CCQ118" s="15"/>
      <c r="CCR118" s="15"/>
      <c r="CCS118" s="15"/>
      <c r="CCT118" s="15"/>
      <c r="CCU118" s="15"/>
      <c r="CCV118" s="15"/>
      <c r="CCW118" s="15"/>
      <c r="CCX118" s="15"/>
      <c r="CCY118" s="15"/>
      <c r="CCZ118" s="15"/>
      <c r="CDA118" s="15"/>
      <c r="CDB118" s="14"/>
      <c r="CDC118" s="15"/>
      <c r="CDD118" s="15"/>
      <c r="CDE118" s="15"/>
      <c r="CDF118" s="15"/>
      <c r="CDG118" s="15"/>
      <c r="CDH118" s="15"/>
      <c r="CDI118" s="15"/>
      <c r="CDJ118" s="15"/>
      <c r="CDK118" s="15"/>
      <c r="CDL118" s="15"/>
      <c r="CDM118" s="15"/>
      <c r="CDN118" s="15"/>
      <c r="CDO118" s="15"/>
      <c r="CDP118" s="15"/>
      <c r="CDQ118" s="15"/>
      <c r="CDR118" s="15"/>
      <c r="CDS118" s="15"/>
      <c r="CDT118" s="15"/>
      <c r="CDU118" s="15"/>
      <c r="CDV118" s="15"/>
      <c r="CDW118" s="15"/>
      <c r="CDX118" s="14"/>
      <c r="CDY118" s="15"/>
      <c r="CDZ118" s="15"/>
      <c r="CEA118" s="15"/>
      <c r="CEB118" s="15"/>
      <c r="CEC118" s="15"/>
      <c r="CED118" s="15"/>
      <c r="CEE118" s="15"/>
      <c r="CEF118" s="15"/>
      <c r="CEG118" s="15"/>
      <c r="CEH118" s="15"/>
      <c r="CEI118" s="15"/>
      <c r="CEJ118" s="15"/>
      <c r="CEK118" s="15"/>
      <c r="CEL118" s="15"/>
      <c r="CEM118" s="15"/>
      <c r="CEN118" s="15"/>
      <c r="CEO118" s="15"/>
      <c r="CEP118" s="15"/>
      <c r="CEQ118" s="15"/>
      <c r="CER118" s="15"/>
      <c r="CES118" s="15"/>
      <c r="CET118" s="14"/>
      <c r="CEU118" s="15"/>
      <c r="CEV118" s="15"/>
      <c r="CEW118" s="15"/>
      <c r="CEX118" s="15"/>
      <c r="CEY118" s="15"/>
      <c r="CEZ118" s="15"/>
      <c r="CFA118" s="15"/>
      <c r="CFB118" s="15"/>
      <c r="CFC118" s="15"/>
      <c r="CFD118" s="15"/>
      <c r="CFE118" s="15"/>
      <c r="CFF118" s="15"/>
      <c r="CFG118" s="15"/>
      <c r="CFH118" s="15"/>
      <c r="CFI118" s="15"/>
      <c r="CFJ118" s="15"/>
      <c r="CFK118" s="15"/>
      <c r="CFL118" s="15"/>
      <c r="CFM118" s="15"/>
      <c r="CFN118" s="15"/>
      <c r="CFO118" s="15"/>
      <c r="CFP118" s="14"/>
      <c r="CFQ118" s="15"/>
      <c r="CFR118" s="15"/>
      <c r="CFS118" s="15"/>
      <c r="CFT118" s="15"/>
      <c r="CFU118" s="15"/>
      <c r="CFV118" s="15"/>
      <c r="CFW118" s="15"/>
      <c r="CFX118" s="15"/>
      <c r="CFY118" s="15"/>
      <c r="CFZ118" s="15"/>
      <c r="CGA118" s="15"/>
      <c r="CGB118" s="15"/>
      <c r="CGC118" s="15"/>
      <c r="CGD118" s="15"/>
      <c r="CGE118" s="15"/>
      <c r="CGF118" s="15"/>
      <c r="CGG118" s="15"/>
      <c r="CGH118" s="15"/>
      <c r="CGI118" s="15"/>
      <c r="CGJ118" s="15"/>
      <c r="CGK118" s="15"/>
      <c r="CGL118" s="14"/>
      <c r="CGM118" s="15"/>
      <c r="CGN118" s="15"/>
      <c r="CGO118" s="15"/>
      <c r="CGP118" s="15"/>
      <c r="CGQ118" s="15"/>
      <c r="CGR118" s="15"/>
      <c r="CGS118" s="15"/>
      <c r="CGT118" s="15"/>
      <c r="CGU118" s="15"/>
      <c r="CGV118" s="15"/>
      <c r="CGW118" s="15"/>
      <c r="CGX118" s="15"/>
      <c r="CGY118" s="15"/>
      <c r="CGZ118" s="15"/>
      <c r="CHA118" s="15"/>
      <c r="CHB118" s="15"/>
      <c r="CHC118" s="15"/>
      <c r="CHD118" s="15"/>
      <c r="CHE118" s="15"/>
      <c r="CHF118" s="15"/>
      <c r="CHG118" s="15"/>
      <c r="CHH118" s="14"/>
      <c r="CHI118" s="15"/>
      <c r="CHJ118" s="15"/>
      <c r="CHK118" s="15"/>
      <c r="CHL118" s="15"/>
      <c r="CHM118" s="15"/>
      <c r="CHN118" s="15"/>
      <c r="CHO118" s="15"/>
      <c r="CHP118" s="15"/>
      <c r="CHQ118" s="15"/>
      <c r="CHR118" s="15"/>
      <c r="CHS118" s="15"/>
      <c r="CHT118" s="15"/>
      <c r="CHU118" s="15"/>
      <c r="CHV118" s="15"/>
      <c r="CHW118" s="15"/>
      <c r="CHX118" s="15"/>
      <c r="CHY118" s="15"/>
      <c r="CHZ118" s="15"/>
      <c r="CIA118" s="15"/>
      <c r="CIB118" s="15"/>
      <c r="CIC118" s="15"/>
      <c r="CID118" s="14"/>
      <c r="CIE118" s="15"/>
      <c r="CIF118" s="15"/>
      <c r="CIG118" s="15"/>
      <c r="CIH118" s="15"/>
      <c r="CII118" s="15"/>
      <c r="CIJ118" s="15"/>
      <c r="CIK118" s="15"/>
      <c r="CIL118" s="15"/>
      <c r="CIM118" s="15"/>
      <c r="CIN118" s="15"/>
      <c r="CIO118" s="15"/>
      <c r="CIP118" s="15"/>
      <c r="CIQ118" s="15"/>
      <c r="CIR118" s="15"/>
      <c r="CIS118" s="15"/>
      <c r="CIT118" s="15"/>
      <c r="CIU118" s="15"/>
      <c r="CIV118" s="15"/>
      <c r="CIW118" s="15"/>
      <c r="CIX118" s="15"/>
      <c r="CIY118" s="15"/>
      <c r="CIZ118" s="14"/>
      <c r="CJA118" s="15"/>
      <c r="CJB118" s="15"/>
      <c r="CJC118" s="15"/>
      <c r="CJD118" s="15"/>
      <c r="CJE118" s="15"/>
      <c r="CJF118" s="15"/>
      <c r="CJG118" s="15"/>
      <c r="CJH118" s="15"/>
      <c r="CJI118" s="15"/>
      <c r="CJJ118" s="15"/>
      <c r="CJK118" s="15"/>
      <c r="CJL118" s="15"/>
      <c r="CJM118" s="15"/>
      <c r="CJN118" s="15"/>
      <c r="CJO118" s="15"/>
      <c r="CJP118" s="15"/>
      <c r="CJQ118" s="15"/>
      <c r="CJR118" s="15"/>
      <c r="CJS118" s="15"/>
      <c r="CJT118" s="15"/>
      <c r="CJU118" s="15"/>
      <c r="CJV118" s="14"/>
      <c r="CJW118" s="15"/>
      <c r="CJX118" s="15"/>
      <c r="CJY118" s="15"/>
      <c r="CJZ118" s="15"/>
      <c r="CKA118" s="15"/>
      <c r="CKB118" s="15"/>
      <c r="CKC118" s="15"/>
      <c r="CKD118" s="15"/>
      <c r="CKE118" s="15"/>
      <c r="CKF118" s="15"/>
      <c r="CKG118" s="15"/>
      <c r="CKH118" s="15"/>
      <c r="CKI118" s="15"/>
      <c r="CKJ118" s="15"/>
      <c r="CKK118" s="15"/>
      <c r="CKL118" s="15"/>
      <c r="CKM118" s="15"/>
      <c r="CKN118" s="15"/>
      <c r="CKO118" s="15"/>
      <c r="CKP118" s="15"/>
      <c r="CKQ118" s="15"/>
      <c r="CKR118" s="14"/>
      <c r="CKS118" s="15"/>
      <c r="CKT118" s="15"/>
      <c r="CKU118" s="15"/>
      <c r="CKV118" s="15"/>
      <c r="CKW118" s="15"/>
      <c r="CKX118" s="15"/>
      <c r="CKY118" s="15"/>
      <c r="CKZ118" s="15"/>
      <c r="CLA118" s="15"/>
      <c r="CLB118" s="15"/>
      <c r="CLC118" s="15"/>
      <c r="CLD118" s="15"/>
      <c r="CLE118" s="15"/>
      <c r="CLF118" s="15"/>
      <c r="CLG118" s="15"/>
      <c r="CLH118" s="15"/>
      <c r="CLI118" s="15"/>
      <c r="CLJ118" s="15"/>
      <c r="CLK118" s="15"/>
      <c r="CLL118" s="15"/>
      <c r="CLM118" s="15"/>
      <c r="CLN118" s="14"/>
      <c r="CLO118" s="15"/>
      <c r="CLP118" s="15"/>
      <c r="CLQ118" s="15"/>
      <c r="CLR118" s="15"/>
      <c r="CLS118" s="15"/>
      <c r="CLT118" s="15"/>
      <c r="CLU118" s="15"/>
      <c r="CLV118" s="15"/>
      <c r="CLW118" s="15"/>
      <c r="CLX118" s="15"/>
      <c r="CLY118" s="15"/>
      <c r="CLZ118" s="15"/>
      <c r="CMA118" s="15"/>
      <c r="CMB118" s="15"/>
      <c r="CMC118" s="15"/>
      <c r="CMD118" s="15"/>
      <c r="CME118" s="15"/>
      <c r="CMF118" s="15"/>
      <c r="CMG118" s="15"/>
      <c r="CMH118" s="15"/>
      <c r="CMI118" s="15"/>
      <c r="CMJ118" s="14"/>
      <c r="CMK118" s="15"/>
      <c r="CML118" s="15"/>
      <c r="CMM118" s="15"/>
      <c r="CMN118" s="15"/>
      <c r="CMO118" s="15"/>
      <c r="CMP118" s="15"/>
      <c r="CMQ118" s="15"/>
      <c r="CMR118" s="15"/>
      <c r="CMS118" s="15"/>
      <c r="CMT118" s="15"/>
      <c r="CMU118" s="15"/>
      <c r="CMV118" s="15"/>
      <c r="CMW118" s="15"/>
      <c r="CMX118" s="15"/>
      <c r="CMY118" s="15"/>
      <c r="CMZ118" s="15"/>
      <c r="CNA118" s="15"/>
      <c r="CNB118" s="15"/>
      <c r="CNC118" s="15"/>
      <c r="CND118" s="15"/>
      <c r="CNE118" s="15"/>
      <c r="CNF118" s="14"/>
      <c r="CNG118" s="15"/>
      <c r="CNH118" s="15"/>
      <c r="CNI118" s="15"/>
      <c r="CNJ118" s="15"/>
      <c r="CNK118" s="15"/>
      <c r="CNL118" s="15"/>
      <c r="CNM118" s="15"/>
      <c r="CNN118" s="15"/>
      <c r="CNO118" s="15"/>
      <c r="CNP118" s="15"/>
      <c r="CNQ118" s="15"/>
      <c r="CNR118" s="15"/>
      <c r="CNS118" s="15"/>
      <c r="CNT118" s="15"/>
      <c r="CNU118" s="15"/>
      <c r="CNV118" s="15"/>
      <c r="CNW118" s="15"/>
      <c r="CNX118" s="15"/>
      <c r="CNY118" s="15"/>
      <c r="CNZ118" s="15"/>
      <c r="COA118" s="15"/>
      <c r="COB118" s="14"/>
      <c r="COC118" s="15"/>
      <c r="COD118" s="15"/>
      <c r="COE118" s="15"/>
      <c r="COF118" s="15"/>
      <c r="COG118" s="15"/>
      <c r="COH118" s="15"/>
      <c r="COI118" s="15"/>
      <c r="COJ118" s="15"/>
      <c r="COK118" s="15"/>
      <c r="COL118" s="15"/>
      <c r="COM118" s="15"/>
      <c r="CON118" s="15"/>
      <c r="COO118" s="15"/>
      <c r="COP118" s="15"/>
      <c r="COQ118" s="15"/>
      <c r="COR118" s="15"/>
      <c r="COS118" s="15"/>
      <c r="COT118" s="15"/>
      <c r="COU118" s="15"/>
      <c r="COV118" s="15"/>
      <c r="COW118" s="15"/>
      <c r="COX118" s="14"/>
      <c r="COY118" s="15"/>
      <c r="COZ118" s="15"/>
      <c r="CPA118" s="15"/>
      <c r="CPB118" s="15"/>
      <c r="CPC118" s="15"/>
      <c r="CPD118" s="15"/>
      <c r="CPE118" s="15"/>
      <c r="CPF118" s="15"/>
      <c r="CPG118" s="15"/>
      <c r="CPH118" s="15"/>
      <c r="CPI118" s="15"/>
      <c r="CPJ118" s="15"/>
      <c r="CPK118" s="15"/>
      <c r="CPL118" s="15"/>
      <c r="CPM118" s="15"/>
      <c r="CPN118" s="15"/>
      <c r="CPO118" s="15"/>
      <c r="CPP118" s="15"/>
      <c r="CPQ118" s="15"/>
      <c r="CPR118" s="15"/>
      <c r="CPS118" s="15"/>
      <c r="CPT118" s="14"/>
      <c r="CPU118" s="15"/>
      <c r="CPV118" s="15"/>
      <c r="CPW118" s="15"/>
      <c r="CPX118" s="15"/>
      <c r="CPY118" s="15"/>
      <c r="CPZ118" s="15"/>
      <c r="CQA118" s="15"/>
      <c r="CQB118" s="15"/>
      <c r="CQC118" s="15"/>
      <c r="CQD118" s="15"/>
      <c r="CQE118" s="15"/>
      <c r="CQF118" s="15"/>
      <c r="CQG118" s="15"/>
      <c r="CQH118" s="15"/>
      <c r="CQI118" s="15"/>
      <c r="CQJ118" s="15"/>
      <c r="CQK118" s="15"/>
      <c r="CQL118" s="15"/>
      <c r="CQM118" s="15"/>
      <c r="CQN118" s="15"/>
      <c r="CQO118" s="15"/>
      <c r="CQP118" s="14"/>
      <c r="CQQ118" s="15"/>
      <c r="CQR118" s="15"/>
      <c r="CQS118" s="15"/>
      <c r="CQT118" s="15"/>
      <c r="CQU118" s="15"/>
      <c r="CQV118" s="15"/>
      <c r="CQW118" s="15"/>
      <c r="CQX118" s="15"/>
      <c r="CQY118" s="15"/>
      <c r="CQZ118" s="15"/>
      <c r="CRA118" s="15"/>
      <c r="CRB118" s="15"/>
      <c r="CRC118" s="15"/>
      <c r="CRD118" s="15"/>
      <c r="CRE118" s="15"/>
      <c r="CRF118" s="15"/>
      <c r="CRG118" s="15"/>
      <c r="CRH118" s="15"/>
      <c r="CRI118" s="15"/>
      <c r="CRJ118" s="15"/>
      <c r="CRK118" s="15"/>
      <c r="CRL118" s="14"/>
      <c r="CRM118" s="15"/>
      <c r="CRN118" s="15"/>
      <c r="CRO118" s="15"/>
      <c r="CRP118" s="15"/>
      <c r="CRQ118" s="15"/>
      <c r="CRR118" s="15"/>
      <c r="CRS118" s="15"/>
      <c r="CRT118" s="15"/>
      <c r="CRU118" s="15"/>
      <c r="CRV118" s="15"/>
      <c r="CRW118" s="15"/>
      <c r="CRX118" s="15"/>
      <c r="CRY118" s="15"/>
      <c r="CRZ118" s="15"/>
      <c r="CSA118" s="15"/>
      <c r="CSB118" s="15"/>
      <c r="CSC118" s="15"/>
      <c r="CSD118" s="15"/>
      <c r="CSE118" s="15"/>
      <c r="CSF118" s="15"/>
      <c r="CSG118" s="15"/>
      <c r="CSH118" s="14"/>
      <c r="CSI118" s="15"/>
      <c r="CSJ118" s="15"/>
      <c r="CSK118" s="15"/>
      <c r="CSL118" s="15"/>
      <c r="CSM118" s="15"/>
      <c r="CSN118" s="15"/>
      <c r="CSO118" s="15"/>
      <c r="CSP118" s="15"/>
      <c r="CSQ118" s="15"/>
      <c r="CSR118" s="15"/>
      <c r="CSS118" s="15"/>
      <c r="CST118" s="15"/>
      <c r="CSU118" s="15"/>
      <c r="CSV118" s="15"/>
      <c r="CSW118" s="15"/>
      <c r="CSX118" s="15"/>
      <c r="CSY118" s="15"/>
      <c r="CSZ118" s="15"/>
      <c r="CTA118" s="15"/>
      <c r="CTB118" s="15"/>
      <c r="CTC118" s="15"/>
      <c r="CTD118" s="14"/>
      <c r="CTE118" s="15"/>
      <c r="CTF118" s="15"/>
      <c r="CTG118" s="15"/>
      <c r="CTH118" s="15"/>
      <c r="CTI118" s="15"/>
      <c r="CTJ118" s="15"/>
      <c r="CTK118" s="15"/>
      <c r="CTL118" s="15"/>
      <c r="CTM118" s="15"/>
      <c r="CTN118" s="15"/>
      <c r="CTO118" s="15"/>
      <c r="CTP118" s="15"/>
      <c r="CTQ118" s="15"/>
      <c r="CTR118" s="15"/>
      <c r="CTS118" s="15"/>
      <c r="CTT118" s="15"/>
      <c r="CTU118" s="15"/>
      <c r="CTV118" s="15"/>
      <c r="CTW118" s="15"/>
      <c r="CTX118" s="15"/>
      <c r="CTY118" s="15"/>
      <c r="CTZ118" s="14"/>
      <c r="CUA118" s="15"/>
      <c r="CUB118" s="15"/>
      <c r="CUC118" s="15"/>
      <c r="CUD118" s="15"/>
      <c r="CUE118" s="15"/>
      <c r="CUF118" s="15"/>
      <c r="CUG118" s="15"/>
      <c r="CUH118" s="15"/>
      <c r="CUI118" s="15"/>
      <c r="CUJ118" s="15"/>
      <c r="CUK118" s="15"/>
      <c r="CUL118" s="15"/>
      <c r="CUM118" s="15"/>
      <c r="CUN118" s="15"/>
      <c r="CUO118" s="15"/>
      <c r="CUP118" s="15"/>
      <c r="CUQ118" s="15"/>
      <c r="CUR118" s="15"/>
      <c r="CUS118" s="15"/>
      <c r="CUT118" s="15"/>
      <c r="CUU118" s="15"/>
      <c r="CUV118" s="14"/>
      <c r="CUW118" s="15"/>
      <c r="CUX118" s="15"/>
      <c r="CUY118" s="15"/>
      <c r="CUZ118" s="15"/>
      <c r="CVA118" s="15"/>
      <c r="CVB118" s="15"/>
      <c r="CVC118" s="15"/>
      <c r="CVD118" s="15"/>
      <c r="CVE118" s="15"/>
      <c r="CVF118" s="15"/>
      <c r="CVG118" s="15"/>
      <c r="CVH118" s="15"/>
      <c r="CVI118" s="15"/>
      <c r="CVJ118" s="15"/>
      <c r="CVK118" s="15"/>
      <c r="CVL118" s="15"/>
      <c r="CVM118" s="15"/>
      <c r="CVN118" s="15"/>
      <c r="CVO118" s="15"/>
      <c r="CVP118" s="15"/>
      <c r="CVQ118" s="15"/>
      <c r="CVR118" s="14"/>
      <c r="CVS118" s="15"/>
      <c r="CVT118" s="15"/>
      <c r="CVU118" s="15"/>
      <c r="CVV118" s="15"/>
      <c r="CVW118" s="15"/>
      <c r="CVX118" s="15"/>
      <c r="CVY118" s="15"/>
      <c r="CVZ118" s="15"/>
      <c r="CWA118" s="15"/>
      <c r="CWB118" s="15"/>
      <c r="CWC118" s="15"/>
      <c r="CWD118" s="15"/>
      <c r="CWE118" s="15"/>
      <c r="CWF118" s="15"/>
      <c r="CWG118" s="15"/>
      <c r="CWH118" s="15"/>
      <c r="CWI118" s="15"/>
      <c r="CWJ118" s="15"/>
      <c r="CWK118" s="15"/>
      <c r="CWL118" s="15"/>
      <c r="CWM118" s="15"/>
      <c r="CWN118" s="14"/>
      <c r="CWO118" s="15"/>
      <c r="CWP118" s="15"/>
      <c r="CWQ118" s="15"/>
      <c r="CWR118" s="15"/>
      <c r="CWS118" s="15"/>
      <c r="CWT118" s="15"/>
      <c r="CWU118" s="15"/>
      <c r="CWV118" s="15"/>
      <c r="CWW118" s="15"/>
      <c r="CWX118" s="15"/>
      <c r="CWY118" s="15"/>
      <c r="CWZ118" s="15"/>
      <c r="CXA118" s="15"/>
      <c r="CXB118" s="15"/>
      <c r="CXC118" s="15"/>
      <c r="CXD118" s="15"/>
      <c r="CXE118" s="15"/>
      <c r="CXF118" s="15"/>
      <c r="CXG118" s="15"/>
      <c r="CXH118" s="15"/>
      <c r="CXI118" s="15"/>
      <c r="CXJ118" s="14"/>
      <c r="CXK118" s="15"/>
      <c r="CXL118" s="15"/>
      <c r="CXM118" s="15"/>
      <c r="CXN118" s="15"/>
      <c r="CXO118" s="15"/>
      <c r="CXP118" s="15"/>
      <c r="CXQ118" s="15"/>
      <c r="CXR118" s="15"/>
      <c r="CXS118" s="15"/>
      <c r="CXT118" s="15"/>
      <c r="CXU118" s="15"/>
      <c r="CXV118" s="15"/>
      <c r="CXW118" s="15"/>
      <c r="CXX118" s="15"/>
      <c r="CXY118" s="15"/>
      <c r="CXZ118" s="15"/>
      <c r="CYA118" s="15"/>
      <c r="CYB118" s="15"/>
      <c r="CYC118" s="15"/>
      <c r="CYD118" s="15"/>
      <c r="CYE118" s="15"/>
      <c r="CYF118" s="14"/>
      <c r="CYG118" s="15"/>
      <c r="CYH118" s="15"/>
      <c r="CYI118" s="15"/>
      <c r="CYJ118" s="15"/>
      <c r="CYK118" s="15"/>
      <c r="CYL118" s="15"/>
      <c r="CYM118" s="15"/>
      <c r="CYN118" s="15"/>
      <c r="CYO118" s="15"/>
      <c r="CYP118" s="15"/>
      <c r="CYQ118" s="15"/>
      <c r="CYR118" s="15"/>
      <c r="CYS118" s="15"/>
      <c r="CYT118" s="15"/>
      <c r="CYU118" s="15"/>
      <c r="CYV118" s="15"/>
      <c r="CYW118" s="15"/>
      <c r="CYX118" s="15"/>
      <c r="CYY118" s="15"/>
      <c r="CYZ118" s="15"/>
      <c r="CZA118" s="15"/>
      <c r="CZB118" s="14"/>
      <c r="CZC118" s="15"/>
      <c r="CZD118" s="15"/>
      <c r="CZE118" s="15"/>
      <c r="CZF118" s="15"/>
      <c r="CZG118" s="15"/>
      <c r="CZH118" s="15"/>
      <c r="CZI118" s="15"/>
      <c r="CZJ118" s="15"/>
      <c r="CZK118" s="15"/>
      <c r="CZL118" s="15"/>
      <c r="CZM118" s="15"/>
      <c r="CZN118" s="15"/>
      <c r="CZO118" s="15"/>
      <c r="CZP118" s="15"/>
      <c r="CZQ118" s="15"/>
      <c r="CZR118" s="15"/>
      <c r="CZS118" s="15"/>
      <c r="CZT118" s="15"/>
      <c r="CZU118" s="15"/>
      <c r="CZV118" s="15"/>
      <c r="CZW118" s="15"/>
      <c r="CZX118" s="14"/>
      <c r="CZY118" s="15"/>
      <c r="CZZ118" s="15"/>
      <c r="DAA118" s="15"/>
      <c r="DAB118" s="15"/>
      <c r="DAC118" s="15"/>
      <c r="DAD118" s="15"/>
      <c r="DAE118" s="15"/>
      <c r="DAF118" s="15"/>
      <c r="DAG118" s="15"/>
      <c r="DAH118" s="15"/>
      <c r="DAI118" s="15"/>
      <c r="DAJ118" s="15"/>
      <c r="DAK118" s="15"/>
      <c r="DAL118" s="15"/>
      <c r="DAM118" s="15"/>
      <c r="DAN118" s="15"/>
      <c r="DAO118" s="15"/>
      <c r="DAP118" s="15"/>
      <c r="DAQ118" s="15"/>
      <c r="DAR118" s="15"/>
      <c r="DAS118" s="15"/>
      <c r="DAT118" s="14"/>
      <c r="DAU118" s="15"/>
      <c r="DAV118" s="15"/>
      <c r="DAW118" s="15"/>
      <c r="DAX118" s="15"/>
      <c r="DAY118" s="15"/>
      <c r="DAZ118" s="15"/>
      <c r="DBA118" s="15"/>
      <c r="DBB118" s="15"/>
      <c r="DBC118" s="15"/>
      <c r="DBD118" s="15"/>
      <c r="DBE118" s="15"/>
      <c r="DBF118" s="15"/>
      <c r="DBG118" s="15"/>
      <c r="DBH118" s="15"/>
      <c r="DBI118" s="15"/>
      <c r="DBJ118" s="15"/>
      <c r="DBK118" s="15"/>
      <c r="DBL118" s="15"/>
      <c r="DBM118" s="15"/>
      <c r="DBN118" s="15"/>
      <c r="DBO118" s="15"/>
      <c r="DBP118" s="14"/>
      <c r="DBQ118" s="15"/>
      <c r="DBR118" s="15"/>
      <c r="DBS118" s="15"/>
      <c r="DBT118" s="15"/>
      <c r="DBU118" s="15"/>
      <c r="DBV118" s="15"/>
      <c r="DBW118" s="15"/>
      <c r="DBX118" s="15"/>
      <c r="DBY118" s="15"/>
      <c r="DBZ118" s="15"/>
      <c r="DCA118" s="15"/>
      <c r="DCB118" s="15"/>
      <c r="DCC118" s="15"/>
      <c r="DCD118" s="15"/>
      <c r="DCE118" s="15"/>
      <c r="DCF118" s="15"/>
      <c r="DCG118" s="15"/>
      <c r="DCH118" s="15"/>
      <c r="DCI118" s="15"/>
      <c r="DCJ118" s="15"/>
      <c r="DCK118" s="15"/>
      <c r="DCL118" s="14"/>
      <c r="DCM118" s="15"/>
      <c r="DCN118" s="15"/>
      <c r="DCO118" s="15"/>
      <c r="DCP118" s="15"/>
      <c r="DCQ118" s="15"/>
      <c r="DCR118" s="15"/>
      <c r="DCS118" s="15"/>
      <c r="DCT118" s="15"/>
      <c r="DCU118" s="15"/>
      <c r="DCV118" s="15"/>
      <c r="DCW118" s="15"/>
      <c r="DCX118" s="15"/>
      <c r="DCY118" s="15"/>
      <c r="DCZ118" s="15"/>
      <c r="DDA118" s="15"/>
      <c r="DDB118" s="15"/>
      <c r="DDC118" s="15"/>
      <c r="DDD118" s="15"/>
      <c r="DDE118" s="15"/>
      <c r="DDF118" s="15"/>
      <c r="DDG118" s="15"/>
      <c r="DDH118" s="14"/>
      <c r="DDI118" s="15"/>
      <c r="DDJ118" s="15"/>
      <c r="DDK118" s="15"/>
      <c r="DDL118" s="15"/>
      <c r="DDM118" s="15"/>
      <c r="DDN118" s="15"/>
      <c r="DDO118" s="15"/>
      <c r="DDP118" s="15"/>
      <c r="DDQ118" s="15"/>
      <c r="DDR118" s="15"/>
      <c r="DDS118" s="15"/>
      <c r="DDT118" s="15"/>
      <c r="DDU118" s="15"/>
      <c r="DDV118" s="15"/>
      <c r="DDW118" s="15"/>
      <c r="DDX118" s="15"/>
      <c r="DDY118" s="15"/>
      <c r="DDZ118" s="15"/>
      <c r="DEA118" s="15"/>
      <c r="DEB118" s="15"/>
      <c r="DEC118" s="15"/>
      <c r="DED118" s="14"/>
      <c r="DEE118" s="15"/>
      <c r="DEF118" s="15"/>
      <c r="DEG118" s="15"/>
      <c r="DEH118" s="15"/>
      <c r="DEI118" s="15"/>
      <c r="DEJ118" s="15"/>
      <c r="DEK118" s="15"/>
      <c r="DEL118" s="15"/>
      <c r="DEM118" s="15"/>
      <c r="DEN118" s="15"/>
      <c r="DEO118" s="15"/>
      <c r="DEP118" s="15"/>
      <c r="DEQ118" s="15"/>
      <c r="DER118" s="15"/>
      <c r="DES118" s="15"/>
      <c r="DET118" s="15"/>
      <c r="DEU118" s="15"/>
      <c r="DEV118" s="15"/>
      <c r="DEW118" s="15"/>
      <c r="DEX118" s="15"/>
      <c r="DEY118" s="15"/>
      <c r="DEZ118" s="14"/>
      <c r="DFA118" s="15"/>
      <c r="DFB118" s="15"/>
      <c r="DFC118" s="15"/>
      <c r="DFD118" s="15"/>
      <c r="DFE118" s="15"/>
      <c r="DFF118" s="15"/>
      <c r="DFG118" s="15"/>
      <c r="DFH118" s="15"/>
      <c r="DFI118" s="15"/>
      <c r="DFJ118" s="15"/>
      <c r="DFK118" s="15"/>
      <c r="DFL118" s="15"/>
      <c r="DFM118" s="15"/>
      <c r="DFN118" s="15"/>
      <c r="DFO118" s="15"/>
      <c r="DFP118" s="15"/>
      <c r="DFQ118" s="15"/>
      <c r="DFR118" s="15"/>
      <c r="DFS118" s="15"/>
      <c r="DFT118" s="15"/>
      <c r="DFU118" s="15"/>
      <c r="DFV118" s="14"/>
      <c r="DFW118" s="15"/>
      <c r="DFX118" s="15"/>
      <c r="DFY118" s="15"/>
      <c r="DFZ118" s="15"/>
      <c r="DGA118" s="15"/>
      <c r="DGB118" s="15"/>
      <c r="DGC118" s="15"/>
      <c r="DGD118" s="15"/>
      <c r="DGE118" s="15"/>
      <c r="DGF118" s="15"/>
      <c r="DGG118" s="15"/>
      <c r="DGH118" s="15"/>
      <c r="DGI118" s="15"/>
      <c r="DGJ118" s="15"/>
      <c r="DGK118" s="15"/>
      <c r="DGL118" s="15"/>
      <c r="DGM118" s="15"/>
      <c r="DGN118" s="15"/>
      <c r="DGO118" s="15"/>
      <c r="DGP118" s="15"/>
      <c r="DGQ118" s="15"/>
      <c r="DGR118" s="14"/>
      <c r="DGS118" s="15"/>
      <c r="DGT118" s="15"/>
      <c r="DGU118" s="15"/>
      <c r="DGV118" s="15"/>
      <c r="DGW118" s="15"/>
      <c r="DGX118" s="15"/>
      <c r="DGY118" s="15"/>
      <c r="DGZ118" s="15"/>
      <c r="DHA118" s="15"/>
      <c r="DHB118" s="15"/>
      <c r="DHC118" s="15"/>
      <c r="DHD118" s="15"/>
      <c r="DHE118" s="15"/>
      <c r="DHF118" s="15"/>
      <c r="DHG118" s="15"/>
      <c r="DHH118" s="15"/>
      <c r="DHI118" s="15"/>
      <c r="DHJ118" s="15"/>
      <c r="DHK118" s="15"/>
      <c r="DHL118" s="15"/>
      <c r="DHM118" s="15"/>
      <c r="DHN118" s="14"/>
      <c r="DHO118" s="15"/>
      <c r="DHP118" s="15"/>
      <c r="DHQ118" s="15"/>
      <c r="DHR118" s="15"/>
      <c r="DHS118" s="15"/>
      <c r="DHT118" s="15"/>
      <c r="DHU118" s="15"/>
      <c r="DHV118" s="15"/>
      <c r="DHW118" s="15"/>
      <c r="DHX118" s="15"/>
      <c r="DHY118" s="15"/>
      <c r="DHZ118" s="15"/>
      <c r="DIA118" s="15"/>
      <c r="DIB118" s="15"/>
      <c r="DIC118" s="15"/>
      <c r="DID118" s="15"/>
      <c r="DIE118" s="15"/>
      <c r="DIF118" s="15"/>
      <c r="DIG118" s="15"/>
      <c r="DIH118" s="15"/>
      <c r="DII118" s="15"/>
      <c r="DIJ118" s="14"/>
      <c r="DIK118" s="15"/>
      <c r="DIL118" s="15"/>
      <c r="DIM118" s="15"/>
      <c r="DIN118" s="15"/>
      <c r="DIO118" s="15"/>
      <c r="DIP118" s="15"/>
      <c r="DIQ118" s="15"/>
      <c r="DIR118" s="15"/>
      <c r="DIS118" s="15"/>
      <c r="DIT118" s="15"/>
      <c r="DIU118" s="15"/>
      <c r="DIV118" s="15"/>
      <c r="DIW118" s="15"/>
      <c r="DIX118" s="15"/>
      <c r="DIY118" s="15"/>
      <c r="DIZ118" s="15"/>
      <c r="DJA118" s="15"/>
      <c r="DJB118" s="15"/>
      <c r="DJC118" s="15"/>
      <c r="DJD118" s="15"/>
      <c r="DJE118" s="15"/>
      <c r="DJF118" s="14"/>
      <c r="DJG118" s="15"/>
      <c r="DJH118" s="15"/>
      <c r="DJI118" s="15"/>
      <c r="DJJ118" s="15"/>
      <c r="DJK118" s="15"/>
      <c r="DJL118" s="15"/>
      <c r="DJM118" s="15"/>
      <c r="DJN118" s="15"/>
      <c r="DJO118" s="15"/>
      <c r="DJP118" s="15"/>
      <c r="DJQ118" s="15"/>
      <c r="DJR118" s="15"/>
      <c r="DJS118" s="15"/>
      <c r="DJT118" s="15"/>
      <c r="DJU118" s="15"/>
      <c r="DJV118" s="15"/>
      <c r="DJW118" s="15"/>
      <c r="DJX118" s="15"/>
      <c r="DJY118" s="15"/>
      <c r="DJZ118" s="15"/>
      <c r="DKA118" s="15"/>
      <c r="DKB118" s="14"/>
      <c r="DKC118" s="15"/>
      <c r="DKD118" s="15"/>
      <c r="DKE118" s="15"/>
      <c r="DKF118" s="15"/>
      <c r="DKG118" s="15"/>
      <c r="DKH118" s="15"/>
      <c r="DKI118" s="15"/>
      <c r="DKJ118" s="15"/>
      <c r="DKK118" s="15"/>
      <c r="DKL118" s="15"/>
      <c r="DKM118" s="15"/>
      <c r="DKN118" s="15"/>
      <c r="DKO118" s="15"/>
      <c r="DKP118" s="15"/>
      <c r="DKQ118" s="15"/>
      <c r="DKR118" s="15"/>
      <c r="DKS118" s="15"/>
      <c r="DKT118" s="15"/>
      <c r="DKU118" s="15"/>
      <c r="DKV118" s="15"/>
      <c r="DKW118" s="15"/>
      <c r="DKX118" s="14"/>
      <c r="DKY118" s="15"/>
      <c r="DKZ118" s="15"/>
      <c r="DLA118" s="15"/>
      <c r="DLB118" s="15"/>
      <c r="DLC118" s="15"/>
      <c r="DLD118" s="15"/>
      <c r="DLE118" s="15"/>
      <c r="DLF118" s="15"/>
      <c r="DLG118" s="15"/>
      <c r="DLH118" s="15"/>
      <c r="DLI118" s="15"/>
      <c r="DLJ118" s="15"/>
      <c r="DLK118" s="15"/>
      <c r="DLL118" s="15"/>
      <c r="DLM118" s="15"/>
      <c r="DLN118" s="15"/>
      <c r="DLO118" s="15"/>
      <c r="DLP118" s="15"/>
      <c r="DLQ118" s="15"/>
      <c r="DLR118" s="15"/>
      <c r="DLS118" s="15"/>
      <c r="DLT118" s="14"/>
      <c r="DLU118" s="15"/>
      <c r="DLV118" s="15"/>
      <c r="DLW118" s="15"/>
      <c r="DLX118" s="15"/>
      <c r="DLY118" s="15"/>
      <c r="DLZ118" s="15"/>
      <c r="DMA118" s="15"/>
      <c r="DMB118" s="15"/>
      <c r="DMC118" s="15"/>
      <c r="DMD118" s="15"/>
      <c r="DME118" s="15"/>
      <c r="DMF118" s="15"/>
      <c r="DMG118" s="15"/>
      <c r="DMH118" s="15"/>
      <c r="DMI118" s="15"/>
      <c r="DMJ118" s="15"/>
      <c r="DMK118" s="15"/>
      <c r="DML118" s="15"/>
      <c r="DMM118" s="15"/>
      <c r="DMN118" s="15"/>
      <c r="DMO118" s="15"/>
      <c r="DMP118" s="14"/>
      <c r="DMQ118" s="15"/>
      <c r="DMR118" s="15"/>
      <c r="DMS118" s="15"/>
      <c r="DMT118" s="15"/>
      <c r="DMU118" s="15"/>
      <c r="DMV118" s="15"/>
      <c r="DMW118" s="15"/>
      <c r="DMX118" s="15"/>
      <c r="DMY118" s="15"/>
      <c r="DMZ118" s="15"/>
      <c r="DNA118" s="15"/>
      <c r="DNB118" s="15"/>
      <c r="DNC118" s="15"/>
      <c r="DND118" s="15"/>
      <c r="DNE118" s="15"/>
      <c r="DNF118" s="15"/>
      <c r="DNG118" s="15"/>
      <c r="DNH118" s="15"/>
      <c r="DNI118" s="15"/>
      <c r="DNJ118" s="15"/>
      <c r="DNK118" s="15"/>
      <c r="DNL118" s="14"/>
      <c r="DNM118" s="15"/>
      <c r="DNN118" s="15"/>
      <c r="DNO118" s="15"/>
      <c r="DNP118" s="15"/>
      <c r="DNQ118" s="15"/>
      <c r="DNR118" s="15"/>
      <c r="DNS118" s="15"/>
      <c r="DNT118" s="15"/>
      <c r="DNU118" s="15"/>
      <c r="DNV118" s="15"/>
      <c r="DNW118" s="15"/>
      <c r="DNX118" s="15"/>
      <c r="DNY118" s="15"/>
      <c r="DNZ118" s="15"/>
      <c r="DOA118" s="15"/>
      <c r="DOB118" s="15"/>
      <c r="DOC118" s="15"/>
      <c r="DOD118" s="15"/>
      <c r="DOE118" s="15"/>
      <c r="DOF118" s="15"/>
      <c r="DOG118" s="15"/>
      <c r="DOH118" s="14"/>
      <c r="DOI118" s="15"/>
      <c r="DOJ118" s="15"/>
      <c r="DOK118" s="15"/>
      <c r="DOL118" s="15"/>
      <c r="DOM118" s="15"/>
      <c r="DON118" s="15"/>
      <c r="DOO118" s="15"/>
      <c r="DOP118" s="15"/>
      <c r="DOQ118" s="15"/>
      <c r="DOR118" s="15"/>
      <c r="DOS118" s="15"/>
      <c r="DOT118" s="15"/>
      <c r="DOU118" s="15"/>
      <c r="DOV118" s="15"/>
      <c r="DOW118" s="15"/>
      <c r="DOX118" s="15"/>
      <c r="DOY118" s="15"/>
      <c r="DOZ118" s="15"/>
      <c r="DPA118" s="15"/>
      <c r="DPB118" s="15"/>
      <c r="DPC118" s="15"/>
      <c r="DPD118" s="14"/>
      <c r="DPE118" s="15"/>
      <c r="DPF118" s="15"/>
      <c r="DPG118" s="15"/>
      <c r="DPH118" s="15"/>
      <c r="DPI118" s="15"/>
      <c r="DPJ118" s="15"/>
      <c r="DPK118" s="15"/>
      <c r="DPL118" s="15"/>
      <c r="DPM118" s="15"/>
      <c r="DPN118" s="15"/>
      <c r="DPO118" s="15"/>
      <c r="DPP118" s="15"/>
      <c r="DPQ118" s="15"/>
      <c r="DPR118" s="15"/>
      <c r="DPS118" s="15"/>
      <c r="DPT118" s="15"/>
      <c r="DPU118" s="15"/>
      <c r="DPV118" s="15"/>
      <c r="DPW118" s="15"/>
      <c r="DPX118" s="15"/>
      <c r="DPY118" s="15"/>
      <c r="DPZ118" s="14"/>
      <c r="DQA118" s="15"/>
      <c r="DQB118" s="15"/>
      <c r="DQC118" s="15"/>
      <c r="DQD118" s="15"/>
      <c r="DQE118" s="15"/>
      <c r="DQF118" s="15"/>
      <c r="DQG118" s="15"/>
      <c r="DQH118" s="15"/>
      <c r="DQI118" s="15"/>
      <c r="DQJ118" s="15"/>
      <c r="DQK118" s="15"/>
      <c r="DQL118" s="15"/>
      <c r="DQM118" s="15"/>
      <c r="DQN118" s="15"/>
      <c r="DQO118" s="15"/>
      <c r="DQP118" s="15"/>
      <c r="DQQ118" s="15"/>
      <c r="DQR118" s="15"/>
      <c r="DQS118" s="15"/>
      <c r="DQT118" s="15"/>
      <c r="DQU118" s="15"/>
      <c r="DQV118" s="14"/>
      <c r="DQW118" s="15"/>
      <c r="DQX118" s="15"/>
      <c r="DQY118" s="15"/>
      <c r="DQZ118" s="15"/>
      <c r="DRA118" s="15"/>
      <c r="DRB118" s="15"/>
      <c r="DRC118" s="15"/>
      <c r="DRD118" s="15"/>
      <c r="DRE118" s="15"/>
      <c r="DRF118" s="15"/>
      <c r="DRG118" s="15"/>
      <c r="DRH118" s="15"/>
      <c r="DRI118" s="15"/>
      <c r="DRJ118" s="15"/>
      <c r="DRK118" s="15"/>
      <c r="DRL118" s="15"/>
      <c r="DRM118" s="15"/>
      <c r="DRN118" s="15"/>
      <c r="DRO118" s="15"/>
      <c r="DRP118" s="15"/>
      <c r="DRQ118" s="15"/>
      <c r="DRR118" s="14"/>
      <c r="DRS118" s="15"/>
      <c r="DRT118" s="15"/>
      <c r="DRU118" s="15"/>
      <c r="DRV118" s="15"/>
      <c r="DRW118" s="15"/>
      <c r="DRX118" s="15"/>
      <c r="DRY118" s="15"/>
      <c r="DRZ118" s="15"/>
      <c r="DSA118" s="15"/>
      <c r="DSB118" s="15"/>
      <c r="DSC118" s="15"/>
      <c r="DSD118" s="15"/>
      <c r="DSE118" s="15"/>
      <c r="DSF118" s="15"/>
      <c r="DSG118" s="15"/>
      <c r="DSH118" s="15"/>
      <c r="DSI118" s="15"/>
      <c r="DSJ118" s="15"/>
      <c r="DSK118" s="15"/>
      <c r="DSL118" s="15"/>
      <c r="DSM118" s="15"/>
      <c r="DSN118" s="14"/>
      <c r="DSO118" s="15"/>
      <c r="DSP118" s="15"/>
      <c r="DSQ118" s="15"/>
      <c r="DSR118" s="15"/>
      <c r="DSS118" s="15"/>
      <c r="DST118" s="15"/>
      <c r="DSU118" s="15"/>
      <c r="DSV118" s="15"/>
      <c r="DSW118" s="15"/>
      <c r="DSX118" s="15"/>
      <c r="DSY118" s="15"/>
      <c r="DSZ118" s="15"/>
      <c r="DTA118" s="15"/>
      <c r="DTB118" s="15"/>
      <c r="DTC118" s="15"/>
      <c r="DTD118" s="15"/>
      <c r="DTE118" s="15"/>
      <c r="DTF118" s="15"/>
      <c r="DTG118" s="15"/>
      <c r="DTH118" s="15"/>
      <c r="DTI118" s="15"/>
      <c r="DTJ118" s="14"/>
      <c r="DTK118" s="15"/>
      <c r="DTL118" s="15"/>
      <c r="DTM118" s="15"/>
      <c r="DTN118" s="15"/>
      <c r="DTO118" s="15"/>
      <c r="DTP118" s="15"/>
      <c r="DTQ118" s="15"/>
      <c r="DTR118" s="15"/>
      <c r="DTS118" s="15"/>
      <c r="DTT118" s="15"/>
      <c r="DTU118" s="15"/>
      <c r="DTV118" s="15"/>
      <c r="DTW118" s="15"/>
      <c r="DTX118" s="15"/>
      <c r="DTY118" s="15"/>
      <c r="DTZ118" s="15"/>
      <c r="DUA118" s="15"/>
      <c r="DUB118" s="15"/>
      <c r="DUC118" s="15"/>
      <c r="DUD118" s="15"/>
      <c r="DUE118" s="15"/>
      <c r="DUF118" s="14"/>
      <c r="DUG118" s="15"/>
      <c r="DUH118" s="15"/>
      <c r="DUI118" s="15"/>
      <c r="DUJ118" s="15"/>
      <c r="DUK118" s="15"/>
      <c r="DUL118" s="15"/>
      <c r="DUM118" s="15"/>
      <c r="DUN118" s="15"/>
      <c r="DUO118" s="15"/>
      <c r="DUP118" s="15"/>
      <c r="DUQ118" s="15"/>
      <c r="DUR118" s="15"/>
      <c r="DUS118" s="15"/>
      <c r="DUT118" s="15"/>
      <c r="DUU118" s="15"/>
      <c r="DUV118" s="15"/>
      <c r="DUW118" s="15"/>
      <c r="DUX118" s="15"/>
      <c r="DUY118" s="15"/>
      <c r="DUZ118" s="15"/>
      <c r="DVA118" s="15"/>
      <c r="DVB118" s="14"/>
      <c r="DVC118" s="15"/>
      <c r="DVD118" s="15"/>
      <c r="DVE118" s="15"/>
      <c r="DVF118" s="15"/>
      <c r="DVG118" s="15"/>
      <c r="DVH118" s="15"/>
      <c r="DVI118" s="15"/>
      <c r="DVJ118" s="15"/>
      <c r="DVK118" s="15"/>
      <c r="DVL118" s="15"/>
      <c r="DVM118" s="15"/>
      <c r="DVN118" s="15"/>
      <c r="DVO118" s="15"/>
      <c r="DVP118" s="15"/>
      <c r="DVQ118" s="15"/>
      <c r="DVR118" s="15"/>
      <c r="DVS118" s="15"/>
      <c r="DVT118" s="15"/>
      <c r="DVU118" s="15"/>
      <c r="DVV118" s="15"/>
      <c r="DVW118" s="15"/>
      <c r="DVX118" s="14"/>
      <c r="DVY118" s="15"/>
      <c r="DVZ118" s="15"/>
      <c r="DWA118" s="15"/>
      <c r="DWB118" s="15"/>
      <c r="DWC118" s="15"/>
      <c r="DWD118" s="15"/>
      <c r="DWE118" s="15"/>
      <c r="DWF118" s="15"/>
      <c r="DWG118" s="15"/>
      <c r="DWH118" s="15"/>
      <c r="DWI118" s="15"/>
      <c r="DWJ118" s="15"/>
      <c r="DWK118" s="15"/>
      <c r="DWL118" s="15"/>
      <c r="DWM118" s="15"/>
      <c r="DWN118" s="15"/>
      <c r="DWO118" s="15"/>
      <c r="DWP118" s="15"/>
      <c r="DWQ118" s="15"/>
      <c r="DWR118" s="15"/>
      <c r="DWS118" s="15"/>
      <c r="DWT118" s="14"/>
      <c r="DWU118" s="15"/>
      <c r="DWV118" s="15"/>
      <c r="DWW118" s="15"/>
      <c r="DWX118" s="15"/>
      <c r="DWY118" s="15"/>
      <c r="DWZ118" s="15"/>
      <c r="DXA118" s="15"/>
      <c r="DXB118" s="15"/>
      <c r="DXC118" s="15"/>
      <c r="DXD118" s="15"/>
      <c r="DXE118" s="15"/>
      <c r="DXF118" s="15"/>
      <c r="DXG118" s="15"/>
      <c r="DXH118" s="15"/>
      <c r="DXI118" s="15"/>
      <c r="DXJ118" s="15"/>
      <c r="DXK118" s="15"/>
      <c r="DXL118" s="15"/>
      <c r="DXM118" s="15"/>
      <c r="DXN118" s="15"/>
      <c r="DXO118" s="15"/>
      <c r="DXP118" s="14"/>
      <c r="DXQ118" s="15"/>
      <c r="DXR118" s="15"/>
      <c r="DXS118" s="15"/>
      <c r="DXT118" s="15"/>
      <c r="DXU118" s="15"/>
      <c r="DXV118" s="15"/>
      <c r="DXW118" s="15"/>
      <c r="DXX118" s="15"/>
      <c r="DXY118" s="15"/>
      <c r="DXZ118" s="15"/>
      <c r="DYA118" s="15"/>
      <c r="DYB118" s="15"/>
      <c r="DYC118" s="15"/>
      <c r="DYD118" s="15"/>
      <c r="DYE118" s="15"/>
      <c r="DYF118" s="15"/>
      <c r="DYG118" s="15"/>
      <c r="DYH118" s="15"/>
      <c r="DYI118" s="15"/>
      <c r="DYJ118" s="15"/>
      <c r="DYK118" s="15"/>
      <c r="DYL118" s="14"/>
      <c r="DYM118" s="15"/>
      <c r="DYN118" s="15"/>
      <c r="DYO118" s="15"/>
      <c r="DYP118" s="15"/>
      <c r="DYQ118" s="15"/>
      <c r="DYR118" s="15"/>
      <c r="DYS118" s="15"/>
      <c r="DYT118" s="15"/>
      <c r="DYU118" s="15"/>
      <c r="DYV118" s="15"/>
      <c r="DYW118" s="15"/>
      <c r="DYX118" s="15"/>
      <c r="DYY118" s="15"/>
      <c r="DYZ118" s="15"/>
      <c r="DZA118" s="15"/>
      <c r="DZB118" s="15"/>
      <c r="DZC118" s="15"/>
      <c r="DZD118" s="15"/>
      <c r="DZE118" s="15"/>
      <c r="DZF118" s="15"/>
      <c r="DZG118" s="15"/>
      <c r="DZH118" s="14"/>
      <c r="DZI118" s="15"/>
      <c r="DZJ118" s="15"/>
      <c r="DZK118" s="15"/>
      <c r="DZL118" s="15"/>
      <c r="DZM118" s="15"/>
      <c r="DZN118" s="15"/>
      <c r="DZO118" s="15"/>
      <c r="DZP118" s="15"/>
      <c r="DZQ118" s="15"/>
      <c r="DZR118" s="15"/>
      <c r="DZS118" s="15"/>
      <c r="DZT118" s="15"/>
      <c r="DZU118" s="15"/>
      <c r="DZV118" s="15"/>
      <c r="DZW118" s="15"/>
      <c r="DZX118" s="15"/>
      <c r="DZY118" s="15"/>
      <c r="DZZ118" s="15"/>
      <c r="EAA118" s="15"/>
      <c r="EAB118" s="15"/>
      <c r="EAC118" s="15"/>
      <c r="EAD118" s="14"/>
      <c r="EAE118" s="15"/>
      <c r="EAF118" s="15"/>
      <c r="EAG118" s="15"/>
      <c r="EAH118" s="15"/>
      <c r="EAI118" s="15"/>
      <c r="EAJ118" s="15"/>
      <c r="EAK118" s="15"/>
      <c r="EAL118" s="15"/>
      <c r="EAM118" s="15"/>
      <c r="EAN118" s="15"/>
      <c r="EAO118" s="15"/>
      <c r="EAP118" s="15"/>
      <c r="EAQ118" s="15"/>
      <c r="EAR118" s="15"/>
      <c r="EAS118" s="15"/>
      <c r="EAT118" s="15"/>
      <c r="EAU118" s="15"/>
      <c r="EAV118" s="15"/>
      <c r="EAW118" s="15"/>
      <c r="EAX118" s="15"/>
      <c r="EAY118" s="15"/>
      <c r="EAZ118" s="14"/>
      <c r="EBA118" s="15"/>
      <c r="EBB118" s="15"/>
      <c r="EBC118" s="15"/>
      <c r="EBD118" s="15"/>
      <c r="EBE118" s="15"/>
      <c r="EBF118" s="15"/>
      <c r="EBG118" s="15"/>
      <c r="EBH118" s="15"/>
      <c r="EBI118" s="15"/>
      <c r="EBJ118" s="15"/>
      <c r="EBK118" s="15"/>
      <c r="EBL118" s="15"/>
      <c r="EBM118" s="15"/>
      <c r="EBN118" s="15"/>
      <c r="EBO118" s="15"/>
      <c r="EBP118" s="15"/>
      <c r="EBQ118" s="15"/>
      <c r="EBR118" s="15"/>
      <c r="EBS118" s="15"/>
      <c r="EBT118" s="15"/>
      <c r="EBU118" s="15"/>
      <c r="EBV118" s="14"/>
      <c r="EBW118" s="15"/>
      <c r="EBX118" s="15"/>
      <c r="EBY118" s="15"/>
      <c r="EBZ118" s="15"/>
      <c r="ECA118" s="15"/>
      <c r="ECB118" s="15"/>
      <c r="ECC118" s="15"/>
      <c r="ECD118" s="15"/>
      <c r="ECE118" s="15"/>
      <c r="ECF118" s="15"/>
      <c r="ECG118" s="15"/>
      <c r="ECH118" s="15"/>
      <c r="ECI118" s="15"/>
      <c r="ECJ118" s="15"/>
      <c r="ECK118" s="15"/>
      <c r="ECL118" s="15"/>
      <c r="ECM118" s="15"/>
      <c r="ECN118" s="15"/>
      <c r="ECO118" s="15"/>
      <c r="ECP118" s="15"/>
      <c r="ECQ118" s="15"/>
      <c r="ECR118" s="14"/>
      <c r="ECS118" s="15"/>
      <c r="ECT118" s="15"/>
      <c r="ECU118" s="15"/>
      <c r="ECV118" s="15"/>
      <c r="ECW118" s="15"/>
      <c r="ECX118" s="15"/>
      <c r="ECY118" s="15"/>
      <c r="ECZ118" s="15"/>
      <c r="EDA118" s="15"/>
      <c r="EDB118" s="15"/>
      <c r="EDC118" s="15"/>
      <c r="EDD118" s="15"/>
      <c r="EDE118" s="15"/>
      <c r="EDF118" s="15"/>
      <c r="EDG118" s="15"/>
      <c r="EDH118" s="15"/>
      <c r="EDI118" s="15"/>
      <c r="EDJ118" s="15"/>
      <c r="EDK118" s="15"/>
      <c r="EDL118" s="15"/>
      <c r="EDM118" s="15"/>
      <c r="EDN118" s="14"/>
      <c r="EDO118" s="15"/>
      <c r="EDP118" s="15"/>
      <c r="EDQ118" s="15"/>
      <c r="EDR118" s="15"/>
      <c r="EDS118" s="15"/>
      <c r="EDT118" s="15"/>
      <c r="EDU118" s="15"/>
      <c r="EDV118" s="15"/>
      <c r="EDW118" s="15"/>
      <c r="EDX118" s="15"/>
      <c r="EDY118" s="15"/>
      <c r="EDZ118" s="15"/>
      <c r="EEA118" s="15"/>
      <c r="EEB118" s="15"/>
      <c r="EEC118" s="15"/>
      <c r="EED118" s="15"/>
      <c r="EEE118" s="15"/>
      <c r="EEF118" s="15"/>
      <c r="EEG118" s="15"/>
      <c r="EEH118" s="15"/>
      <c r="EEI118" s="15"/>
      <c r="EEJ118" s="14"/>
      <c r="EEK118" s="15"/>
      <c r="EEL118" s="15"/>
      <c r="EEM118" s="15"/>
      <c r="EEN118" s="15"/>
      <c r="EEO118" s="15"/>
      <c r="EEP118" s="15"/>
      <c r="EEQ118" s="15"/>
      <c r="EER118" s="15"/>
      <c r="EES118" s="15"/>
      <c r="EET118" s="15"/>
      <c r="EEU118" s="15"/>
      <c r="EEV118" s="15"/>
      <c r="EEW118" s="15"/>
      <c r="EEX118" s="15"/>
      <c r="EEY118" s="15"/>
      <c r="EEZ118" s="15"/>
      <c r="EFA118" s="15"/>
      <c r="EFB118" s="15"/>
      <c r="EFC118" s="15"/>
      <c r="EFD118" s="15"/>
      <c r="EFE118" s="15"/>
      <c r="EFF118" s="14"/>
      <c r="EFG118" s="15"/>
      <c r="EFH118" s="15"/>
      <c r="EFI118" s="15"/>
      <c r="EFJ118" s="15"/>
      <c r="EFK118" s="15"/>
      <c r="EFL118" s="15"/>
      <c r="EFM118" s="15"/>
      <c r="EFN118" s="15"/>
      <c r="EFO118" s="15"/>
      <c r="EFP118" s="15"/>
      <c r="EFQ118" s="15"/>
      <c r="EFR118" s="15"/>
      <c r="EFS118" s="15"/>
      <c r="EFT118" s="15"/>
      <c r="EFU118" s="15"/>
      <c r="EFV118" s="15"/>
      <c r="EFW118" s="15"/>
      <c r="EFX118" s="15"/>
      <c r="EFY118" s="15"/>
      <c r="EFZ118" s="15"/>
      <c r="EGA118" s="15"/>
      <c r="EGB118" s="14"/>
      <c r="EGC118" s="15"/>
      <c r="EGD118" s="15"/>
      <c r="EGE118" s="15"/>
      <c r="EGF118" s="15"/>
      <c r="EGG118" s="15"/>
      <c r="EGH118" s="15"/>
      <c r="EGI118" s="15"/>
      <c r="EGJ118" s="15"/>
      <c r="EGK118" s="15"/>
      <c r="EGL118" s="15"/>
      <c r="EGM118" s="15"/>
      <c r="EGN118" s="15"/>
      <c r="EGO118" s="15"/>
      <c r="EGP118" s="15"/>
      <c r="EGQ118" s="15"/>
      <c r="EGR118" s="15"/>
      <c r="EGS118" s="15"/>
      <c r="EGT118" s="15"/>
      <c r="EGU118" s="15"/>
      <c r="EGV118" s="15"/>
      <c r="EGW118" s="15"/>
      <c r="EGX118" s="14"/>
      <c r="EGY118" s="15"/>
      <c r="EGZ118" s="15"/>
      <c r="EHA118" s="15"/>
      <c r="EHB118" s="15"/>
      <c r="EHC118" s="15"/>
      <c r="EHD118" s="15"/>
      <c r="EHE118" s="15"/>
      <c r="EHF118" s="15"/>
      <c r="EHG118" s="15"/>
      <c r="EHH118" s="15"/>
      <c r="EHI118" s="15"/>
      <c r="EHJ118" s="15"/>
      <c r="EHK118" s="15"/>
      <c r="EHL118" s="15"/>
      <c r="EHM118" s="15"/>
      <c r="EHN118" s="15"/>
      <c r="EHO118" s="15"/>
      <c r="EHP118" s="15"/>
      <c r="EHQ118" s="15"/>
      <c r="EHR118" s="15"/>
      <c r="EHS118" s="15"/>
      <c r="EHT118" s="14"/>
      <c r="EHU118" s="15"/>
      <c r="EHV118" s="15"/>
      <c r="EHW118" s="15"/>
      <c r="EHX118" s="15"/>
      <c r="EHY118" s="15"/>
      <c r="EHZ118" s="15"/>
      <c r="EIA118" s="15"/>
      <c r="EIB118" s="15"/>
      <c r="EIC118" s="15"/>
      <c r="EID118" s="15"/>
      <c r="EIE118" s="15"/>
      <c r="EIF118" s="15"/>
      <c r="EIG118" s="15"/>
      <c r="EIH118" s="15"/>
      <c r="EII118" s="15"/>
      <c r="EIJ118" s="15"/>
      <c r="EIK118" s="15"/>
      <c r="EIL118" s="15"/>
      <c r="EIM118" s="15"/>
      <c r="EIN118" s="15"/>
      <c r="EIO118" s="15"/>
      <c r="EIP118" s="14"/>
      <c r="EIQ118" s="15"/>
      <c r="EIR118" s="15"/>
      <c r="EIS118" s="15"/>
      <c r="EIT118" s="15"/>
      <c r="EIU118" s="15"/>
      <c r="EIV118" s="15"/>
      <c r="EIW118" s="15"/>
      <c r="EIX118" s="15"/>
      <c r="EIY118" s="15"/>
      <c r="EIZ118" s="15"/>
      <c r="EJA118" s="15"/>
      <c r="EJB118" s="15"/>
      <c r="EJC118" s="15"/>
      <c r="EJD118" s="15"/>
      <c r="EJE118" s="15"/>
      <c r="EJF118" s="15"/>
      <c r="EJG118" s="15"/>
      <c r="EJH118" s="15"/>
      <c r="EJI118" s="15"/>
      <c r="EJJ118" s="15"/>
      <c r="EJK118" s="15"/>
      <c r="EJL118" s="14"/>
      <c r="EJM118" s="15"/>
      <c r="EJN118" s="15"/>
      <c r="EJO118" s="15"/>
      <c r="EJP118" s="15"/>
      <c r="EJQ118" s="15"/>
      <c r="EJR118" s="15"/>
      <c r="EJS118" s="15"/>
      <c r="EJT118" s="15"/>
      <c r="EJU118" s="15"/>
      <c r="EJV118" s="15"/>
      <c r="EJW118" s="15"/>
      <c r="EJX118" s="15"/>
      <c r="EJY118" s="15"/>
      <c r="EJZ118" s="15"/>
      <c r="EKA118" s="15"/>
      <c r="EKB118" s="15"/>
      <c r="EKC118" s="15"/>
      <c r="EKD118" s="15"/>
      <c r="EKE118" s="15"/>
      <c r="EKF118" s="15"/>
      <c r="EKG118" s="15"/>
      <c r="EKH118" s="14"/>
      <c r="EKI118" s="15"/>
      <c r="EKJ118" s="15"/>
      <c r="EKK118" s="15"/>
      <c r="EKL118" s="15"/>
      <c r="EKM118" s="15"/>
      <c r="EKN118" s="15"/>
      <c r="EKO118" s="15"/>
      <c r="EKP118" s="15"/>
      <c r="EKQ118" s="15"/>
      <c r="EKR118" s="15"/>
      <c r="EKS118" s="15"/>
      <c r="EKT118" s="15"/>
      <c r="EKU118" s="15"/>
      <c r="EKV118" s="15"/>
      <c r="EKW118" s="15"/>
      <c r="EKX118" s="15"/>
      <c r="EKY118" s="15"/>
      <c r="EKZ118" s="15"/>
      <c r="ELA118" s="15"/>
      <c r="ELB118" s="15"/>
      <c r="ELC118" s="15"/>
      <c r="ELD118" s="14"/>
      <c r="ELE118" s="15"/>
      <c r="ELF118" s="15"/>
      <c r="ELG118" s="15"/>
      <c r="ELH118" s="15"/>
      <c r="ELI118" s="15"/>
      <c r="ELJ118" s="15"/>
      <c r="ELK118" s="15"/>
      <c r="ELL118" s="15"/>
      <c r="ELM118" s="15"/>
      <c r="ELN118" s="15"/>
      <c r="ELO118" s="15"/>
      <c r="ELP118" s="15"/>
      <c r="ELQ118" s="15"/>
      <c r="ELR118" s="15"/>
      <c r="ELS118" s="15"/>
      <c r="ELT118" s="15"/>
      <c r="ELU118" s="15"/>
      <c r="ELV118" s="15"/>
      <c r="ELW118" s="15"/>
      <c r="ELX118" s="15"/>
      <c r="ELY118" s="15"/>
      <c r="ELZ118" s="14"/>
      <c r="EMA118" s="15"/>
      <c r="EMB118" s="15"/>
      <c r="EMC118" s="15"/>
      <c r="EMD118" s="15"/>
      <c r="EME118" s="15"/>
      <c r="EMF118" s="15"/>
      <c r="EMG118" s="15"/>
      <c r="EMH118" s="15"/>
      <c r="EMI118" s="15"/>
      <c r="EMJ118" s="15"/>
      <c r="EMK118" s="15"/>
      <c r="EML118" s="15"/>
      <c r="EMM118" s="15"/>
      <c r="EMN118" s="15"/>
      <c r="EMO118" s="15"/>
      <c r="EMP118" s="15"/>
      <c r="EMQ118" s="15"/>
      <c r="EMR118" s="15"/>
      <c r="EMS118" s="15"/>
      <c r="EMT118" s="15"/>
      <c r="EMU118" s="15"/>
      <c r="EMV118" s="14"/>
      <c r="EMW118" s="15"/>
      <c r="EMX118" s="15"/>
      <c r="EMY118" s="15"/>
      <c r="EMZ118" s="15"/>
      <c r="ENA118" s="15"/>
      <c r="ENB118" s="15"/>
      <c r="ENC118" s="15"/>
      <c r="END118" s="15"/>
      <c r="ENE118" s="15"/>
      <c r="ENF118" s="15"/>
      <c r="ENG118" s="15"/>
      <c r="ENH118" s="15"/>
      <c r="ENI118" s="15"/>
      <c r="ENJ118" s="15"/>
      <c r="ENK118" s="15"/>
      <c r="ENL118" s="15"/>
      <c r="ENM118" s="15"/>
      <c r="ENN118" s="15"/>
      <c r="ENO118" s="15"/>
      <c r="ENP118" s="15"/>
      <c r="ENQ118" s="15"/>
      <c r="ENR118" s="14"/>
      <c r="ENS118" s="15"/>
      <c r="ENT118" s="15"/>
      <c r="ENU118" s="15"/>
      <c r="ENV118" s="15"/>
      <c r="ENW118" s="15"/>
      <c r="ENX118" s="15"/>
      <c r="ENY118" s="15"/>
      <c r="ENZ118" s="15"/>
      <c r="EOA118" s="15"/>
      <c r="EOB118" s="15"/>
      <c r="EOC118" s="15"/>
      <c r="EOD118" s="15"/>
      <c r="EOE118" s="15"/>
      <c r="EOF118" s="15"/>
      <c r="EOG118" s="15"/>
      <c r="EOH118" s="15"/>
      <c r="EOI118" s="15"/>
      <c r="EOJ118" s="15"/>
      <c r="EOK118" s="15"/>
      <c r="EOL118" s="15"/>
      <c r="EOM118" s="15"/>
      <c r="EON118" s="14"/>
      <c r="EOO118" s="15"/>
      <c r="EOP118" s="15"/>
      <c r="EOQ118" s="15"/>
      <c r="EOR118" s="15"/>
      <c r="EOS118" s="15"/>
      <c r="EOT118" s="15"/>
      <c r="EOU118" s="15"/>
      <c r="EOV118" s="15"/>
      <c r="EOW118" s="15"/>
      <c r="EOX118" s="15"/>
      <c r="EOY118" s="15"/>
      <c r="EOZ118" s="15"/>
      <c r="EPA118" s="15"/>
      <c r="EPB118" s="15"/>
      <c r="EPC118" s="15"/>
      <c r="EPD118" s="15"/>
      <c r="EPE118" s="15"/>
      <c r="EPF118" s="15"/>
      <c r="EPG118" s="15"/>
      <c r="EPH118" s="15"/>
      <c r="EPI118" s="15"/>
      <c r="EPJ118" s="14"/>
      <c r="EPK118" s="15"/>
      <c r="EPL118" s="15"/>
      <c r="EPM118" s="15"/>
      <c r="EPN118" s="15"/>
      <c r="EPO118" s="15"/>
      <c r="EPP118" s="15"/>
      <c r="EPQ118" s="15"/>
      <c r="EPR118" s="15"/>
      <c r="EPS118" s="15"/>
      <c r="EPT118" s="15"/>
      <c r="EPU118" s="15"/>
      <c r="EPV118" s="15"/>
      <c r="EPW118" s="15"/>
      <c r="EPX118" s="15"/>
      <c r="EPY118" s="15"/>
      <c r="EPZ118" s="15"/>
      <c r="EQA118" s="15"/>
      <c r="EQB118" s="15"/>
      <c r="EQC118" s="15"/>
      <c r="EQD118" s="15"/>
      <c r="EQE118" s="15"/>
      <c r="EQF118" s="14"/>
      <c r="EQG118" s="15"/>
      <c r="EQH118" s="15"/>
      <c r="EQI118" s="15"/>
      <c r="EQJ118" s="15"/>
      <c r="EQK118" s="15"/>
      <c r="EQL118" s="15"/>
      <c r="EQM118" s="15"/>
      <c r="EQN118" s="15"/>
      <c r="EQO118" s="15"/>
      <c r="EQP118" s="15"/>
      <c r="EQQ118" s="15"/>
      <c r="EQR118" s="15"/>
      <c r="EQS118" s="15"/>
      <c r="EQT118" s="15"/>
      <c r="EQU118" s="15"/>
      <c r="EQV118" s="15"/>
      <c r="EQW118" s="15"/>
      <c r="EQX118" s="15"/>
      <c r="EQY118" s="15"/>
      <c r="EQZ118" s="15"/>
      <c r="ERA118" s="15"/>
      <c r="ERB118" s="14"/>
      <c r="ERC118" s="15"/>
      <c r="ERD118" s="15"/>
      <c r="ERE118" s="15"/>
      <c r="ERF118" s="15"/>
      <c r="ERG118" s="15"/>
      <c r="ERH118" s="15"/>
      <c r="ERI118" s="15"/>
      <c r="ERJ118" s="15"/>
      <c r="ERK118" s="15"/>
      <c r="ERL118" s="15"/>
      <c r="ERM118" s="15"/>
      <c r="ERN118" s="15"/>
      <c r="ERO118" s="15"/>
      <c r="ERP118" s="15"/>
      <c r="ERQ118" s="15"/>
      <c r="ERR118" s="15"/>
      <c r="ERS118" s="15"/>
      <c r="ERT118" s="15"/>
      <c r="ERU118" s="15"/>
      <c r="ERV118" s="15"/>
      <c r="ERW118" s="15"/>
      <c r="ERX118" s="14"/>
      <c r="ERY118" s="15"/>
      <c r="ERZ118" s="15"/>
      <c r="ESA118" s="15"/>
      <c r="ESB118" s="15"/>
      <c r="ESC118" s="15"/>
      <c r="ESD118" s="15"/>
      <c r="ESE118" s="15"/>
      <c r="ESF118" s="15"/>
      <c r="ESG118" s="15"/>
      <c r="ESH118" s="15"/>
      <c r="ESI118" s="15"/>
      <c r="ESJ118" s="15"/>
      <c r="ESK118" s="15"/>
      <c r="ESL118" s="15"/>
      <c r="ESM118" s="15"/>
      <c r="ESN118" s="15"/>
      <c r="ESO118" s="15"/>
      <c r="ESP118" s="15"/>
      <c r="ESQ118" s="15"/>
      <c r="ESR118" s="15"/>
      <c r="ESS118" s="15"/>
      <c r="EST118" s="14"/>
      <c r="ESU118" s="15"/>
      <c r="ESV118" s="15"/>
      <c r="ESW118" s="15"/>
      <c r="ESX118" s="15"/>
      <c r="ESY118" s="15"/>
      <c r="ESZ118" s="15"/>
      <c r="ETA118" s="15"/>
      <c r="ETB118" s="15"/>
      <c r="ETC118" s="15"/>
      <c r="ETD118" s="15"/>
      <c r="ETE118" s="15"/>
      <c r="ETF118" s="15"/>
      <c r="ETG118" s="15"/>
      <c r="ETH118" s="15"/>
      <c r="ETI118" s="15"/>
      <c r="ETJ118" s="15"/>
      <c r="ETK118" s="15"/>
      <c r="ETL118" s="15"/>
      <c r="ETM118" s="15"/>
      <c r="ETN118" s="15"/>
      <c r="ETO118" s="15"/>
      <c r="ETP118" s="14"/>
      <c r="ETQ118" s="15"/>
      <c r="ETR118" s="15"/>
      <c r="ETS118" s="15"/>
      <c r="ETT118" s="15"/>
      <c r="ETU118" s="15"/>
      <c r="ETV118" s="15"/>
      <c r="ETW118" s="15"/>
      <c r="ETX118" s="15"/>
      <c r="ETY118" s="15"/>
      <c r="ETZ118" s="15"/>
      <c r="EUA118" s="15"/>
      <c r="EUB118" s="15"/>
      <c r="EUC118" s="15"/>
      <c r="EUD118" s="15"/>
      <c r="EUE118" s="15"/>
      <c r="EUF118" s="15"/>
      <c r="EUG118" s="15"/>
      <c r="EUH118" s="15"/>
      <c r="EUI118" s="15"/>
      <c r="EUJ118" s="15"/>
      <c r="EUK118" s="15"/>
      <c r="EUL118" s="14"/>
      <c r="EUM118" s="15"/>
      <c r="EUN118" s="15"/>
      <c r="EUO118" s="15"/>
      <c r="EUP118" s="15"/>
      <c r="EUQ118" s="15"/>
      <c r="EUR118" s="15"/>
      <c r="EUS118" s="15"/>
      <c r="EUT118" s="15"/>
      <c r="EUU118" s="15"/>
      <c r="EUV118" s="15"/>
      <c r="EUW118" s="15"/>
      <c r="EUX118" s="15"/>
      <c r="EUY118" s="15"/>
      <c r="EUZ118" s="15"/>
      <c r="EVA118" s="15"/>
      <c r="EVB118" s="15"/>
      <c r="EVC118" s="15"/>
      <c r="EVD118" s="15"/>
      <c r="EVE118" s="15"/>
      <c r="EVF118" s="15"/>
      <c r="EVG118" s="15"/>
      <c r="EVH118" s="14"/>
      <c r="EVI118" s="15"/>
      <c r="EVJ118" s="15"/>
      <c r="EVK118" s="15"/>
      <c r="EVL118" s="15"/>
      <c r="EVM118" s="15"/>
      <c r="EVN118" s="15"/>
      <c r="EVO118" s="15"/>
      <c r="EVP118" s="15"/>
      <c r="EVQ118" s="15"/>
      <c r="EVR118" s="15"/>
      <c r="EVS118" s="15"/>
      <c r="EVT118" s="15"/>
      <c r="EVU118" s="15"/>
      <c r="EVV118" s="15"/>
      <c r="EVW118" s="15"/>
      <c r="EVX118" s="15"/>
      <c r="EVY118" s="15"/>
      <c r="EVZ118" s="15"/>
      <c r="EWA118" s="15"/>
      <c r="EWB118" s="15"/>
      <c r="EWC118" s="15"/>
      <c r="EWD118" s="14"/>
      <c r="EWE118" s="15"/>
      <c r="EWF118" s="15"/>
      <c r="EWG118" s="15"/>
      <c r="EWH118" s="15"/>
      <c r="EWI118" s="15"/>
      <c r="EWJ118" s="15"/>
      <c r="EWK118" s="15"/>
      <c r="EWL118" s="15"/>
      <c r="EWM118" s="15"/>
      <c r="EWN118" s="15"/>
      <c r="EWO118" s="15"/>
      <c r="EWP118" s="15"/>
      <c r="EWQ118" s="15"/>
      <c r="EWR118" s="15"/>
      <c r="EWS118" s="15"/>
      <c r="EWT118" s="15"/>
      <c r="EWU118" s="15"/>
      <c r="EWV118" s="15"/>
      <c r="EWW118" s="15"/>
      <c r="EWX118" s="15"/>
      <c r="EWY118" s="15"/>
      <c r="EWZ118" s="14"/>
      <c r="EXA118" s="15"/>
      <c r="EXB118" s="15"/>
      <c r="EXC118" s="15"/>
      <c r="EXD118" s="15"/>
      <c r="EXE118" s="15"/>
      <c r="EXF118" s="15"/>
      <c r="EXG118" s="15"/>
      <c r="EXH118" s="15"/>
      <c r="EXI118" s="15"/>
      <c r="EXJ118" s="15"/>
      <c r="EXK118" s="15"/>
      <c r="EXL118" s="15"/>
      <c r="EXM118" s="15"/>
      <c r="EXN118" s="15"/>
      <c r="EXO118" s="15"/>
      <c r="EXP118" s="15"/>
      <c r="EXQ118" s="15"/>
      <c r="EXR118" s="15"/>
      <c r="EXS118" s="15"/>
      <c r="EXT118" s="15"/>
      <c r="EXU118" s="15"/>
      <c r="EXV118" s="14"/>
      <c r="EXW118" s="15"/>
      <c r="EXX118" s="15"/>
      <c r="EXY118" s="15"/>
      <c r="EXZ118" s="15"/>
      <c r="EYA118" s="15"/>
      <c r="EYB118" s="15"/>
      <c r="EYC118" s="15"/>
      <c r="EYD118" s="15"/>
      <c r="EYE118" s="15"/>
      <c r="EYF118" s="15"/>
      <c r="EYG118" s="15"/>
      <c r="EYH118" s="15"/>
      <c r="EYI118" s="15"/>
      <c r="EYJ118" s="15"/>
      <c r="EYK118" s="15"/>
      <c r="EYL118" s="15"/>
      <c r="EYM118" s="15"/>
      <c r="EYN118" s="15"/>
      <c r="EYO118" s="15"/>
      <c r="EYP118" s="15"/>
      <c r="EYQ118" s="15"/>
      <c r="EYR118" s="14"/>
      <c r="EYS118" s="15"/>
      <c r="EYT118" s="15"/>
      <c r="EYU118" s="15"/>
      <c r="EYV118" s="15"/>
      <c r="EYW118" s="15"/>
      <c r="EYX118" s="15"/>
      <c r="EYY118" s="15"/>
      <c r="EYZ118" s="15"/>
      <c r="EZA118" s="15"/>
      <c r="EZB118" s="15"/>
      <c r="EZC118" s="15"/>
      <c r="EZD118" s="15"/>
      <c r="EZE118" s="15"/>
      <c r="EZF118" s="15"/>
      <c r="EZG118" s="15"/>
      <c r="EZH118" s="15"/>
      <c r="EZI118" s="15"/>
      <c r="EZJ118" s="15"/>
      <c r="EZK118" s="15"/>
      <c r="EZL118" s="15"/>
      <c r="EZM118" s="15"/>
      <c r="EZN118" s="14"/>
      <c r="EZO118" s="15"/>
      <c r="EZP118" s="15"/>
      <c r="EZQ118" s="15"/>
      <c r="EZR118" s="15"/>
      <c r="EZS118" s="15"/>
      <c r="EZT118" s="15"/>
      <c r="EZU118" s="15"/>
      <c r="EZV118" s="15"/>
      <c r="EZW118" s="15"/>
      <c r="EZX118" s="15"/>
      <c r="EZY118" s="15"/>
      <c r="EZZ118" s="15"/>
      <c r="FAA118" s="15"/>
      <c r="FAB118" s="15"/>
      <c r="FAC118" s="15"/>
      <c r="FAD118" s="15"/>
      <c r="FAE118" s="15"/>
      <c r="FAF118" s="15"/>
      <c r="FAG118" s="15"/>
      <c r="FAH118" s="15"/>
      <c r="FAI118" s="15"/>
      <c r="FAJ118" s="14"/>
      <c r="FAK118" s="15"/>
      <c r="FAL118" s="15"/>
      <c r="FAM118" s="15"/>
      <c r="FAN118" s="15"/>
      <c r="FAO118" s="15"/>
      <c r="FAP118" s="15"/>
      <c r="FAQ118" s="15"/>
      <c r="FAR118" s="15"/>
      <c r="FAS118" s="15"/>
      <c r="FAT118" s="15"/>
      <c r="FAU118" s="15"/>
      <c r="FAV118" s="15"/>
      <c r="FAW118" s="15"/>
      <c r="FAX118" s="15"/>
      <c r="FAY118" s="15"/>
      <c r="FAZ118" s="15"/>
      <c r="FBA118" s="15"/>
      <c r="FBB118" s="15"/>
      <c r="FBC118" s="15"/>
      <c r="FBD118" s="15"/>
      <c r="FBE118" s="15"/>
      <c r="FBF118" s="14"/>
      <c r="FBG118" s="15"/>
      <c r="FBH118" s="15"/>
      <c r="FBI118" s="15"/>
      <c r="FBJ118" s="15"/>
      <c r="FBK118" s="15"/>
      <c r="FBL118" s="15"/>
      <c r="FBM118" s="15"/>
      <c r="FBN118" s="15"/>
      <c r="FBO118" s="15"/>
      <c r="FBP118" s="15"/>
      <c r="FBQ118" s="15"/>
      <c r="FBR118" s="15"/>
      <c r="FBS118" s="15"/>
      <c r="FBT118" s="15"/>
      <c r="FBU118" s="15"/>
      <c r="FBV118" s="15"/>
      <c r="FBW118" s="15"/>
      <c r="FBX118" s="15"/>
      <c r="FBY118" s="15"/>
      <c r="FBZ118" s="15"/>
      <c r="FCA118" s="15"/>
      <c r="FCB118" s="14"/>
      <c r="FCC118" s="15"/>
      <c r="FCD118" s="15"/>
      <c r="FCE118" s="15"/>
      <c r="FCF118" s="15"/>
      <c r="FCG118" s="15"/>
      <c r="FCH118" s="15"/>
      <c r="FCI118" s="15"/>
      <c r="FCJ118" s="15"/>
      <c r="FCK118" s="15"/>
      <c r="FCL118" s="15"/>
      <c r="FCM118" s="15"/>
      <c r="FCN118" s="15"/>
      <c r="FCO118" s="15"/>
      <c r="FCP118" s="15"/>
      <c r="FCQ118" s="15"/>
      <c r="FCR118" s="15"/>
      <c r="FCS118" s="15"/>
      <c r="FCT118" s="15"/>
      <c r="FCU118" s="15"/>
      <c r="FCV118" s="15"/>
      <c r="FCW118" s="15"/>
      <c r="FCX118" s="14"/>
      <c r="FCY118" s="15"/>
      <c r="FCZ118" s="15"/>
      <c r="FDA118" s="15"/>
      <c r="FDB118" s="15"/>
      <c r="FDC118" s="15"/>
      <c r="FDD118" s="15"/>
      <c r="FDE118" s="15"/>
      <c r="FDF118" s="15"/>
      <c r="FDG118" s="15"/>
      <c r="FDH118" s="15"/>
      <c r="FDI118" s="15"/>
      <c r="FDJ118" s="15"/>
      <c r="FDK118" s="15"/>
      <c r="FDL118" s="15"/>
      <c r="FDM118" s="15"/>
      <c r="FDN118" s="15"/>
      <c r="FDO118" s="15"/>
      <c r="FDP118" s="15"/>
      <c r="FDQ118" s="15"/>
      <c r="FDR118" s="15"/>
      <c r="FDS118" s="15"/>
      <c r="FDT118" s="14"/>
      <c r="FDU118" s="15"/>
      <c r="FDV118" s="15"/>
      <c r="FDW118" s="15"/>
      <c r="FDX118" s="15"/>
      <c r="FDY118" s="15"/>
      <c r="FDZ118" s="15"/>
      <c r="FEA118" s="15"/>
      <c r="FEB118" s="15"/>
      <c r="FEC118" s="15"/>
      <c r="FED118" s="15"/>
      <c r="FEE118" s="15"/>
      <c r="FEF118" s="15"/>
      <c r="FEG118" s="15"/>
      <c r="FEH118" s="15"/>
      <c r="FEI118" s="15"/>
      <c r="FEJ118" s="15"/>
      <c r="FEK118" s="15"/>
      <c r="FEL118" s="15"/>
      <c r="FEM118" s="15"/>
      <c r="FEN118" s="15"/>
      <c r="FEO118" s="15"/>
      <c r="FEP118" s="14"/>
      <c r="FEQ118" s="15"/>
      <c r="FER118" s="15"/>
      <c r="FES118" s="15"/>
      <c r="FET118" s="15"/>
      <c r="FEU118" s="15"/>
      <c r="FEV118" s="15"/>
      <c r="FEW118" s="15"/>
      <c r="FEX118" s="15"/>
      <c r="FEY118" s="15"/>
      <c r="FEZ118" s="15"/>
      <c r="FFA118" s="15"/>
      <c r="FFB118" s="15"/>
      <c r="FFC118" s="15"/>
      <c r="FFD118" s="15"/>
      <c r="FFE118" s="15"/>
      <c r="FFF118" s="15"/>
      <c r="FFG118" s="15"/>
      <c r="FFH118" s="15"/>
      <c r="FFI118" s="15"/>
      <c r="FFJ118" s="15"/>
      <c r="FFK118" s="15"/>
      <c r="FFL118" s="14"/>
      <c r="FFM118" s="15"/>
      <c r="FFN118" s="15"/>
      <c r="FFO118" s="15"/>
      <c r="FFP118" s="15"/>
      <c r="FFQ118" s="15"/>
      <c r="FFR118" s="15"/>
      <c r="FFS118" s="15"/>
      <c r="FFT118" s="15"/>
      <c r="FFU118" s="15"/>
      <c r="FFV118" s="15"/>
      <c r="FFW118" s="15"/>
      <c r="FFX118" s="15"/>
      <c r="FFY118" s="15"/>
      <c r="FFZ118" s="15"/>
      <c r="FGA118" s="15"/>
      <c r="FGB118" s="15"/>
      <c r="FGC118" s="15"/>
      <c r="FGD118" s="15"/>
      <c r="FGE118" s="15"/>
      <c r="FGF118" s="15"/>
      <c r="FGG118" s="15"/>
      <c r="FGH118" s="14"/>
      <c r="FGI118" s="15"/>
      <c r="FGJ118" s="15"/>
      <c r="FGK118" s="15"/>
      <c r="FGL118" s="15"/>
      <c r="FGM118" s="15"/>
      <c r="FGN118" s="15"/>
      <c r="FGO118" s="15"/>
      <c r="FGP118" s="15"/>
      <c r="FGQ118" s="15"/>
      <c r="FGR118" s="15"/>
      <c r="FGS118" s="15"/>
      <c r="FGT118" s="15"/>
      <c r="FGU118" s="15"/>
      <c r="FGV118" s="15"/>
      <c r="FGW118" s="15"/>
      <c r="FGX118" s="15"/>
      <c r="FGY118" s="15"/>
      <c r="FGZ118" s="15"/>
      <c r="FHA118" s="15"/>
      <c r="FHB118" s="15"/>
      <c r="FHC118" s="15"/>
      <c r="FHD118" s="14"/>
      <c r="FHE118" s="15"/>
      <c r="FHF118" s="15"/>
      <c r="FHG118" s="15"/>
      <c r="FHH118" s="15"/>
      <c r="FHI118" s="15"/>
      <c r="FHJ118" s="15"/>
      <c r="FHK118" s="15"/>
      <c r="FHL118" s="15"/>
      <c r="FHM118" s="15"/>
      <c r="FHN118" s="15"/>
      <c r="FHO118" s="15"/>
      <c r="FHP118" s="15"/>
      <c r="FHQ118" s="15"/>
      <c r="FHR118" s="15"/>
      <c r="FHS118" s="15"/>
      <c r="FHT118" s="15"/>
      <c r="FHU118" s="15"/>
      <c r="FHV118" s="15"/>
      <c r="FHW118" s="15"/>
      <c r="FHX118" s="15"/>
      <c r="FHY118" s="15"/>
      <c r="FHZ118" s="14"/>
      <c r="FIA118" s="15"/>
      <c r="FIB118" s="15"/>
      <c r="FIC118" s="15"/>
      <c r="FID118" s="15"/>
      <c r="FIE118" s="15"/>
      <c r="FIF118" s="15"/>
      <c r="FIG118" s="15"/>
      <c r="FIH118" s="15"/>
      <c r="FII118" s="15"/>
      <c r="FIJ118" s="15"/>
      <c r="FIK118" s="15"/>
      <c r="FIL118" s="15"/>
      <c r="FIM118" s="15"/>
      <c r="FIN118" s="15"/>
      <c r="FIO118" s="15"/>
      <c r="FIP118" s="15"/>
      <c r="FIQ118" s="15"/>
      <c r="FIR118" s="15"/>
      <c r="FIS118" s="15"/>
      <c r="FIT118" s="15"/>
      <c r="FIU118" s="15"/>
      <c r="FIV118" s="14"/>
      <c r="FIW118" s="15"/>
      <c r="FIX118" s="15"/>
      <c r="FIY118" s="15"/>
      <c r="FIZ118" s="15"/>
      <c r="FJA118" s="15"/>
      <c r="FJB118" s="15"/>
      <c r="FJC118" s="15"/>
      <c r="FJD118" s="15"/>
      <c r="FJE118" s="15"/>
      <c r="FJF118" s="15"/>
      <c r="FJG118" s="15"/>
      <c r="FJH118" s="15"/>
      <c r="FJI118" s="15"/>
      <c r="FJJ118" s="15"/>
      <c r="FJK118" s="15"/>
      <c r="FJL118" s="15"/>
      <c r="FJM118" s="15"/>
      <c r="FJN118" s="15"/>
      <c r="FJO118" s="15"/>
      <c r="FJP118" s="15"/>
      <c r="FJQ118" s="15"/>
      <c r="FJR118" s="14"/>
      <c r="FJS118" s="15"/>
      <c r="FJT118" s="15"/>
      <c r="FJU118" s="15"/>
      <c r="FJV118" s="15"/>
      <c r="FJW118" s="15"/>
      <c r="FJX118" s="15"/>
      <c r="FJY118" s="15"/>
      <c r="FJZ118" s="15"/>
      <c r="FKA118" s="15"/>
      <c r="FKB118" s="15"/>
      <c r="FKC118" s="15"/>
      <c r="FKD118" s="15"/>
      <c r="FKE118" s="15"/>
      <c r="FKF118" s="15"/>
      <c r="FKG118" s="15"/>
      <c r="FKH118" s="15"/>
      <c r="FKI118" s="15"/>
      <c r="FKJ118" s="15"/>
      <c r="FKK118" s="15"/>
      <c r="FKL118" s="15"/>
      <c r="FKM118" s="15"/>
      <c r="FKN118" s="14"/>
      <c r="FKO118" s="15"/>
      <c r="FKP118" s="15"/>
      <c r="FKQ118" s="15"/>
      <c r="FKR118" s="15"/>
      <c r="FKS118" s="15"/>
      <c r="FKT118" s="15"/>
      <c r="FKU118" s="15"/>
      <c r="FKV118" s="15"/>
      <c r="FKW118" s="15"/>
      <c r="FKX118" s="15"/>
      <c r="FKY118" s="15"/>
      <c r="FKZ118" s="15"/>
      <c r="FLA118" s="15"/>
      <c r="FLB118" s="15"/>
      <c r="FLC118" s="15"/>
      <c r="FLD118" s="15"/>
      <c r="FLE118" s="15"/>
      <c r="FLF118" s="15"/>
      <c r="FLG118" s="15"/>
      <c r="FLH118" s="15"/>
      <c r="FLI118" s="15"/>
      <c r="FLJ118" s="14"/>
      <c r="FLK118" s="15"/>
      <c r="FLL118" s="15"/>
      <c r="FLM118" s="15"/>
      <c r="FLN118" s="15"/>
      <c r="FLO118" s="15"/>
      <c r="FLP118" s="15"/>
      <c r="FLQ118" s="15"/>
      <c r="FLR118" s="15"/>
      <c r="FLS118" s="15"/>
      <c r="FLT118" s="15"/>
      <c r="FLU118" s="15"/>
      <c r="FLV118" s="15"/>
      <c r="FLW118" s="15"/>
      <c r="FLX118" s="15"/>
      <c r="FLY118" s="15"/>
      <c r="FLZ118" s="15"/>
      <c r="FMA118" s="15"/>
      <c r="FMB118" s="15"/>
      <c r="FMC118" s="15"/>
      <c r="FMD118" s="15"/>
      <c r="FME118" s="15"/>
      <c r="FMF118" s="14"/>
      <c r="FMG118" s="15"/>
      <c r="FMH118" s="15"/>
      <c r="FMI118" s="15"/>
      <c r="FMJ118" s="15"/>
      <c r="FMK118" s="15"/>
      <c r="FML118" s="15"/>
      <c r="FMM118" s="15"/>
      <c r="FMN118" s="15"/>
      <c r="FMO118" s="15"/>
      <c r="FMP118" s="15"/>
      <c r="FMQ118" s="15"/>
      <c r="FMR118" s="15"/>
      <c r="FMS118" s="15"/>
      <c r="FMT118" s="15"/>
      <c r="FMU118" s="15"/>
      <c r="FMV118" s="15"/>
      <c r="FMW118" s="15"/>
      <c r="FMX118" s="15"/>
      <c r="FMY118" s="15"/>
      <c r="FMZ118" s="15"/>
      <c r="FNA118" s="15"/>
      <c r="FNB118" s="14"/>
      <c r="FNC118" s="15"/>
      <c r="FND118" s="15"/>
      <c r="FNE118" s="15"/>
      <c r="FNF118" s="15"/>
      <c r="FNG118" s="15"/>
      <c r="FNH118" s="15"/>
      <c r="FNI118" s="15"/>
      <c r="FNJ118" s="15"/>
      <c r="FNK118" s="15"/>
      <c r="FNL118" s="15"/>
      <c r="FNM118" s="15"/>
      <c r="FNN118" s="15"/>
      <c r="FNO118" s="15"/>
      <c r="FNP118" s="15"/>
      <c r="FNQ118" s="15"/>
      <c r="FNR118" s="15"/>
      <c r="FNS118" s="15"/>
      <c r="FNT118" s="15"/>
      <c r="FNU118" s="15"/>
      <c r="FNV118" s="15"/>
      <c r="FNW118" s="15"/>
      <c r="FNX118" s="14"/>
      <c r="FNY118" s="15"/>
      <c r="FNZ118" s="15"/>
      <c r="FOA118" s="15"/>
      <c r="FOB118" s="15"/>
      <c r="FOC118" s="15"/>
      <c r="FOD118" s="15"/>
      <c r="FOE118" s="15"/>
      <c r="FOF118" s="15"/>
      <c r="FOG118" s="15"/>
      <c r="FOH118" s="15"/>
      <c r="FOI118" s="15"/>
      <c r="FOJ118" s="15"/>
      <c r="FOK118" s="15"/>
      <c r="FOL118" s="15"/>
      <c r="FOM118" s="15"/>
      <c r="FON118" s="15"/>
      <c r="FOO118" s="15"/>
      <c r="FOP118" s="15"/>
      <c r="FOQ118" s="15"/>
      <c r="FOR118" s="15"/>
      <c r="FOS118" s="15"/>
      <c r="FOT118" s="14"/>
      <c r="FOU118" s="15"/>
      <c r="FOV118" s="15"/>
      <c r="FOW118" s="15"/>
      <c r="FOX118" s="15"/>
      <c r="FOY118" s="15"/>
      <c r="FOZ118" s="15"/>
      <c r="FPA118" s="15"/>
      <c r="FPB118" s="15"/>
      <c r="FPC118" s="15"/>
      <c r="FPD118" s="15"/>
      <c r="FPE118" s="15"/>
      <c r="FPF118" s="15"/>
      <c r="FPG118" s="15"/>
      <c r="FPH118" s="15"/>
      <c r="FPI118" s="15"/>
      <c r="FPJ118" s="15"/>
      <c r="FPK118" s="15"/>
      <c r="FPL118" s="15"/>
      <c r="FPM118" s="15"/>
      <c r="FPN118" s="15"/>
      <c r="FPO118" s="15"/>
      <c r="FPP118" s="14"/>
      <c r="FPQ118" s="15"/>
      <c r="FPR118" s="15"/>
      <c r="FPS118" s="15"/>
      <c r="FPT118" s="15"/>
      <c r="FPU118" s="15"/>
      <c r="FPV118" s="15"/>
      <c r="FPW118" s="15"/>
      <c r="FPX118" s="15"/>
      <c r="FPY118" s="15"/>
      <c r="FPZ118" s="15"/>
      <c r="FQA118" s="15"/>
      <c r="FQB118" s="15"/>
      <c r="FQC118" s="15"/>
      <c r="FQD118" s="15"/>
      <c r="FQE118" s="15"/>
      <c r="FQF118" s="15"/>
      <c r="FQG118" s="15"/>
      <c r="FQH118" s="15"/>
      <c r="FQI118" s="15"/>
      <c r="FQJ118" s="15"/>
      <c r="FQK118" s="15"/>
      <c r="FQL118" s="14"/>
      <c r="FQM118" s="15"/>
      <c r="FQN118" s="15"/>
      <c r="FQO118" s="15"/>
      <c r="FQP118" s="15"/>
      <c r="FQQ118" s="15"/>
      <c r="FQR118" s="15"/>
      <c r="FQS118" s="15"/>
      <c r="FQT118" s="15"/>
      <c r="FQU118" s="15"/>
      <c r="FQV118" s="15"/>
      <c r="FQW118" s="15"/>
      <c r="FQX118" s="15"/>
      <c r="FQY118" s="15"/>
      <c r="FQZ118" s="15"/>
      <c r="FRA118" s="15"/>
      <c r="FRB118" s="15"/>
      <c r="FRC118" s="15"/>
      <c r="FRD118" s="15"/>
      <c r="FRE118" s="15"/>
      <c r="FRF118" s="15"/>
      <c r="FRG118" s="15"/>
      <c r="FRH118" s="14"/>
      <c r="FRI118" s="15"/>
      <c r="FRJ118" s="15"/>
      <c r="FRK118" s="15"/>
      <c r="FRL118" s="15"/>
      <c r="FRM118" s="15"/>
      <c r="FRN118" s="15"/>
      <c r="FRO118" s="15"/>
      <c r="FRP118" s="15"/>
      <c r="FRQ118" s="15"/>
      <c r="FRR118" s="15"/>
      <c r="FRS118" s="15"/>
      <c r="FRT118" s="15"/>
      <c r="FRU118" s="15"/>
      <c r="FRV118" s="15"/>
      <c r="FRW118" s="15"/>
      <c r="FRX118" s="15"/>
      <c r="FRY118" s="15"/>
      <c r="FRZ118" s="15"/>
      <c r="FSA118" s="15"/>
      <c r="FSB118" s="15"/>
      <c r="FSC118" s="15"/>
      <c r="FSD118" s="14"/>
      <c r="FSE118" s="15"/>
      <c r="FSF118" s="15"/>
      <c r="FSG118" s="15"/>
      <c r="FSH118" s="15"/>
      <c r="FSI118" s="15"/>
      <c r="FSJ118" s="15"/>
      <c r="FSK118" s="15"/>
      <c r="FSL118" s="15"/>
      <c r="FSM118" s="15"/>
      <c r="FSN118" s="15"/>
      <c r="FSO118" s="15"/>
      <c r="FSP118" s="15"/>
      <c r="FSQ118" s="15"/>
      <c r="FSR118" s="15"/>
      <c r="FSS118" s="15"/>
      <c r="FST118" s="15"/>
      <c r="FSU118" s="15"/>
      <c r="FSV118" s="15"/>
      <c r="FSW118" s="15"/>
      <c r="FSX118" s="15"/>
      <c r="FSY118" s="15"/>
      <c r="FSZ118" s="14"/>
      <c r="FTA118" s="15"/>
      <c r="FTB118" s="15"/>
      <c r="FTC118" s="15"/>
      <c r="FTD118" s="15"/>
      <c r="FTE118" s="15"/>
      <c r="FTF118" s="15"/>
      <c r="FTG118" s="15"/>
      <c r="FTH118" s="15"/>
      <c r="FTI118" s="15"/>
      <c r="FTJ118" s="15"/>
      <c r="FTK118" s="15"/>
      <c r="FTL118" s="15"/>
      <c r="FTM118" s="15"/>
      <c r="FTN118" s="15"/>
      <c r="FTO118" s="15"/>
      <c r="FTP118" s="15"/>
      <c r="FTQ118" s="15"/>
      <c r="FTR118" s="15"/>
      <c r="FTS118" s="15"/>
      <c r="FTT118" s="15"/>
      <c r="FTU118" s="15"/>
      <c r="FTV118" s="14"/>
      <c r="FTW118" s="15"/>
      <c r="FTX118" s="15"/>
      <c r="FTY118" s="15"/>
      <c r="FTZ118" s="15"/>
      <c r="FUA118" s="15"/>
      <c r="FUB118" s="15"/>
      <c r="FUC118" s="15"/>
      <c r="FUD118" s="15"/>
      <c r="FUE118" s="15"/>
      <c r="FUF118" s="15"/>
      <c r="FUG118" s="15"/>
      <c r="FUH118" s="15"/>
      <c r="FUI118" s="15"/>
      <c r="FUJ118" s="15"/>
      <c r="FUK118" s="15"/>
      <c r="FUL118" s="15"/>
      <c r="FUM118" s="15"/>
      <c r="FUN118" s="15"/>
      <c r="FUO118" s="15"/>
      <c r="FUP118" s="15"/>
      <c r="FUQ118" s="15"/>
      <c r="FUR118" s="14"/>
      <c r="FUS118" s="15"/>
      <c r="FUT118" s="15"/>
      <c r="FUU118" s="15"/>
      <c r="FUV118" s="15"/>
      <c r="FUW118" s="15"/>
      <c r="FUX118" s="15"/>
      <c r="FUY118" s="15"/>
      <c r="FUZ118" s="15"/>
      <c r="FVA118" s="15"/>
      <c r="FVB118" s="15"/>
      <c r="FVC118" s="15"/>
      <c r="FVD118" s="15"/>
      <c r="FVE118" s="15"/>
      <c r="FVF118" s="15"/>
      <c r="FVG118" s="15"/>
      <c r="FVH118" s="15"/>
      <c r="FVI118" s="15"/>
      <c r="FVJ118" s="15"/>
      <c r="FVK118" s="15"/>
      <c r="FVL118" s="15"/>
      <c r="FVM118" s="15"/>
      <c r="FVN118" s="14"/>
      <c r="FVO118" s="15"/>
      <c r="FVP118" s="15"/>
      <c r="FVQ118" s="15"/>
      <c r="FVR118" s="15"/>
      <c r="FVS118" s="15"/>
      <c r="FVT118" s="15"/>
      <c r="FVU118" s="15"/>
      <c r="FVV118" s="15"/>
      <c r="FVW118" s="15"/>
      <c r="FVX118" s="15"/>
      <c r="FVY118" s="15"/>
      <c r="FVZ118" s="15"/>
      <c r="FWA118" s="15"/>
      <c r="FWB118" s="15"/>
      <c r="FWC118" s="15"/>
      <c r="FWD118" s="15"/>
      <c r="FWE118" s="15"/>
      <c r="FWF118" s="15"/>
      <c r="FWG118" s="15"/>
      <c r="FWH118" s="15"/>
      <c r="FWI118" s="15"/>
      <c r="FWJ118" s="14"/>
      <c r="FWK118" s="15"/>
      <c r="FWL118" s="15"/>
      <c r="FWM118" s="15"/>
      <c r="FWN118" s="15"/>
      <c r="FWO118" s="15"/>
      <c r="FWP118" s="15"/>
      <c r="FWQ118" s="15"/>
      <c r="FWR118" s="15"/>
      <c r="FWS118" s="15"/>
      <c r="FWT118" s="15"/>
      <c r="FWU118" s="15"/>
      <c r="FWV118" s="15"/>
      <c r="FWW118" s="15"/>
      <c r="FWX118" s="15"/>
      <c r="FWY118" s="15"/>
      <c r="FWZ118" s="15"/>
      <c r="FXA118" s="15"/>
      <c r="FXB118" s="15"/>
      <c r="FXC118" s="15"/>
      <c r="FXD118" s="15"/>
      <c r="FXE118" s="15"/>
      <c r="FXF118" s="14"/>
      <c r="FXG118" s="15"/>
      <c r="FXH118" s="15"/>
      <c r="FXI118" s="15"/>
      <c r="FXJ118" s="15"/>
      <c r="FXK118" s="15"/>
      <c r="FXL118" s="15"/>
      <c r="FXM118" s="15"/>
      <c r="FXN118" s="15"/>
      <c r="FXO118" s="15"/>
      <c r="FXP118" s="15"/>
      <c r="FXQ118" s="15"/>
      <c r="FXR118" s="15"/>
      <c r="FXS118" s="15"/>
      <c r="FXT118" s="15"/>
      <c r="FXU118" s="15"/>
      <c r="FXV118" s="15"/>
      <c r="FXW118" s="15"/>
      <c r="FXX118" s="15"/>
      <c r="FXY118" s="15"/>
      <c r="FXZ118" s="15"/>
      <c r="FYA118" s="15"/>
      <c r="FYB118" s="14"/>
      <c r="FYC118" s="15"/>
      <c r="FYD118" s="15"/>
      <c r="FYE118" s="15"/>
      <c r="FYF118" s="15"/>
      <c r="FYG118" s="15"/>
      <c r="FYH118" s="15"/>
      <c r="FYI118" s="15"/>
      <c r="FYJ118" s="15"/>
      <c r="FYK118" s="15"/>
      <c r="FYL118" s="15"/>
      <c r="FYM118" s="15"/>
      <c r="FYN118" s="15"/>
      <c r="FYO118" s="15"/>
      <c r="FYP118" s="15"/>
      <c r="FYQ118" s="15"/>
      <c r="FYR118" s="15"/>
      <c r="FYS118" s="15"/>
      <c r="FYT118" s="15"/>
      <c r="FYU118" s="15"/>
      <c r="FYV118" s="15"/>
      <c r="FYW118" s="15"/>
      <c r="FYX118" s="14"/>
      <c r="FYY118" s="15"/>
      <c r="FYZ118" s="15"/>
      <c r="FZA118" s="15"/>
      <c r="FZB118" s="15"/>
      <c r="FZC118" s="15"/>
      <c r="FZD118" s="15"/>
      <c r="FZE118" s="15"/>
      <c r="FZF118" s="15"/>
      <c r="FZG118" s="15"/>
      <c r="FZH118" s="15"/>
      <c r="FZI118" s="15"/>
      <c r="FZJ118" s="15"/>
      <c r="FZK118" s="15"/>
      <c r="FZL118" s="15"/>
      <c r="FZM118" s="15"/>
      <c r="FZN118" s="15"/>
      <c r="FZO118" s="15"/>
      <c r="FZP118" s="15"/>
      <c r="FZQ118" s="15"/>
      <c r="FZR118" s="15"/>
      <c r="FZS118" s="15"/>
      <c r="FZT118" s="14"/>
      <c r="FZU118" s="15"/>
      <c r="FZV118" s="15"/>
      <c r="FZW118" s="15"/>
      <c r="FZX118" s="15"/>
      <c r="FZY118" s="15"/>
      <c r="FZZ118" s="15"/>
      <c r="GAA118" s="15"/>
      <c r="GAB118" s="15"/>
      <c r="GAC118" s="15"/>
      <c r="GAD118" s="15"/>
      <c r="GAE118" s="15"/>
      <c r="GAF118" s="15"/>
      <c r="GAG118" s="15"/>
      <c r="GAH118" s="15"/>
      <c r="GAI118" s="15"/>
      <c r="GAJ118" s="15"/>
      <c r="GAK118" s="15"/>
      <c r="GAL118" s="15"/>
      <c r="GAM118" s="15"/>
      <c r="GAN118" s="15"/>
      <c r="GAO118" s="15"/>
      <c r="GAP118" s="14"/>
      <c r="GAQ118" s="15"/>
      <c r="GAR118" s="15"/>
      <c r="GAS118" s="15"/>
      <c r="GAT118" s="15"/>
      <c r="GAU118" s="15"/>
      <c r="GAV118" s="15"/>
      <c r="GAW118" s="15"/>
      <c r="GAX118" s="15"/>
      <c r="GAY118" s="15"/>
      <c r="GAZ118" s="15"/>
      <c r="GBA118" s="15"/>
      <c r="GBB118" s="15"/>
      <c r="GBC118" s="15"/>
      <c r="GBD118" s="15"/>
      <c r="GBE118" s="15"/>
      <c r="GBF118" s="15"/>
      <c r="GBG118" s="15"/>
      <c r="GBH118" s="15"/>
      <c r="GBI118" s="15"/>
      <c r="GBJ118" s="15"/>
      <c r="GBK118" s="15"/>
      <c r="GBL118" s="14"/>
      <c r="GBM118" s="15"/>
      <c r="GBN118" s="15"/>
      <c r="GBO118" s="15"/>
      <c r="GBP118" s="15"/>
      <c r="GBQ118" s="15"/>
      <c r="GBR118" s="15"/>
      <c r="GBS118" s="15"/>
      <c r="GBT118" s="15"/>
      <c r="GBU118" s="15"/>
      <c r="GBV118" s="15"/>
      <c r="GBW118" s="15"/>
      <c r="GBX118" s="15"/>
      <c r="GBY118" s="15"/>
      <c r="GBZ118" s="15"/>
      <c r="GCA118" s="15"/>
      <c r="GCB118" s="15"/>
      <c r="GCC118" s="15"/>
      <c r="GCD118" s="15"/>
      <c r="GCE118" s="15"/>
      <c r="GCF118" s="15"/>
      <c r="GCG118" s="15"/>
      <c r="GCH118" s="14"/>
      <c r="GCI118" s="15"/>
      <c r="GCJ118" s="15"/>
      <c r="GCK118" s="15"/>
      <c r="GCL118" s="15"/>
      <c r="GCM118" s="15"/>
      <c r="GCN118" s="15"/>
      <c r="GCO118" s="15"/>
      <c r="GCP118" s="15"/>
      <c r="GCQ118" s="15"/>
      <c r="GCR118" s="15"/>
      <c r="GCS118" s="15"/>
      <c r="GCT118" s="15"/>
      <c r="GCU118" s="15"/>
      <c r="GCV118" s="15"/>
      <c r="GCW118" s="15"/>
      <c r="GCX118" s="15"/>
      <c r="GCY118" s="15"/>
      <c r="GCZ118" s="15"/>
      <c r="GDA118" s="15"/>
      <c r="GDB118" s="15"/>
      <c r="GDC118" s="15"/>
      <c r="GDD118" s="14"/>
      <c r="GDE118" s="15"/>
      <c r="GDF118" s="15"/>
      <c r="GDG118" s="15"/>
      <c r="GDH118" s="15"/>
      <c r="GDI118" s="15"/>
      <c r="GDJ118" s="15"/>
      <c r="GDK118" s="15"/>
      <c r="GDL118" s="15"/>
      <c r="GDM118" s="15"/>
      <c r="GDN118" s="15"/>
      <c r="GDO118" s="15"/>
      <c r="GDP118" s="15"/>
      <c r="GDQ118" s="15"/>
      <c r="GDR118" s="15"/>
      <c r="GDS118" s="15"/>
      <c r="GDT118" s="15"/>
      <c r="GDU118" s="15"/>
      <c r="GDV118" s="15"/>
      <c r="GDW118" s="15"/>
      <c r="GDX118" s="15"/>
      <c r="GDY118" s="15"/>
      <c r="GDZ118" s="14"/>
      <c r="GEA118" s="15"/>
      <c r="GEB118" s="15"/>
      <c r="GEC118" s="15"/>
      <c r="GED118" s="15"/>
      <c r="GEE118" s="15"/>
      <c r="GEF118" s="15"/>
      <c r="GEG118" s="15"/>
      <c r="GEH118" s="15"/>
      <c r="GEI118" s="15"/>
      <c r="GEJ118" s="15"/>
      <c r="GEK118" s="15"/>
      <c r="GEL118" s="15"/>
      <c r="GEM118" s="15"/>
      <c r="GEN118" s="15"/>
      <c r="GEO118" s="15"/>
      <c r="GEP118" s="15"/>
      <c r="GEQ118" s="15"/>
      <c r="GER118" s="15"/>
      <c r="GES118" s="15"/>
      <c r="GET118" s="15"/>
      <c r="GEU118" s="15"/>
      <c r="GEV118" s="14"/>
      <c r="GEW118" s="15"/>
      <c r="GEX118" s="15"/>
      <c r="GEY118" s="15"/>
      <c r="GEZ118" s="15"/>
      <c r="GFA118" s="15"/>
      <c r="GFB118" s="15"/>
      <c r="GFC118" s="15"/>
      <c r="GFD118" s="15"/>
      <c r="GFE118" s="15"/>
      <c r="GFF118" s="15"/>
      <c r="GFG118" s="15"/>
      <c r="GFH118" s="15"/>
      <c r="GFI118" s="15"/>
      <c r="GFJ118" s="15"/>
      <c r="GFK118" s="15"/>
      <c r="GFL118" s="15"/>
      <c r="GFM118" s="15"/>
      <c r="GFN118" s="15"/>
      <c r="GFO118" s="15"/>
      <c r="GFP118" s="15"/>
      <c r="GFQ118" s="15"/>
      <c r="GFR118" s="14"/>
      <c r="GFS118" s="15"/>
      <c r="GFT118" s="15"/>
      <c r="GFU118" s="15"/>
      <c r="GFV118" s="15"/>
      <c r="GFW118" s="15"/>
      <c r="GFX118" s="15"/>
      <c r="GFY118" s="15"/>
      <c r="GFZ118" s="15"/>
      <c r="GGA118" s="15"/>
      <c r="GGB118" s="15"/>
      <c r="GGC118" s="15"/>
      <c r="GGD118" s="15"/>
      <c r="GGE118" s="15"/>
      <c r="GGF118" s="15"/>
      <c r="GGG118" s="15"/>
      <c r="GGH118" s="15"/>
      <c r="GGI118" s="15"/>
      <c r="GGJ118" s="15"/>
      <c r="GGK118" s="15"/>
      <c r="GGL118" s="15"/>
      <c r="GGM118" s="15"/>
      <c r="GGN118" s="14"/>
      <c r="GGO118" s="15"/>
      <c r="GGP118" s="15"/>
      <c r="GGQ118" s="15"/>
      <c r="GGR118" s="15"/>
      <c r="GGS118" s="15"/>
      <c r="GGT118" s="15"/>
      <c r="GGU118" s="15"/>
      <c r="GGV118" s="15"/>
      <c r="GGW118" s="15"/>
      <c r="GGX118" s="15"/>
      <c r="GGY118" s="15"/>
      <c r="GGZ118" s="15"/>
      <c r="GHA118" s="15"/>
      <c r="GHB118" s="15"/>
      <c r="GHC118" s="15"/>
      <c r="GHD118" s="15"/>
      <c r="GHE118" s="15"/>
      <c r="GHF118" s="15"/>
      <c r="GHG118" s="15"/>
      <c r="GHH118" s="15"/>
      <c r="GHI118" s="15"/>
      <c r="GHJ118" s="14"/>
      <c r="GHK118" s="15"/>
      <c r="GHL118" s="15"/>
      <c r="GHM118" s="15"/>
      <c r="GHN118" s="15"/>
      <c r="GHO118" s="15"/>
      <c r="GHP118" s="15"/>
      <c r="GHQ118" s="15"/>
      <c r="GHR118" s="15"/>
      <c r="GHS118" s="15"/>
      <c r="GHT118" s="15"/>
      <c r="GHU118" s="15"/>
      <c r="GHV118" s="15"/>
      <c r="GHW118" s="15"/>
      <c r="GHX118" s="15"/>
      <c r="GHY118" s="15"/>
      <c r="GHZ118" s="15"/>
      <c r="GIA118" s="15"/>
      <c r="GIB118" s="15"/>
      <c r="GIC118" s="15"/>
      <c r="GID118" s="15"/>
      <c r="GIE118" s="15"/>
      <c r="GIF118" s="14"/>
      <c r="GIG118" s="15"/>
      <c r="GIH118" s="15"/>
      <c r="GII118" s="15"/>
      <c r="GIJ118" s="15"/>
      <c r="GIK118" s="15"/>
      <c r="GIL118" s="15"/>
      <c r="GIM118" s="15"/>
      <c r="GIN118" s="15"/>
      <c r="GIO118" s="15"/>
      <c r="GIP118" s="15"/>
      <c r="GIQ118" s="15"/>
      <c r="GIR118" s="15"/>
      <c r="GIS118" s="15"/>
      <c r="GIT118" s="15"/>
      <c r="GIU118" s="15"/>
      <c r="GIV118" s="15"/>
      <c r="GIW118" s="15"/>
      <c r="GIX118" s="15"/>
      <c r="GIY118" s="15"/>
      <c r="GIZ118" s="15"/>
      <c r="GJA118" s="15"/>
      <c r="GJB118" s="14"/>
      <c r="GJC118" s="15"/>
      <c r="GJD118" s="15"/>
      <c r="GJE118" s="15"/>
      <c r="GJF118" s="15"/>
      <c r="GJG118" s="15"/>
      <c r="GJH118" s="15"/>
      <c r="GJI118" s="15"/>
      <c r="GJJ118" s="15"/>
      <c r="GJK118" s="15"/>
      <c r="GJL118" s="15"/>
      <c r="GJM118" s="15"/>
      <c r="GJN118" s="15"/>
      <c r="GJO118" s="15"/>
      <c r="GJP118" s="15"/>
      <c r="GJQ118" s="15"/>
      <c r="GJR118" s="15"/>
      <c r="GJS118" s="15"/>
      <c r="GJT118" s="15"/>
      <c r="GJU118" s="15"/>
      <c r="GJV118" s="15"/>
      <c r="GJW118" s="15"/>
      <c r="GJX118" s="14"/>
      <c r="GJY118" s="15"/>
      <c r="GJZ118" s="15"/>
      <c r="GKA118" s="15"/>
      <c r="GKB118" s="15"/>
      <c r="GKC118" s="15"/>
      <c r="GKD118" s="15"/>
      <c r="GKE118" s="15"/>
      <c r="GKF118" s="15"/>
      <c r="GKG118" s="15"/>
      <c r="GKH118" s="15"/>
      <c r="GKI118" s="15"/>
      <c r="GKJ118" s="15"/>
      <c r="GKK118" s="15"/>
      <c r="GKL118" s="15"/>
      <c r="GKM118" s="15"/>
      <c r="GKN118" s="15"/>
      <c r="GKO118" s="15"/>
      <c r="GKP118" s="15"/>
      <c r="GKQ118" s="15"/>
      <c r="GKR118" s="15"/>
      <c r="GKS118" s="15"/>
      <c r="GKT118" s="14"/>
      <c r="GKU118" s="15"/>
      <c r="GKV118" s="15"/>
      <c r="GKW118" s="15"/>
      <c r="GKX118" s="15"/>
      <c r="GKY118" s="15"/>
      <c r="GKZ118" s="15"/>
      <c r="GLA118" s="15"/>
      <c r="GLB118" s="15"/>
      <c r="GLC118" s="15"/>
      <c r="GLD118" s="15"/>
      <c r="GLE118" s="15"/>
      <c r="GLF118" s="15"/>
      <c r="GLG118" s="15"/>
      <c r="GLH118" s="15"/>
      <c r="GLI118" s="15"/>
      <c r="GLJ118" s="15"/>
      <c r="GLK118" s="15"/>
      <c r="GLL118" s="15"/>
      <c r="GLM118" s="15"/>
      <c r="GLN118" s="15"/>
      <c r="GLO118" s="15"/>
      <c r="GLP118" s="14"/>
      <c r="GLQ118" s="15"/>
      <c r="GLR118" s="15"/>
      <c r="GLS118" s="15"/>
      <c r="GLT118" s="15"/>
      <c r="GLU118" s="15"/>
      <c r="GLV118" s="15"/>
      <c r="GLW118" s="15"/>
      <c r="GLX118" s="15"/>
      <c r="GLY118" s="15"/>
      <c r="GLZ118" s="15"/>
      <c r="GMA118" s="15"/>
      <c r="GMB118" s="15"/>
      <c r="GMC118" s="15"/>
      <c r="GMD118" s="15"/>
      <c r="GME118" s="15"/>
      <c r="GMF118" s="15"/>
      <c r="GMG118" s="15"/>
      <c r="GMH118" s="15"/>
      <c r="GMI118" s="15"/>
      <c r="GMJ118" s="15"/>
      <c r="GMK118" s="15"/>
      <c r="GML118" s="14"/>
      <c r="GMM118" s="15"/>
      <c r="GMN118" s="15"/>
      <c r="GMO118" s="15"/>
      <c r="GMP118" s="15"/>
      <c r="GMQ118" s="15"/>
      <c r="GMR118" s="15"/>
      <c r="GMS118" s="15"/>
      <c r="GMT118" s="15"/>
      <c r="GMU118" s="15"/>
      <c r="GMV118" s="15"/>
      <c r="GMW118" s="15"/>
      <c r="GMX118" s="15"/>
      <c r="GMY118" s="15"/>
      <c r="GMZ118" s="15"/>
      <c r="GNA118" s="15"/>
      <c r="GNB118" s="15"/>
      <c r="GNC118" s="15"/>
      <c r="GND118" s="15"/>
      <c r="GNE118" s="15"/>
      <c r="GNF118" s="15"/>
      <c r="GNG118" s="15"/>
      <c r="GNH118" s="14"/>
      <c r="GNI118" s="15"/>
      <c r="GNJ118" s="15"/>
      <c r="GNK118" s="15"/>
      <c r="GNL118" s="15"/>
      <c r="GNM118" s="15"/>
      <c r="GNN118" s="15"/>
      <c r="GNO118" s="15"/>
      <c r="GNP118" s="15"/>
      <c r="GNQ118" s="15"/>
      <c r="GNR118" s="15"/>
      <c r="GNS118" s="15"/>
      <c r="GNT118" s="15"/>
      <c r="GNU118" s="15"/>
      <c r="GNV118" s="15"/>
      <c r="GNW118" s="15"/>
      <c r="GNX118" s="15"/>
      <c r="GNY118" s="15"/>
      <c r="GNZ118" s="15"/>
      <c r="GOA118" s="15"/>
      <c r="GOB118" s="15"/>
      <c r="GOC118" s="15"/>
      <c r="GOD118" s="14"/>
      <c r="GOE118" s="15"/>
      <c r="GOF118" s="15"/>
      <c r="GOG118" s="15"/>
      <c r="GOH118" s="15"/>
      <c r="GOI118" s="15"/>
      <c r="GOJ118" s="15"/>
      <c r="GOK118" s="15"/>
      <c r="GOL118" s="15"/>
      <c r="GOM118" s="15"/>
      <c r="GON118" s="15"/>
      <c r="GOO118" s="15"/>
      <c r="GOP118" s="15"/>
      <c r="GOQ118" s="15"/>
      <c r="GOR118" s="15"/>
      <c r="GOS118" s="15"/>
      <c r="GOT118" s="15"/>
      <c r="GOU118" s="15"/>
      <c r="GOV118" s="15"/>
      <c r="GOW118" s="15"/>
      <c r="GOX118" s="15"/>
      <c r="GOY118" s="15"/>
      <c r="GOZ118" s="14"/>
      <c r="GPA118" s="15"/>
      <c r="GPB118" s="15"/>
      <c r="GPC118" s="15"/>
      <c r="GPD118" s="15"/>
      <c r="GPE118" s="15"/>
      <c r="GPF118" s="15"/>
      <c r="GPG118" s="15"/>
      <c r="GPH118" s="15"/>
      <c r="GPI118" s="15"/>
      <c r="GPJ118" s="15"/>
      <c r="GPK118" s="15"/>
      <c r="GPL118" s="15"/>
      <c r="GPM118" s="15"/>
      <c r="GPN118" s="15"/>
      <c r="GPO118" s="15"/>
      <c r="GPP118" s="15"/>
      <c r="GPQ118" s="15"/>
      <c r="GPR118" s="15"/>
      <c r="GPS118" s="15"/>
      <c r="GPT118" s="15"/>
      <c r="GPU118" s="15"/>
      <c r="GPV118" s="14"/>
      <c r="GPW118" s="15"/>
      <c r="GPX118" s="15"/>
      <c r="GPY118" s="15"/>
      <c r="GPZ118" s="15"/>
      <c r="GQA118" s="15"/>
      <c r="GQB118" s="15"/>
      <c r="GQC118" s="15"/>
      <c r="GQD118" s="15"/>
      <c r="GQE118" s="15"/>
      <c r="GQF118" s="15"/>
      <c r="GQG118" s="15"/>
      <c r="GQH118" s="15"/>
      <c r="GQI118" s="15"/>
      <c r="GQJ118" s="15"/>
      <c r="GQK118" s="15"/>
      <c r="GQL118" s="15"/>
      <c r="GQM118" s="15"/>
      <c r="GQN118" s="15"/>
      <c r="GQO118" s="15"/>
      <c r="GQP118" s="15"/>
      <c r="GQQ118" s="15"/>
      <c r="GQR118" s="14"/>
      <c r="GQS118" s="15"/>
      <c r="GQT118" s="15"/>
      <c r="GQU118" s="15"/>
      <c r="GQV118" s="15"/>
      <c r="GQW118" s="15"/>
      <c r="GQX118" s="15"/>
      <c r="GQY118" s="15"/>
      <c r="GQZ118" s="15"/>
      <c r="GRA118" s="15"/>
      <c r="GRB118" s="15"/>
      <c r="GRC118" s="15"/>
      <c r="GRD118" s="15"/>
      <c r="GRE118" s="15"/>
      <c r="GRF118" s="15"/>
      <c r="GRG118" s="15"/>
      <c r="GRH118" s="15"/>
      <c r="GRI118" s="15"/>
      <c r="GRJ118" s="15"/>
      <c r="GRK118" s="15"/>
      <c r="GRL118" s="15"/>
      <c r="GRM118" s="15"/>
      <c r="GRN118" s="14"/>
      <c r="GRO118" s="15"/>
      <c r="GRP118" s="15"/>
      <c r="GRQ118" s="15"/>
      <c r="GRR118" s="15"/>
      <c r="GRS118" s="15"/>
      <c r="GRT118" s="15"/>
      <c r="GRU118" s="15"/>
      <c r="GRV118" s="15"/>
      <c r="GRW118" s="15"/>
      <c r="GRX118" s="15"/>
      <c r="GRY118" s="15"/>
      <c r="GRZ118" s="15"/>
      <c r="GSA118" s="15"/>
      <c r="GSB118" s="15"/>
      <c r="GSC118" s="15"/>
      <c r="GSD118" s="15"/>
      <c r="GSE118" s="15"/>
      <c r="GSF118" s="15"/>
      <c r="GSG118" s="15"/>
      <c r="GSH118" s="15"/>
      <c r="GSI118" s="15"/>
      <c r="GSJ118" s="14"/>
      <c r="GSK118" s="15"/>
      <c r="GSL118" s="15"/>
      <c r="GSM118" s="15"/>
      <c r="GSN118" s="15"/>
      <c r="GSO118" s="15"/>
      <c r="GSP118" s="15"/>
      <c r="GSQ118" s="15"/>
      <c r="GSR118" s="15"/>
      <c r="GSS118" s="15"/>
      <c r="GST118" s="15"/>
      <c r="GSU118" s="15"/>
      <c r="GSV118" s="15"/>
      <c r="GSW118" s="15"/>
      <c r="GSX118" s="15"/>
      <c r="GSY118" s="15"/>
      <c r="GSZ118" s="15"/>
      <c r="GTA118" s="15"/>
      <c r="GTB118" s="15"/>
      <c r="GTC118" s="15"/>
      <c r="GTD118" s="15"/>
      <c r="GTE118" s="15"/>
      <c r="GTF118" s="14"/>
      <c r="GTG118" s="15"/>
      <c r="GTH118" s="15"/>
      <c r="GTI118" s="15"/>
      <c r="GTJ118" s="15"/>
      <c r="GTK118" s="15"/>
      <c r="GTL118" s="15"/>
      <c r="GTM118" s="15"/>
      <c r="GTN118" s="15"/>
      <c r="GTO118" s="15"/>
      <c r="GTP118" s="15"/>
      <c r="GTQ118" s="15"/>
      <c r="GTR118" s="15"/>
      <c r="GTS118" s="15"/>
      <c r="GTT118" s="15"/>
      <c r="GTU118" s="15"/>
      <c r="GTV118" s="15"/>
      <c r="GTW118" s="15"/>
      <c r="GTX118" s="15"/>
      <c r="GTY118" s="15"/>
      <c r="GTZ118" s="15"/>
      <c r="GUA118" s="15"/>
      <c r="GUB118" s="14"/>
      <c r="GUC118" s="15"/>
      <c r="GUD118" s="15"/>
      <c r="GUE118" s="15"/>
      <c r="GUF118" s="15"/>
      <c r="GUG118" s="15"/>
      <c r="GUH118" s="15"/>
      <c r="GUI118" s="15"/>
      <c r="GUJ118" s="15"/>
      <c r="GUK118" s="15"/>
      <c r="GUL118" s="15"/>
      <c r="GUM118" s="15"/>
      <c r="GUN118" s="15"/>
      <c r="GUO118" s="15"/>
      <c r="GUP118" s="15"/>
      <c r="GUQ118" s="15"/>
      <c r="GUR118" s="15"/>
      <c r="GUS118" s="15"/>
      <c r="GUT118" s="15"/>
      <c r="GUU118" s="15"/>
      <c r="GUV118" s="15"/>
      <c r="GUW118" s="15"/>
      <c r="GUX118" s="14"/>
      <c r="GUY118" s="15"/>
      <c r="GUZ118" s="15"/>
      <c r="GVA118" s="15"/>
      <c r="GVB118" s="15"/>
      <c r="GVC118" s="15"/>
      <c r="GVD118" s="15"/>
      <c r="GVE118" s="15"/>
      <c r="GVF118" s="15"/>
      <c r="GVG118" s="15"/>
      <c r="GVH118" s="15"/>
      <c r="GVI118" s="15"/>
      <c r="GVJ118" s="15"/>
      <c r="GVK118" s="15"/>
      <c r="GVL118" s="15"/>
      <c r="GVM118" s="15"/>
      <c r="GVN118" s="15"/>
      <c r="GVO118" s="15"/>
      <c r="GVP118" s="15"/>
      <c r="GVQ118" s="15"/>
      <c r="GVR118" s="15"/>
      <c r="GVS118" s="15"/>
      <c r="GVT118" s="14"/>
      <c r="GVU118" s="15"/>
      <c r="GVV118" s="15"/>
      <c r="GVW118" s="15"/>
      <c r="GVX118" s="15"/>
      <c r="GVY118" s="15"/>
      <c r="GVZ118" s="15"/>
      <c r="GWA118" s="15"/>
      <c r="GWB118" s="15"/>
      <c r="GWC118" s="15"/>
      <c r="GWD118" s="15"/>
      <c r="GWE118" s="15"/>
      <c r="GWF118" s="15"/>
      <c r="GWG118" s="15"/>
      <c r="GWH118" s="15"/>
      <c r="GWI118" s="15"/>
      <c r="GWJ118" s="15"/>
      <c r="GWK118" s="15"/>
      <c r="GWL118" s="15"/>
      <c r="GWM118" s="15"/>
      <c r="GWN118" s="15"/>
      <c r="GWO118" s="15"/>
      <c r="GWP118" s="14"/>
      <c r="GWQ118" s="15"/>
      <c r="GWR118" s="15"/>
      <c r="GWS118" s="15"/>
      <c r="GWT118" s="15"/>
      <c r="GWU118" s="15"/>
      <c r="GWV118" s="15"/>
      <c r="GWW118" s="15"/>
      <c r="GWX118" s="15"/>
      <c r="GWY118" s="15"/>
      <c r="GWZ118" s="15"/>
      <c r="GXA118" s="15"/>
      <c r="GXB118" s="15"/>
      <c r="GXC118" s="15"/>
      <c r="GXD118" s="15"/>
      <c r="GXE118" s="15"/>
      <c r="GXF118" s="15"/>
      <c r="GXG118" s="15"/>
      <c r="GXH118" s="15"/>
      <c r="GXI118" s="15"/>
      <c r="GXJ118" s="15"/>
      <c r="GXK118" s="15"/>
      <c r="GXL118" s="14"/>
      <c r="GXM118" s="15"/>
      <c r="GXN118" s="15"/>
      <c r="GXO118" s="15"/>
      <c r="GXP118" s="15"/>
      <c r="GXQ118" s="15"/>
      <c r="GXR118" s="15"/>
      <c r="GXS118" s="15"/>
      <c r="GXT118" s="15"/>
      <c r="GXU118" s="15"/>
      <c r="GXV118" s="15"/>
      <c r="GXW118" s="15"/>
      <c r="GXX118" s="15"/>
      <c r="GXY118" s="15"/>
      <c r="GXZ118" s="15"/>
      <c r="GYA118" s="15"/>
      <c r="GYB118" s="15"/>
      <c r="GYC118" s="15"/>
      <c r="GYD118" s="15"/>
      <c r="GYE118" s="15"/>
      <c r="GYF118" s="15"/>
      <c r="GYG118" s="15"/>
      <c r="GYH118" s="14"/>
      <c r="GYI118" s="15"/>
      <c r="GYJ118" s="15"/>
      <c r="GYK118" s="15"/>
      <c r="GYL118" s="15"/>
      <c r="GYM118" s="15"/>
      <c r="GYN118" s="15"/>
      <c r="GYO118" s="15"/>
      <c r="GYP118" s="15"/>
      <c r="GYQ118" s="15"/>
      <c r="GYR118" s="15"/>
      <c r="GYS118" s="15"/>
      <c r="GYT118" s="15"/>
      <c r="GYU118" s="15"/>
      <c r="GYV118" s="15"/>
      <c r="GYW118" s="15"/>
      <c r="GYX118" s="15"/>
      <c r="GYY118" s="15"/>
      <c r="GYZ118" s="15"/>
      <c r="GZA118" s="15"/>
      <c r="GZB118" s="15"/>
      <c r="GZC118" s="15"/>
      <c r="GZD118" s="14"/>
      <c r="GZE118" s="15"/>
      <c r="GZF118" s="15"/>
      <c r="GZG118" s="15"/>
      <c r="GZH118" s="15"/>
      <c r="GZI118" s="15"/>
      <c r="GZJ118" s="15"/>
      <c r="GZK118" s="15"/>
      <c r="GZL118" s="15"/>
      <c r="GZM118" s="15"/>
      <c r="GZN118" s="15"/>
      <c r="GZO118" s="15"/>
      <c r="GZP118" s="15"/>
      <c r="GZQ118" s="15"/>
      <c r="GZR118" s="15"/>
      <c r="GZS118" s="15"/>
      <c r="GZT118" s="15"/>
      <c r="GZU118" s="15"/>
      <c r="GZV118" s="15"/>
      <c r="GZW118" s="15"/>
      <c r="GZX118" s="15"/>
      <c r="GZY118" s="15"/>
      <c r="GZZ118" s="14"/>
      <c r="HAA118" s="15"/>
      <c r="HAB118" s="15"/>
      <c r="HAC118" s="15"/>
      <c r="HAD118" s="15"/>
      <c r="HAE118" s="15"/>
      <c r="HAF118" s="15"/>
      <c r="HAG118" s="15"/>
      <c r="HAH118" s="15"/>
      <c r="HAI118" s="15"/>
      <c r="HAJ118" s="15"/>
      <c r="HAK118" s="15"/>
      <c r="HAL118" s="15"/>
      <c r="HAM118" s="15"/>
      <c r="HAN118" s="15"/>
      <c r="HAO118" s="15"/>
      <c r="HAP118" s="15"/>
      <c r="HAQ118" s="15"/>
      <c r="HAR118" s="15"/>
      <c r="HAS118" s="15"/>
      <c r="HAT118" s="15"/>
      <c r="HAU118" s="15"/>
      <c r="HAV118" s="14"/>
      <c r="HAW118" s="15"/>
      <c r="HAX118" s="15"/>
      <c r="HAY118" s="15"/>
      <c r="HAZ118" s="15"/>
      <c r="HBA118" s="15"/>
      <c r="HBB118" s="15"/>
      <c r="HBC118" s="15"/>
      <c r="HBD118" s="15"/>
      <c r="HBE118" s="15"/>
      <c r="HBF118" s="15"/>
      <c r="HBG118" s="15"/>
      <c r="HBH118" s="15"/>
      <c r="HBI118" s="15"/>
      <c r="HBJ118" s="15"/>
      <c r="HBK118" s="15"/>
      <c r="HBL118" s="15"/>
      <c r="HBM118" s="15"/>
      <c r="HBN118" s="15"/>
      <c r="HBO118" s="15"/>
      <c r="HBP118" s="15"/>
      <c r="HBQ118" s="15"/>
      <c r="HBR118" s="14"/>
      <c r="HBS118" s="15"/>
      <c r="HBT118" s="15"/>
      <c r="HBU118" s="15"/>
      <c r="HBV118" s="15"/>
      <c r="HBW118" s="15"/>
      <c r="HBX118" s="15"/>
      <c r="HBY118" s="15"/>
      <c r="HBZ118" s="15"/>
      <c r="HCA118" s="15"/>
      <c r="HCB118" s="15"/>
      <c r="HCC118" s="15"/>
      <c r="HCD118" s="15"/>
      <c r="HCE118" s="15"/>
      <c r="HCF118" s="15"/>
      <c r="HCG118" s="15"/>
      <c r="HCH118" s="15"/>
      <c r="HCI118" s="15"/>
      <c r="HCJ118" s="15"/>
      <c r="HCK118" s="15"/>
      <c r="HCL118" s="15"/>
      <c r="HCM118" s="15"/>
      <c r="HCN118" s="14"/>
      <c r="HCO118" s="15"/>
      <c r="HCP118" s="15"/>
      <c r="HCQ118" s="15"/>
      <c r="HCR118" s="15"/>
      <c r="HCS118" s="15"/>
      <c r="HCT118" s="15"/>
      <c r="HCU118" s="15"/>
      <c r="HCV118" s="15"/>
      <c r="HCW118" s="15"/>
      <c r="HCX118" s="15"/>
      <c r="HCY118" s="15"/>
      <c r="HCZ118" s="15"/>
      <c r="HDA118" s="15"/>
      <c r="HDB118" s="15"/>
      <c r="HDC118" s="15"/>
      <c r="HDD118" s="15"/>
      <c r="HDE118" s="15"/>
      <c r="HDF118" s="15"/>
      <c r="HDG118" s="15"/>
      <c r="HDH118" s="15"/>
      <c r="HDI118" s="15"/>
      <c r="HDJ118" s="14"/>
      <c r="HDK118" s="15"/>
      <c r="HDL118" s="15"/>
      <c r="HDM118" s="15"/>
      <c r="HDN118" s="15"/>
      <c r="HDO118" s="15"/>
      <c r="HDP118" s="15"/>
      <c r="HDQ118" s="15"/>
      <c r="HDR118" s="15"/>
      <c r="HDS118" s="15"/>
      <c r="HDT118" s="15"/>
      <c r="HDU118" s="15"/>
      <c r="HDV118" s="15"/>
      <c r="HDW118" s="15"/>
      <c r="HDX118" s="15"/>
      <c r="HDY118" s="15"/>
      <c r="HDZ118" s="15"/>
      <c r="HEA118" s="15"/>
      <c r="HEB118" s="15"/>
      <c r="HEC118" s="15"/>
      <c r="HED118" s="15"/>
      <c r="HEE118" s="15"/>
      <c r="HEF118" s="14"/>
      <c r="HEG118" s="15"/>
      <c r="HEH118" s="15"/>
      <c r="HEI118" s="15"/>
      <c r="HEJ118" s="15"/>
      <c r="HEK118" s="15"/>
      <c r="HEL118" s="15"/>
      <c r="HEM118" s="15"/>
      <c r="HEN118" s="15"/>
      <c r="HEO118" s="15"/>
      <c r="HEP118" s="15"/>
      <c r="HEQ118" s="15"/>
      <c r="HER118" s="15"/>
      <c r="HES118" s="15"/>
      <c r="HET118" s="15"/>
      <c r="HEU118" s="15"/>
      <c r="HEV118" s="15"/>
      <c r="HEW118" s="15"/>
      <c r="HEX118" s="15"/>
      <c r="HEY118" s="15"/>
      <c r="HEZ118" s="15"/>
      <c r="HFA118" s="15"/>
      <c r="HFB118" s="14"/>
      <c r="HFC118" s="15"/>
      <c r="HFD118" s="15"/>
      <c r="HFE118" s="15"/>
      <c r="HFF118" s="15"/>
      <c r="HFG118" s="15"/>
      <c r="HFH118" s="15"/>
      <c r="HFI118" s="15"/>
      <c r="HFJ118" s="15"/>
      <c r="HFK118" s="15"/>
      <c r="HFL118" s="15"/>
      <c r="HFM118" s="15"/>
      <c r="HFN118" s="15"/>
      <c r="HFO118" s="15"/>
      <c r="HFP118" s="15"/>
      <c r="HFQ118" s="15"/>
      <c r="HFR118" s="15"/>
      <c r="HFS118" s="15"/>
      <c r="HFT118" s="15"/>
      <c r="HFU118" s="15"/>
      <c r="HFV118" s="15"/>
      <c r="HFW118" s="15"/>
      <c r="HFX118" s="14"/>
      <c r="HFY118" s="15"/>
      <c r="HFZ118" s="15"/>
      <c r="HGA118" s="15"/>
      <c r="HGB118" s="15"/>
      <c r="HGC118" s="15"/>
      <c r="HGD118" s="15"/>
      <c r="HGE118" s="15"/>
      <c r="HGF118" s="15"/>
      <c r="HGG118" s="15"/>
      <c r="HGH118" s="15"/>
      <c r="HGI118" s="15"/>
      <c r="HGJ118" s="15"/>
      <c r="HGK118" s="15"/>
      <c r="HGL118" s="15"/>
      <c r="HGM118" s="15"/>
      <c r="HGN118" s="15"/>
      <c r="HGO118" s="15"/>
      <c r="HGP118" s="15"/>
      <c r="HGQ118" s="15"/>
      <c r="HGR118" s="15"/>
      <c r="HGS118" s="15"/>
      <c r="HGT118" s="14"/>
      <c r="HGU118" s="15"/>
      <c r="HGV118" s="15"/>
      <c r="HGW118" s="15"/>
      <c r="HGX118" s="15"/>
      <c r="HGY118" s="15"/>
      <c r="HGZ118" s="15"/>
      <c r="HHA118" s="15"/>
      <c r="HHB118" s="15"/>
      <c r="HHC118" s="15"/>
      <c r="HHD118" s="15"/>
      <c r="HHE118" s="15"/>
      <c r="HHF118" s="15"/>
      <c r="HHG118" s="15"/>
      <c r="HHH118" s="15"/>
      <c r="HHI118" s="15"/>
      <c r="HHJ118" s="15"/>
      <c r="HHK118" s="15"/>
      <c r="HHL118" s="15"/>
      <c r="HHM118" s="15"/>
      <c r="HHN118" s="15"/>
      <c r="HHO118" s="15"/>
      <c r="HHP118" s="14"/>
      <c r="HHQ118" s="15"/>
      <c r="HHR118" s="15"/>
      <c r="HHS118" s="15"/>
      <c r="HHT118" s="15"/>
      <c r="HHU118" s="15"/>
      <c r="HHV118" s="15"/>
      <c r="HHW118" s="15"/>
      <c r="HHX118" s="15"/>
      <c r="HHY118" s="15"/>
      <c r="HHZ118" s="15"/>
      <c r="HIA118" s="15"/>
      <c r="HIB118" s="15"/>
      <c r="HIC118" s="15"/>
      <c r="HID118" s="15"/>
      <c r="HIE118" s="15"/>
      <c r="HIF118" s="15"/>
      <c r="HIG118" s="15"/>
      <c r="HIH118" s="15"/>
      <c r="HII118" s="15"/>
      <c r="HIJ118" s="15"/>
      <c r="HIK118" s="15"/>
      <c r="HIL118" s="14"/>
      <c r="HIM118" s="15"/>
      <c r="HIN118" s="15"/>
      <c r="HIO118" s="15"/>
      <c r="HIP118" s="15"/>
      <c r="HIQ118" s="15"/>
      <c r="HIR118" s="15"/>
      <c r="HIS118" s="15"/>
      <c r="HIT118" s="15"/>
      <c r="HIU118" s="15"/>
      <c r="HIV118" s="15"/>
      <c r="HIW118" s="15"/>
      <c r="HIX118" s="15"/>
      <c r="HIY118" s="15"/>
      <c r="HIZ118" s="15"/>
      <c r="HJA118" s="15"/>
      <c r="HJB118" s="15"/>
      <c r="HJC118" s="15"/>
      <c r="HJD118" s="15"/>
      <c r="HJE118" s="15"/>
      <c r="HJF118" s="15"/>
      <c r="HJG118" s="15"/>
      <c r="HJH118" s="14"/>
      <c r="HJI118" s="15"/>
      <c r="HJJ118" s="15"/>
      <c r="HJK118" s="15"/>
      <c r="HJL118" s="15"/>
      <c r="HJM118" s="15"/>
      <c r="HJN118" s="15"/>
      <c r="HJO118" s="15"/>
      <c r="HJP118" s="15"/>
      <c r="HJQ118" s="15"/>
      <c r="HJR118" s="15"/>
      <c r="HJS118" s="15"/>
      <c r="HJT118" s="15"/>
      <c r="HJU118" s="15"/>
      <c r="HJV118" s="15"/>
      <c r="HJW118" s="15"/>
      <c r="HJX118" s="15"/>
      <c r="HJY118" s="15"/>
      <c r="HJZ118" s="15"/>
      <c r="HKA118" s="15"/>
      <c r="HKB118" s="15"/>
      <c r="HKC118" s="15"/>
      <c r="HKD118" s="14"/>
      <c r="HKE118" s="15"/>
      <c r="HKF118" s="15"/>
      <c r="HKG118" s="15"/>
      <c r="HKH118" s="15"/>
      <c r="HKI118" s="15"/>
      <c r="HKJ118" s="15"/>
      <c r="HKK118" s="15"/>
      <c r="HKL118" s="15"/>
      <c r="HKM118" s="15"/>
      <c r="HKN118" s="15"/>
      <c r="HKO118" s="15"/>
      <c r="HKP118" s="15"/>
      <c r="HKQ118" s="15"/>
      <c r="HKR118" s="15"/>
      <c r="HKS118" s="15"/>
      <c r="HKT118" s="15"/>
      <c r="HKU118" s="15"/>
      <c r="HKV118" s="15"/>
      <c r="HKW118" s="15"/>
      <c r="HKX118" s="15"/>
      <c r="HKY118" s="15"/>
      <c r="HKZ118" s="14"/>
      <c r="HLA118" s="15"/>
      <c r="HLB118" s="15"/>
      <c r="HLC118" s="15"/>
      <c r="HLD118" s="15"/>
      <c r="HLE118" s="15"/>
      <c r="HLF118" s="15"/>
      <c r="HLG118" s="15"/>
      <c r="HLH118" s="15"/>
      <c r="HLI118" s="15"/>
      <c r="HLJ118" s="15"/>
      <c r="HLK118" s="15"/>
      <c r="HLL118" s="15"/>
      <c r="HLM118" s="15"/>
      <c r="HLN118" s="15"/>
      <c r="HLO118" s="15"/>
      <c r="HLP118" s="15"/>
      <c r="HLQ118" s="15"/>
      <c r="HLR118" s="15"/>
      <c r="HLS118" s="15"/>
      <c r="HLT118" s="15"/>
      <c r="HLU118" s="15"/>
      <c r="HLV118" s="14"/>
      <c r="HLW118" s="15"/>
      <c r="HLX118" s="15"/>
      <c r="HLY118" s="15"/>
      <c r="HLZ118" s="15"/>
      <c r="HMA118" s="15"/>
      <c r="HMB118" s="15"/>
      <c r="HMC118" s="15"/>
      <c r="HMD118" s="15"/>
      <c r="HME118" s="15"/>
      <c r="HMF118" s="15"/>
      <c r="HMG118" s="15"/>
      <c r="HMH118" s="15"/>
      <c r="HMI118" s="15"/>
      <c r="HMJ118" s="15"/>
      <c r="HMK118" s="15"/>
      <c r="HML118" s="15"/>
      <c r="HMM118" s="15"/>
      <c r="HMN118" s="15"/>
      <c r="HMO118" s="15"/>
      <c r="HMP118" s="15"/>
      <c r="HMQ118" s="15"/>
      <c r="HMR118" s="14"/>
      <c r="HMS118" s="15"/>
      <c r="HMT118" s="15"/>
      <c r="HMU118" s="15"/>
      <c r="HMV118" s="15"/>
      <c r="HMW118" s="15"/>
      <c r="HMX118" s="15"/>
      <c r="HMY118" s="15"/>
      <c r="HMZ118" s="15"/>
      <c r="HNA118" s="15"/>
      <c r="HNB118" s="15"/>
      <c r="HNC118" s="15"/>
      <c r="HND118" s="15"/>
      <c r="HNE118" s="15"/>
      <c r="HNF118" s="15"/>
      <c r="HNG118" s="15"/>
      <c r="HNH118" s="15"/>
      <c r="HNI118" s="15"/>
      <c r="HNJ118" s="15"/>
      <c r="HNK118" s="15"/>
      <c r="HNL118" s="15"/>
      <c r="HNM118" s="15"/>
      <c r="HNN118" s="14"/>
      <c r="HNO118" s="15"/>
      <c r="HNP118" s="15"/>
      <c r="HNQ118" s="15"/>
      <c r="HNR118" s="15"/>
      <c r="HNS118" s="15"/>
      <c r="HNT118" s="15"/>
      <c r="HNU118" s="15"/>
      <c r="HNV118" s="15"/>
      <c r="HNW118" s="15"/>
      <c r="HNX118" s="15"/>
      <c r="HNY118" s="15"/>
      <c r="HNZ118" s="15"/>
      <c r="HOA118" s="15"/>
      <c r="HOB118" s="15"/>
      <c r="HOC118" s="15"/>
      <c r="HOD118" s="15"/>
      <c r="HOE118" s="15"/>
      <c r="HOF118" s="15"/>
      <c r="HOG118" s="15"/>
      <c r="HOH118" s="15"/>
      <c r="HOI118" s="15"/>
      <c r="HOJ118" s="14"/>
      <c r="HOK118" s="15"/>
      <c r="HOL118" s="15"/>
      <c r="HOM118" s="15"/>
      <c r="HON118" s="15"/>
      <c r="HOO118" s="15"/>
      <c r="HOP118" s="15"/>
      <c r="HOQ118" s="15"/>
      <c r="HOR118" s="15"/>
      <c r="HOS118" s="15"/>
      <c r="HOT118" s="15"/>
      <c r="HOU118" s="15"/>
      <c r="HOV118" s="15"/>
      <c r="HOW118" s="15"/>
      <c r="HOX118" s="15"/>
      <c r="HOY118" s="15"/>
      <c r="HOZ118" s="15"/>
      <c r="HPA118" s="15"/>
      <c r="HPB118" s="15"/>
      <c r="HPC118" s="15"/>
      <c r="HPD118" s="15"/>
      <c r="HPE118" s="15"/>
      <c r="HPF118" s="14"/>
      <c r="HPG118" s="15"/>
      <c r="HPH118" s="15"/>
      <c r="HPI118" s="15"/>
      <c r="HPJ118" s="15"/>
      <c r="HPK118" s="15"/>
      <c r="HPL118" s="15"/>
      <c r="HPM118" s="15"/>
      <c r="HPN118" s="15"/>
      <c r="HPO118" s="15"/>
      <c r="HPP118" s="15"/>
      <c r="HPQ118" s="15"/>
      <c r="HPR118" s="15"/>
      <c r="HPS118" s="15"/>
      <c r="HPT118" s="15"/>
      <c r="HPU118" s="15"/>
      <c r="HPV118" s="15"/>
      <c r="HPW118" s="15"/>
      <c r="HPX118" s="15"/>
      <c r="HPY118" s="15"/>
      <c r="HPZ118" s="15"/>
      <c r="HQA118" s="15"/>
      <c r="HQB118" s="14"/>
      <c r="HQC118" s="15"/>
      <c r="HQD118" s="15"/>
      <c r="HQE118" s="15"/>
      <c r="HQF118" s="15"/>
      <c r="HQG118" s="15"/>
      <c r="HQH118" s="15"/>
      <c r="HQI118" s="15"/>
      <c r="HQJ118" s="15"/>
      <c r="HQK118" s="15"/>
      <c r="HQL118" s="15"/>
      <c r="HQM118" s="15"/>
      <c r="HQN118" s="15"/>
      <c r="HQO118" s="15"/>
      <c r="HQP118" s="15"/>
      <c r="HQQ118" s="15"/>
      <c r="HQR118" s="15"/>
      <c r="HQS118" s="15"/>
      <c r="HQT118" s="15"/>
      <c r="HQU118" s="15"/>
      <c r="HQV118" s="15"/>
      <c r="HQW118" s="15"/>
      <c r="HQX118" s="14"/>
      <c r="HQY118" s="15"/>
      <c r="HQZ118" s="15"/>
      <c r="HRA118" s="15"/>
      <c r="HRB118" s="15"/>
      <c r="HRC118" s="15"/>
      <c r="HRD118" s="15"/>
      <c r="HRE118" s="15"/>
      <c r="HRF118" s="15"/>
      <c r="HRG118" s="15"/>
      <c r="HRH118" s="15"/>
      <c r="HRI118" s="15"/>
      <c r="HRJ118" s="15"/>
      <c r="HRK118" s="15"/>
      <c r="HRL118" s="15"/>
      <c r="HRM118" s="15"/>
      <c r="HRN118" s="15"/>
      <c r="HRO118" s="15"/>
      <c r="HRP118" s="15"/>
      <c r="HRQ118" s="15"/>
      <c r="HRR118" s="15"/>
      <c r="HRS118" s="15"/>
      <c r="HRT118" s="14"/>
      <c r="HRU118" s="15"/>
      <c r="HRV118" s="15"/>
      <c r="HRW118" s="15"/>
      <c r="HRX118" s="15"/>
      <c r="HRY118" s="15"/>
      <c r="HRZ118" s="15"/>
      <c r="HSA118" s="15"/>
      <c r="HSB118" s="15"/>
      <c r="HSC118" s="15"/>
      <c r="HSD118" s="15"/>
      <c r="HSE118" s="15"/>
      <c r="HSF118" s="15"/>
      <c r="HSG118" s="15"/>
      <c r="HSH118" s="15"/>
      <c r="HSI118" s="15"/>
      <c r="HSJ118" s="15"/>
      <c r="HSK118" s="15"/>
      <c r="HSL118" s="15"/>
      <c r="HSM118" s="15"/>
      <c r="HSN118" s="15"/>
      <c r="HSO118" s="15"/>
      <c r="HSP118" s="14"/>
      <c r="HSQ118" s="15"/>
      <c r="HSR118" s="15"/>
      <c r="HSS118" s="15"/>
      <c r="HST118" s="15"/>
      <c r="HSU118" s="15"/>
      <c r="HSV118" s="15"/>
      <c r="HSW118" s="15"/>
      <c r="HSX118" s="15"/>
      <c r="HSY118" s="15"/>
      <c r="HSZ118" s="15"/>
      <c r="HTA118" s="15"/>
      <c r="HTB118" s="15"/>
      <c r="HTC118" s="15"/>
      <c r="HTD118" s="15"/>
      <c r="HTE118" s="15"/>
      <c r="HTF118" s="15"/>
      <c r="HTG118" s="15"/>
      <c r="HTH118" s="15"/>
      <c r="HTI118" s="15"/>
      <c r="HTJ118" s="15"/>
      <c r="HTK118" s="15"/>
      <c r="HTL118" s="14"/>
      <c r="HTM118" s="15"/>
      <c r="HTN118" s="15"/>
      <c r="HTO118" s="15"/>
      <c r="HTP118" s="15"/>
      <c r="HTQ118" s="15"/>
      <c r="HTR118" s="15"/>
      <c r="HTS118" s="15"/>
      <c r="HTT118" s="15"/>
      <c r="HTU118" s="15"/>
      <c r="HTV118" s="15"/>
      <c r="HTW118" s="15"/>
      <c r="HTX118" s="15"/>
      <c r="HTY118" s="15"/>
      <c r="HTZ118" s="15"/>
      <c r="HUA118" s="15"/>
      <c r="HUB118" s="15"/>
      <c r="HUC118" s="15"/>
      <c r="HUD118" s="15"/>
      <c r="HUE118" s="15"/>
      <c r="HUF118" s="15"/>
      <c r="HUG118" s="15"/>
      <c r="HUH118" s="14"/>
      <c r="HUI118" s="15"/>
      <c r="HUJ118" s="15"/>
      <c r="HUK118" s="15"/>
      <c r="HUL118" s="15"/>
      <c r="HUM118" s="15"/>
      <c r="HUN118" s="15"/>
      <c r="HUO118" s="15"/>
      <c r="HUP118" s="15"/>
      <c r="HUQ118" s="15"/>
      <c r="HUR118" s="15"/>
      <c r="HUS118" s="15"/>
      <c r="HUT118" s="15"/>
      <c r="HUU118" s="15"/>
      <c r="HUV118" s="15"/>
      <c r="HUW118" s="15"/>
      <c r="HUX118" s="15"/>
      <c r="HUY118" s="15"/>
      <c r="HUZ118" s="15"/>
      <c r="HVA118" s="15"/>
      <c r="HVB118" s="15"/>
      <c r="HVC118" s="15"/>
      <c r="HVD118" s="14"/>
      <c r="HVE118" s="15"/>
      <c r="HVF118" s="15"/>
      <c r="HVG118" s="15"/>
      <c r="HVH118" s="15"/>
      <c r="HVI118" s="15"/>
      <c r="HVJ118" s="15"/>
      <c r="HVK118" s="15"/>
      <c r="HVL118" s="15"/>
      <c r="HVM118" s="15"/>
      <c r="HVN118" s="15"/>
      <c r="HVO118" s="15"/>
      <c r="HVP118" s="15"/>
      <c r="HVQ118" s="15"/>
      <c r="HVR118" s="15"/>
      <c r="HVS118" s="15"/>
      <c r="HVT118" s="15"/>
      <c r="HVU118" s="15"/>
      <c r="HVV118" s="15"/>
      <c r="HVW118" s="15"/>
      <c r="HVX118" s="15"/>
      <c r="HVY118" s="15"/>
      <c r="HVZ118" s="14"/>
      <c r="HWA118" s="15"/>
      <c r="HWB118" s="15"/>
      <c r="HWC118" s="15"/>
      <c r="HWD118" s="15"/>
      <c r="HWE118" s="15"/>
      <c r="HWF118" s="15"/>
      <c r="HWG118" s="15"/>
      <c r="HWH118" s="15"/>
      <c r="HWI118" s="15"/>
      <c r="HWJ118" s="15"/>
      <c r="HWK118" s="15"/>
      <c r="HWL118" s="15"/>
      <c r="HWM118" s="15"/>
      <c r="HWN118" s="15"/>
      <c r="HWO118" s="15"/>
      <c r="HWP118" s="15"/>
      <c r="HWQ118" s="15"/>
      <c r="HWR118" s="15"/>
      <c r="HWS118" s="15"/>
      <c r="HWT118" s="15"/>
      <c r="HWU118" s="15"/>
      <c r="HWV118" s="14"/>
      <c r="HWW118" s="15"/>
      <c r="HWX118" s="15"/>
      <c r="HWY118" s="15"/>
      <c r="HWZ118" s="15"/>
      <c r="HXA118" s="15"/>
      <c r="HXB118" s="15"/>
      <c r="HXC118" s="15"/>
      <c r="HXD118" s="15"/>
      <c r="HXE118" s="15"/>
      <c r="HXF118" s="15"/>
      <c r="HXG118" s="15"/>
      <c r="HXH118" s="15"/>
      <c r="HXI118" s="15"/>
      <c r="HXJ118" s="15"/>
      <c r="HXK118" s="15"/>
      <c r="HXL118" s="15"/>
      <c r="HXM118" s="15"/>
      <c r="HXN118" s="15"/>
      <c r="HXO118" s="15"/>
      <c r="HXP118" s="15"/>
      <c r="HXQ118" s="15"/>
      <c r="HXR118" s="14"/>
      <c r="HXS118" s="15"/>
      <c r="HXT118" s="15"/>
      <c r="HXU118" s="15"/>
      <c r="HXV118" s="15"/>
      <c r="HXW118" s="15"/>
      <c r="HXX118" s="15"/>
      <c r="HXY118" s="15"/>
      <c r="HXZ118" s="15"/>
      <c r="HYA118" s="15"/>
      <c r="HYB118" s="15"/>
      <c r="HYC118" s="15"/>
      <c r="HYD118" s="15"/>
      <c r="HYE118" s="15"/>
      <c r="HYF118" s="15"/>
      <c r="HYG118" s="15"/>
      <c r="HYH118" s="15"/>
      <c r="HYI118" s="15"/>
      <c r="HYJ118" s="15"/>
      <c r="HYK118" s="15"/>
      <c r="HYL118" s="15"/>
      <c r="HYM118" s="15"/>
      <c r="HYN118" s="14"/>
      <c r="HYO118" s="15"/>
      <c r="HYP118" s="15"/>
      <c r="HYQ118" s="15"/>
      <c r="HYR118" s="15"/>
      <c r="HYS118" s="15"/>
      <c r="HYT118" s="15"/>
      <c r="HYU118" s="15"/>
      <c r="HYV118" s="15"/>
      <c r="HYW118" s="15"/>
      <c r="HYX118" s="15"/>
      <c r="HYY118" s="15"/>
      <c r="HYZ118" s="15"/>
      <c r="HZA118" s="15"/>
      <c r="HZB118" s="15"/>
      <c r="HZC118" s="15"/>
      <c r="HZD118" s="15"/>
      <c r="HZE118" s="15"/>
      <c r="HZF118" s="15"/>
      <c r="HZG118" s="15"/>
      <c r="HZH118" s="15"/>
      <c r="HZI118" s="15"/>
      <c r="HZJ118" s="14"/>
      <c r="HZK118" s="15"/>
      <c r="HZL118" s="15"/>
      <c r="HZM118" s="15"/>
      <c r="HZN118" s="15"/>
      <c r="HZO118" s="15"/>
      <c r="HZP118" s="15"/>
      <c r="HZQ118" s="15"/>
      <c r="HZR118" s="15"/>
      <c r="HZS118" s="15"/>
      <c r="HZT118" s="15"/>
      <c r="HZU118" s="15"/>
      <c r="HZV118" s="15"/>
      <c r="HZW118" s="15"/>
      <c r="HZX118" s="15"/>
      <c r="HZY118" s="15"/>
      <c r="HZZ118" s="15"/>
      <c r="IAA118" s="15"/>
      <c r="IAB118" s="15"/>
      <c r="IAC118" s="15"/>
      <c r="IAD118" s="15"/>
      <c r="IAE118" s="15"/>
      <c r="IAF118" s="14"/>
      <c r="IAG118" s="15"/>
      <c r="IAH118" s="15"/>
      <c r="IAI118" s="15"/>
      <c r="IAJ118" s="15"/>
      <c r="IAK118" s="15"/>
      <c r="IAL118" s="15"/>
      <c r="IAM118" s="15"/>
      <c r="IAN118" s="15"/>
      <c r="IAO118" s="15"/>
      <c r="IAP118" s="15"/>
      <c r="IAQ118" s="15"/>
      <c r="IAR118" s="15"/>
      <c r="IAS118" s="15"/>
      <c r="IAT118" s="15"/>
      <c r="IAU118" s="15"/>
      <c r="IAV118" s="15"/>
      <c r="IAW118" s="15"/>
      <c r="IAX118" s="15"/>
      <c r="IAY118" s="15"/>
      <c r="IAZ118" s="15"/>
      <c r="IBA118" s="15"/>
      <c r="IBB118" s="14"/>
      <c r="IBC118" s="15"/>
      <c r="IBD118" s="15"/>
      <c r="IBE118" s="15"/>
      <c r="IBF118" s="15"/>
      <c r="IBG118" s="15"/>
      <c r="IBH118" s="15"/>
      <c r="IBI118" s="15"/>
      <c r="IBJ118" s="15"/>
      <c r="IBK118" s="15"/>
      <c r="IBL118" s="15"/>
      <c r="IBM118" s="15"/>
      <c r="IBN118" s="15"/>
      <c r="IBO118" s="15"/>
      <c r="IBP118" s="15"/>
      <c r="IBQ118" s="15"/>
      <c r="IBR118" s="15"/>
      <c r="IBS118" s="15"/>
      <c r="IBT118" s="15"/>
      <c r="IBU118" s="15"/>
      <c r="IBV118" s="15"/>
      <c r="IBW118" s="15"/>
      <c r="IBX118" s="14"/>
      <c r="IBY118" s="15"/>
      <c r="IBZ118" s="15"/>
      <c r="ICA118" s="15"/>
      <c r="ICB118" s="15"/>
      <c r="ICC118" s="15"/>
      <c r="ICD118" s="15"/>
      <c r="ICE118" s="15"/>
      <c r="ICF118" s="15"/>
      <c r="ICG118" s="15"/>
      <c r="ICH118" s="15"/>
      <c r="ICI118" s="15"/>
      <c r="ICJ118" s="15"/>
      <c r="ICK118" s="15"/>
      <c r="ICL118" s="15"/>
      <c r="ICM118" s="15"/>
      <c r="ICN118" s="15"/>
      <c r="ICO118" s="15"/>
      <c r="ICP118" s="15"/>
      <c r="ICQ118" s="15"/>
      <c r="ICR118" s="15"/>
      <c r="ICS118" s="15"/>
      <c r="ICT118" s="14"/>
      <c r="ICU118" s="15"/>
      <c r="ICV118" s="15"/>
      <c r="ICW118" s="15"/>
      <c r="ICX118" s="15"/>
      <c r="ICY118" s="15"/>
      <c r="ICZ118" s="15"/>
      <c r="IDA118" s="15"/>
      <c r="IDB118" s="15"/>
      <c r="IDC118" s="15"/>
      <c r="IDD118" s="15"/>
      <c r="IDE118" s="15"/>
      <c r="IDF118" s="15"/>
      <c r="IDG118" s="15"/>
      <c r="IDH118" s="15"/>
      <c r="IDI118" s="15"/>
      <c r="IDJ118" s="15"/>
      <c r="IDK118" s="15"/>
      <c r="IDL118" s="15"/>
      <c r="IDM118" s="15"/>
      <c r="IDN118" s="15"/>
      <c r="IDO118" s="15"/>
      <c r="IDP118" s="14"/>
      <c r="IDQ118" s="15"/>
      <c r="IDR118" s="15"/>
      <c r="IDS118" s="15"/>
      <c r="IDT118" s="15"/>
      <c r="IDU118" s="15"/>
      <c r="IDV118" s="15"/>
      <c r="IDW118" s="15"/>
      <c r="IDX118" s="15"/>
      <c r="IDY118" s="15"/>
      <c r="IDZ118" s="15"/>
      <c r="IEA118" s="15"/>
      <c r="IEB118" s="15"/>
      <c r="IEC118" s="15"/>
      <c r="IED118" s="15"/>
      <c r="IEE118" s="15"/>
      <c r="IEF118" s="15"/>
      <c r="IEG118" s="15"/>
      <c r="IEH118" s="15"/>
      <c r="IEI118" s="15"/>
      <c r="IEJ118" s="15"/>
      <c r="IEK118" s="15"/>
      <c r="IEL118" s="14"/>
      <c r="IEM118" s="15"/>
      <c r="IEN118" s="15"/>
      <c r="IEO118" s="15"/>
      <c r="IEP118" s="15"/>
      <c r="IEQ118" s="15"/>
      <c r="IER118" s="15"/>
      <c r="IES118" s="15"/>
      <c r="IET118" s="15"/>
      <c r="IEU118" s="15"/>
      <c r="IEV118" s="15"/>
      <c r="IEW118" s="15"/>
      <c r="IEX118" s="15"/>
      <c r="IEY118" s="15"/>
      <c r="IEZ118" s="15"/>
      <c r="IFA118" s="15"/>
      <c r="IFB118" s="15"/>
      <c r="IFC118" s="15"/>
      <c r="IFD118" s="15"/>
      <c r="IFE118" s="15"/>
      <c r="IFF118" s="15"/>
      <c r="IFG118" s="15"/>
      <c r="IFH118" s="14"/>
      <c r="IFI118" s="15"/>
      <c r="IFJ118" s="15"/>
      <c r="IFK118" s="15"/>
      <c r="IFL118" s="15"/>
      <c r="IFM118" s="15"/>
      <c r="IFN118" s="15"/>
      <c r="IFO118" s="15"/>
      <c r="IFP118" s="15"/>
      <c r="IFQ118" s="15"/>
      <c r="IFR118" s="15"/>
      <c r="IFS118" s="15"/>
      <c r="IFT118" s="15"/>
      <c r="IFU118" s="15"/>
      <c r="IFV118" s="15"/>
      <c r="IFW118" s="15"/>
      <c r="IFX118" s="15"/>
      <c r="IFY118" s="15"/>
      <c r="IFZ118" s="15"/>
      <c r="IGA118" s="15"/>
      <c r="IGB118" s="15"/>
      <c r="IGC118" s="15"/>
      <c r="IGD118" s="14"/>
      <c r="IGE118" s="15"/>
      <c r="IGF118" s="15"/>
      <c r="IGG118" s="15"/>
      <c r="IGH118" s="15"/>
      <c r="IGI118" s="15"/>
      <c r="IGJ118" s="15"/>
      <c r="IGK118" s="15"/>
      <c r="IGL118" s="15"/>
      <c r="IGM118" s="15"/>
      <c r="IGN118" s="15"/>
      <c r="IGO118" s="15"/>
      <c r="IGP118" s="15"/>
      <c r="IGQ118" s="15"/>
      <c r="IGR118" s="15"/>
      <c r="IGS118" s="15"/>
      <c r="IGT118" s="15"/>
      <c r="IGU118" s="15"/>
      <c r="IGV118" s="15"/>
      <c r="IGW118" s="15"/>
      <c r="IGX118" s="15"/>
      <c r="IGY118" s="15"/>
      <c r="IGZ118" s="14"/>
      <c r="IHA118" s="15"/>
      <c r="IHB118" s="15"/>
      <c r="IHC118" s="15"/>
      <c r="IHD118" s="15"/>
      <c r="IHE118" s="15"/>
      <c r="IHF118" s="15"/>
      <c r="IHG118" s="15"/>
      <c r="IHH118" s="15"/>
      <c r="IHI118" s="15"/>
      <c r="IHJ118" s="15"/>
      <c r="IHK118" s="15"/>
      <c r="IHL118" s="15"/>
      <c r="IHM118" s="15"/>
      <c r="IHN118" s="15"/>
      <c r="IHO118" s="15"/>
      <c r="IHP118" s="15"/>
      <c r="IHQ118" s="15"/>
      <c r="IHR118" s="15"/>
      <c r="IHS118" s="15"/>
      <c r="IHT118" s="15"/>
      <c r="IHU118" s="15"/>
      <c r="IHV118" s="14"/>
      <c r="IHW118" s="15"/>
      <c r="IHX118" s="15"/>
      <c r="IHY118" s="15"/>
      <c r="IHZ118" s="15"/>
      <c r="IIA118" s="15"/>
      <c r="IIB118" s="15"/>
      <c r="IIC118" s="15"/>
      <c r="IID118" s="15"/>
      <c r="IIE118" s="15"/>
      <c r="IIF118" s="15"/>
      <c r="IIG118" s="15"/>
      <c r="IIH118" s="15"/>
      <c r="III118" s="15"/>
      <c r="IIJ118" s="15"/>
      <c r="IIK118" s="15"/>
      <c r="IIL118" s="15"/>
      <c r="IIM118" s="15"/>
      <c r="IIN118" s="15"/>
      <c r="IIO118" s="15"/>
      <c r="IIP118" s="15"/>
      <c r="IIQ118" s="15"/>
      <c r="IIR118" s="14"/>
      <c r="IIS118" s="15"/>
      <c r="IIT118" s="15"/>
      <c r="IIU118" s="15"/>
      <c r="IIV118" s="15"/>
      <c r="IIW118" s="15"/>
      <c r="IIX118" s="15"/>
      <c r="IIY118" s="15"/>
      <c r="IIZ118" s="15"/>
      <c r="IJA118" s="15"/>
      <c r="IJB118" s="15"/>
      <c r="IJC118" s="15"/>
      <c r="IJD118" s="15"/>
      <c r="IJE118" s="15"/>
      <c r="IJF118" s="15"/>
      <c r="IJG118" s="15"/>
      <c r="IJH118" s="15"/>
      <c r="IJI118" s="15"/>
      <c r="IJJ118" s="15"/>
      <c r="IJK118" s="15"/>
      <c r="IJL118" s="15"/>
      <c r="IJM118" s="15"/>
      <c r="IJN118" s="14"/>
      <c r="IJO118" s="15"/>
      <c r="IJP118" s="15"/>
      <c r="IJQ118" s="15"/>
      <c r="IJR118" s="15"/>
      <c r="IJS118" s="15"/>
      <c r="IJT118" s="15"/>
      <c r="IJU118" s="15"/>
      <c r="IJV118" s="15"/>
      <c r="IJW118" s="15"/>
      <c r="IJX118" s="15"/>
      <c r="IJY118" s="15"/>
      <c r="IJZ118" s="15"/>
      <c r="IKA118" s="15"/>
      <c r="IKB118" s="15"/>
      <c r="IKC118" s="15"/>
      <c r="IKD118" s="15"/>
      <c r="IKE118" s="15"/>
      <c r="IKF118" s="15"/>
      <c r="IKG118" s="15"/>
      <c r="IKH118" s="15"/>
      <c r="IKI118" s="15"/>
      <c r="IKJ118" s="14"/>
      <c r="IKK118" s="15"/>
      <c r="IKL118" s="15"/>
      <c r="IKM118" s="15"/>
      <c r="IKN118" s="15"/>
      <c r="IKO118" s="15"/>
      <c r="IKP118" s="15"/>
      <c r="IKQ118" s="15"/>
      <c r="IKR118" s="15"/>
      <c r="IKS118" s="15"/>
      <c r="IKT118" s="15"/>
      <c r="IKU118" s="15"/>
      <c r="IKV118" s="15"/>
      <c r="IKW118" s="15"/>
      <c r="IKX118" s="15"/>
      <c r="IKY118" s="15"/>
      <c r="IKZ118" s="15"/>
      <c r="ILA118" s="15"/>
      <c r="ILB118" s="15"/>
      <c r="ILC118" s="15"/>
      <c r="ILD118" s="15"/>
      <c r="ILE118" s="15"/>
      <c r="ILF118" s="14"/>
      <c r="ILG118" s="15"/>
      <c r="ILH118" s="15"/>
      <c r="ILI118" s="15"/>
      <c r="ILJ118" s="15"/>
      <c r="ILK118" s="15"/>
      <c r="ILL118" s="15"/>
      <c r="ILM118" s="15"/>
      <c r="ILN118" s="15"/>
      <c r="ILO118" s="15"/>
      <c r="ILP118" s="15"/>
      <c r="ILQ118" s="15"/>
      <c r="ILR118" s="15"/>
      <c r="ILS118" s="15"/>
      <c r="ILT118" s="15"/>
      <c r="ILU118" s="15"/>
      <c r="ILV118" s="15"/>
      <c r="ILW118" s="15"/>
      <c r="ILX118" s="15"/>
      <c r="ILY118" s="15"/>
      <c r="ILZ118" s="15"/>
      <c r="IMA118" s="15"/>
      <c r="IMB118" s="14"/>
      <c r="IMC118" s="15"/>
      <c r="IMD118" s="15"/>
      <c r="IME118" s="15"/>
      <c r="IMF118" s="15"/>
      <c r="IMG118" s="15"/>
      <c r="IMH118" s="15"/>
      <c r="IMI118" s="15"/>
      <c r="IMJ118" s="15"/>
      <c r="IMK118" s="15"/>
      <c r="IML118" s="15"/>
      <c r="IMM118" s="15"/>
      <c r="IMN118" s="15"/>
      <c r="IMO118" s="15"/>
      <c r="IMP118" s="15"/>
      <c r="IMQ118" s="15"/>
      <c r="IMR118" s="15"/>
      <c r="IMS118" s="15"/>
      <c r="IMT118" s="15"/>
      <c r="IMU118" s="15"/>
      <c r="IMV118" s="15"/>
      <c r="IMW118" s="15"/>
      <c r="IMX118" s="14"/>
      <c r="IMY118" s="15"/>
      <c r="IMZ118" s="15"/>
      <c r="INA118" s="15"/>
      <c r="INB118" s="15"/>
      <c r="INC118" s="15"/>
      <c r="IND118" s="15"/>
      <c r="INE118" s="15"/>
      <c r="INF118" s="15"/>
      <c r="ING118" s="15"/>
      <c r="INH118" s="15"/>
      <c r="INI118" s="15"/>
      <c r="INJ118" s="15"/>
      <c r="INK118" s="15"/>
      <c r="INL118" s="15"/>
      <c r="INM118" s="15"/>
      <c r="INN118" s="15"/>
      <c r="INO118" s="15"/>
      <c r="INP118" s="15"/>
      <c r="INQ118" s="15"/>
      <c r="INR118" s="15"/>
      <c r="INS118" s="15"/>
      <c r="INT118" s="14"/>
      <c r="INU118" s="15"/>
      <c r="INV118" s="15"/>
      <c r="INW118" s="15"/>
      <c r="INX118" s="15"/>
      <c r="INY118" s="15"/>
      <c r="INZ118" s="15"/>
      <c r="IOA118" s="15"/>
      <c r="IOB118" s="15"/>
      <c r="IOC118" s="15"/>
      <c r="IOD118" s="15"/>
      <c r="IOE118" s="15"/>
      <c r="IOF118" s="15"/>
      <c r="IOG118" s="15"/>
      <c r="IOH118" s="15"/>
      <c r="IOI118" s="15"/>
      <c r="IOJ118" s="15"/>
      <c r="IOK118" s="15"/>
      <c r="IOL118" s="15"/>
      <c r="IOM118" s="15"/>
      <c r="ION118" s="15"/>
      <c r="IOO118" s="15"/>
      <c r="IOP118" s="14"/>
      <c r="IOQ118" s="15"/>
      <c r="IOR118" s="15"/>
      <c r="IOS118" s="15"/>
      <c r="IOT118" s="15"/>
      <c r="IOU118" s="15"/>
      <c r="IOV118" s="15"/>
      <c r="IOW118" s="15"/>
      <c r="IOX118" s="15"/>
      <c r="IOY118" s="15"/>
      <c r="IOZ118" s="15"/>
      <c r="IPA118" s="15"/>
      <c r="IPB118" s="15"/>
      <c r="IPC118" s="15"/>
      <c r="IPD118" s="15"/>
      <c r="IPE118" s="15"/>
      <c r="IPF118" s="15"/>
      <c r="IPG118" s="15"/>
      <c r="IPH118" s="15"/>
      <c r="IPI118" s="15"/>
      <c r="IPJ118" s="15"/>
      <c r="IPK118" s="15"/>
      <c r="IPL118" s="14"/>
      <c r="IPM118" s="15"/>
      <c r="IPN118" s="15"/>
      <c r="IPO118" s="15"/>
      <c r="IPP118" s="15"/>
      <c r="IPQ118" s="15"/>
      <c r="IPR118" s="15"/>
      <c r="IPS118" s="15"/>
      <c r="IPT118" s="15"/>
      <c r="IPU118" s="15"/>
      <c r="IPV118" s="15"/>
      <c r="IPW118" s="15"/>
      <c r="IPX118" s="15"/>
      <c r="IPY118" s="15"/>
      <c r="IPZ118" s="15"/>
      <c r="IQA118" s="15"/>
      <c r="IQB118" s="15"/>
      <c r="IQC118" s="15"/>
      <c r="IQD118" s="15"/>
      <c r="IQE118" s="15"/>
      <c r="IQF118" s="15"/>
      <c r="IQG118" s="15"/>
      <c r="IQH118" s="14"/>
      <c r="IQI118" s="15"/>
      <c r="IQJ118" s="15"/>
      <c r="IQK118" s="15"/>
      <c r="IQL118" s="15"/>
      <c r="IQM118" s="15"/>
      <c r="IQN118" s="15"/>
      <c r="IQO118" s="15"/>
      <c r="IQP118" s="15"/>
      <c r="IQQ118" s="15"/>
      <c r="IQR118" s="15"/>
      <c r="IQS118" s="15"/>
      <c r="IQT118" s="15"/>
      <c r="IQU118" s="15"/>
      <c r="IQV118" s="15"/>
      <c r="IQW118" s="15"/>
      <c r="IQX118" s="15"/>
      <c r="IQY118" s="15"/>
      <c r="IQZ118" s="15"/>
      <c r="IRA118" s="15"/>
      <c r="IRB118" s="15"/>
      <c r="IRC118" s="15"/>
      <c r="IRD118" s="14"/>
      <c r="IRE118" s="15"/>
      <c r="IRF118" s="15"/>
      <c r="IRG118" s="15"/>
      <c r="IRH118" s="15"/>
      <c r="IRI118" s="15"/>
      <c r="IRJ118" s="15"/>
      <c r="IRK118" s="15"/>
      <c r="IRL118" s="15"/>
      <c r="IRM118" s="15"/>
      <c r="IRN118" s="15"/>
      <c r="IRO118" s="15"/>
      <c r="IRP118" s="15"/>
      <c r="IRQ118" s="15"/>
      <c r="IRR118" s="15"/>
      <c r="IRS118" s="15"/>
      <c r="IRT118" s="15"/>
      <c r="IRU118" s="15"/>
      <c r="IRV118" s="15"/>
      <c r="IRW118" s="15"/>
      <c r="IRX118" s="15"/>
      <c r="IRY118" s="15"/>
      <c r="IRZ118" s="14"/>
      <c r="ISA118" s="15"/>
      <c r="ISB118" s="15"/>
      <c r="ISC118" s="15"/>
      <c r="ISD118" s="15"/>
      <c r="ISE118" s="15"/>
      <c r="ISF118" s="15"/>
      <c r="ISG118" s="15"/>
      <c r="ISH118" s="15"/>
      <c r="ISI118" s="15"/>
      <c r="ISJ118" s="15"/>
      <c r="ISK118" s="15"/>
      <c r="ISL118" s="15"/>
      <c r="ISM118" s="15"/>
      <c r="ISN118" s="15"/>
      <c r="ISO118" s="15"/>
      <c r="ISP118" s="15"/>
      <c r="ISQ118" s="15"/>
      <c r="ISR118" s="15"/>
      <c r="ISS118" s="15"/>
      <c r="IST118" s="15"/>
      <c r="ISU118" s="15"/>
      <c r="ISV118" s="14"/>
      <c r="ISW118" s="15"/>
      <c r="ISX118" s="15"/>
      <c r="ISY118" s="15"/>
      <c r="ISZ118" s="15"/>
      <c r="ITA118" s="15"/>
      <c r="ITB118" s="15"/>
      <c r="ITC118" s="15"/>
      <c r="ITD118" s="15"/>
      <c r="ITE118" s="15"/>
      <c r="ITF118" s="15"/>
      <c r="ITG118" s="15"/>
      <c r="ITH118" s="15"/>
      <c r="ITI118" s="15"/>
      <c r="ITJ118" s="15"/>
      <c r="ITK118" s="15"/>
      <c r="ITL118" s="15"/>
      <c r="ITM118" s="15"/>
      <c r="ITN118" s="15"/>
      <c r="ITO118" s="15"/>
      <c r="ITP118" s="15"/>
      <c r="ITQ118" s="15"/>
      <c r="ITR118" s="14"/>
      <c r="ITS118" s="15"/>
      <c r="ITT118" s="15"/>
      <c r="ITU118" s="15"/>
      <c r="ITV118" s="15"/>
      <c r="ITW118" s="15"/>
      <c r="ITX118" s="15"/>
      <c r="ITY118" s="15"/>
      <c r="ITZ118" s="15"/>
      <c r="IUA118" s="15"/>
      <c r="IUB118" s="15"/>
      <c r="IUC118" s="15"/>
      <c r="IUD118" s="15"/>
      <c r="IUE118" s="15"/>
      <c r="IUF118" s="15"/>
      <c r="IUG118" s="15"/>
      <c r="IUH118" s="15"/>
      <c r="IUI118" s="15"/>
      <c r="IUJ118" s="15"/>
      <c r="IUK118" s="15"/>
      <c r="IUL118" s="15"/>
      <c r="IUM118" s="15"/>
      <c r="IUN118" s="14"/>
      <c r="IUO118" s="15"/>
      <c r="IUP118" s="15"/>
      <c r="IUQ118" s="15"/>
      <c r="IUR118" s="15"/>
      <c r="IUS118" s="15"/>
      <c r="IUT118" s="15"/>
      <c r="IUU118" s="15"/>
      <c r="IUV118" s="15"/>
      <c r="IUW118" s="15"/>
      <c r="IUX118" s="15"/>
      <c r="IUY118" s="15"/>
      <c r="IUZ118" s="15"/>
      <c r="IVA118" s="15"/>
      <c r="IVB118" s="15"/>
      <c r="IVC118" s="15"/>
      <c r="IVD118" s="15"/>
      <c r="IVE118" s="15"/>
      <c r="IVF118" s="15"/>
      <c r="IVG118" s="15"/>
      <c r="IVH118" s="15"/>
      <c r="IVI118" s="15"/>
      <c r="IVJ118" s="14"/>
      <c r="IVK118" s="15"/>
      <c r="IVL118" s="15"/>
      <c r="IVM118" s="15"/>
      <c r="IVN118" s="15"/>
      <c r="IVO118" s="15"/>
      <c r="IVP118" s="15"/>
      <c r="IVQ118" s="15"/>
      <c r="IVR118" s="15"/>
      <c r="IVS118" s="15"/>
      <c r="IVT118" s="15"/>
      <c r="IVU118" s="15"/>
      <c r="IVV118" s="15"/>
      <c r="IVW118" s="15"/>
      <c r="IVX118" s="15"/>
      <c r="IVY118" s="15"/>
      <c r="IVZ118" s="15"/>
      <c r="IWA118" s="15"/>
      <c r="IWB118" s="15"/>
      <c r="IWC118" s="15"/>
      <c r="IWD118" s="15"/>
      <c r="IWE118" s="15"/>
      <c r="IWF118" s="14"/>
      <c r="IWG118" s="15"/>
      <c r="IWH118" s="15"/>
      <c r="IWI118" s="15"/>
      <c r="IWJ118" s="15"/>
      <c r="IWK118" s="15"/>
      <c r="IWL118" s="15"/>
      <c r="IWM118" s="15"/>
      <c r="IWN118" s="15"/>
      <c r="IWO118" s="15"/>
      <c r="IWP118" s="15"/>
      <c r="IWQ118" s="15"/>
      <c r="IWR118" s="15"/>
      <c r="IWS118" s="15"/>
      <c r="IWT118" s="15"/>
      <c r="IWU118" s="15"/>
      <c r="IWV118" s="15"/>
      <c r="IWW118" s="15"/>
      <c r="IWX118" s="15"/>
      <c r="IWY118" s="15"/>
      <c r="IWZ118" s="15"/>
      <c r="IXA118" s="15"/>
      <c r="IXB118" s="14"/>
      <c r="IXC118" s="15"/>
      <c r="IXD118" s="15"/>
      <c r="IXE118" s="15"/>
      <c r="IXF118" s="15"/>
      <c r="IXG118" s="15"/>
      <c r="IXH118" s="15"/>
      <c r="IXI118" s="15"/>
      <c r="IXJ118" s="15"/>
      <c r="IXK118" s="15"/>
      <c r="IXL118" s="15"/>
      <c r="IXM118" s="15"/>
      <c r="IXN118" s="15"/>
      <c r="IXO118" s="15"/>
      <c r="IXP118" s="15"/>
      <c r="IXQ118" s="15"/>
      <c r="IXR118" s="15"/>
      <c r="IXS118" s="15"/>
      <c r="IXT118" s="15"/>
      <c r="IXU118" s="15"/>
      <c r="IXV118" s="15"/>
      <c r="IXW118" s="15"/>
      <c r="IXX118" s="14"/>
      <c r="IXY118" s="15"/>
      <c r="IXZ118" s="15"/>
      <c r="IYA118" s="15"/>
      <c r="IYB118" s="15"/>
      <c r="IYC118" s="15"/>
      <c r="IYD118" s="15"/>
      <c r="IYE118" s="15"/>
      <c r="IYF118" s="15"/>
      <c r="IYG118" s="15"/>
      <c r="IYH118" s="15"/>
      <c r="IYI118" s="15"/>
      <c r="IYJ118" s="15"/>
      <c r="IYK118" s="15"/>
      <c r="IYL118" s="15"/>
      <c r="IYM118" s="15"/>
      <c r="IYN118" s="15"/>
      <c r="IYO118" s="15"/>
      <c r="IYP118" s="15"/>
      <c r="IYQ118" s="15"/>
      <c r="IYR118" s="15"/>
      <c r="IYS118" s="15"/>
      <c r="IYT118" s="14"/>
      <c r="IYU118" s="15"/>
      <c r="IYV118" s="15"/>
      <c r="IYW118" s="15"/>
      <c r="IYX118" s="15"/>
      <c r="IYY118" s="15"/>
      <c r="IYZ118" s="15"/>
      <c r="IZA118" s="15"/>
      <c r="IZB118" s="15"/>
      <c r="IZC118" s="15"/>
      <c r="IZD118" s="15"/>
      <c r="IZE118" s="15"/>
      <c r="IZF118" s="15"/>
      <c r="IZG118" s="15"/>
      <c r="IZH118" s="15"/>
      <c r="IZI118" s="15"/>
      <c r="IZJ118" s="15"/>
      <c r="IZK118" s="15"/>
      <c r="IZL118" s="15"/>
      <c r="IZM118" s="15"/>
      <c r="IZN118" s="15"/>
      <c r="IZO118" s="15"/>
      <c r="IZP118" s="14"/>
      <c r="IZQ118" s="15"/>
      <c r="IZR118" s="15"/>
      <c r="IZS118" s="15"/>
      <c r="IZT118" s="15"/>
      <c r="IZU118" s="15"/>
      <c r="IZV118" s="15"/>
      <c r="IZW118" s="15"/>
      <c r="IZX118" s="15"/>
      <c r="IZY118" s="15"/>
      <c r="IZZ118" s="15"/>
      <c r="JAA118" s="15"/>
      <c r="JAB118" s="15"/>
      <c r="JAC118" s="15"/>
      <c r="JAD118" s="15"/>
      <c r="JAE118" s="15"/>
      <c r="JAF118" s="15"/>
      <c r="JAG118" s="15"/>
      <c r="JAH118" s="15"/>
      <c r="JAI118" s="15"/>
      <c r="JAJ118" s="15"/>
      <c r="JAK118" s="15"/>
      <c r="JAL118" s="14"/>
      <c r="JAM118" s="15"/>
      <c r="JAN118" s="15"/>
      <c r="JAO118" s="15"/>
      <c r="JAP118" s="15"/>
      <c r="JAQ118" s="15"/>
      <c r="JAR118" s="15"/>
      <c r="JAS118" s="15"/>
      <c r="JAT118" s="15"/>
      <c r="JAU118" s="15"/>
      <c r="JAV118" s="15"/>
      <c r="JAW118" s="15"/>
      <c r="JAX118" s="15"/>
      <c r="JAY118" s="15"/>
      <c r="JAZ118" s="15"/>
      <c r="JBA118" s="15"/>
      <c r="JBB118" s="15"/>
      <c r="JBC118" s="15"/>
      <c r="JBD118" s="15"/>
      <c r="JBE118" s="15"/>
      <c r="JBF118" s="15"/>
      <c r="JBG118" s="15"/>
      <c r="JBH118" s="14"/>
      <c r="JBI118" s="15"/>
      <c r="JBJ118" s="15"/>
      <c r="JBK118" s="15"/>
      <c r="JBL118" s="15"/>
      <c r="JBM118" s="15"/>
      <c r="JBN118" s="15"/>
      <c r="JBO118" s="15"/>
      <c r="JBP118" s="15"/>
      <c r="JBQ118" s="15"/>
      <c r="JBR118" s="15"/>
      <c r="JBS118" s="15"/>
      <c r="JBT118" s="15"/>
      <c r="JBU118" s="15"/>
      <c r="JBV118" s="15"/>
      <c r="JBW118" s="15"/>
      <c r="JBX118" s="15"/>
      <c r="JBY118" s="15"/>
      <c r="JBZ118" s="15"/>
      <c r="JCA118" s="15"/>
      <c r="JCB118" s="15"/>
      <c r="JCC118" s="15"/>
      <c r="JCD118" s="14"/>
      <c r="JCE118" s="15"/>
      <c r="JCF118" s="15"/>
      <c r="JCG118" s="15"/>
      <c r="JCH118" s="15"/>
      <c r="JCI118" s="15"/>
      <c r="JCJ118" s="15"/>
      <c r="JCK118" s="15"/>
      <c r="JCL118" s="15"/>
      <c r="JCM118" s="15"/>
      <c r="JCN118" s="15"/>
      <c r="JCO118" s="15"/>
      <c r="JCP118" s="15"/>
      <c r="JCQ118" s="15"/>
      <c r="JCR118" s="15"/>
      <c r="JCS118" s="15"/>
      <c r="JCT118" s="15"/>
      <c r="JCU118" s="15"/>
      <c r="JCV118" s="15"/>
      <c r="JCW118" s="15"/>
      <c r="JCX118" s="15"/>
      <c r="JCY118" s="15"/>
      <c r="JCZ118" s="14"/>
      <c r="JDA118" s="15"/>
      <c r="JDB118" s="15"/>
      <c r="JDC118" s="15"/>
      <c r="JDD118" s="15"/>
      <c r="JDE118" s="15"/>
      <c r="JDF118" s="15"/>
      <c r="JDG118" s="15"/>
      <c r="JDH118" s="15"/>
      <c r="JDI118" s="15"/>
      <c r="JDJ118" s="15"/>
      <c r="JDK118" s="15"/>
      <c r="JDL118" s="15"/>
      <c r="JDM118" s="15"/>
      <c r="JDN118" s="15"/>
      <c r="JDO118" s="15"/>
      <c r="JDP118" s="15"/>
      <c r="JDQ118" s="15"/>
      <c r="JDR118" s="15"/>
      <c r="JDS118" s="15"/>
      <c r="JDT118" s="15"/>
      <c r="JDU118" s="15"/>
      <c r="JDV118" s="14"/>
      <c r="JDW118" s="15"/>
      <c r="JDX118" s="15"/>
      <c r="JDY118" s="15"/>
      <c r="JDZ118" s="15"/>
      <c r="JEA118" s="15"/>
      <c r="JEB118" s="15"/>
      <c r="JEC118" s="15"/>
      <c r="JED118" s="15"/>
      <c r="JEE118" s="15"/>
      <c r="JEF118" s="15"/>
      <c r="JEG118" s="15"/>
      <c r="JEH118" s="15"/>
      <c r="JEI118" s="15"/>
      <c r="JEJ118" s="15"/>
      <c r="JEK118" s="15"/>
      <c r="JEL118" s="15"/>
      <c r="JEM118" s="15"/>
      <c r="JEN118" s="15"/>
      <c r="JEO118" s="15"/>
      <c r="JEP118" s="15"/>
      <c r="JEQ118" s="15"/>
      <c r="JER118" s="14"/>
      <c r="JES118" s="15"/>
      <c r="JET118" s="15"/>
      <c r="JEU118" s="15"/>
      <c r="JEV118" s="15"/>
      <c r="JEW118" s="15"/>
      <c r="JEX118" s="15"/>
      <c r="JEY118" s="15"/>
      <c r="JEZ118" s="15"/>
      <c r="JFA118" s="15"/>
      <c r="JFB118" s="15"/>
      <c r="JFC118" s="15"/>
      <c r="JFD118" s="15"/>
      <c r="JFE118" s="15"/>
      <c r="JFF118" s="15"/>
      <c r="JFG118" s="15"/>
      <c r="JFH118" s="15"/>
      <c r="JFI118" s="15"/>
      <c r="JFJ118" s="15"/>
      <c r="JFK118" s="15"/>
      <c r="JFL118" s="15"/>
      <c r="JFM118" s="15"/>
      <c r="JFN118" s="14"/>
      <c r="JFO118" s="15"/>
      <c r="JFP118" s="15"/>
      <c r="JFQ118" s="15"/>
      <c r="JFR118" s="15"/>
      <c r="JFS118" s="15"/>
      <c r="JFT118" s="15"/>
      <c r="JFU118" s="15"/>
      <c r="JFV118" s="15"/>
      <c r="JFW118" s="15"/>
      <c r="JFX118" s="15"/>
      <c r="JFY118" s="15"/>
      <c r="JFZ118" s="15"/>
      <c r="JGA118" s="15"/>
      <c r="JGB118" s="15"/>
      <c r="JGC118" s="15"/>
      <c r="JGD118" s="15"/>
      <c r="JGE118" s="15"/>
      <c r="JGF118" s="15"/>
      <c r="JGG118" s="15"/>
      <c r="JGH118" s="15"/>
      <c r="JGI118" s="15"/>
      <c r="JGJ118" s="14"/>
      <c r="JGK118" s="15"/>
      <c r="JGL118" s="15"/>
      <c r="JGM118" s="15"/>
      <c r="JGN118" s="15"/>
      <c r="JGO118" s="15"/>
      <c r="JGP118" s="15"/>
      <c r="JGQ118" s="15"/>
      <c r="JGR118" s="15"/>
      <c r="JGS118" s="15"/>
      <c r="JGT118" s="15"/>
      <c r="JGU118" s="15"/>
      <c r="JGV118" s="15"/>
      <c r="JGW118" s="15"/>
      <c r="JGX118" s="15"/>
      <c r="JGY118" s="15"/>
      <c r="JGZ118" s="15"/>
      <c r="JHA118" s="15"/>
      <c r="JHB118" s="15"/>
      <c r="JHC118" s="15"/>
      <c r="JHD118" s="15"/>
      <c r="JHE118" s="15"/>
      <c r="JHF118" s="14"/>
      <c r="JHG118" s="15"/>
      <c r="JHH118" s="15"/>
      <c r="JHI118" s="15"/>
      <c r="JHJ118" s="15"/>
      <c r="JHK118" s="15"/>
      <c r="JHL118" s="15"/>
      <c r="JHM118" s="15"/>
      <c r="JHN118" s="15"/>
      <c r="JHO118" s="15"/>
      <c r="JHP118" s="15"/>
      <c r="JHQ118" s="15"/>
      <c r="JHR118" s="15"/>
      <c r="JHS118" s="15"/>
      <c r="JHT118" s="15"/>
      <c r="JHU118" s="15"/>
      <c r="JHV118" s="15"/>
      <c r="JHW118" s="15"/>
      <c r="JHX118" s="15"/>
      <c r="JHY118" s="15"/>
      <c r="JHZ118" s="15"/>
      <c r="JIA118" s="15"/>
      <c r="JIB118" s="14"/>
      <c r="JIC118" s="15"/>
      <c r="JID118" s="15"/>
      <c r="JIE118" s="15"/>
      <c r="JIF118" s="15"/>
      <c r="JIG118" s="15"/>
      <c r="JIH118" s="15"/>
      <c r="JII118" s="15"/>
      <c r="JIJ118" s="15"/>
      <c r="JIK118" s="15"/>
      <c r="JIL118" s="15"/>
      <c r="JIM118" s="15"/>
      <c r="JIN118" s="15"/>
      <c r="JIO118" s="15"/>
      <c r="JIP118" s="15"/>
      <c r="JIQ118" s="15"/>
      <c r="JIR118" s="15"/>
      <c r="JIS118" s="15"/>
      <c r="JIT118" s="15"/>
      <c r="JIU118" s="15"/>
      <c r="JIV118" s="15"/>
      <c r="JIW118" s="15"/>
      <c r="JIX118" s="14"/>
      <c r="JIY118" s="15"/>
      <c r="JIZ118" s="15"/>
      <c r="JJA118" s="15"/>
      <c r="JJB118" s="15"/>
      <c r="JJC118" s="15"/>
      <c r="JJD118" s="15"/>
      <c r="JJE118" s="15"/>
      <c r="JJF118" s="15"/>
      <c r="JJG118" s="15"/>
      <c r="JJH118" s="15"/>
      <c r="JJI118" s="15"/>
      <c r="JJJ118" s="15"/>
      <c r="JJK118" s="15"/>
      <c r="JJL118" s="15"/>
      <c r="JJM118" s="15"/>
      <c r="JJN118" s="15"/>
      <c r="JJO118" s="15"/>
      <c r="JJP118" s="15"/>
      <c r="JJQ118" s="15"/>
      <c r="JJR118" s="15"/>
      <c r="JJS118" s="15"/>
      <c r="JJT118" s="14"/>
      <c r="JJU118" s="15"/>
      <c r="JJV118" s="15"/>
      <c r="JJW118" s="15"/>
      <c r="JJX118" s="15"/>
      <c r="JJY118" s="15"/>
      <c r="JJZ118" s="15"/>
      <c r="JKA118" s="15"/>
      <c r="JKB118" s="15"/>
      <c r="JKC118" s="15"/>
      <c r="JKD118" s="15"/>
      <c r="JKE118" s="15"/>
      <c r="JKF118" s="15"/>
      <c r="JKG118" s="15"/>
      <c r="JKH118" s="15"/>
      <c r="JKI118" s="15"/>
      <c r="JKJ118" s="15"/>
      <c r="JKK118" s="15"/>
      <c r="JKL118" s="15"/>
      <c r="JKM118" s="15"/>
      <c r="JKN118" s="15"/>
      <c r="JKO118" s="15"/>
      <c r="JKP118" s="14"/>
      <c r="JKQ118" s="15"/>
      <c r="JKR118" s="15"/>
      <c r="JKS118" s="15"/>
      <c r="JKT118" s="15"/>
      <c r="JKU118" s="15"/>
      <c r="JKV118" s="15"/>
      <c r="JKW118" s="15"/>
      <c r="JKX118" s="15"/>
      <c r="JKY118" s="15"/>
      <c r="JKZ118" s="15"/>
      <c r="JLA118" s="15"/>
      <c r="JLB118" s="15"/>
      <c r="JLC118" s="15"/>
      <c r="JLD118" s="15"/>
      <c r="JLE118" s="15"/>
      <c r="JLF118" s="15"/>
      <c r="JLG118" s="15"/>
      <c r="JLH118" s="15"/>
      <c r="JLI118" s="15"/>
      <c r="JLJ118" s="15"/>
      <c r="JLK118" s="15"/>
      <c r="JLL118" s="14"/>
      <c r="JLM118" s="15"/>
      <c r="JLN118" s="15"/>
      <c r="JLO118" s="15"/>
      <c r="JLP118" s="15"/>
      <c r="JLQ118" s="15"/>
      <c r="JLR118" s="15"/>
      <c r="JLS118" s="15"/>
      <c r="JLT118" s="15"/>
      <c r="JLU118" s="15"/>
      <c r="JLV118" s="15"/>
      <c r="JLW118" s="15"/>
      <c r="JLX118" s="15"/>
      <c r="JLY118" s="15"/>
      <c r="JLZ118" s="15"/>
      <c r="JMA118" s="15"/>
      <c r="JMB118" s="15"/>
      <c r="JMC118" s="15"/>
      <c r="JMD118" s="15"/>
      <c r="JME118" s="15"/>
      <c r="JMF118" s="15"/>
      <c r="JMG118" s="15"/>
      <c r="JMH118" s="14"/>
      <c r="JMI118" s="15"/>
      <c r="JMJ118" s="15"/>
      <c r="JMK118" s="15"/>
      <c r="JML118" s="15"/>
      <c r="JMM118" s="15"/>
      <c r="JMN118" s="15"/>
      <c r="JMO118" s="15"/>
      <c r="JMP118" s="15"/>
      <c r="JMQ118" s="15"/>
      <c r="JMR118" s="15"/>
      <c r="JMS118" s="15"/>
      <c r="JMT118" s="15"/>
      <c r="JMU118" s="15"/>
      <c r="JMV118" s="15"/>
      <c r="JMW118" s="15"/>
      <c r="JMX118" s="15"/>
      <c r="JMY118" s="15"/>
      <c r="JMZ118" s="15"/>
      <c r="JNA118" s="15"/>
      <c r="JNB118" s="15"/>
      <c r="JNC118" s="15"/>
      <c r="JND118" s="14"/>
      <c r="JNE118" s="15"/>
      <c r="JNF118" s="15"/>
      <c r="JNG118" s="15"/>
      <c r="JNH118" s="15"/>
      <c r="JNI118" s="15"/>
      <c r="JNJ118" s="15"/>
      <c r="JNK118" s="15"/>
      <c r="JNL118" s="15"/>
      <c r="JNM118" s="15"/>
      <c r="JNN118" s="15"/>
      <c r="JNO118" s="15"/>
      <c r="JNP118" s="15"/>
      <c r="JNQ118" s="15"/>
      <c r="JNR118" s="15"/>
      <c r="JNS118" s="15"/>
      <c r="JNT118" s="15"/>
      <c r="JNU118" s="15"/>
      <c r="JNV118" s="15"/>
      <c r="JNW118" s="15"/>
      <c r="JNX118" s="15"/>
      <c r="JNY118" s="15"/>
      <c r="JNZ118" s="14"/>
      <c r="JOA118" s="15"/>
      <c r="JOB118" s="15"/>
      <c r="JOC118" s="15"/>
      <c r="JOD118" s="15"/>
      <c r="JOE118" s="15"/>
      <c r="JOF118" s="15"/>
      <c r="JOG118" s="15"/>
      <c r="JOH118" s="15"/>
      <c r="JOI118" s="15"/>
      <c r="JOJ118" s="15"/>
      <c r="JOK118" s="15"/>
      <c r="JOL118" s="15"/>
      <c r="JOM118" s="15"/>
      <c r="JON118" s="15"/>
      <c r="JOO118" s="15"/>
      <c r="JOP118" s="15"/>
      <c r="JOQ118" s="15"/>
      <c r="JOR118" s="15"/>
      <c r="JOS118" s="15"/>
      <c r="JOT118" s="15"/>
      <c r="JOU118" s="15"/>
      <c r="JOV118" s="14"/>
      <c r="JOW118" s="15"/>
      <c r="JOX118" s="15"/>
      <c r="JOY118" s="15"/>
      <c r="JOZ118" s="15"/>
      <c r="JPA118" s="15"/>
      <c r="JPB118" s="15"/>
      <c r="JPC118" s="15"/>
      <c r="JPD118" s="15"/>
      <c r="JPE118" s="15"/>
      <c r="JPF118" s="15"/>
      <c r="JPG118" s="15"/>
      <c r="JPH118" s="15"/>
      <c r="JPI118" s="15"/>
      <c r="JPJ118" s="15"/>
      <c r="JPK118" s="15"/>
      <c r="JPL118" s="15"/>
      <c r="JPM118" s="15"/>
      <c r="JPN118" s="15"/>
      <c r="JPO118" s="15"/>
      <c r="JPP118" s="15"/>
      <c r="JPQ118" s="15"/>
      <c r="JPR118" s="14"/>
      <c r="JPS118" s="15"/>
      <c r="JPT118" s="15"/>
      <c r="JPU118" s="15"/>
      <c r="JPV118" s="15"/>
      <c r="JPW118" s="15"/>
      <c r="JPX118" s="15"/>
      <c r="JPY118" s="15"/>
      <c r="JPZ118" s="15"/>
      <c r="JQA118" s="15"/>
      <c r="JQB118" s="15"/>
      <c r="JQC118" s="15"/>
      <c r="JQD118" s="15"/>
      <c r="JQE118" s="15"/>
      <c r="JQF118" s="15"/>
      <c r="JQG118" s="15"/>
      <c r="JQH118" s="15"/>
      <c r="JQI118" s="15"/>
      <c r="JQJ118" s="15"/>
      <c r="JQK118" s="15"/>
      <c r="JQL118" s="15"/>
      <c r="JQM118" s="15"/>
      <c r="JQN118" s="14"/>
      <c r="JQO118" s="15"/>
      <c r="JQP118" s="15"/>
      <c r="JQQ118" s="15"/>
      <c r="JQR118" s="15"/>
      <c r="JQS118" s="15"/>
      <c r="JQT118" s="15"/>
      <c r="JQU118" s="15"/>
      <c r="JQV118" s="15"/>
      <c r="JQW118" s="15"/>
      <c r="JQX118" s="15"/>
      <c r="JQY118" s="15"/>
      <c r="JQZ118" s="15"/>
      <c r="JRA118" s="15"/>
      <c r="JRB118" s="15"/>
      <c r="JRC118" s="15"/>
      <c r="JRD118" s="15"/>
      <c r="JRE118" s="15"/>
      <c r="JRF118" s="15"/>
      <c r="JRG118" s="15"/>
      <c r="JRH118" s="15"/>
      <c r="JRI118" s="15"/>
      <c r="JRJ118" s="14"/>
      <c r="JRK118" s="15"/>
      <c r="JRL118" s="15"/>
      <c r="JRM118" s="15"/>
      <c r="JRN118" s="15"/>
      <c r="JRO118" s="15"/>
      <c r="JRP118" s="15"/>
      <c r="JRQ118" s="15"/>
      <c r="JRR118" s="15"/>
      <c r="JRS118" s="15"/>
      <c r="JRT118" s="15"/>
      <c r="JRU118" s="15"/>
      <c r="JRV118" s="15"/>
      <c r="JRW118" s="15"/>
      <c r="JRX118" s="15"/>
      <c r="JRY118" s="15"/>
      <c r="JRZ118" s="15"/>
      <c r="JSA118" s="15"/>
      <c r="JSB118" s="15"/>
      <c r="JSC118" s="15"/>
      <c r="JSD118" s="15"/>
      <c r="JSE118" s="15"/>
      <c r="JSF118" s="14"/>
      <c r="JSG118" s="15"/>
      <c r="JSH118" s="15"/>
      <c r="JSI118" s="15"/>
      <c r="JSJ118" s="15"/>
      <c r="JSK118" s="15"/>
      <c r="JSL118" s="15"/>
      <c r="JSM118" s="15"/>
      <c r="JSN118" s="15"/>
      <c r="JSO118" s="15"/>
      <c r="JSP118" s="15"/>
      <c r="JSQ118" s="15"/>
      <c r="JSR118" s="15"/>
      <c r="JSS118" s="15"/>
      <c r="JST118" s="15"/>
      <c r="JSU118" s="15"/>
      <c r="JSV118" s="15"/>
      <c r="JSW118" s="15"/>
      <c r="JSX118" s="15"/>
      <c r="JSY118" s="15"/>
      <c r="JSZ118" s="15"/>
      <c r="JTA118" s="15"/>
      <c r="JTB118" s="14"/>
      <c r="JTC118" s="15"/>
      <c r="JTD118" s="15"/>
      <c r="JTE118" s="15"/>
      <c r="JTF118" s="15"/>
      <c r="JTG118" s="15"/>
      <c r="JTH118" s="15"/>
      <c r="JTI118" s="15"/>
      <c r="JTJ118" s="15"/>
      <c r="JTK118" s="15"/>
      <c r="JTL118" s="15"/>
      <c r="JTM118" s="15"/>
      <c r="JTN118" s="15"/>
      <c r="JTO118" s="15"/>
      <c r="JTP118" s="15"/>
      <c r="JTQ118" s="15"/>
      <c r="JTR118" s="15"/>
      <c r="JTS118" s="15"/>
      <c r="JTT118" s="15"/>
      <c r="JTU118" s="15"/>
      <c r="JTV118" s="15"/>
      <c r="JTW118" s="15"/>
      <c r="JTX118" s="14"/>
      <c r="JTY118" s="15"/>
      <c r="JTZ118" s="15"/>
      <c r="JUA118" s="15"/>
      <c r="JUB118" s="15"/>
      <c r="JUC118" s="15"/>
      <c r="JUD118" s="15"/>
      <c r="JUE118" s="15"/>
      <c r="JUF118" s="15"/>
      <c r="JUG118" s="15"/>
      <c r="JUH118" s="15"/>
      <c r="JUI118" s="15"/>
      <c r="JUJ118" s="15"/>
      <c r="JUK118" s="15"/>
      <c r="JUL118" s="15"/>
      <c r="JUM118" s="15"/>
      <c r="JUN118" s="15"/>
      <c r="JUO118" s="15"/>
      <c r="JUP118" s="15"/>
      <c r="JUQ118" s="15"/>
      <c r="JUR118" s="15"/>
      <c r="JUS118" s="15"/>
      <c r="JUT118" s="14"/>
      <c r="JUU118" s="15"/>
      <c r="JUV118" s="15"/>
      <c r="JUW118" s="15"/>
      <c r="JUX118" s="15"/>
      <c r="JUY118" s="15"/>
      <c r="JUZ118" s="15"/>
      <c r="JVA118" s="15"/>
      <c r="JVB118" s="15"/>
      <c r="JVC118" s="15"/>
      <c r="JVD118" s="15"/>
      <c r="JVE118" s="15"/>
      <c r="JVF118" s="15"/>
      <c r="JVG118" s="15"/>
      <c r="JVH118" s="15"/>
      <c r="JVI118" s="15"/>
      <c r="JVJ118" s="15"/>
      <c r="JVK118" s="15"/>
      <c r="JVL118" s="15"/>
      <c r="JVM118" s="15"/>
      <c r="JVN118" s="15"/>
      <c r="JVO118" s="15"/>
      <c r="JVP118" s="14"/>
      <c r="JVQ118" s="15"/>
      <c r="JVR118" s="15"/>
      <c r="JVS118" s="15"/>
      <c r="JVT118" s="15"/>
      <c r="JVU118" s="15"/>
      <c r="JVV118" s="15"/>
      <c r="JVW118" s="15"/>
      <c r="JVX118" s="15"/>
      <c r="JVY118" s="15"/>
      <c r="JVZ118" s="15"/>
      <c r="JWA118" s="15"/>
      <c r="JWB118" s="15"/>
      <c r="JWC118" s="15"/>
      <c r="JWD118" s="15"/>
      <c r="JWE118" s="15"/>
      <c r="JWF118" s="15"/>
      <c r="JWG118" s="15"/>
      <c r="JWH118" s="15"/>
      <c r="JWI118" s="15"/>
      <c r="JWJ118" s="15"/>
      <c r="JWK118" s="15"/>
      <c r="JWL118" s="14"/>
      <c r="JWM118" s="15"/>
      <c r="JWN118" s="15"/>
      <c r="JWO118" s="15"/>
      <c r="JWP118" s="15"/>
      <c r="JWQ118" s="15"/>
      <c r="JWR118" s="15"/>
      <c r="JWS118" s="15"/>
      <c r="JWT118" s="15"/>
      <c r="JWU118" s="15"/>
      <c r="JWV118" s="15"/>
      <c r="JWW118" s="15"/>
      <c r="JWX118" s="15"/>
      <c r="JWY118" s="15"/>
      <c r="JWZ118" s="15"/>
      <c r="JXA118" s="15"/>
      <c r="JXB118" s="15"/>
      <c r="JXC118" s="15"/>
      <c r="JXD118" s="15"/>
      <c r="JXE118" s="15"/>
      <c r="JXF118" s="15"/>
      <c r="JXG118" s="15"/>
      <c r="JXH118" s="14"/>
      <c r="JXI118" s="15"/>
      <c r="JXJ118" s="15"/>
      <c r="JXK118" s="15"/>
      <c r="JXL118" s="15"/>
      <c r="JXM118" s="15"/>
      <c r="JXN118" s="15"/>
      <c r="JXO118" s="15"/>
      <c r="JXP118" s="15"/>
      <c r="JXQ118" s="15"/>
      <c r="JXR118" s="15"/>
      <c r="JXS118" s="15"/>
      <c r="JXT118" s="15"/>
      <c r="JXU118" s="15"/>
      <c r="JXV118" s="15"/>
      <c r="JXW118" s="15"/>
      <c r="JXX118" s="15"/>
      <c r="JXY118" s="15"/>
      <c r="JXZ118" s="15"/>
      <c r="JYA118" s="15"/>
      <c r="JYB118" s="15"/>
      <c r="JYC118" s="15"/>
      <c r="JYD118" s="14"/>
      <c r="JYE118" s="15"/>
      <c r="JYF118" s="15"/>
      <c r="JYG118" s="15"/>
      <c r="JYH118" s="15"/>
      <c r="JYI118" s="15"/>
      <c r="JYJ118" s="15"/>
      <c r="JYK118" s="15"/>
      <c r="JYL118" s="15"/>
      <c r="JYM118" s="15"/>
      <c r="JYN118" s="15"/>
      <c r="JYO118" s="15"/>
      <c r="JYP118" s="15"/>
      <c r="JYQ118" s="15"/>
      <c r="JYR118" s="15"/>
      <c r="JYS118" s="15"/>
      <c r="JYT118" s="15"/>
      <c r="JYU118" s="15"/>
      <c r="JYV118" s="15"/>
      <c r="JYW118" s="15"/>
      <c r="JYX118" s="15"/>
      <c r="JYY118" s="15"/>
      <c r="JYZ118" s="14"/>
      <c r="JZA118" s="15"/>
      <c r="JZB118" s="15"/>
      <c r="JZC118" s="15"/>
      <c r="JZD118" s="15"/>
      <c r="JZE118" s="15"/>
      <c r="JZF118" s="15"/>
      <c r="JZG118" s="15"/>
      <c r="JZH118" s="15"/>
      <c r="JZI118" s="15"/>
      <c r="JZJ118" s="15"/>
      <c r="JZK118" s="15"/>
      <c r="JZL118" s="15"/>
      <c r="JZM118" s="15"/>
      <c r="JZN118" s="15"/>
      <c r="JZO118" s="15"/>
      <c r="JZP118" s="15"/>
      <c r="JZQ118" s="15"/>
      <c r="JZR118" s="15"/>
      <c r="JZS118" s="15"/>
      <c r="JZT118" s="15"/>
      <c r="JZU118" s="15"/>
      <c r="JZV118" s="14"/>
      <c r="JZW118" s="15"/>
      <c r="JZX118" s="15"/>
      <c r="JZY118" s="15"/>
      <c r="JZZ118" s="15"/>
      <c r="KAA118" s="15"/>
      <c r="KAB118" s="15"/>
      <c r="KAC118" s="15"/>
      <c r="KAD118" s="15"/>
      <c r="KAE118" s="15"/>
      <c r="KAF118" s="15"/>
      <c r="KAG118" s="15"/>
      <c r="KAH118" s="15"/>
      <c r="KAI118" s="15"/>
      <c r="KAJ118" s="15"/>
      <c r="KAK118" s="15"/>
      <c r="KAL118" s="15"/>
      <c r="KAM118" s="15"/>
      <c r="KAN118" s="15"/>
      <c r="KAO118" s="15"/>
      <c r="KAP118" s="15"/>
      <c r="KAQ118" s="15"/>
      <c r="KAR118" s="14"/>
      <c r="KAS118" s="15"/>
      <c r="KAT118" s="15"/>
      <c r="KAU118" s="15"/>
      <c r="KAV118" s="15"/>
      <c r="KAW118" s="15"/>
      <c r="KAX118" s="15"/>
      <c r="KAY118" s="15"/>
      <c r="KAZ118" s="15"/>
      <c r="KBA118" s="15"/>
      <c r="KBB118" s="15"/>
      <c r="KBC118" s="15"/>
      <c r="KBD118" s="15"/>
      <c r="KBE118" s="15"/>
      <c r="KBF118" s="15"/>
      <c r="KBG118" s="15"/>
      <c r="KBH118" s="15"/>
      <c r="KBI118" s="15"/>
      <c r="KBJ118" s="15"/>
      <c r="KBK118" s="15"/>
      <c r="KBL118" s="15"/>
      <c r="KBM118" s="15"/>
      <c r="KBN118" s="14"/>
      <c r="KBO118" s="15"/>
      <c r="KBP118" s="15"/>
      <c r="KBQ118" s="15"/>
      <c r="KBR118" s="15"/>
      <c r="KBS118" s="15"/>
      <c r="KBT118" s="15"/>
      <c r="KBU118" s="15"/>
      <c r="KBV118" s="15"/>
      <c r="KBW118" s="15"/>
      <c r="KBX118" s="15"/>
      <c r="KBY118" s="15"/>
      <c r="KBZ118" s="15"/>
      <c r="KCA118" s="15"/>
      <c r="KCB118" s="15"/>
      <c r="KCC118" s="15"/>
      <c r="KCD118" s="15"/>
      <c r="KCE118" s="15"/>
      <c r="KCF118" s="15"/>
      <c r="KCG118" s="15"/>
      <c r="KCH118" s="15"/>
      <c r="KCI118" s="15"/>
      <c r="KCJ118" s="14"/>
      <c r="KCK118" s="15"/>
      <c r="KCL118" s="15"/>
      <c r="KCM118" s="15"/>
      <c r="KCN118" s="15"/>
      <c r="KCO118" s="15"/>
      <c r="KCP118" s="15"/>
      <c r="KCQ118" s="15"/>
      <c r="KCR118" s="15"/>
      <c r="KCS118" s="15"/>
      <c r="KCT118" s="15"/>
      <c r="KCU118" s="15"/>
      <c r="KCV118" s="15"/>
      <c r="KCW118" s="15"/>
      <c r="KCX118" s="15"/>
      <c r="KCY118" s="15"/>
      <c r="KCZ118" s="15"/>
      <c r="KDA118" s="15"/>
      <c r="KDB118" s="15"/>
      <c r="KDC118" s="15"/>
      <c r="KDD118" s="15"/>
      <c r="KDE118" s="15"/>
      <c r="KDF118" s="14"/>
      <c r="KDG118" s="15"/>
      <c r="KDH118" s="15"/>
      <c r="KDI118" s="15"/>
      <c r="KDJ118" s="15"/>
      <c r="KDK118" s="15"/>
      <c r="KDL118" s="15"/>
      <c r="KDM118" s="15"/>
      <c r="KDN118" s="15"/>
      <c r="KDO118" s="15"/>
      <c r="KDP118" s="15"/>
      <c r="KDQ118" s="15"/>
      <c r="KDR118" s="15"/>
      <c r="KDS118" s="15"/>
      <c r="KDT118" s="15"/>
      <c r="KDU118" s="15"/>
      <c r="KDV118" s="15"/>
      <c r="KDW118" s="15"/>
      <c r="KDX118" s="15"/>
      <c r="KDY118" s="15"/>
      <c r="KDZ118" s="15"/>
      <c r="KEA118" s="15"/>
      <c r="KEB118" s="14"/>
      <c r="KEC118" s="15"/>
      <c r="KED118" s="15"/>
      <c r="KEE118" s="15"/>
      <c r="KEF118" s="15"/>
      <c r="KEG118" s="15"/>
      <c r="KEH118" s="15"/>
      <c r="KEI118" s="15"/>
      <c r="KEJ118" s="15"/>
      <c r="KEK118" s="15"/>
      <c r="KEL118" s="15"/>
      <c r="KEM118" s="15"/>
      <c r="KEN118" s="15"/>
      <c r="KEO118" s="15"/>
      <c r="KEP118" s="15"/>
      <c r="KEQ118" s="15"/>
      <c r="KER118" s="15"/>
      <c r="KES118" s="15"/>
      <c r="KET118" s="15"/>
      <c r="KEU118" s="15"/>
      <c r="KEV118" s="15"/>
      <c r="KEW118" s="15"/>
      <c r="KEX118" s="14"/>
      <c r="KEY118" s="15"/>
      <c r="KEZ118" s="15"/>
      <c r="KFA118" s="15"/>
      <c r="KFB118" s="15"/>
      <c r="KFC118" s="15"/>
      <c r="KFD118" s="15"/>
      <c r="KFE118" s="15"/>
      <c r="KFF118" s="15"/>
      <c r="KFG118" s="15"/>
      <c r="KFH118" s="15"/>
      <c r="KFI118" s="15"/>
      <c r="KFJ118" s="15"/>
      <c r="KFK118" s="15"/>
      <c r="KFL118" s="15"/>
      <c r="KFM118" s="15"/>
      <c r="KFN118" s="15"/>
      <c r="KFO118" s="15"/>
      <c r="KFP118" s="15"/>
      <c r="KFQ118" s="15"/>
      <c r="KFR118" s="15"/>
      <c r="KFS118" s="15"/>
      <c r="KFT118" s="14"/>
      <c r="KFU118" s="15"/>
      <c r="KFV118" s="15"/>
      <c r="KFW118" s="15"/>
      <c r="KFX118" s="15"/>
      <c r="KFY118" s="15"/>
      <c r="KFZ118" s="15"/>
      <c r="KGA118" s="15"/>
      <c r="KGB118" s="15"/>
      <c r="KGC118" s="15"/>
      <c r="KGD118" s="15"/>
      <c r="KGE118" s="15"/>
      <c r="KGF118" s="15"/>
      <c r="KGG118" s="15"/>
      <c r="KGH118" s="15"/>
      <c r="KGI118" s="15"/>
      <c r="KGJ118" s="15"/>
      <c r="KGK118" s="15"/>
      <c r="KGL118" s="15"/>
      <c r="KGM118" s="15"/>
      <c r="KGN118" s="15"/>
      <c r="KGO118" s="15"/>
      <c r="KGP118" s="14"/>
      <c r="KGQ118" s="15"/>
      <c r="KGR118" s="15"/>
      <c r="KGS118" s="15"/>
      <c r="KGT118" s="15"/>
      <c r="KGU118" s="15"/>
      <c r="KGV118" s="15"/>
      <c r="KGW118" s="15"/>
      <c r="KGX118" s="15"/>
      <c r="KGY118" s="15"/>
      <c r="KGZ118" s="15"/>
      <c r="KHA118" s="15"/>
      <c r="KHB118" s="15"/>
      <c r="KHC118" s="15"/>
      <c r="KHD118" s="15"/>
      <c r="KHE118" s="15"/>
      <c r="KHF118" s="15"/>
      <c r="KHG118" s="15"/>
      <c r="KHH118" s="15"/>
      <c r="KHI118" s="15"/>
      <c r="KHJ118" s="15"/>
      <c r="KHK118" s="15"/>
      <c r="KHL118" s="14"/>
      <c r="KHM118" s="15"/>
      <c r="KHN118" s="15"/>
      <c r="KHO118" s="15"/>
      <c r="KHP118" s="15"/>
      <c r="KHQ118" s="15"/>
      <c r="KHR118" s="15"/>
      <c r="KHS118" s="15"/>
      <c r="KHT118" s="15"/>
      <c r="KHU118" s="15"/>
      <c r="KHV118" s="15"/>
      <c r="KHW118" s="15"/>
      <c r="KHX118" s="15"/>
      <c r="KHY118" s="15"/>
      <c r="KHZ118" s="15"/>
      <c r="KIA118" s="15"/>
      <c r="KIB118" s="15"/>
      <c r="KIC118" s="15"/>
      <c r="KID118" s="15"/>
      <c r="KIE118" s="15"/>
      <c r="KIF118" s="15"/>
      <c r="KIG118" s="15"/>
      <c r="KIH118" s="14"/>
      <c r="KII118" s="15"/>
      <c r="KIJ118" s="15"/>
      <c r="KIK118" s="15"/>
      <c r="KIL118" s="15"/>
      <c r="KIM118" s="15"/>
      <c r="KIN118" s="15"/>
      <c r="KIO118" s="15"/>
      <c r="KIP118" s="15"/>
      <c r="KIQ118" s="15"/>
      <c r="KIR118" s="15"/>
      <c r="KIS118" s="15"/>
      <c r="KIT118" s="15"/>
      <c r="KIU118" s="15"/>
      <c r="KIV118" s="15"/>
      <c r="KIW118" s="15"/>
      <c r="KIX118" s="15"/>
      <c r="KIY118" s="15"/>
      <c r="KIZ118" s="15"/>
      <c r="KJA118" s="15"/>
      <c r="KJB118" s="15"/>
      <c r="KJC118" s="15"/>
      <c r="KJD118" s="14"/>
      <c r="KJE118" s="15"/>
      <c r="KJF118" s="15"/>
      <c r="KJG118" s="15"/>
      <c r="KJH118" s="15"/>
      <c r="KJI118" s="15"/>
      <c r="KJJ118" s="15"/>
      <c r="KJK118" s="15"/>
      <c r="KJL118" s="15"/>
      <c r="KJM118" s="15"/>
      <c r="KJN118" s="15"/>
      <c r="KJO118" s="15"/>
      <c r="KJP118" s="15"/>
      <c r="KJQ118" s="15"/>
      <c r="KJR118" s="15"/>
      <c r="KJS118" s="15"/>
      <c r="KJT118" s="15"/>
      <c r="KJU118" s="15"/>
      <c r="KJV118" s="15"/>
      <c r="KJW118" s="15"/>
      <c r="KJX118" s="15"/>
      <c r="KJY118" s="15"/>
      <c r="KJZ118" s="14"/>
      <c r="KKA118" s="15"/>
      <c r="KKB118" s="15"/>
      <c r="KKC118" s="15"/>
      <c r="KKD118" s="15"/>
      <c r="KKE118" s="15"/>
      <c r="KKF118" s="15"/>
      <c r="KKG118" s="15"/>
      <c r="KKH118" s="15"/>
      <c r="KKI118" s="15"/>
      <c r="KKJ118" s="15"/>
      <c r="KKK118" s="15"/>
      <c r="KKL118" s="15"/>
      <c r="KKM118" s="15"/>
      <c r="KKN118" s="15"/>
      <c r="KKO118" s="15"/>
      <c r="KKP118" s="15"/>
      <c r="KKQ118" s="15"/>
      <c r="KKR118" s="15"/>
      <c r="KKS118" s="15"/>
      <c r="KKT118" s="15"/>
      <c r="KKU118" s="15"/>
      <c r="KKV118" s="14"/>
      <c r="KKW118" s="15"/>
      <c r="KKX118" s="15"/>
      <c r="KKY118" s="15"/>
      <c r="KKZ118" s="15"/>
      <c r="KLA118" s="15"/>
      <c r="KLB118" s="15"/>
      <c r="KLC118" s="15"/>
      <c r="KLD118" s="15"/>
      <c r="KLE118" s="15"/>
      <c r="KLF118" s="15"/>
      <c r="KLG118" s="15"/>
      <c r="KLH118" s="15"/>
      <c r="KLI118" s="15"/>
      <c r="KLJ118" s="15"/>
      <c r="KLK118" s="15"/>
      <c r="KLL118" s="15"/>
      <c r="KLM118" s="15"/>
      <c r="KLN118" s="15"/>
      <c r="KLO118" s="15"/>
      <c r="KLP118" s="15"/>
      <c r="KLQ118" s="15"/>
      <c r="KLR118" s="14"/>
      <c r="KLS118" s="15"/>
      <c r="KLT118" s="15"/>
      <c r="KLU118" s="15"/>
      <c r="KLV118" s="15"/>
      <c r="KLW118" s="15"/>
      <c r="KLX118" s="15"/>
      <c r="KLY118" s="15"/>
      <c r="KLZ118" s="15"/>
      <c r="KMA118" s="15"/>
      <c r="KMB118" s="15"/>
      <c r="KMC118" s="15"/>
      <c r="KMD118" s="15"/>
      <c r="KME118" s="15"/>
      <c r="KMF118" s="15"/>
      <c r="KMG118" s="15"/>
      <c r="KMH118" s="15"/>
      <c r="KMI118" s="15"/>
      <c r="KMJ118" s="15"/>
      <c r="KMK118" s="15"/>
      <c r="KML118" s="15"/>
      <c r="KMM118" s="15"/>
      <c r="KMN118" s="14"/>
      <c r="KMO118" s="15"/>
      <c r="KMP118" s="15"/>
      <c r="KMQ118" s="15"/>
      <c r="KMR118" s="15"/>
      <c r="KMS118" s="15"/>
      <c r="KMT118" s="15"/>
      <c r="KMU118" s="15"/>
      <c r="KMV118" s="15"/>
      <c r="KMW118" s="15"/>
      <c r="KMX118" s="15"/>
      <c r="KMY118" s="15"/>
      <c r="KMZ118" s="15"/>
      <c r="KNA118" s="15"/>
      <c r="KNB118" s="15"/>
      <c r="KNC118" s="15"/>
      <c r="KND118" s="15"/>
      <c r="KNE118" s="15"/>
      <c r="KNF118" s="15"/>
      <c r="KNG118" s="15"/>
      <c r="KNH118" s="15"/>
      <c r="KNI118" s="15"/>
      <c r="KNJ118" s="14"/>
      <c r="KNK118" s="15"/>
      <c r="KNL118" s="15"/>
      <c r="KNM118" s="15"/>
      <c r="KNN118" s="15"/>
      <c r="KNO118" s="15"/>
      <c r="KNP118" s="15"/>
      <c r="KNQ118" s="15"/>
      <c r="KNR118" s="15"/>
      <c r="KNS118" s="15"/>
      <c r="KNT118" s="15"/>
      <c r="KNU118" s="15"/>
      <c r="KNV118" s="15"/>
      <c r="KNW118" s="15"/>
      <c r="KNX118" s="15"/>
      <c r="KNY118" s="15"/>
      <c r="KNZ118" s="15"/>
      <c r="KOA118" s="15"/>
      <c r="KOB118" s="15"/>
      <c r="KOC118" s="15"/>
      <c r="KOD118" s="15"/>
      <c r="KOE118" s="15"/>
      <c r="KOF118" s="14"/>
      <c r="KOG118" s="15"/>
      <c r="KOH118" s="15"/>
      <c r="KOI118" s="15"/>
      <c r="KOJ118" s="15"/>
      <c r="KOK118" s="15"/>
      <c r="KOL118" s="15"/>
      <c r="KOM118" s="15"/>
      <c r="KON118" s="15"/>
      <c r="KOO118" s="15"/>
      <c r="KOP118" s="15"/>
      <c r="KOQ118" s="15"/>
      <c r="KOR118" s="15"/>
      <c r="KOS118" s="15"/>
      <c r="KOT118" s="15"/>
      <c r="KOU118" s="15"/>
      <c r="KOV118" s="15"/>
      <c r="KOW118" s="15"/>
      <c r="KOX118" s="15"/>
      <c r="KOY118" s="15"/>
      <c r="KOZ118" s="15"/>
      <c r="KPA118" s="15"/>
      <c r="KPB118" s="14"/>
      <c r="KPC118" s="15"/>
      <c r="KPD118" s="15"/>
      <c r="KPE118" s="15"/>
      <c r="KPF118" s="15"/>
      <c r="KPG118" s="15"/>
      <c r="KPH118" s="15"/>
      <c r="KPI118" s="15"/>
      <c r="KPJ118" s="15"/>
      <c r="KPK118" s="15"/>
      <c r="KPL118" s="15"/>
      <c r="KPM118" s="15"/>
      <c r="KPN118" s="15"/>
      <c r="KPO118" s="15"/>
      <c r="KPP118" s="15"/>
      <c r="KPQ118" s="15"/>
      <c r="KPR118" s="15"/>
      <c r="KPS118" s="15"/>
      <c r="KPT118" s="15"/>
      <c r="KPU118" s="15"/>
      <c r="KPV118" s="15"/>
      <c r="KPW118" s="15"/>
      <c r="KPX118" s="14"/>
      <c r="KPY118" s="15"/>
      <c r="KPZ118" s="15"/>
      <c r="KQA118" s="15"/>
      <c r="KQB118" s="15"/>
      <c r="KQC118" s="15"/>
      <c r="KQD118" s="15"/>
      <c r="KQE118" s="15"/>
      <c r="KQF118" s="15"/>
      <c r="KQG118" s="15"/>
      <c r="KQH118" s="15"/>
      <c r="KQI118" s="15"/>
      <c r="KQJ118" s="15"/>
      <c r="KQK118" s="15"/>
      <c r="KQL118" s="15"/>
      <c r="KQM118" s="15"/>
      <c r="KQN118" s="15"/>
      <c r="KQO118" s="15"/>
      <c r="KQP118" s="15"/>
      <c r="KQQ118" s="15"/>
      <c r="KQR118" s="15"/>
      <c r="KQS118" s="15"/>
      <c r="KQT118" s="14"/>
      <c r="KQU118" s="15"/>
      <c r="KQV118" s="15"/>
      <c r="KQW118" s="15"/>
      <c r="KQX118" s="15"/>
      <c r="KQY118" s="15"/>
      <c r="KQZ118" s="15"/>
      <c r="KRA118" s="15"/>
      <c r="KRB118" s="15"/>
      <c r="KRC118" s="15"/>
      <c r="KRD118" s="15"/>
      <c r="KRE118" s="15"/>
      <c r="KRF118" s="15"/>
      <c r="KRG118" s="15"/>
      <c r="KRH118" s="15"/>
      <c r="KRI118" s="15"/>
      <c r="KRJ118" s="15"/>
      <c r="KRK118" s="15"/>
      <c r="KRL118" s="15"/>
      <c r="KRM118" s="15"/>
      <c r="KRN118" s="15"/>
      <c r="KRO118" s="15"/>
      <c r="KRP118" s="14"/>
      <c r="KRQ118" s="15"/>
      <c r="KRR118" s="15"/>
      <c r="KRS118" s="15"/>
      <c r="KRT118" s="15"/>
      <c r="KRU118" s="15"/>
      <c r="KRV118" s="15"/>
      <c r="KRW118" s="15"/>
      <c r="KRX118" s="15"/>
      <c r="KRY118" s="15"/>
      <c r="KRZ118" s="15"/>
      <c r="KSA118" s="15"/>
      <c r="KSB118" s="15"/>
      <c r="KSC118" s="15"/>
      <c r="KSD118" s="15"/>
      <c r="KSE118" s="15"/>
      <c r="KSF118" s="15"/>
      <c r="KSG118" s="15"/>
      <c r="KSH118" s="15"/>
      <c r="KSI118" s="15"/>
      <c r="KSJ118" s="15"/>
      <c r="KSK118" s="15"/>
      <c r="KSL118" s="14"/>
      <c r="KSM118" s="15"/>
      <c r="KSN118" s="15"/>
      <c r="KSO118" s="15"/>
      <c r="KSP118" s="15"/>
      <c r="KSQ118" s="15"/>
      <c r="KSR118" s="15"/>
      <c r="KSS118" s="15"/>
      <c r="KST118" s="15"/>
      <c r="KSU118" s="15"/>
      <c r="KSV118" s="15"/>
      <c r="KSW118" s="15"/>
      <c r="KSX118" s="15"/>
      <c r="KSY118" s="15"/>
      <c r="KSZ118" s="15"/>
      <c r="KTA118" s="15"/>
      <c r="KTB118" s="15"/>
      <c r="KTC118" s="15"/>
      <c r="KTD118" s="15"/>
      <c r="KTE118" s="15"/>
      <c r="KTF118" s="15"/>
      <c r="KTG118" s="15"/>
      <c r="KTH118" s="14"/>
      <c r="KTI118" s="15"/>
      <c r="KTJ118" s="15"/>
      <c r="KTK118" s="15"/>
      <c r="KTL118" s="15"/>
      <c r="KTM118" s="15"/>
      <c r="KTN118" s="15"/>
      <c r="KTO118" s="15"/>
      <c r="KTP118" s="15"/>
      <c r="KTQ118" s="15"/>
      <c r="KTR118" s="15"/>
      <c r="KTS118" s="15"/>
      <c r="KTT118" s="15"/>
      <c r="KTU118" s="15"/>
      <c r="KTV118" s="15"/>
      <c r="KTW118" s="15"/>
      <c r="KTX118" s="15"/>
      <c r="KTY118" s="15"/>
      <c r="KTZ118" s="15"/>
      <c r="KUA118" s="15"/>
      <c r="KUB118" s="15"/>
      <c r="KUC118" s="15"/>
      <c r="KUD118" s="14"/>
      <c r="KUE118" s="15"/>
      <c r="KUF118" s="15"/>
      <c r="KUG118" s="15"/>
      <c r="KUH118" s="15"/>
      <c r="KUI118" s="15"/>
      <c r="KUJ118" s="15"/>
      <c r="KUK118" s="15"/>
      <c r="KUL118" s="15"/>
      <c r="KUM118" s="15"/>
      <c r="KUN118" s="15"/>
      <c r="KUO118" s="15"/>
      <c r="KUP118" s="15"/>
      <c r="KUQ118" s="15"/>
      <c r="KUR118" s="15"/>
      <c r="KUS118" s="15"/>
      <c r="KUT118" s="15"/>
      <c r="KUU118" s="15"/>
      <c r="KUV118" s="15"/>
      <c r="KUW118" s="15"/>
      <c r="KUX118" s="15"/>
      <c r="KUY118" s="15"/>
      <c r="KUZ118" s="14"/>
      <c r="KVA118" s="15"/>
      <c r="KVB118" s="15"/>
      <c r="KVC118" s="15"/>
      <c r="KVD118" s="15"/>
      <c r="KVE118" s="15"/>
      <c r="KVF118" s="15"/>
      <c r="KVG118" s="15"/>
      <c r="KVH118" s="15"/>
      <c r="KVI118" s="15"/>
      <c r="KVJ118" s="15"/>
      <c r="KVK118" s="15"/>
      <c r="KVL118" s="15"/>
      <c r="KVM118" s="15"/>
      <c r="KVN118" s="15"/>
      <c r="KVO118" s="15"/>
      <c r="KVP118" s="15"/>
      <c r="KVQ118" s="15"/>
      <c r="KVR118" s="15"/>
      <c r="KVS118" s="15"/>
      <c r="KVT118" s="15"/>
      <c r="KVU118" s="15"/>
      <c r="KVV118" s="14"/>
      <c r="KVW118" s="15"/>
      <c r="KVX118" s="15"/>
      <c r="KVY118" s="15"/>
      <c r="KVZ118" s="15"/>
      <c r="KWA118" s="15"/>
      <c r="KWB118" s="15"/>
      <c r="KWC118" s="15"/>
      <c r="KWD118" s="15"/>
      <c r="KWE118" s="15"/>
      <c r="KWF118" s="15"/>
      <c r="KWG118" s="15"/>
      <c r="KWH118" s="15"/>
      <c r="KWI118" s="15"/>
      <c r="KWJ118" s="15"/>
      <c r="KWK118" s="15"/>
      <c r="KWL118" s="15"/>
      <c r="KWM118" s="15"/>
      <c r="KWN118" s="15"/>
      <c r="KWO118" s="15"/>
      <c r="KWP118" s="15"/>
      <c r="KWQ118" s="15"/>
      <c r="KWR118" s="14"/>
      <c r="KWS118" s="15"/>
      <c r="KWT118" s="15"/>
      <c r="KWU118" s="15"/>
      <c r="KWV118" s="15"/>
      <c r="KWW118" s="15"/>
      <c r="KWX118" s="15"/>
      <c r="KWY118" s="15"/>
      <c r="KWZ118" s="15"/>
      <c r="KXA118" s="15"/>
      <c r="KXB118" s="15"/>
      <c r="KXC118" s="15"/>
      <c r="KXD118" s="15"/>
      <c r="KXE118" s="15"/>
      <c r="KXF118" s="15"/>
      <c r="KXG118" s="15"/>
      <c r="KXH118" s="15"/>
      <c r="KXI118" s="15"/>
      <c r="KXJ118" s="15"/>
      <c r="KXK118" s="15"/>
      <c r="KXL118" s="15"/>
      <c r="KXM118" s="15"/>
      <c r="KXN118" s="14"/>
      <c r="KXO118" s="15"/>
      <c r="KXP118" s="15"/>
      <c r="KXQ118" s="15"/>
      <c r="KXR118" s="15"/>
      <c r="KXS118" s="15"/>
      <c r="KXT118" s="15"/>
      <c r="KXU118" s="15"/>
      <c r="KXV118" s="15"/>
      <c r="KXW118" s="15"/>
      <c r="KXX118" s="15"/>
      <c r="KXY118" s="15"/>
      <c r="KXZ118" s="15"/>
      <c r="KYA118" s="15"/>
      <c r="KYB118" s="15"/>
      <c r="KYC118" s="15"/>
      <c r="KYD118" s="15"/>
      <c r="KYE118" s="15"/>
      <c r="KYF118" s="15"/>
      <c r="KYG118" s="15"/>
      <c r="KYH118" s="15"/>
      <c r="KYI118" s="15"/>
      <c r="KYJ118" s="14"/>
      <c r="KYK118" s="15"/>
      <c r="KYL118" s="15"/>
      <c r="KYM118" s="15"/>
      <c r="KYN118" s="15"/>
      <c r="KYO118" s="15"/>
      <c r="KYP118" s="15"/>
      <c r="KYQ118" s="15"/>
      <c r="KYR118" s="15"/>
      <c r="KYS118" s="15"/>
      <c r="KYT118" s="15"/>
      <c r="KYU118" s="15"/>
      <c r="KYV118" s="15"/>
      <c r="KYW118" s="15"/>
      <c r="KYX118" s="15"/>
      <c r="KYY118" s="15"/>
      <c r="KYZ118" s="15"/>
      <c r="KZA118" s="15"/>
      <c r="KZB118" s="15"/>
      <c r="KZC118" s="15"/>
      <c r="KZD118" s="15"/>
      <c r="KZE118" s="15"/>
      <c r="KZF118" s="14"/>
      <c r="KZG118" s="15"/>
      <c r="KZH118" s="15"/>
      <c r="KZI118" s="15"/>
      <c r="KZJ118" s="15"/>
      <c r="KZK118" s="15"/>
      <c r="KZL118" s="15"/>
      <c r="KZM118" s="15"/>
      <c r="KZN118" s="15"/>
      <c r="KZO118" s="15"/>
      <c r="KZP118" s="15"/>
      <c r="KZQ118" s="15"/>
      <c r="KZR118" s="15"/>
      <c r="KZS118" s="15"/>
      <c r="KZT118" s="15"/>
      <c r="KZU118" s="15"/>
      <c r="KZV118" s="15"/>
      <c r="KZW118" s="15"/>
      <c r="KZX118" s="15"/>
      <c r="KZY118" s="15"/>
      <c r="KZZ118" s="15"/>
      <c r="LAA118" s="15"/>
      <c r="LAB118" s="14"/>
      <c r="LAC118" s="15"/>
      <c r="LAD118" s="15"/>
      <c r="LAE118" s="15"/>
      <c r="LAF118" s="15"/>
      <c r="LAG118" s="15"/>
      <c r="LAH118" s="15"/>
      <c r="LAI118" s="15"/>
      <c r="LAJ118" s="15"/>
      <c r="LAK118" s="15"/>
      <c r="LAL118" s="15"/>
      <c r="LAM118" s="15"/>
      <c r="LAN118" s="15"/>
      <c r="LAO118" s="15"/>
      <c r="LAP118" s="15"/>
      <c r="LAQ118" s="15"/>
      <c r="LAR118" s="15"/>
      <c r="LAS118" s="15"/>
      <c r="LAT118" s="15"/>
      <c r="LAU118" s="15"/>
      <c r="LAV118" s="15"/>
      <c r="LAW118" s="15"/>
      <c r="LAX118" s="14"/>
      <c r="LAY118" s="15"/>
      <c r="LAZ118" s="15"/>
      <c r="LBA118" s="15"/>
      <c r="LBB118" s="15"/>
      <c r="LBC118" s="15"/>
      <c r="LBD118" s="15"/>
      <c r="LBE118" s="15"/>
      <c r="LBF118" s="15"/>
      <c r="LBG118" s="15"/>
      <c r="LBH118" s="15"/>
      <c r="LBI118" s="15"/>
      <c r="LBJ118" s="15"/>
      <c r="LBK118" s="15"/>
      <c r="LBL118" s="15"/>
      <c r="LBM118" s="15"/>
      <c r="LBN118" s="15"/>
      <c r="LBO118" s="15"/>
      <c r="LBP118" s="15"/>
      <c r="LBQ118" s="15"/>
      <c r="LBR118" s="15"/>
      <c r="LBS118" s="15"/>
      <c r="LBT118" s="14"/>
      <c r="LBU118" s="15"/>
      <c r="LBV118" s="15"/>
      <c r="LBW118" s="15"/>
      <c r="LBX118" s="15"/>
      <c r="LBY118" s="15"/>
      <c r="LBZ118" s="15"/>
      <c r="LCA118" s="15"/>
      <c r="LCB118" s="15"/>
      <c r="LCC118" s="15"/>
      <c r="LCD118" s="15"/>
      <c r="LCE118" s="15"/>
      <c r="LCF118" s="15"/>
      <c r="LCG118" s="15"/>
      <c r="LCH118" s="15"/>
      <c r="LCI118" s="15"/>
      <c r="LCJ118" s="15"/>
      <c r="LCK118" s="15"/>
      <c r="LCL118" s="15"/>
      <c r="LCM118" s="15"/>
      <c r="LCN118" s="15"/>
      <c r="LCO118" s="15"/>
      <c r="LCP118" s="14"/>
      <c r="LCQ118" s="15"/>
      <c r="LCR118" s="15"/>
      <c r="LCS118" s="15"/>
      <c r="LCT118" s="15"/>
      <c r="LCU118" s="15"/>
      <c r="LCV118" s="15"/>
      <c r="LCW118" s="15"/>
      <c r="LCX118" s="15"/>
      <c r="LCY118" s="15"/>
      <c r="LCZ118" s="15"/>
      <c r="LDA118" s="15"/>
      <c r="LDB118" s="15"/>
      <c r="LDC118" s="15"/>
      <c r="LDD118" s="15"/>
      <c r="LDE118" s="15"/>
      <c r="LDF118" s="15"/>
      <c r="LDG118" s="15"/>
      <c r="LDH118" s="15"/>
      <c r="LDI118" s="15"/>
      <c r="LDJ118" s="15"/>
      <c r="LDK118" s="15"/>
      <c r="LDL118" s="14"/>
      <c r="LDM118" s="15"/>
      <c r="LDN118" s="15"/>
      <c r="LDO118" s="15"/>
      <c r="LDP118" s="15"/>
      <c r="LDQ118" s="15"/>
      <c r="LDR118" s="15"/>
      <c r="LDS118" s="15"/>
      <c r="LDT118" s="15"/>
      <c r="LDU118" s="15"/>
      <c r="LDV118" s="15"/>
      <c r="LDW118" s="15"/>
      <c r="LDX118" s="15"/>
      <c r="LDY118" s="15"/>
      <c r="LDZ118" s="15"/>
      <c r="LEA118" s="15"/>
      <c r="LEB118" s="15"/>
      <c r="LEC118" s="15"/>
      <c r="LED118" s="15"/>
      <c r="LEE118" s="15"/>
      <c r="LEF118" s="15"/>
      <c r="LEG118" s="15"/>
      <c r="LEH118" s="14"/>
      <c r="LEI118" s="15"/>
      <c r="LEJ118" s="15"/>
      <c r="LEK118" s="15"/>
      <c r="LEL118" s="15"/>
      <c r="LEM118" s="15"/>
      <c r="LEN118" s="15"/>
      <c r="LEO118" s="15"/>
      <c r="LEP118" s="15"/>
      <c r="LEQ118" s="15"/>
      <c r="LER118" s="15"/>
      <c r="LES118" s="15"/>
      <c r="LET118" s="15"/>
      <c r="LEU118" s="15"/>
      <c r="LEV118" s="15"/>
      <c r="LEW118" s="15"/>
      <c r="LEX118" s="15"/>
      <c r="LEY118" s="15"/>
      <c r="LEZ118" s="15"/>
      <c r="LFA118" s="15"/>
      <c r="LFB118" s="15"/>
      <c r="LFC118" s="15"/>
      <c r="LFD118" s="14"/>
      <c r="LFE118" s="15"/>
      <c r="LFF118" s="15"/>
      <c r="LFG118" s="15"/>
      <c r="LFH118" s="15"/>
      <c r="LFI118" s="15"/>
      <c r="LFJ118" s="15"/>
      <c r="LFK118" s="15"/>
      <c r="LFL118" s="15"/>
      <c r="LFM118" s="15"/>
      <c r="LFN118" s="15"/>
      <c r="LFO118" s="15"/>
      <c r="LFP118" s="15"/>
      <c r="LFQ118" s="15"/>
      <c r="LFR118" s="15"/>
      <c r="LFS118" s="15"/>
      <c r="LFT118" s="15"/>
      <c r="LFU118" s="15"/>
      <c r="LFV118" s="15"/>
      <c r="LFW118" s="15"/>
      <c r="LFX118" s="15"/>
      <c r="LFY118" s="15"/>
      <c r="LFZ118" s="14"/>
      <c r="LGA118" s="15"/>
      <c r="LGB118" s="15"/>
      <c r="LGC118" s="15"/>
      <c r="LGD118" s="15"/>
      <c r="LGE118" s="15"/>
      <c r="LGF118" s="15"/>
      <c r="LGG118" s="15"/>
      <c r="LGH118" s="15"/>
      <c r="LGI118" s="15"/>
      <c r="LGJ118" s="15"/>
      <c r="LGK118" s="15"/>
      <c r="LGL118" s="15"/>
      <c r="LGM118" s="15"/>
      <c r="LGN118" s="15"/>
      <c r="LGO118" s="15"/>
      <c r="LGP118" s="15"/>
      <c r="LGQ118" s="15"/>
      <c r="LGR118" s="15"/>
      <c r="LGS118" s="15"/>
      <c r="LGT118" s="15"/>
      <c r="LGU118" s="15"/>
      <c r="LGV118" s="14"/>
      <c r="LGW118" s="15"/>
      <c r="LGX118" s="15"/>
      <c r="LGY118" s="15"/>
      <c r="LGZ118" s="15"/>
      <c r="LHA118" s="15"/>
      <c r="LHB118" s="15"/>
      <c r="LHC118" s="15"/>
      <c r="LHD118" s="15"/>
      <c r="LHE118" s="15"/>
      <c r="LHF118" s="15"/>
      <c r="LHG118" s="15"/>
      <c r="LHH118" s="15"/>
      <c r="LHI118" s="15"/>
      <c r="LHJ118" s="15"/>
      <c r="LHK118" s="15"/>
      <c r="LHL118" s="15"/>
      <c r="LHM118" s="15"/>
      <c r="LHN118" s="15"/>
      <c r="LHO118" s="15"/>
      <c r="LHP118" s="15"/>
      <c r="LHQ118" s="15"/>
      <c r="LHR118" s="14"/>
      <c r="LHS118" s="15"/>
      <c r="LHT118" s="15"/>
      <c r="LHU118" s="15"/>
      <c r="LHV118" s="15"/>
      <c r="LHW118" s="15"/>
      <c r="LHX118" s="15"/>
      <c r="LHY118" s="15"/>
      <c r="LHZ118" s="15"/>
      <c r="LIA118" s="15"/>
      <c r="LIB118" s="15"/>
      <c r="LIC118" s="15"/>
      <c r="LID118" s="15"/>
      <c r="LIE118" s="15"/>
      <c r="LIF118" s="15"/>
      <c r="LIG118" s="15"/>
      <c r="LIH118" s="15"/>
      <c r="LII118" s="15"/>
      <c r="LIJ118" s="15"/>
      <c r="LIK118" s="15"/>
      <c r="LIL118" s="15"/>
      <c r="LIM118" s="15"/>
      <c r="LIN118" s="14"/>
      <c r="LIO118" s="15"/>
      <c r="LIP118" s="15"/>
      <c r="LIQ118" s="15"/>
      <c r="LIR118" s="15"/>
      <c r="LIS118" s="15"/>
      <c r="LIT118" s="15"/>
      <c r="LIU118" s="15"/>
      <c r="LIV118" s="15"/>
      <c r="LIW118" s="15"/>
      <c r="LIX118" s="15"/>
      <c r="LIY118" s="15"/>
      <c r="LIZ118" s="15"/>
      <c r="LJA118" s="15"/>
      <c r="LJB118" s="15"/>
      <c r="LJC118" s="15"/>
      <c r="LJD118" s="15"/>
      <c r="LJE118" s="15"/>
      <c r="LJF118" s="15"/>
      <c r="LJG118" s="15"/>
      <c r="LJH118" s="15"/>
      <c r="LJI118" s="15"/>
      <c r="LJJ118" s="14"/>
      <c r="LJK118" s="15"/>
      <c r="LJL118" s="15"/>
      <c r="LJM118" s="15"/>
      <c r="LJN118" s="15"/>
      <c r="LJO118" s="15"/>
      <c r="LJP118" s="15"/>
      <c r="LJQ118" s="15"/>
      <c r="LJR118" s="15"/>
      <c r="LJS118" s="15"/>
      <c r="LJT118" s="15"/>
      <c r="LJU118" s="15"/>
      <c r="LJV118" s="15"/>
      <c r="LJW118" s="15"/>
      <c r="LJX118" s="15"/>
      <c r="LJY118" s="15"/>
      <c r="LJZ118" s="15"/>
      <c r="LKA118" s="15"/>
      <c r="LKB118" s="15"/>
      <c r="LKC118" s="15"/>
      <c r="LKD118" s="15"/>
      <c r="LKE118" s="15"/>
      <c r="LKF118" s="14"/>
      <c r="LKG118" s="15"/>
      <c r="LKH118" s="15"/>
      <c r="LKI118" s="15"/>
      <c r="LKJ118" s="15"/>
      <c r="LKK118" s="15"/>
      <c r="LKL118" s="15"/>
      <c r="LKM118" s="15"/>
      <c r="LKN118" s="15"/>
      <c r="LKO118" s="15"/>
      <c r="LKP118" s="15"/>
      <c r="LKQ118" s="15"/>
      <c r="LKR118" s="15"/>
      <c r="LKS118" s="15"/>
      <c r="LKT118" s="15"/>
      <c r="LKU118" s="15"/>
      <c r="LKV118" s="15"/>
      <c r="LKW118" s="15"/>
      <c r="LKX118" s="15"/>
      <c r="LKY118" s="15"/>
      <c r="LKZ118" s="15"/>
      <c r="LLA118" s="15"/>
      <c r="LLB118" s="14"/>
      <c r="LLC118" s="15"/>
      <c r="LLD118" s="15"/>
      <c r="LLE118" s="15"/>
      <c r="LLF118" s="15"/>
      <c r="LLG118" s="15"/>
      <c r="LLH118" s="15"/>
      <c r="LLI118" s="15"/>
      <c r="LLJ118" s="15"/>
      <c r="LLK118" s="15"/>
      <c r="LLL118" s="15"/>
      <c r="LLM118" s="15"/>
      <c r="LLN118" s="15"/>
      <c r="LLO118" s="15"/>
      <c r="LLP118" s="15"/>
      <c r="LLQ118" s="15"/>
      <c r="LLR118" s="15"/>
      <c r="LLS118" s="15"/>
      <c r="LLT118" s="15"/>
      <c r="LLU118" s="15"/>
      <c r="LLV118" s="15"/>
      <c r="LLW118" s="15"/>
      <c r="LLX118" s="14"/>
      <c r="LLY118" s="15"/>
      <c r="LLZ118" s="15"/>
      <c r="LMA118" s="15"/>
      <c r="LMB118" s="15"/>
      <c r="LMC118" s="15"/>
      <c r="LMD118" s="15"/>
      <c r="LME118" s="15"/>
      <c r="LMF118" s="15"/>
      <c r="LMG118" s="15"/>
      <c r="LMH118" s="15"/>
      <c r="LMI118" s="15"/>
      <c r="LMJ118" s="15"/>
      <c r="LMK118" s="15"/>
      <c r="LML118" s="15"/>
      <c r="LMM118" s="15"/>
      <c r="LMN118" s="15"/>
      <c r="LMO118" s="15"/>
      <c r="LMP118" s="15"/>
      <c r="LMQ118" s="15"/>
      <c r="LMR118" s="15"/>
      <c r="LMS118" s="15"/>
      <c r="LMT118" s="14"/>
      <c r="LMU118" s="15"/>
      <c r="LMV118" s="15"/>
      <c r="LMW118" s="15"/>
      <c r="LMX118" s="15"/>
      <c r="LMY118" s="15"/>
      <c r="LMZ118" s="15"/>
      <c r="LNA118" s="15"/>
      <c r="LNB118" s="15"/>
      <c r="LNC118" s="15"/>
      <c r="LND118" s="15"/>
      <c r="LNE118" s="15"/>
      <c r="LNF118" s="15"/>
      <c r="LNG118" s="15"/>
      <c r="LNH118" s="15"/>
      <c r="LNI118" s="15"/>
      <c r="LNJ118" s="15"/>
      <c r="LNK118" s="15"/>
      <c r="LNL118" s="15"/>
      <c r="LNM118" s="15"/>
      <c r="LNN118" s="15"/>
      <c r="LNO118" s="15"/>
      <c r="LNP118" s="14"/>
      <c r="LNQ118" s="15"/>
      <c r="LNR118" s="15"/>
      <c r="LNS118" s="15"/>
      <c r="LNT118" s="15"/>
      <c r="LNU118" s="15"/>
      <c r="LNV118" s="15"/>
      <c r="LNW118" s="15"/>
      <c r="LNX118" s="15"/>
      <c r="LNY118" s="15"/>
      <c r="LNZ118" s="15"/>
      <c r="LOA118" s="15"/>
      <c r="LOB118" s="15"/>
      <c r="LOC118" s="15"/>
      <c r="LOD118" s="15"/>
      <c r="LOE118" s="15"/>
      <c r="LOF118" s="15"/>
      <c r="LOG118" s="15"/>
      <c r="LOH118" s="15"/>
      <c r="LOI118" s="15"/>
      <c r="LOJ118" s="15"/>
      <c r="LOK118" s="15"/>
      <c r="LOL118" s="14"/>
      <c r="LOM118" s="15"/>
      <c r="LON118" s="15"/>
      <c r="LOO118" s="15"/>
      <c r="LOP118" s="15"/>
      <c r="LOQ118" s="15"/>
      <c r="LOR118" s="15"/>
      <c r="LOS118" s="15"/>
      <c r="LOT118" s="15"/>
      <c r="LOU118" s="15"/>
      <c r="LOV118" s="15"/>
      <c r="LOW118" s="15"/>
      <c r="LOX118" s="15"/>
      <c r="LOY118" s="15"/>
      <c r="LOZ118" s="15"/>
      <c r="LPA118" s="15"/>
      <c r="LPB118" s="15"/>
      <c r="LPC118" s="15"/>
      <c r="LPD118" s="15"/>
      <c r="LPE118" s="15"/>
      <c r="LPF118" s="15"/>
      <c r="LPG118" s="15"/>
      <c r="LPH118" s="14"/>
      <c r="LPI118" s="15"/>
      <c r="LPJ118" s="15"/>
      <c r="LPK118" s="15"/>
      <c r="LPL118" s="15"/>
      <c r="LPM118" s="15"/>
      <c r="LPN118" s="15"/>
      <c r="LPO118" s="15"/>
      <c r="LPP118" s="15"/>
      <c r="LPQ118" s="15"/>
      <c r="LPR118" s="15"/>
      <c r="LPS118" s="15"/>
      <c r="LPT118" s="15"/>
      <c r="LPU118" s="15"/>
      <c r="LPV118" s="15"/>
      <c r="LPW118" s="15"/>
      <c r="LPX118" s="15"/>
      <c r="LPY118" s="15"/>
      <c r="LPZ118" s="15"/>
      <c r="LQA118" s="15"/>
      <c r="LQB118" s="15"/>
      <c r="LQC118" s="15"/>
      <c r="LQD118" s="14"/>
      <c r="LQE118" s="15"/>
      <c r="LQF118" s="15"/>
      <c r="LQG118" s="15"/>
      <c r="LQH118" s="15"/>
      <c r="LQI118" s="15"/>
      <c r="LQJ118" s="15"/>
      <c r="LQK118" s="15"/>
      <c r="LQL118" s="15"/>
      <c r="LQM118" s="15"/>
      <c r="LQN118" s="15"/>
      <c r="LQO118" s="15"/>
      <c r="LQP118" s="15"/>
      <c r="LQQ118" s="15"/>
      <c r="LQR118" s="15"/>
      <c r="LQS118" s="15"/>
      <c r="LQT118" s="15"/>
      <c r="LQU118" s="15"/>
      <c r="LQV118" s="15"/>
      <c r="LQW118" s="15"/>
      <c r="LQX118" s="15"/>
      <c r="LQY118" s="15"/>
      <c r="LQZ118" s="14"/>
      <c r="LRA118" s="15"/>
      <c r="LRB118" s="15"/>
      <c r="LRC118" s="15"/>
      <c r="LRD118" s="15"/>
      <c r="LRE118" s="15"/>
      <c r="LRF118" s="15"/>
      <c r="LRG118" s="15"/>
      <c r="LRH118" s="15"/>
      <c r="LRI118" s="15"/>
      <c r="LRJ118" s="15"/>
      <c r="LRK118" s="15"/>
      <c r="LRL118" s="15"/>
      <c r="LRM118" s="15"/>
      <c r="LRN118" s="15"/>
      <c r="LRO118" s="15"/>
      <c r="LRP118" s="15"/>
      <c r="LRQ118" s="15"/>
      <c r="LRR118" s="15"/>
      <c r="LRS118" s="15"/>
      <c r="LRT118" s="15"/>
      <c r="LRU118" s="15"/>
      <c r="LRV118" s="14"/>
      <c r="LRW118" s="15"/>
      <c r="LRX118" s="15"/>
      <c r="LRY118" s="15"/>
      <c r="LRZ118" s="15"/>
      <c r="LSA118" s="15"/>
      <c r="LSB118" s="15"/>
      <c r="LSC118" s="15"/>
      <c r="LSD118" s="15"/>
      <c r="LSE118" s="15"/>
      <c r="LSF118" s="15"/>
      <c r="LSG118" s="15"/>
      <c r="LSH118" s="15"/>
      <c r="LSI118" s="15"/>
      <c r="LSJ118" s="15"/>
      <c r="LSK118" s="15"/>
      <c r="LSL118" s="15"/>
      <c r="LSM118" s="15"/>
      <c r="LSN118" s="15"/>
      <c r="LSO118" s="15"/>
      <c r="LSP118" s="15"/>
      <c r="LSQ118" s="15"/>
      <c r="LSR118" s="14"/>
      <c r="LSS118" s="15"/>
      <c r="LST118" s="15"/>
      <c r="LSU118" s="15"/>
      <c r="LSV118" s="15"/>
      <c r="LSW118" s="15"/>
      <c r="LSX118" s="15"/>
      <c r="LSY118" s="15"/>
      <c r="LSZ118" s="15"/>
      <c r="LTA118" s="15"/>
      <c r="LTB118" s="15"/>
      <c r="LTC118" s="15"/>
      <c r="LTD118" s="15"/>
      <c r="LTE118" s="15"/>
      <c r="LTF118" s="15"/>
      <c r="LTG118" s="15"/>
      <c r="LTH118" s="15"/>
      <c r="LTI118" s="15"/>
      <c r="LTJ118" s="15"/>
      <c r="LTK118" s="15"/>
      <c r="LTL118" s="15"/>
      <c r="LTM118" s="15"/>
      <c r="LTN118" s="14"/>
      <c r="LTO118" s="15"/>
      <c r="LTP118" s="15"/>
      <c r="LTQ118" s="15"/>
      <c r="LTR118" s="15"/>
      <c r="LTS118" s="15"/>
      <c r="LTT118" s="15"/>
      <c r="LTU118" s="15"/>
      <c r="LTV118" s="15"/>
      <c r="LTW118" s="15"/>
      <c r="LTX118" s="15"/>
      <c r="LTY118" s="15"/>
      <c r="LTZ118" s="15"/>
      <c r="LUA118" s="15"/>
      <c r="LUB118" s="15"/>
      <c r="LUC118" s="15"/>
      <c r="LUD118" s="15"/>
      <c r="LUE118" s="15"/>
      <c r="LUF118" s="15"/>
      <c r="LUG118" s="15"/>
      <c r="LUH118" s="15"/>
      <c r="LUI118" s="15"/>
      <c r="LUJ118" s="14"/>
      <c r="LUK118" s="15"/>
      <c r="LUL118" s="15"/>
      <c r="LUM118" s="15"/>
      <c r="LUN118" s="15"/>
      <c r="LUO118" s="15"/>
      <c r="LUP118" s="15"/>
      <c r="LUQ118" s="15"/>
      <c r="LUR118" s="15"/>
      <c r="LUS118" s="15"/>
      <c r="LUT118" s="15"/>
      <c r="LUU118" s="15"/>
      <c r="LUV118" s="15"/>
      <c r="LUW118" s="15"/>
      <c r="LUX118" s="15"/>
      <c r="LUY118" s="15"/>
      <c r="LUZ118" s="15"/>
      <c r="LVA118" s="15"/>
      <c r="LVB118" s="15"/>
      <c r="LVC118" s="15"/>
      <c r="LVD118" s="15"/>
      <c r="LVE118" s="15"/>
      <c r="LVF118" s="14"/>
      <c r="LVG118" s="15"/>
      <c r="LVH118" s="15"/>
      <c r="LVI118" s="15"/>
      <c r="LVJ118" s="15"/>
      <c r="LVK118" s="15"/>
      <c r="LVL118" s="15"/>
      <c r="LVM118" s="15"/>
      <c r="LVN118" s="15"/>
      <c r="LVO118" s="15"/>
      <c r="LVP118" s="15"/>
      <c r="LVQ118" s="15"/>
      <c r="LVR118" s="15"/>
      <c r="LVS118" s="15"/>
      <c r="LVT118" s="15"/>
      <c r="LVU118" s="15"/>
      <c r="LVV118" s="15"/>
      <c r="LVW118" s="15"/>
      <c r="LVX118" s="15"/>
      <c r="LVY118" s="15"/>
      <c r="LVZ118" s="15"/>
      <c r="LWA118" s="15"/>
      <c r="LWB118" s="14"/>
      <c r="LWC118" s="15"/>
      <c r="LWD118" s="15"/>
      <c r="LWE118" s="15"/>
      <c r="LWF118" s="15"/>
      <c r="LWG118" s="15"/>
      <c r="LWH118" s="15"/>
      <c r="LWI118" s="15"/>
      <c r="LWJ118" s="15"/>
      <c r="LWK118" s="15"/>
      <c r="LWL118" s="15"/>
      <c r="LWM118" s="15"/>
      <c r="LWN118" s="15"/>
      <c r="LWO118" s="15"/>
      <c r="LWP118" s="15"/>
      <c r="LWQ118" s="15"/>
      <c r="LWR118" s="15"/>
      <c r="LWS118" s="15"/>
      <c r="LWT118" s="15"/>
      <c r="LWU118" s="15"/>
      <c r="LWV118" s="15"/>
      <c r="LWW118" s="15"/>
      <c r="LWX118" s="14"/>
      <c r="LWY118" s="15"/>
      <c r="LWZ118" s="15"/>
      <c r="LXA118" s="15"/>
      <c r="LXB118" s="15"/>
      <c r="LXC118" s="15"/>
      <c r="LXD118" s="15"/>
      <c r="LXE118" s="15"/>
      <c r="LXF118" s="15"/>
      <c r="LXG118" s="15"/>
      <c r="LXH118" s="15"/>
      <c r="LXI118" s="15"/>
      <c r="LXJ118" s="15"/>
      <c r="LXK118" s="15"/>
      <c r="LXL118" s="15"/>
      <c r="LXM118" s="15"/>
      <c r="LXN118" s="15"/>
      <c r="LXO118" s="15"/>
      <c r="LXP118" s="15"/>
      <c r="LXQ118" s="15"/>
      <c r="LXR118" s="15"/>
      <c r="LXS118" s="15"/>
      <c r="LXT118" s="14"/>
      <c r="LXU118" s="15"/>
      <c r="LXV118" s="15"/>
      <c r="LXW118" s="15"/>
      <c r="LXX118" s="15"/>
      <c r="LXY118" s="15"/>
      <c r="LXZ118" s="15"/>
      <c r="LYA118" s="15"/>
      <c r="LYB118" s="15"/>
      <c r="LYC118" s="15"/>
      <c r="LYD118" s="15"/>
      <c r="LYE118" s="15"/>
      <c r="LYF118" s="15"/>
      <c r="LYG118" s="15"/>
      <c r="LYH118" s="15"/>
      <c r="LYI118" s="15"/>
      <c r="LYJ118" s="15"/>
      <c r="LYK118" s="15"/>
      <c r="LYL118" s="15"/>
      <c r="LYM118" s="15"/>
      <c r="LYN118" s="15"/>
      <c r="LYO118" s="15"/>
      <c r="LYP118" s="14"/>
      <c r="LYQ118" s="15"/>
      <c r="LYR118" s="15"/>
      <c r="LYS118" s="15"/>
      <c r="LYT118" s="15"/>
      <c r="LYU118" s="15"/>
      <c r="LYV118" s="15"/>
      <c r="LYW118" s="15"/>
      <c r="LYX118" s="15"/>
      <c r="LYY118" s="15"/>
      <c r="LYZ118" s="15"/>
      <c r="LZA118" s="15"/>
      <c r="LZB118" s="15"/>
      <c r="LZC118" s="15"/>
      <c r="LZD118" s="15"/>
      <c r="LZE118" s="15"/>
      <c r="LZF118" s="15"/>
      <c r="LZG118" s="15"/>
      <c r="LZH118" s="15"/>
      <c r="LZI118" s="15"/>
      <c r="LZJ118" s="15"/>
      <c r="LZK118" s="15"/>
      <c r="LZL118" s="14"/>
      <c r="LZM118" s="15"/>
      <c r="LZN118" s="15"/>
      <c r="LZO118" s="15"/>
      <c r="LZP118" s="15"/>
      <c r="LZQ118" s="15"/>
      <c r="LZR118" s="15"/>
      <c r="LZS118" s="15"/>
      <c r="LZT118" s="15"/>
      <c r="LZU118" s="15"/>
      <c r="LZV118" s="15"/>
      <c r="LZW118" s="15"/>
      <c r="LZX118" s="15"/>
      <c r="LZY118" s="15"/>
      <c r="LZZ118" s="15"/>
      <c r="MAA118" s="15"/>
      <c r="MAB118" s="15"/>
      <c r="MAC118" s="15"/>
      <c r="MAD118" s="15"/>
      <c r="MAE118" s="15"/>
      <c r="MAF118" s="15"/>
      <c r="MAG118" s="15"/>
      <c r="MAH118" s="14"/>
      <c r="MAI118" s="15"/>
      <c r="MAJ118" s="15"/>
      <c r="MAK118" s="15"/>
      <c r="MAL118" s="15"/>
      <c r="MAM118" s="15"/>
      <c r="MAN118" s="15"/>
      <c r="MAO118" s="15"/>
      <c r="MAP118" s="15"/>
      <c r="MAQ118" s="15"/>
      <c r="MAR118" s="15"/>
      <c r="MAS118" s="15"/>
      <c r="MAT118" s="15"/>
      <c r="MAU118" s="15"/>
      <c r="MAV118" s="15"/>
      <c r="MAW118" s="15"/>
      <c r="MAX118" s="15"/>
      <c r="MAY118" s="15"/>
      <c r="MAZ118" s="15"/>
      <c r="MBA118" s="15"/>
      <c r="MBB118" s="15"/>
      <c r="MBC118" s="15"/>
      <c r="MBD118" s="14"/>
      <c r="MBE118" s="15"/>
      <c r="MBF118" s="15"/>
      <c r="MBG118" s="15"/>
      <c r="MBH118" s="15"/>
      <c r="MBI118" s="15"/>
      <c r="MBJ118" s="15"/>
      <c r="MBK118" s="15"/>
      <c r="MBL118" s="15"/>
      <c r="MBM118" s="15"/>
      <c r="MBN118" s="15"/>
      <c r="MBO118" s="15"/>
      <c r="MBP118" s="15"/>
      <c r="MBQ118" s="15"/>
      <c r="MBR118" s="15"/>
      <c r="MBS118" s="15"/>
      <c r="MBT118" s="15"/>
      <c r="MBU118" s="15"/>
      <c r="MBV118" s="15"/>
      <c r="MBW118" s="15"/>
      <c r="MBX118" s="15"/>
      <c r="MBY118" s="15"/>
      <c r="MBZ118" s="14"/>
      <c r="MCA118" s="15"/>
      <c r="MCB118" s="15"/>
      <c r="MCC118" s="15"/>
      <c r="MCD118" s="15"/>
      <c r="MCE118" s="15"/>
      <c r="MCF118" s="15"/>
      <c r="MCG118" s="15"/>
      <c r="MCH118" s="15"/>
      <c r="MCI118" s="15"/>
      <c r="MCJ118" s="15"/>
      <c r="MCK118" s="15"/>
      <c r="MCL118" s="15"/>
      <c r="MCM118" s="15"/>
      <c r="MCN118" s="15"/>
      <c r="MCO118" s="15"/>
      <c r="MCP118" s="15"/>
      <c r="MCQ118" s="15"/>
      <c r="MCR118" s="15"/>
      <c r="MCS118" s="15"/>
      <c r="MCT118" s="15"/>
      <c r="MCU118" s="15"/>
      <c r="MCV118" s="14"/>
      <c r="MCW118" s="15"/>
      <c r="MCX118" s="15"/>
      <c r="MCY118" s="15"/>
      <c r="MCZ118" s="15"/>
      <c r="MDA118" s="15"/>
      <c r="MDB118" s="15"/>
      <c r="MDC118" s="15"/>
      <c r="MDD118" s="15"/>
      <c r="MDE118" s="15"/>
      <c r="MDF118" s="15"/>
      <c r="MDG118" s="15"/>
      <c r="MDH118" s="15"/>
      <c r="MDI118" s="15"/>
      <c r="MDJ118" s="15"/>
      <c r="MDK118" s="15"/>
      <c r="MDL118" s="15"/>
      <c r="MDM118" s="15"/>
      <c r="MDN118" s="15"/>
      <c r="MDO118" s="15"/>
      <c r="MDP118" s="15"/>
      <c r="MDQ118" s="15"/>
      <c r="MDR118" s="14"/>
      <c r="MDS118" s="15"/>
      <c r="MDT118" s="15"/>
      <c r="MDU118" s="15"/>
      <c r="MDV118" s="15"/>
      <c r="MDW118" s="15"/>
      <c r="MDX118" s="15"/>
      <c r="MDY118" s="15"/>
      <c r="MDZ118" s="15"/>
      <c r="MEA118" s="15"/>
      <c r="MEB118" s="15"/>
      <c r="MEC118" s="15"/>
      <c r="MED118" s="15"/>
      <c r="MEE118" s="15"/>
      <c r="MEF118" s="15"/>
      <c r="MEG118" s="15"/>
      <c r="MEH118" s="15"/>
      <c r="MEI118" s="15"/>
      <c r="MEJ118" s="15"/>
      <c r="MEK118" s="15"/>
      <c r="MEL118" s="15"/>
      <c r="MEM118" s="15"/>
      <c r="MEN118" s="14"/>
      <c r="MEO118" s="15"/>
      <c r="MEP118" s="15"/>
      <c r="MEQ118" s="15"/>
      <c r="MER118" s="15"/>
      <c r="MES118" s="15"/>
      <c r="MET118" s="15"/>
      <c r="MEU118" s="15"/>
      <c r="MEV118" s="15"/>
      <c r="MEW118" s="15"/>
      <c r="MEX118" s="15"/>
      <c r="MEY118" s="15"/>
      <c r="MEZ118" s="15"/>
      <c r="MFA118" s="15"/>
      <c r="MFB118" s="15"/>
      <c r="MFC118" s="15"/>
      <c r="MFD118" s="15"/>
      <c r="MFE118" s="15"/>
      <c r="MFF118" s="15"/>
      <c r="MFG118" s="15"/>
      <c r="MFH118" s="15"/>
      <c r="MFI118" s="15"/>
      <c r="MFJ118" s="14"/>
      <c r="MFK118" s="15"/>
      <c r="MFL118" s="15"/>
      <c r="MFM118" s="15"/>
      <c r="MFN118" s="15"/>
      <c r="MFO118" s="15"/>
      <c r="MFP118" s="15"/>
      <c r="MFQ118" s="15"/>
      <c r="MFR118" s="15"/>
      <c r="MFS118" s="15"/>
      <c r="MFT118" s="15"/>
      <c r="MFU118" s="15"/>
      <c r="MFV118" s="15"/>
      <c r="MFW118" s="15"/>
      <c r="MFX118" s="15"/>
      <c r="MFY118" s="15"/>
      <c r="MFZ118" s="15"/>
      <c r="MGA118" s="15"/>
      <c r="MGB118" s="15"/>
      <c r="MGC118" s="15"/>
      <c r="MGD118" s="15"/>
      <c r="MGE118" s="15"/>
      <c r="MGF118" s="14"/>
      <c r="MGG118" s="15"/>
      <c r="MGH118" s="15"/>
      <c r="MGI118" s="15"/>
      <c r="MGJ118" s="15"/>
      <c r="MGK118" s="15"/>
      <c r="MGL118" s="15"/>
      <c r="MGM118" s="15"/>
      <c r="MGN118" s="15"/>
      <c r="MGO118" s="15"/>
      <c r="MGP118" s="15"/>
      <c r="MGQ118" s="15"/>
      <c r="MGR118" s="15"/>
      <c r="MGS118" s="15"/>
      <c r="MGT118" s="15"/>
      <c r="MGU118" s="15"/>
      <c r="MGV118" s="15"/>
      <c r="MGW118" s="15"/>
      <c r="MGX118" s="15"/>
      <c r="MGY118" s="15"/>
      <c r="MGZ118" s="15"/>
      <c r="MHA118" s="15"/>
      <c r="MHB118" s="14"/>
      <c r="MHC118" s="15"/>
      <c r="MHD118" s="15"/>
      <c r="MHE118" s="15"/>
      <c r="MHF118" s="15"/>
      <c r="MHG118" s="15"/>
      <c r="MHH118" s="15"/>
      <c r="MHI118" s="15"/>
      <c r="MHJ118" s="15"/>
      <c r="MHK118" s="15"/>
      <c r="MHL118" s="15"/>
      <c r="MHM118" s="15"/>
      <c r="MHN118" s="15"/>
      <c r="MHO118" s="15"/>
      <c r="MHP118" s="15"/>
      <c r="MHQ118" s="15"/>
      <c r="MHR118" s="15"/>
      <c r="MHS118" s="15"/>
      <c r="MHT118" s="15"/>
      <c r="MHU118" s="15"/>
      <c r="MHV118" s="15"/>
      <c r="MHW118" s="15"/>
      <c r="MHX118" s="14"/>
      <c r="MHY118" s="15"/>
      <c r="MHZ118" s="15"/>
      <c r="MIA118" s="15"/>
      <c r="MIB118" s="15"/>
      <c r="MIC118" s="15"/>
      <c r="MID118" s="15"/>
      <c r="MIE118" s="15"/>
      <c r="MIF118" s="15"/>
      <c r="MIG118" s="15"/>
      <c r="MIH118" s="15"/>
      <c r="MII118" s="15"/>
      <c r="MIJ118" s="15"/>
      <c r="MIK118" s="15"/>
      <c r="MIL118" s="15"/>
      <c r="MIM118" s="15"/>
      <c r="MIN118" s="15"/>
      <c r="MIO118" s="15"/>
      <c r="MIP118" s="15"/>
      <c r="MIQ118" s="15"/>
      <c r="MIR118" s="15"/>
      <c r="MIS118" s="15"/>
      <c r="MIT118" s="14"/>
      <c r="MIU118" s="15"/>
      <c r="MIV118" s="15"/>
      <c r="MIW118" s="15"/>
      <c r="MIX118" s="15"/>
      <c r="MIY118" s="15"/>
      <c r="MIZ118" s="15"/>
      <c r="MJA118" s="15"/>
      <c r="MJB118" s="15"/>
      <c r="MJC118" s="15"/>
      <c r="MJD118" s="15"/>
      <c r="MJE118" s="15"/>
      <c r="MJF118" s="15"/>
      <c r="MJG118" s="15"/>
      <c r="MJH118" s="15"/>
      <c r="MJI118" s="15"/>
      <c r="MJJ118" s="15"/>
      <c r="MJK118" s="15"/>
      <c r="MJL118" s="15"/>
      <c r="MJM118" s="15"/>
      <c r="MJN118" s="15"/>
      <c r="MJO118" s="15"/>
      <c r="MJP118" s="14"/>
      <c r="MJQ118" s="15"/>
      <c r="MJR118" s="15"/>
      <c r="MJS118" s="15"/>
      <c r="MJT118" s="15"/>
      <c r="MJU118" s="15"/>
      <c r="MJV118" s="15"/>
      <c r="MJW118" s="15"/>
      <c r="MJX118" s="15"/>
      <c r="MJY118" s="15"/>
      <c r="MJZ118" s="15"/>
      <c r="MKA118" s="15"/>
      <c r="MKB118" s="15"/>
      <c r="MKC118" s="15"/>
      <c r="MKD118" s="15"/>
      <c r="MKE118" s="15"/>
      <c r="MKF118" s="15"/>
      <c r="MKG118" s="15"/>
      <c r="MKH118" s="15"/>
      <c r="MKI118" s="15"/>
      <c r="MKJ118" s="15"/>
      <c r="MKK118" s="15"/>
      <c r="MKL118" s="14"/>
      <c r="MKM118" s="15"/>
      <c r="MKN118" s="15"/>
      <c r="MKO118" s="15"/>
      <c r="MKP118" s="15"/>
      <c r="MKQ118" s="15"/>
      <c r="MKR118" s="15"/>
      <c r="MKS118" s="15"/>
      <c r="MKT118" s="15"/>
      <c r="MKU118" s="15"/>
      <c r="MKV118" s="15"/>
      <c r="MKW118" s="15"/>
      <c r="MKX118" s="15"/>
      <c r="MKY118" s="15"/>
      <c r="MKZ118" s="15"/>
      <c r="MLA118" s="15"/>
      <c r="MLB118" s="15"/>
      <c r="MLC118" s="15"/>
      <c r="MLD118" s="15"/>
      <c r="MLE118" s="15"/>
      <c r="MLF118" s="15"/>
      <c r="MLG118" s="15"/>
      <c r="MLH118" s="14"/>
      <c r="MLI118" s="15"/>
      <c r="MLJ118" s="15"/>
      <c r="MLK118" s="15"/>
      <c r="MLL118" s="15"/>
      <c r="MLM118" s="15"/>
      <c r="MLN118" s="15"/>
      <c r="MLO118" s="15"/>
      <c r="MLP118" s="15"/>
      <c r="MLQ118" s="15"/>
      <c r="MLR118" s="15"/>
      <c r="MLS118" s="15"/>
      <c r="MLT118" s="15"/>
      <c r="MLU118" s="15"/>
      <c r="MLV118" s="15"/>
      <c r="MLW118" s="15"/>
      <c r="MLX118" s="15"/>
      <c r="MLY118" s="15"/>
      <c r="MLZ118" s="15"/>
      <c r="MMA118" s="15"/>
      <c r="MMB118" s="15"/>
      <c r="MMC118" s="15"/>
      <c r="MMD118" s="14"/>
      <c r="MME118" s="15"/>
      <c r="MMF118" s="15"/>
      <c r="MMG118" s="15"/>
      <c r="MMH118" s="15"/>
      <c r="MMI118" s="15"/>
      <c r="MMJ118" s="15"/>
      <c r="MMK118" s="15"/>
      <c r="MML118" s="15"/>
      <c r="MMM118" s="15"/>
      <c r="MMN118" s="15"/>
      <c r="MMO118" s="15"/>
      <c r="MMP118" s="15"/>
      <c r="MMQ118" s="15"/>
      <c r="MMR118" s="15"/>
      <c r="MMS118" s="15"/>
      <c r="MMT118" s="15"/>
      <c r="MMU118" s="15"/>
      <c r="MMV118" s="15"/>
      <c r="MMW118" s="15"/>
      <c r="MMX118" s="15"/>
      <c r="MMY118" s="15"/>
      <c r="MMZ118" s="14"/>
      <c r="MNA118" s="15"/>
      <c r="MNB118" s="15"/>
      <c r="MNC118" s="15"/>
      <c r="MND118" s="15"/>
      <c r="MNE118" s="15"/>
      <c r="MNF118" s="15"/>
      <c r="MNG118" s="15"/>
      <c r="MNH118" s="15"/>
      <c r="MNI118" s="15"/>
      <c r="MNJ118" s="15"/>
      <c r="MNK118" s="15"/>
      <c r="MNL118" s="15"/>
      <c r="MNM118" s="15"/>
      <c r="MNN118" s="15"/>
      <c r="MNO118" s="15"/>
      <c r="MNP118" s="15"/>
      <c r="MNQ118" s="15"/>
      <c r="MNR118" s="15"/>
      <c r="MNS118" s="15"/>
      <c r="MNT118" s="15"/>
      <c r="MNU118" s="15"/>
      <c r="MNV118" s="14"/>
      <c r="MNW118" s="15"/>
      <c r="MNX118" s="15"/>
      <c r="MNY118" s="15"/>
      <c r="MNZ118" s="15"/>
      <c r="MOA118" s="15"/>
      <c r="MOB118" s="15"/>
      <c r="MOC118" s="15"/>
      <c r="MOD118" s="15"/>
      <c r="MOE118" s="15"/>
      <c r="MOF118" s="15"/>
      <c r="MOG118" s="15"/>
      <c r="MOH118" s="15"/>
      <c r="MOI118" s="15"/>
      <c r="MOJ118" s="15"/>
      <c r="MOK118" s="15"/>
      <c r="MOL118" s="15"/>
      <c r="MOM118" s="15"/>
      <c r="MON118" s="15"/>
      <c r="MOO118" s="15"/>
      <c r="MOP118" s="15"/>
      <c r="MOQ118" s="15"/>
      <c r="MOR118" s="14"/>
      <c r="MOS118" s="15"/>
      <c r="MOT118" s="15"/>
      <c r="MOU118" s="15"/>
      <c r="MOV118" s="15"/>
      <c r="MOW118" s="15"/>
      <c r="MOX118" s="15"/>
      <c r="MOY118" s="15"/>
      <c r="MOZ118" s="15"/>
      <c r="MPA118" s="15"/>
      <c r="MPB118" s="15"/>
      <c r="MPC118" s="15"/>
      <c r="MPD118" s="15"/>
      <c r="MPE118" s="15"/>
      <c r="MPF118" s="15"/>
      <c r="MPG118" s="15"/>
      <c r="MPH118" s="15"/>
      <c r="MPI118" s="15"/>
      <c r="MPJ118" s="15"/>
      <c r="MPK118" s="15"/>
      <c r="MPL118" s="15"/>
      <c r="MPM118" s="15"/>
      <c r="MPN118" s="14"/>
      <c r="MPO118" s="15"/>
      <c r="MPP118" s="15"/>
      <c r="MPQ118" s="15"/>
      <c r="MPR118" s="15"/>
      <c r="MPS118" s="15"/>
      <c r="MPT118" s="15"/>
      <c r="MPU118" s="15"/>
      <c r="MPV118" s="15"/>
      <c r="MPW118" s="15"/>
      <c r="MPX118" s="15"/>
      <c r="MPY118" s="15"/>
      <c r="MPZ118" s="15"/>
      <c r="MQA118" s="15"/>
      <c r="MQB118" s="15"/>
      <c r="MQC118" s="15"/>
      <c r="MQD118" s="15"/>
      <c r="MQE118" s="15"/>
      <c r="MQF118" s="15"/>
      <c r="MQG118" s="15"/>
      <c r="MQH118" s="15"/>
      <c r="MQI118" s="15"/>
      <c r="MQJ118" s="14"/>
      <c r="MQK118" s="15"/>
      <c r="MQL118" s="15"/>
      <c r="MQM118" s="15"/>
      <c r="MQN118" s="15"/>
      <c r="MQO118" s="15"/>
      <c r="MQP118" s="15"/>
      <c r="MQQ118" s="15"/>
      <c r="MQR118" s="15"/>
      <c r="MQS118" s="15"/>
      <c r="MQT118" s="15"/>
      <c r="MQU118" s="15"/>
      <c r="MQV118" s="15"/>
      <c r="MQW118" s="15"/>
      <c r="MQX118" s="15"/>
      <c r="MQY118" s="15"/>
      <c r="MQZ118" s="15"/>
      <c r="MRA118" s="15"/>
      <c r="MRB118" s="15"/>
      <c r="MRC118" s="15"/>
      <c r="MRD118" s="15"/>
      <c r="MRE118" s="15"/>
      <c r="MRF118" s="14"/>
      <c r="MRG118" s="15"/>
      <c r="MRH118" s="15"/>
      <c r="MRI118" s="15"/>
      <c r="MRJ118" s="15"/>
      <c r="MRK118" s="15"/>
      <c r="MRL118" s="15"/>
      <c r="MRM118" s="15"/>
      <c r="MRN118" s="15"/>
      <c r="MRO118" s="15"/>
      <c r="MRP118" s="15"/>
      <c r="MRQ118" s="15"/>
      <c r="MRR118" s="15"/>
      <c r="MRS118" s="15"/>
      <c r="MRT118" s="15"/>
      <c r="MRU118" s="15"/>
      <c r="MRV118" s="15"/>
      <c r="MRW118" s="15"/>
      <c r="MRX118" s="15"/>
      <c r="MRY118" s="15"/>
      <c r="MRZ118" s="15"/>
      <c r="MSA118" s="15"/>
      <c r="MSB118" s="14"/>
      <c r="MSC118" s="15"/>
      <c r="MSD118" s="15"/>
      <c r="MSE118" s="15"/>
      <c r="MSF118" s="15"/>
      <c r="MSG118" s="15"/>
      <c r="MSH118" s="15"/>
      <c r="MSI118" s="15"/>
      <c r="MSJ118" s="15"/>
      <c r="MSK118" s="15"/>
      <c r="MSL118" s="15"/>
      <c r="MSM118" s="15"/>
      <c r="MSN118" s="15"/>
      <c r="MSO118" s="15"/>
      <c r="MSP118" s="15"/>
      <c r="MSQ118" s="15"/>
      <c r="MSR118" s="15"/>
      <c r="MSS118" s="15"/>
      <c r="MST118" s="15"/>
      <c r="MSU118" s="15"/>
      <c r="MSV118" s="15"/>
      <c r="MSW118" s="15"/>
      <c r="MSX118" s="14"/>
      <c r="MSY118" s="15"/>
      <c r="MSZ118" s="15"/>
      <c r="MTA118" s="15"/>
      <c r="MTB118" s="15"/>
      <c r="MTC118" s="15"/>
      <c r="MTD118" s="15"/>
      <c r="MTE118" s="15"/>
      <c r="MTF118" s="15"/>
      <c r="MTG118" s="15"/>
      <c r="MTH118" s="15"/>
      <c r="MTI118" s="15"/>
      <c r="MTJ118" s="15"/>
      <c r="MTK118" s="15"/>
      <c r="MTL118" s="15"/>
      <c r="MTM118" s="15"/>
      <c r="MTN118" s="15"/>
      <c r="MTO118" s="15"/>
      <c r="MTP118" s="15"/>
      <c r="MTQ118" s="15"/>
      <c r="MTR118" s="15"/>
      <c r="MTS118" s="15"/>
      <c r="MTT118" s="14"/>
      <c r="MTU118" s="15"/>
      <c r="MTV118" s="15"/>
      <c r="MTW118" s="15"/>
      <c r="MTX118" s="15"/>
      <c r="MTY118" s="15"/>
      <c r="MTZ118" s="15"/>
      <c r="MUA118" s="15"/>
      <c r="MUB118" s="15"/>
      <c r="MUC118" s="15"/>
      <c r="MUD118" s="15"/>
      <c r="MUE118" s="15"/>
      <c r="MUF118" s="15"/>
      <c r="MUG118" s="15"/>
      <c r="MUH118" s="15"/>
      <c r="MUI118" s="15"/>
      <c r="MUJ118" s="15"/>
      <c r="MUK118" s="15"/>
      <c r="MUL118" s="15"/>
      <c r="MUM118" s="15"/>
      <c r="MUN118" s="15"/>
      <c r="MUO118" s="15"/>
      <c r="MUP118" s="14"/>
      <c r="MUQ118" s="15"/>
      <c r="MUR118" s="15"/>
      <c r="MUS118" s="15"/>
      <c r="MUT118" s="15"/>
      <c r="MUU118" s="15"/>
      <c r="MUV118" s="15"/>
      <c r="MUW118" s="15"/>
      <c r="MUX118" s="15"/>
      <c r="MUY118" s="15"/>
      <c r="MUZ118" s="15"/>
      <c r="MVA118" s="15"/>
      <c r="MVB118" s="15"/>
      <c r="MVC118" s="15"/>
      <c r="MVD118" s="15"/>
      <c r="MVE118" s="15"/>
      <c r="MVF118" s="15"/>
      <c r="MVG118" s="15"/>
      <c r="MVH118" s="15"/>
      <c r="MVI118" s="15"/>
      <c r="MVJ118" s="15"/>
      <c r="MVK118" s="15"/>
      <c r="MVL118" s="14"/>
      <c r="MVM118" s="15"/>
      <c r="MVN118" s="15"/>
      <c r="MVO118" s="15"/>
      <c r="MVP118" s="15"/>
      <c r="MVQ118" s="15"/>
      <c r="MVR118" s="15"/>
      <c r="MVS118" s="15"/>
      <c r="MVT118" s="15"/>
      <c r="MVU118" s="15"/>
      <c r="MVV118" s="15"/>
      <c r="MVW118" s="15"/>
      <c r="MVX118" s="15"/>
      <c r="MVY118" s="15"/>
      <c r="MVZ118" s="15"/>
      <c r="MWA118" s="15"/>
      <c r="MWB118" s="15"/>
      <c r="MWC118" s="15"/>
      <c r="MWD118" s="15"/>
      <c r="MWE118" s="15"/>
      <c r="MWF118" s="15"/>
      <c r="MWG118" s="15"/>
      <c r="MWH118" s="14"/>
      <c r="MWI118" s="15"/>
      <c r="MWJ118" s="15"/>
      <c r="MWK118" s="15"/>
      <c r="MWL118" s="15"/>
      <c r="MWM118" s="15"/>
      <c r="MWN118" s="15"/>
      <c r="MWO118" s="15"/>
      <c r="MWP118" s="15"/>
      <c r="MWQ118" s="15"/>
      <c r="MWR118" s="15"/>
      <c r="MWS118" s="15"/>
      <c r="MWT118" s="15"/>
      <c r="MWU118" s="15"/>
      <c r="MWV118" s="15"/>
      <c r="MWW118" s="15"/>
      <c r="MWX118" s="15"/>
      <c r="MWY118" s="15"/>
      <c r="MWZ118" s="15"/>
      <c r="MXA118" s="15"/>
      <c r="MXB118" s="15"/>
      <c r="MXC118" s="15"/>
      <c r="MXD118" s="14"/>
      <c r="MXE118" s="15"/>
      <c r="MXF118" s="15"/>
      <c r="MXG118" s="15"/>
      <c r="MXH118" s="15"/>
      <c r="MXI118" s="15"/>
      <c r="MXJ118" s="15"/>
      <c r="MXK118" s="15"/>
      <c r="MXL118" s="15"/>
      <c r="MXM118" s="15"/>
      <c r="MXN118" s="15"/>
      <c r="MXO118" s="15"/>
      <c r="MXP118" s="15"/>
      <c r="MXQ118" s="15"/>
      <c r="MXR118" s="15"/>
      <c r="MXS118" s="15"/>
      <c r="MXT118" s="15"/>
      <c r="MXU118" s="15"/>
      <c r="MXV118" s="15"/>
      <c r="MXW118" s="15"/>
      <c r="MXX118" s="15"/>
      <c r="MXY118" s="15"/>
      <c r="MXZ118" s="14"/>
      <c r="MYA118" s="15"/>
      <c r="MYB118" s="15"/>
      <c r="MYC118" s="15"/>
      <c r="MYD118" s="15"/>
      <c r="MYE118" s="15"/>
      <c r="MYF118" s="15"/>
      <c r="MYG118" s="15"/>
      <c r="MYH118" s="15"/>
      <c r="MYI118" s="15"/>
      <c r="MYJ118" s="15"/>
      <c r="MYK118" s="15"/>
      <c r="MYL118" s="15"/>
      <c r="MYM118" s="15"/>
      <c r="MYN118" s="15"/>
      <c r="MYO118" s="15"/>
      <c r="MYP118" s="15"/>
      <c r="MYQ118" s="15"/>
      <c r="MYR118" s="15"/>
      <c r="MYS118" s="15"/>
      <c r="MYT118" s="15"/>
      <c r="MYU118" s="15"/>
      <c r="MYV118" s="14"/>
      <c r="MYW118" s="15"/>
      <c r="MYX118" s="15"/>
      <c r="MYY118" s="15"/>
      <c r="MYZ118" s="15"/>
      <c r="MZA118" s="15"/>
      <c r="MZB118" s="15"/>
      <c r="MZC118" s="15"/>
      <c r="MZD118" s="15"/>
      <c r="MZE118" s="15"/>
      <c r="MZF118" s="15"/>
      <c r="MZG118" s="15"/>
      <c r="MZH118" s="15"/>
      <c r="MZI118" s="15"/>
      <c r="MZJ118" s="15"/>
      <c r="MZK118" s="15"/>
      <c r="MZL118" s="15"/>
      <c r="MZM118" s="15"/>
      <c r="MZN118" s="15"/>
      <c r="MZO118" s="15"/>
      <c r="MZP118" s="15"/>
      <c r="MZQ118" s="15"/>
      <c r="MZR118" s="14"/>
      <c r="MZS118" s="15"/>
      <c r="MZT118" s="15"/>
      <c r="MZU118" s="15"/>
      <c r="MZV118" s="15"/>
      <c r="MZW118" s="15"/>
      <c r="MZX118" s="15"/>
      <c r="MZY118" s="15"/>
      <c r="MZZ118" s="15"/>
      <c r="NAA118" s="15"/>
      <c r="NAB118" s="15"/>
      <c r="NAC118" s="15"/>
      <c r="NAD118" s="15"/>
      <c r="NAE118" s="15"/>
      <c r="NAF118" s="15"/>
      <c r="NAG118" s="15"/>
      <c r="NAH118" s="15"/>
      <c r="NAI118" s="15"/>
      <c r="NAJ118" s="15"/>
      <c r="NAK118" s="15"/>
      <c r="NAL118" s="15"/>
      <c r="NAM118" s="15"/>
      <c r="NAN118" s="14"/>
      <c r="NAO118" s="15"/>
      <c r="NAP118" s="15"/>
      <c r="NAQ118" s="15"/>
      <c r="NAR118" s="15"/>
      <c r="NAS118" s="15"/>
      <c r="NAT118" s="15"/>
      <c r="NAU118" s="15"/>
      <c r="NAV118" s="15"/>
      <c r="NAW118" s="15"/>
      <c r="NAX118" s="15"/>
      <c r="NAY118" s="15"/>
      <c r="NAZ118" s="15"/>
      <c r="NBA118" s="15"/>
      <c r="NBB118" s="15"/>
      <c r="NBC118" s="15"/>
      <c r="NBD118" s="15"/>
      <c r="NBE118" s="15"/>
      <c r="NBF118" s="15"/>
      <c r="NBG118" s="15"/>
      <c r="NBH118" s="15"/>
      <c r="NBI118" s="15"/>
      <c r="NBJ118" s="14"/>
      <c r="NBK118" s="15"/>
      <c r="NBL118" s="15"/>
      <c r="NBM118" s="15"/>
      <c r="NBN118" s="15"/>
      <c r="NBO118" s="15"/>
      <c r="NBP118" s="15"/>
      <c r="NBQ118" s="15"/>
      <c r="NBR118" s="15"/>
      <c r="NBS118" s="15"/>
      <c r="NBT118" s="15"/>
      <c r="NBU118" s="15"/>
      <c r="NBV118" s="15"/>
      <c r="NBW118" s="15"/>
      <c r="NBX118" s="15"/>
      <c r="NBY118" s="15"/>
      <c r="NBZ118" s="15"/>
      <c r="NCA118" s="15"/>
      <c r="NCB118" s="15"/>
      <c r="NCC118" s="15"/>
      <c r="NCD118" s="15"/>
      <c r="NCE118" s="15"/>
      <c r="NCF118" s="14"/>
      <c r="NCG118" s="15"/>
      <c r="NCH118" s="15"/>
      <c r="NCI118" s="15"/>
      <c r="NCJ118" s="15"/>
      <c r="NCK118" s="15"/>
      <c r="NCL118" s="15"/>
      <c r="NCM118" s="15"/>
      <c r="NCN118" s="15"/>
      <c r="NCO118" s="15"/>
      <c r="NCP118" s="15"/>
      <c r="NCQ118" s="15"/>
      <c r="NCR118" s="15"/>
      <c r="NCS118" s="15"/>
      <c r="NCT118" s="15"/>
      <c r="NCU118" s="15"/>
      <c r="NCV118" s="15"/>
      <c r="NCW118" s="15"/>
      <c r="NCX118" s="15"/>
      <c r="NCY118" s="15"/>
      <c r="NCZ118" s="15"/>
      <c r="NDA118" s="15"/>
      <c r="NDB118" s="14"/>
      <c r="NDC118" s="15"/>
      <c r="NDD118" s="15"/>
      <c r="NDE118" s="15"/>
      <c r="NDF118" s="15"/>
      <c r="NDG118" s="15"/>
      <c r="NDH118" s="15"/>
      <c r="NDI118" s="15"/>
      <c r="NDJ118" s="15"/>
      <c r="NDK118" s="15"/>
      <c r="NDL118" s="15"/>
      <c r="NDM118" s="15"/>
      <c r="NDN118" s="15"/>
      <c r="NDO118" s="15"/>
      <c r="NDP118" s="15"/>
      <c r="NDQ118" s="15"/>
      <c r="NDR118" s="15"/>
      <c r="NDS118" s="15"/>
      <c r="NDT118" s="15"/>
      <c r="NDU118" s="15"/>
      <c r="NDV118" s="15"/>
      <c r="NDW118" s="15"/>
      <c r="NDX118" s="14"/>
      <c r="NDY118" s="15"/>
      <c r="NDZ118" s="15"/>
      <c r="NEA118" s="15"/>
      <c r="NEB118" s="15"/>
      <c r="NEC118" s="15"/>
      <c r="NED118" s="15"/>
      <c r="NEE118" s="15"/>
      <c r="NEF118" s="15"/>
      <c r="NEG118" s="15"/>
      <c r="NEH118" s="15"/>
      <c r="NEI118" s="15"/>
      <c r="NEJ118" s="15"/>
      <c r="NEK118" s="15"/>
      <c r="NEL118" s="15"/>
      <c r="NEM118" s="15"/>
      <c r="NEN118" s="15"/>
      <c r="NEO118" s="15"/>
      <c r="NEP118" s="15"/>
      <c r="NEQ118" s="15"/>
      <c r="NER118" s="15"/>
      <c r="NES118" s="15"/>
      <c r="NET118" s="14"/>
      <c r="NEU118" s="15"/>
      <c r="NEV118" s="15"/>
      <c r="NEW118" s="15"/>
      <c r="NEX118" s="15"/>
      <c r="NEY118" s="15"/>
      <c r="NEZ118" s="15"/>
      <c r="NFA118" s="15"/>
      <c r="NFB118" s="15"/>
      <c r="NFC118" s="15"/>
      <c r="NFD118" s="15"/>
      <c r="NFE118" s="15"/>
      <c r="NFF118" s="15"/>
      <c r="NFG118" s="15"/>
      <c r="NFH118" s="15"/>
      <c r="NFI118" s="15"/>
      <c r="NFJ118" s="15"/>
      <c r="NFK118" s="15"/>
      <c r="NFL118" s="15"/>
      <c r="NFM118" s="15"/>
      <c r="NFN118" s="15"/>
      <c r="NFO118" s="15"/>
      <c r="NFP118" s="14"/>
      <c r="NFQ118" s="15"/>
      <c r="NFR118" s="15"/>
      <c r="NFS118" s="15"/>
      <c r="NFT118" s="15"/>
      <c r="NFU118" s="15"/>
      <c r="NFV118" s="15"/>
      <c r="NFW118" s="15"/>
      <c r="NFX118" s="15"/>
      <c r="NFY118" s="15"/>
      <c r="NFZ118" s="15"/>
      <c r="NGA118" s="15"/>
      <c r="NGB118" s="15"/>
      <c r="NGC118" s="15"/>
      <c r="NGD118" s="15"/>
      <c r="NGE118" s="15"/>
      <c r="NGF118" s="15"/>
      <c r="NGG118" s="15"/>
      <c r="NGH118" s="15"/>
      <c r="NGI118" s="15"/>
      <c r="NGJ118" s="15"/>
      <c r="NGK118" s="15"/>
      <c r="NGL118" s="14"/>
      <c r="NGM118" s="15"/>
      <c r="NGN118" s="15"/>
      <c r="NGO118" s="15"/>
      <c r="NGP118" s="15"/>
      <c r="NGQ118" s="15"/>
      <c r="NGR118" s="15"/>
      <c r="NGS118" s="15"/>
      <c r="NGT118" s="15"/>
      <c r="NGU118" s="15"/>
      <c r="NGV118" s="15"/>
      <c r="NGW118" s="15"/>
      <c r="NGX118" s="15"/>
      <c r="NGY118" s="15"/>
      <c r="NGZ118" s="15"/>
      <c r="NHA118" s="15"/>
      <c r="NHB118" s="15"/>
      <c r="NHC118" s="15"/>
      <c r="NHD118" s="15"/>
      <c r="NHE118" s="15"/>
      <c r="NHF118" s="15"/>
      <c r="NHG118" s="15"/>
      <c r="NHH118" s="14"/>
      <c r="NHI118" s="15"/>
      <c r="NHJ118" s="15"/>
      <c r="NHK118" s="15"/>
      <c r="NHL118" s="15"/>
      <c r="NHM118" s="15"/>
      <c r="NHN118" s="15"/>
      <c r="NHO118" s="15"/>
      <c r="NHP118" s="15"/>
      <c r="NHQ118" s="15"/>
      <c r="NHR118" s="15"/>
      <c r="NHS118" s="15"/>
      <c r="NHT118" s="15"/>
      <c r="NHU118" s="15"/>
      <c r="NHV118" s="15"/>
      <c r="NHW118" s="15"/>
      <c r="NHX118" s="15"/>
      <c r="NHY118" s="15"/>
      <c r="NHZ118" s="15"/>
      <c r="NIA118" s="15"/>
      <c r="NIB118" s="15"/>
      <c r="NIC118" s="15"/>
      <c r="NID118" s="14"/>
      <c r="NIE118" s="15"/>
      <c r="NIF118" s="15"/>
      <c r="NIG118" s="15"/>
      <c r="NIH118" s="15"/>
      <c r="NII118" s="15"/>
      <c r="NIJ118" s="15"/>
      <c r="NIK118" s="15"/>
      <c r="NIL118" s="15"/>
      <c r="NIM118" s="15"/>
      <c r="NIN118" s="15"/>
      <c r="NIO118" s="15"/>
      <c r="NIP118" s="15"/>
      <c r="NIQ118" s="15"/>
      <c r="NIR118" s="15"/>
      <c r="NIS118" s="15"/>
      <c r="NIT118" s="15"/>
      <c r="NIU118" s="15"/>
      <c r="NIV118" s="15"/>
      <c r="NIW118" s="15"/>
      <c r="NIX118" s="15"/>
      <c r="NIY118" s="15"/>
      <c r="NIZ118" s="14"/>
      <c r="NJA118" s="15"/>
      <c r="NJB118" s="15"/>
      <c r="NJC118" s="15"/>
      <c r="NJD118" s="15"/>
      <c r="NJE118" s="15"/>
      <c r="NJF118" s="15"/>
      <c r="NJG118" s="15"/>
      <c r="NJH118" s="15"/>
      <c r="NJI118" s="15"/>
      <c r="NJJ118" s="15"/>
      <c r="NJK118" s="15"/>
      <c r="NJL118" s="15"/>
      <c r="NJM118" s="15"/>
      <c r="NJN118" s="15"/>
      <c r="NJO118" s="15"/>
      <c r="NJP118" s="15"/>
      <c r="NJQ118" s="15"/>
      <c r="NJR118" s="15"/>
      <c r="NJS118" s="15"/>
      <c r="NJT118" s="15"/>
      <c r="NJU118" s="15"/>
      <c r="NJV118" s="14"/>
      <c r="NJW118" s="15"/>
      <c r="NJX118" s="15"/>
      <c r="NJY118" s="15"/>
      <c r="NJZ118" s="15"/>
      <c r="NKA118" s="15"/>
      <c r="NKB118" s="15"/>
      <c r="NKC118" s="15"/>
      <c r="NKD118" s="15"/>
      <c r="NKE118" s="15"/>
      <c r="NKF118" s="15"/>
      <c r="NKG118" s="15"/>
      <c r="NKH118" s="15"/>
      <c r="NKI118" s="15"/>
      <c r="NKJ118" s="15"/>
      <c r="NKK118" s="15"/>
      <c r="NKL118" s="15"/>
      <c r="NKM118" s="15"/>
      <c r="NKN118" s="15"/>
      <c r="NKO118" s="15"/>
      <c r="NKP118" s="15"/>
      <c r="NKQ118" s="15"/>
      <c r="NKR118" s="14"/>
      <c r="NKS118" s="15"/>
      <c r="NKT118" s="15"/>
      <c r="NKU118" s="15"/>
      <c r="NKV118" s="15"/>
      <c r="NKW118" s="15"/>
      <c r="NKX118" s="15"/>
      <c r="NKY118" s="15"/>
      <c r="NKZ118" s="15"/>
      <c r="NLA118" s="15"/>
      <c r="NLB118" s="15"/>
      <c r="NLC118" s="15"/>
      <c r="NLD118" s="15"/>
      <c r="NLE118" s="15"/>
      <c r="NLF118" s="15"/>
      <c r="NLG118" s="15"/>
      <c r="NLH118" s="15"/>
      <c r="NLI118" s="15"/>
      <c r="NLJ118" s="15"/>
      <c r="NLK118" s="15"/>
      <c r="NLL118" s="15"/>
      <c r="NLM118" s="15"/>
      <c r="NLN118" s="14"/>
      <c r="NLO118" s="15"/>
      <c r="NLP118" s="15"/>
      <c r="NLQ118" s="15"/>
      <c r="NLR118" s="15"/>
      <c r="NLS118" s="15"/>
      <c r="NLT118" s="15"/>
      <c r="NLU118" s="15"/>
      <c r="NLV118" s="15"/>
      <c r="NLW118" s="15"/>
      <c r="NLX118" s="15"/>
      <c r="NLY118" s="15"/>
      <c r="NLZ118" s="15"/>
      <c r="NMA118" s="15"/>
      <c r="NMB118" s="15"/>
      <c r="NMC118" s="15"/>
      <c r="NMD118" s="15"/>
      <c r="NME118" s="15"/>
      <c r="NMF118" s="15"/>
      <c r="NMG118" s="15"/>
      <c r="NMH118" s="15"/>
      <c r="NMI118" s="15"/>
      <c r="NMJ118" s="14"/>
      <c r="NMK118" s="15"/>
      <c r="NML118" s="15"/>
      <c r="NMM118" s="15"/>
      <c r="NMN118" s="15"/>
      <c r="NMO118" s="15"/>
      <c r="NMP118" s="15"/>
      <c r="NMQ118" s="15"/>
      <c r="NMR118" s="15"/>
      <c r="NMS118" s="15"/>
      <c r="NMT118" s="15"/>
      <c r="NMU118" s="15"/>
      <c r="NMV118" s="15"/>
      <c r="NMW118" s="15"/>
      <c r="NMX118" s="15"/>
      <c r="NMY118" s="15"/>
      <c r="NMZ118" s="15"/>
      <c r="NNA118" s="15"/>
      <c r="NNB118" s="15"/>
      <c r="NNC118" s="15"/>
      <c r="NND118" s="15"/>
      <c r="NNE118" s="15"/>
      <c r="NNF118" s="14"/>
      <c r="NNG118" s="15"/>
      <c r="NNH118" s="15"/>
      <c r="NNI118" s="15"/>
      <c r="NNJ118" s="15"/>
      <c r="NNK118" s="15"/>
      <c r="NNL118" s="15"/>
      <c r="NNM118" s="15"/>
      <c r="NNN118" s="15"/>
      <c r="NNO118" s="15"/>
      <c r="NNP118" s="15"/>
      <c r="NNQ118" s="15"/>
      <c r="NNR118" s="15"/>
      <c r="NNS118" s="15"/>
      <c r="NNT118" s="15"/>
      <c r="NNU118" s="15"/>
      <c r="NNV118" s="15"/>
      <c r="NNW118" s="15"/>
      <c r="NNX118" s="15"/>
      <c r="NNY118" s="15"/>
      <c r="NNZ118" s="15"/>
      <c r="NOA118" s="15"/>
      <c r="NOB118" s="14"/>
      <c r="NOC118" s="15"/>
      <c r="NOD118" s="15"/>
      <c r="NOE118" s="15"/>
      <c r="NOF118" s="15"/>
      <c r="NOG118" s="15"/>
      <c r="NOH118" s="15"/>
      <c r="NOI118" s="15"/>
      <c r="NOJ118" s="15"/>
      <c r="NOK118" s="15"/>
      <c r="NOL118" s="15"/>
      <c r="NOM118" s="15"/>
      <c r="NON118" s="15"/>
      <c r="NOO118" s="15"/>
      <c r="NOP118" s="15"/>
      <c r="NOQ118" s="15"/>
      <c r="NOR118" s="15"/>
      <c r="NOS118" s="15"/>
      <c r="NOT118" s="15"/>
      <c r="NOU118" s="15"/>
      <c r="NOV118" s="15"/>
      <c r="NOW118" s="15"/>
      <c r="NOX118" s="14"/>
      <c r="NOY118" s="15"/>
      <c r="NOZ118" s="15"/>
      <c r="NPA118" s="15"/>
      <c r="NPB118" s="15"/>
      <c r="NPC118" s="15"/>
      <c r="NPD118" s="15"/>
      <c r="NPE118" s="15"/>
      <c r="NPF118" s="15"/>
      <c r="NPG118" s="15"/>
      <c r="NPH118" s="15"/>
      <c r="NPI118" s="15"/>
      <c r="NPJ118" s="15"/>
      <c r="NPK118" s="15"/>
      <c r="NPL118" s="15"/>
      <c r="NPM118" s="15"/>
      <c r="NPN118" s="15"/>
      <c r="NPO118" s="15"/>
      <c r="NPP118" s="15"/>
      <c r="NPQ118" s="15"/>
      <c r="NPR118" s="15"/>
      <c r="NPS118" s="15"/>
      <c r="NPT118" s="14"/>
      <c r="NPU118" s="15"/>
      <c r="NPV118" s="15"/>
      <c r="NPW118" s="15"/>
      <c r="NPX118" s="15"/>
      <c r="NPY118" s="15"/>
      <c r="NPZ118" s="15"/>
      <c r="NQA118" s="15"/>
      <c r="NQB118" s="15"/>
      <c r="NQC118" s="15"/>
      <c r="NQD118" s="15"/>
      <c r="NQE118" s="15"/>
      <c r="NQF118" s="15"/>
      <c r="NQG118" s="15"/>
      <c r="NQH118" s="15"/>
      <c r="NQI118" s="15"/>
      <c r="NQJ118" s="15"/>
      <c r="NQK118" s="15"/>
      <c r="NQL118" s="15"/>
      <c r="NQM118" s="15"/>
      <c r="NQN118" s="15"/>
      <c r="NQO118" s="15"/>
      <c r="NQP118" s="14"/>
      <c r="NQQ118" s="15"/>
      <c r="NQR118" s="15"/>
      <c r="NQS118" s="15"/>
      <c r="NQT118" s="15"/>
      <c r="NQU118" s="15"/>
      <c r="NQV118" s="15"/>
      <c r="NQW118" s="15"/>
      <c r="NQX118" s="15"/>
      <c r="NQY118" s="15"/>
      <c r="NQZ118" s="15"/>
      <c r="NRA118" s="15"/>
      <c r="NRB118" s="15"/>
      <c r="NRC118" s="15"/>
      <c r="NRD118" s="15"/>
      <c r="NRE118" s="15"/>
      <c r="NRF118" s="15"/>
      <c r="NRG118" s="15"/>
      <c r="NRH118" s="15"/>
      <c r="NRI118" s="15"/>
      <c r="NRJ118" s="15"/>
      <c r="NRK118" s="15"/>
      <c r="NRL118" s="14"/>
      <c r="NRM118" s="15"/>
      <c r="NRN118" s="15"/>
      <c r="NRO118" s="15"/>
      <c r="NRP118" s="15"/>
      <c r="NRQ118" s="15"/>
      <c r="NRR118" s="15"/>
      <c r="NRS118" s="15"/>
      <c r="NRT118" s="15"/>
      <c r="NRU118" s="15"/>
      <c r="NRV118" s="15"/>
      <c r="NRW118" s="15"/>
      <c r="NRX118" s="15"/>
      <c r="NRY118" s="15"/>
      <c r="NRZ118" s="15"/>
      <c r="NSA118" s="15"/>
      <c r="NSB118" s="15"/>
      <c r="NSC118" s="15"/>
      <c r="NSD118" s="15"/>
      <c r="NSE118" s="15"/>
      <c r="NSF118" s="15"/>
      <c r="NSG118" s="15"/>
      <c r="NSH118" s="14"/>
      <c r="NSI118" s="15"/>
      <c r="NSJ118" s="15"/>
      <c r="NSK118" s="15"/>
      <c r="NSL118" s="15"/>
      <c r="NSM118" s="15"/>
      <c r="NSN118" s="15"/>
      <c r="NSO118" s="15"/>
      <c r="NSP118" s="15"/>
      <c r="NSQ118" s="15"/>
      <c r="NSR118" s="15"/>
      <c r="NSS118" s="15"/>
      <c r="NST118" s="15"/>
      <c r="NSU118" s="15"/>
      <c r="NSV118" s="15"/>
      <c r="NSW118" s="15"/>
      <c r="NSX118" s="15"/>
      <c r="NSY118" s="15"/>
      <c r="NSZ118" s="15"/>
      <c r="NTA118" s="15"/>
      <c r="NTB118" s="15"/>
      <c r="NTC118" s="15"/>
      <c r="NTD118" s="14"/>
      <c r="NTE118" s="15"/>
      <c r="NTF118" s="15"/>
      <c r="NTG118" s="15"/>
      <c r="NTH118" s="15"/>
      <c r="NTI118" s="15"/>
      <c r="NTJ118" s="15"/>
      <c r="NTK118" s="15"/>
      <c r="NTL118" s="15"/>
      <c r="NTM118" s="15"/>
      <c r="NTN118" s="15"/>
      <c r="NTO118" s="15"/>
      <c r="NTP118" s="15"/>
      <c r="NTQ118" s="15"/>
      <c r="NTR118" s="15"/>
      <c r="NTS118" s="15"/>
      <c r="NTT118" s="15"/>
      <c r="NTU118" s="15"/>
      <c r="NTV118" s="15"/>
      <c r="NTW118" s="15"/>
      <c r="NTX118" s="15"/>
      <c r="NTY118" s="15"/>
      <c r="NTZ118" s="14"/>
      <c r="NUA118" s="15"/>
      <c r="NUB118" s="15"/>
      <c r="NUC118" s="15"/>
      <c r="NUD118" s="15"/>
      <c r="NUE118" s="15"/>
      <c r="NUF118" s="15"/>
      <c r="NUG118" s="15"/>
      <c r="NUH118" s="15"/>
      <c r="NUI118" s="15"/>
      <c r="NUJ118" s="15"/>
      <c r="NUK118" s="15"/>
      <c r="NUL118" s="15"/>
      <c r="NUM118" s="15"/>
      <c r="NUN118" s="15"/>
      <c r="NUO118" s="15"/>
      <c r="NUP118" s="15"/>
      <c r="NUQ118" s="15"/>
      <c r="NUR118" s="15"/>
      <c r="NUS118" s="15"/>
      <c r="NUT118" s="15"/>
      <c r="NUU118" s="15"/>
      <c r="NUV118" s="14"/>
      <c r="NUW118" s="15"/>
      <c r="NUX118" s="15"/>
      <c r="NUY118" s="15"/>
      <c r="NUZ118" s="15"/>
      <c r="NVA118" s="15"/>
      <c r="NVB118" s="15"/>
      <c r="NVC118" s="15"/>
      <c r="NVD118" s="15"/>
      <c r="NVE118" s="15"/>
      <c r="NVF118" s="15"/>
      <c r="NVG118" s="15"/>
      <c r="NVH118" s="15"/>
      <c r="NVI118" s="15"/>
      <c r="NVJ118" s="15"/>
      <c r="NVK118" s="15"/>
      <c r="NVL118" s="15"/>
      <c r="NVM118" s="15"/>
      <c r="NVN118" s="15"/>
      <c r="NVO118" s="15"/>
      <c r="NVP118" s="15"/>
      <c r="NVQ118" s="15"/>
      <c r="NVR118" s="14"/>
      <c r="NVS118" s="15"/>
      <c r="NVT118" s="15"/>
      <c r="NVU118" s="15"/>
      <c r="NVV118" s="15"/>
      <c r="NVW118" s="15"/>
      <c r="NVX118" s="15"/>
      <c r="NVY118" s="15"/>
      <c r="NVZ118" s="15"/>
      <c r="NWA118" s="15"/>
      <c r="NWB118" s="15"/>
      <c r="NWC118" s="15"/>
      <c r="NWD118" s="15"/>
      <c r="NWE118" s="15"/>
      <c r="NWF118" s="15"/>
      <c r="NWG118" s="15"/>
      <c r="NWH118" s="15"/>
      <c r="NWI118" s="15"/>
      <c r="NWJ118" s="15"/>
      <c r="NWK118" s="15"/>
      <c r="NWL118" s="15"/>
      <c r="NWM118" s="15"/>
      <c r="NWN118" s="14"/>
      <c r="NWO118" s="15"/>
      <c r="NWP118" s="15"/>
      <c r="NWQ118" s="15"/>
      <c r="NWR118" s="15"/>
      <c r="NWS118" s="15"/>
      <c r="NWT118" s="15"/>
      <c r="NWU118" s="15"/>
      <c r="NWV118" s="15"/>
      <c r="NWW118" s="15"/>
      <c r="NWX118" s="15"/>
      <c r="NWY118" s="15"/>
      <c r="NWZ118" s="15"/>
      <c r="NXA118" s="15"/>
      <c r="NXB118" s="15"/>
      <c r="NXC118" s="15"/>
      <c r="NXD118" s="15"/>
      <c r="NXE118" s="15"/>
      <c r="NXF118" s="15"/>
      <c r="NXG118" s="15"/>
      <c r="NXH118" s="15"/>
      <c r="NXI118" s="15"/>
      <c r="NXJ118" s="14"/>
      <c r="NXK118" s="15"/>
      <c r="NXL118" s="15"/>
      <c r="NXM118" s="15"/>
      <c r="NXN118" s="15"/>
      <c r="NXO118" s="15"/>
      <c r="NXP118" s="15"/>
      <c r="NXQ118" s="15"/>
      <c r="NXR118" s="15"/>
      <c r="NXS118" s="15"/>
      <c r="NXT118" s="15"/>
      <c r="NXU118" s="15"/>
      <c r="NXV118" s="15"/>
      <c r="NXW118" s="15"/>
      <c r="NXX118" s="15"/>
      <c r="NXY118" s="15"/>
      <c r="NXZ118" s="15"/>
      <c r="NYA118" s="15"/>
      <c r="NYB118" s="15"/>
      <c r="NYC118" s="15"/>
      <c r="NYD118" s="15"/>
      <c r="NYE118" s="15"/>
      <c r="NYF118" s="14"/>
      <c r="NYG118" s="15"/>
      <c r="NYH118" s="15"/>
      <c r="NYI118" s="15"/>
      <c r="NYJ118" s="15"/>
      <c r="NYK118" s="15"/>
      <c r="NYL118" s="15"/>
      <c r="NYM118" s="15"/>
      <c r="NYN118" s="15"/>
      <c r="NYO118" s="15"/>
      <c r="NYP118" s="15"/>
      <c r="NYQ118" s="15"/>
      <c r="NYR118" s="15"/>
      <c r="NYS118" s="15"/>
      <c r="NYT118" s="15"/>
      <c r="NYU118" s="15"/>
      <c r="NYV118" s="15"/>
      <c r="NYW118" s="15"/>
      <c r="NYX118" s="15"/>
      <c r="NYY118" s="15"/>
      <c r="NYZ118" s="15"/>
      <c r="NZA118" s="15"/>
      <c r="NZB118" s="14"/>
      <c r="NZC118" s="15"/>
      <c r="NZD118" s="15"/>
      <c r="NZE118" s="15"/>
      <c r="NZF118" s="15"/>
      <c r="NZG118" s="15"/>
      <c r="NZH118" s="15"/>
      <c r="NZI118" s="15"/>
      <c r="NZJ118" s="15"/>
      <c r="NZK118" s="15"/>
      <c r="NZL118" s="15"/>
      <c r="NZM118" s="15"/>
      <c r="NZN118" s="15"/>
      <c r="NZO118" s="15"/>
      <c r="NZP118" s="15"/>
      <c r="NZQ118" s="15"/>
      <c r="NZR118" s="15"/>
      <c r="NZS118" s="15"/>
      <c r="NZT118" s="15"/>
      <c r="NZU118" s="15"/>
      <c r="NZV118" s="15"/>
      <c r="NZW118" s="15"/>
      <c r="NZX118" s="14"/>
      <c r="NZY118" s="15"/>
      <c r="NZZ118" s="15"/>
      <c r="OAA118" s="15"/>
      <c r="OAB118" s="15"/>
      <c r="OAC118" s="15"/>
      <c r="OAD118" s="15"/>
      <c r="OAE118" s="15"/>
      <c r="OAF118" s="15"/>
      <c r="OAG118" s="15"/>
      <c r="OAH118" s="15"/>
      <c r="OAI118" s="15"/>
      <c r="OAJ118" s="15"/>
      <c r="OAK118" s="15"/>
      <c r="OAL118" s="15"/>
      <c r="OAM118" s="15"/>
      <c r="OAN118" s="15"/>
      <c r="OAO118" s="15"/>
      <c r="OAP118" s="15"/>
      <c r="OAQ118" s="15"/>
      <c r="OAR118" s="15"/>
      <c r="OAS118" s="15"/>
      <c r="OAT118" s="14"/>
      <c r="OAU118" s="15"/>
      <c r="OAV118" s="15"/>
      <c r="OAW118" s="15"/>
      <c r="OAX118" s="15"/>
      <c r="OAY118" s="15"/>
      <c r="OAZ118" s="15"/>
      <c r="OBA118" s="15"/>
      <c r="OBB118" s="15"/>
      <c r="OBC118" s="15"/>
      <c r="OBD118" s="15"/>
      <c r="OBE118" s="15"/>
      <c r="OBF118" s="15"/>
      <c r="OBG118" s="15"/>
      <c r="OBH118" s="15"/>
      <c r="OBI118" s="15"/>
      <c r="OBJ118" s="15"/>
      <c r="OBK118" s="15"/>
      <c r="OBL118" s="15"/>
      <c r="OBM118" s="15"/>
      <c r="OBN118" s="15"/>
      <c r="OBO118" s="15"/>
      <c r="OBP118" s="14"/>
      <c r="OBQ118" s="15"/>
      <c r="OBR118" s="15"/>
      <c r="OBS118" s="15"/>
      <c r="OBT118" s="15"/>
      <c r="OBU118" s="15"/>
      <c r="OBV118" s="15"/>
      <c r="OBW118" s="15"/>
      <c r="OBX118" s="15"/>
      <c r="OBY118" s="15"/>
      <c r="OBZ118" s="15"/>
      <c r="OCA118" s="15"/>
      <c r="OCB118" s="15"/>
      <c r="OCC118" s="15"/>
      <c r="OCD118" s="15"/>
      <c r="OCE118" s="15"/>
      <c r="OCF118" s="15"/>
      <c r="OCG118" s="15"/>
      <c r="OCH118" s="15"/>
      <c r="OCI118" s="15"/>
      <c r="OCJ118" s="15"/>
      <c r="OCK118" s="15"/>
      <c r="OCL118" s="14"/>
      <c r="OCM118" s="15"/>
      <c r="OCN118" s="15"/>
      <c r="OCO118" s="15"/>
      <c r="OCP118" s="15"/>
      <c r="OCQ118" s="15"/>
      <c r="OCR118" s="15"/>
      <c r="OCS118" s="15"/>
      <c r="OCT118" s="15"/>
      <c r="OCU118" s="15"/>
      <c r="OCV118" s="15"/>
      <c r="OCW118" s="15"/>
      <c r="OCX118" s="15"/>
      <c r="OCY118" s="15"/>
      <c r="OCZ118" s="15"/>
      <c r="ODA118" s="15"/>
      <c r="ODB118" s="15"/>
      <c r="ODC118" s="15"/>
      <c r="ODD118" s="15"/>
      <c r="ODE118" s="15"/>
      <c r="ODF118" s="15"/>
      <c r="ODG118" s="15"/>
      <c r="ODH118" s="14"/>
      <c r="ODI118" s="15"/>
      <c r="ODJ118" s="15"/>
      <c r="ODK118" s="15"/>
      <c r="ODL118" s="15"/>
      <c r="ODM118" s="15"/>
      <c r="ODN118" s="15"/>
      <c r="ODO118" s="15"/>
      <c r="ODP118" s="15"/>
      <c r="ODQ118" s="15"/>
      <c r="ODR118" s="15"/>
      <c r="ODS118" s="15"/>
      <c r="ODT118" s="15"/>
      <c r="ODU118" s="15"/>
      <c r="ODV118" s="15"/>
      <c r="ODW118" s="15"/>
      <c r="ODX118" s="15"/>
      <c r="ODY118" s="15"/>
      <c r="ODZ118" s="15"/>
      <c r="OEA118" s="15"/>
      <c r="OEB118" s="15"/>
      <c r="OEC118" s="15"/>
      <c r="OED118" s="14"/>
      <c r="OEE118" s="15"/>
      <c r="OEF118" s="15"/>
      <c r="OEG118" s="15"/>
      <c r="OEH118" s="15"/>
      <c r="OEI118" s="15"/>
      <c r="OEJ118" s="15"/>
      <c r="OEK118" s="15"/>
      <c r="OEL118" s="15"/>
      <c r="OEM118" s="15"/>
      <c r="OEN118" s="15"/>
      <c r="OEO118" s="15"/>
      <c r="OEP118" s="15"/>
      <c r="OEQ118" s="15"/>
      <c r="OER118" s="15"/>
      <c r="OES118" s="15"/>
      <c r="OET118" s="15"/>
      <c r="OEU118" s="15"/>
      <c r="OEV118" s="15"/>
      <c r="OEW118" s="15"/>
      <c r="OEX118" s="15"/>
      <c r="OEY118" s="15"/>
      <c r="OEZ118" s="14"/>
      <c r="OFA118" s="15"/>
      <c r="OFB118" s="15"/>
      <c r="OFC118" s="15"/>
      <c r="OFD118" s="15"/>
      <c r="OFE118" s="15"/>
      <c r="OFF118" s="15"/>
      <c r="OFG118" s="15"/>
      <c r="OFH118" s="15"/>
      <c r="OFI118" s="15"/>
      <c r="OFJ118" s="15"/>
      <c r="OFK118" s="15"/>
      <c r="OFL118" s="15"/>
      <c r="OFM118" s="15"/>
      <c r="OFN118" s="15"/>
      <c r="OFO118" s="15"/>
      <c r="OFP118" s="15"/>
      <c r="OFQ118" s="15"/>
      <c r="OFR118" s="15"/>
      <c r="OFS118" s="15"/>
      <c r="OFT118" s="15"/>
      <c r="OFU118" s="15"/>
      <c r="OFV118" s="14"/>
      <c r="OFW118" s="15"/>
      <c r="OFX118" s="15"/>
      <c r="OFY118" s="15"/>
      <c r="OFZ118" s="15"/>
      <c r="OGA118" s="15"/>
      <c r="OGB118" s="15"/>
      <c r="OGC118" s="15"/>
      <c r="OGD118" s="15"/>
      <c r="OGE118" s="15"/>
      <c r="OGF118" s="15"/>
      <c r="OGG118" s="15"/>
      <c r="OGH118" s="15"/>
      <c r="OGI118" s="15"/>
      <c r="OGJ118" s="15"/>
      <c r="OGK118" s="15"/>
      <c r="OGL118" s="15"/>
      <c r="OGM118" s="15"/>
      <c r="OGN118" s="15"/>
      <c r="OGO118" s="15"/>
      <c r="OGP118" s="15"/>
      <c r="OGQ118" s="15"/>
      <c r="OGR118" s="14"/>
      <c r="OGS118" s="15"/>
      <c r="OGT118" s="15"/>
      <c r="OGU118" s="15"/>
      <c r="OGV118" s="15"/>
      <c r="OGW118" s="15"/>
      <c r="OGX118" s="15"/>
      <c r="OGY118" s="15"/>
      <c r="OGZ118" s="15"/>
      <c r="OHA118" s="15"/>
      <c r="OHB118" s="15"/>
      <c r="OHC118" s="15"/>
      <c r="OHD118" s="15"/>
      <c r="OHE118" s="15"/>
      <c r="OHF118" s="15"/>
      <c r="OHG118" s="15"/>
      <c r="OHH118" s="15"/>
      <c r="OHI118" s="15"/>
      <c r="OHJ118" s="15"/>
      <c r="OHK118" s="15"/>
      <c r="OHL118" s="15"/>
      <c r="OHM118" s="15"/>
      <c r="OHN118" s="14"/>
      <c r="OHO118" s="15"/>
      <c r="OHP118" s="15"/>
      <c r="OHQ118" s="15"/>
      <c r="OHR118" s="15"/>
      <c r="OHS118" s="15"/>
      <c r="OHT118" s="15"/>
      <c r="OHU118" s="15"/>
      <c r="OHV118" s="15"/>
      <c r="OHW118" s="15"/>
      <c r="OHX118" s="15"/>
      <c r="OHY118" s="15"/>
      <c r="OHZ118" s="15"/>
      <c r="OIA118" s="15"/>
      <c r="OIB118" s="15"/>
      <c r="OIC118" s="15"/>
      <c r="OID118" s="15"/>
      <c r="OIE118" s="15"/>
      <c r="OIF118" s="15"/>
      <c r="OIG118" s="15"/>
      <c r="OIH118" s="15"/>
      <c r="OII118" s="15"/>
      <c r="OIJ118" s="14"/>
      <c r="OIK118" s="15"/>
      <c r="OIL118" s="15"/>
      <c r="OIM118" s="15"/>
      <c r="OIN118" s="15"/>
      <c r="OIO118" s="15"/>
      <c r="OIP118" s="15"/>
      <c r="OIQ118" s="15"/>
      <c r="OIR118" s="15"/>
      <c r="OIS118" s="15"/>
      <c r="OIT118" s="15"/>
      <c r="OIU118" s="15"/>
      <c r="OIV118" s="15"/>
      <c r="OIW118" s="15"/>
      <c r="OIX118" s="15"/>
      <c r="OIY118" s="15"/>
      <c r="OIZ118" s="15"/>
      <c r="OJA118" s="15"/>
      <c r="OJB118" s="15"/>
      <c r="OJC118" s="15"/>
      <c r="OJD118" s="15"/>
      <c r="OJE118" s="15"/>
      <c r="OJF118" s="14"/>
      <c r="OJG118" s="15"/>
      <c r="OJH118" s="15"/>
      <c r="OJI118" s="15"/>
      <c r="OJJ118" s="15"/>
      <c r="OJK118" s="15"/>
      <c r="OJL118" s="15"/>
      <c r="OJM118" s="15"/>
      <c r="OJN118" s="15"/>
      <c r="OJO118" s="15"/>
      <c r="OJP118" s="15"/>
      <c r="OJQ118" s="15"/>
      <c r="OJR118" s="15"/>
      <c r="OJS118" s="15"/>
      <c r="OJT118" s="15"/>
      <c r="OJU118" s="15"/>
      <c r="OJV118" s="15"/>
      <c r="OJW118" s="15"/>
      <c r="OJX118" s="15"/>
      <c r="OJY118" s="15"/>
      <c r="OJZ118" s="15"/>
      <c r="OKA118" s="15"/>
      <c r="OKB118" s="14"/>
      <c r="OKC118" s="15"/>
      <c r="OKD118" s="15"/>
      <c r="OKE118" s="15"/>
      <c r="OKF118" s="15"/>
      <c r="OKG118" s="15"/>
      <c r="OKH118" s="15"/>
      <c r="OKI118" s="15"/>
      <c r="OKJ118" s="15"/>
      <c r="OKK118" s="15"/>
      <c r="OKL118" s="15"/>
      <c r="OKM118" s="15"/>
      <c r="OKN118" s="15"/>
      <c r="OKO118" s="15"/>
      <c r="OKP118" s="15"/>
      <c r="OKQ118" s="15"/>
      <c r="OKR118" s="15"/>
      <c r="OKS118" s="15"/>
      <c r="OKT118" s="15"/>
      <c r="OKU118" s="15"/>
      <c r="OKV118" s="15"/>
      <c r="OKW118" s="15"/>
      <c r="OKX118" s="14"/>
      <c r="OKY118" s="15"/>
      <c r="OKZ118" s="15"/>
      <c r="OLA118" s="15"/>
      <c r="OLB118" s="15"/>
      <c r="OLC118" s="15"/>
      <c r="OLD118" s="15"/>
      <c r="OLE118" s="15"/>
      <c r="OLF118" s="15"/>
      <c r="OLG118" s="15"/>
      <c r="OLH118" s="15"/>
      <c r="OLI118" s="15"/>
      <c r="OLJ118" s="15"/>
      <c r="OLK118" s="15"/>
      <c r="OLL118" s="15"/>
      <c r="OLM118" s="15"/>
      <c r="OLN118" s="15"/>
      <c r="OLO118" s="15"/>
      <c r="OLP118" s="15"/>
      <c r="OLQ118" s="15"/>
      <c r="OLR118" s="15"/>
      <c r="OLS118" s="15"/>
      <c r="OLT118" s="14"/>
      <c r="OLU118" s="15"/>
      <c r="OLV118" s="15"/>
      <c r="OLW118" s="15"/>
      <c r="OLX118" s="15"/>
      <c r="OLY118" s="15"/>
      <c r="OLZ118" s="15"/>
      <c r="OMA118" s="15"/>
      <c r="OMB118" s="15"/>
      <c r="OMC118" s="15"/>
      <c r="OMD118" s="15"/>
      <c r="OME118" s="15"/>
      <c r="OMF118" s="15"/>
      <c r="OMG118" s="15"/>
      <c r="OMH118" s="15"/>
      <c r="OMI118" s="15"/>
      <c r="OMJ118" s="15"/>
      <c r="OMK118" s="15"/>
      <c r="OML118" s="15"/>
      <c r="OMM118" s="15"/>
      <c r="OMN118" s="15"/>
      <c r="OMO118" s="15"/>
      <c r="OMP118" s="14"/>
      <c r="OMQ118" s="15"/>
      <c r="OMR118" s="15"/>
      <c r="OMS118" s="15"/>
      <c r="OMT118" s="15"/>
      <c r="OMU118" s="15"/>
      <c r="OMV118" s="15"/>
      <c r="OMW118" s="15"/>
      <c r="OMX118" s="15"/>
      <c r="OMY118" s="15"/>
      <c r="OMZ118" s="15"/>
      <c r="ONA118" s="15"/>
      <c r="ONB118" s="15"/>
      <c r="ONC118" s="15"/>
      <c r="OND118" s="15"/>
      <c r="ONE118" s="15"/>
      <c r="ONF118" s="15"/>
      <c r="ONG118" s="15"/>
      <c r="ONH118" s="15"/>
      <c r="ONI118" s="15"/>
      <c r="ONJ118" s="15"/>
      <c r="ONK118" s="15"/>
      <c r="ONL118" s="14"/>
      <c r="ONM118" s="15"/>
      <c r="ONN118" s="15"/>
      <c r="ONO118" s="15"/>
      <c r="ONP118" s="15"/>
      <c r="ONQ118" s="15"/>
      <c r="ONR118" s="15"/>
      <c r="ONS118" s="15"/>
      <c r="ONT118" s="15"/>
      <c r="ONU118" s="15"/>
      <c r="ONV118" s="15"/>
      <c r="ONW118" s="15"/>
      <c r="ONX118" s="15"/>
      <c r="ONY118" s="15"/>
      <c r="ONZ118" s="15"/>
      <c r="OOA118" s="15"/>
      <c r="OOB118" s="15"/>
      <c r="OOC118" s="15"/>
      <c r="OOD118" s="15"/>
      <c r="OOE118" s="15"/>
      <c r="OOF118" s="15"/>
      <c r="OOG118" s="15"/>
      <c r="OOH118" s="14"/>
      <c r="OOI118" s="15"/>
      <c r="OOJ118" s="15"/>
      <c r="OOK118" s="15"/>
      <c r="OOL118" s="15"/>
      <c r="OOM118" s="15"/>
      <c r="OON118" s="15"/>
      <c r="OOO118" s="15"/>
      <c r="OOP118" s="15"/>
      <c r="OOQ118" s="15"/>
      <c r="OOR118" s="15"/>
      <c r="OOS118" s="15"/>
      <c r="OOT118" s="15"/>
      <c r="OOU118" s="15"/>
      <c r="OOV118" s="15"/>
      <c r="OOW118" s="15"/>
      <c r="OOX118" s="15"/>
      <c r="OOY118" s="15"/>
      <c r="OOZ118" s="15"/>
      <c r="OPA118" s="15"/>
      <c r="OPB118" s="15"/>
      <c r="OPC118" s="15"/>
      <c r="OPD118" s="14"/>
      <c r="OPE118" s="15"/>
      <c r="OPF118" s="15"/>
      <c r="OPG118" s="15"/>
      <c r="OPH118" s="15"/>
      <c r="OPI118" s="15"/>
      <c r="OPJ118" s="15"/>
      <c r="OPK118" s="15"/>
      <c r="OPL118" s="15"/>
      <c r="OPM118" s="15"/>
      <c r="OPN118" s="15"/>
      <c r="OPO118" s="15"/>
      <c r="OPP118" s="15"/>
      <c r="OPQ118" s="15"/>
      <c r="OPR118" s="15"/>
      <c r="OPS118" s="15"/>
      <c r="OPT118" s="15"/>
      <c r="OPU118" s="15"/>
      <c r="OPV118" s="15"/>
      <c r="OPW118" s="15"/>
      <c r="OPX118" s="15"/>
      <c r="OPY118" s="15"/>
      <c r="OPZ118" s="14"/>
      <c r="OQA118" s="15"/>
      <c r="OQB118" s="15"/>
      <c r="OQC118" s="15"/>
      <c r="OQD118" s="15"/>
      <c r="OQE118" s="15"/>
      <c r="OQF118" s="15"/>
      <c r="OQG118" s="15"/>
      <c r="OQH118" s="15"/>
      <c r="OQI118" s="15"/>
      <c r="OQJ118" s="15"/>
      <c r="OQK118" s="15"/>
      <c r="OQL118" s="15"/>
      <c r="OQM118" s="15"/>
      <c r="OQN118" s="15"/>
      <c r="OQO118" s="15"/>
      <c r="OQP118" s="15"/>
      <c r="OQQ118" s="15"/>
      <c r="OQR118" s="15"/>
      <c r="OQS118" s="15"/>
      <c r="OQT118" s="15"/>
      <c r="OQU118" s="15"/>
      <c r="OQV118" s="14"/>
      <c r="OQW118" s="15"/>
      <c r="OQX118" s="15"/>
      <c r="OQY118" s="15"/>
      <c r="OQZ118" s="15"/>
      <c r="ORA118" s="15"/>
      <c r="ORB118" s="15"/>
      <c r="ORC118" s="15"/>
      <c r="ORD118" s="15"/>
      <c r="ORE118" s="15"/>
      <c r="ORF118" s="15"/>
      <c r="ORG118" s="15"/>
      <c r="ORH118" s="15"/>
      <c r="ORI118" s="15"/>
      <c r="ORJ118" s="15"/>
      <c r="ORK118" s="15"/>
      <c r="ORL118" s="15"/>
      <c r="ORM118" s="15"/>
      <c r="ORN118" s="15"/>
      <c r="ORO118" s="15"/>
      <c r="ORP118" s="15"/>
      <c r="ORQ118" s="15"/>
      <c r="ORR118" s="14"/>
      <c r="ORS118" s="15"/>
      <c r="ORT118" s="15"/>
      <c r="ORU118" s="15"/>
      <c r="ORV118" s="15"/>
      <c r="ORW118" s="15"/>
      <c r="ORX118" s="15"/>
      <c r="ORY118" s="15"/>
      <c r="ORZ118" s="15"/>
      <c r="OSA118" s="15"/>
      <c r="OSB118" s="15"/>
      <c r="OSC118" s="15"/>
      <c r="OSD118" s="15"/>
      <c r="OSE118" s="15"/>
      <c r="OSF118" s="15"/>
      <c r="OSG118" s="15"/>
      <c r="OSH118" s="15"/>
      <c r="OSI118" s="15"/>
      <c r="OSJ118" s="15"/>
      <c r="OSK118" s="15"/>
      <c r="OSL118" s="15"/>
      <c r="OSM118" s="15"/>
      <c r="OSN118" s="14"/>
      <c r="OSO118" s="15"/>
      <c r="OSP118" s="15"/>
      <c r="OSQ118" s="15"/>
      <c r="OSR118" s="15"/>
      <c r="OSS118" s="15"/>
      <c r="OST118" s="15"/>
      <c r="OSU118" s="15"/>
      <c r="OSV118" s="15"/>
      <c r="OSW118" s="15"/>
      <c r="OSX118" s="15"/>
      <c r="OSY118" s="15"/>
      <c r="OSZ118" s="15"/>
      <c r="OTA118" s="15"/>
      <c r="OTB118" s="15"/>
      <c r="OTC118" s="15"/>
      <c r="OTD118" s="15"/>
      <c r="OTE118" s="15"/>
      <c r="OTF118" s="15"/>
      <c r="OTG118" s="15"/>
      <c r="OTH118" s="15"/>
      <c r="OTI118" s="15"/>
      <c r="OTJ118" s="14"/>
      <c r="OTK118" s="15"/>
      <c r="OTL118" s="15"/>
      <c r="OTM118" s="15"/>
      <c r="OTN118" s="15"/>
      <c r="OTO118" s="15"/>
      <c r="OTP118" s="15"/>
      <c r="OTQ118" s="15"/>
      <c r="OTR118" s="15"/>
      <c r="OTS118" s="15"/>
      <c r="OTT118" s="15"/>
      <c r="OTU118" s="15"/>
      <c r="OTV118" s="15"/>
      <c r="OTW118" s="15"/>
      <c r="OTX118" s="15"/>
      <c r="OTY118" s="15"/>
      <c r="OTZ118" s="15"/>
      <c r="OUA118" s="15"/>
      <c r="OUB118" s="15"/>
      <c r="OUC118" s="15"/>
      <c r="OUD118" s="15"/>
      <c r="OUE118" s="15"/>
      <c r="OUF118" s="14"/>
      <c r="OUG118" s="15"/>
      <c r="OUH118" s="15"/>
      <c r="OUI118" s="15"/>
      <c r="OUJ118" s="15"/>
      <c r="OUK118" s="15"/>
      <c r="OUL118" s="15"/>
      <c r="OUM118" s="15"/>
      <c r="OUN118" s="15"/>
      <c r="OUO118" s="15"/>
      <c r="OUP118" s="15"/>
      <c r="OUQ118" s="15"/>
      <c r="OUR118" s="15"/>
      <c r="OUS118" s="15"/>
      <c r="OUT118" s="15"/>
      <c r="OUU118" s="15"/>
      <c r="OUV118" s="15"/>
      <c r="OUW118" s="15"/>
      <c r="OUX118" s="15"/>
      <c r="OUY118" s="15"/>
      <c r="OUZ118" s="15"/>
      <c r="OVA118" s="15"/>
      <c r="OVB118" s="14"/>
      <c r="OVC118" s="15"/>
      <c r="OVD118" s="15"/>
      <c r="OVE118" s="15"/>
      <c r="OVF118" s="15"/>
      <c r="OVG118" s="15"/>
      <c r="OVH118" s="15"/>
      <c r="OVI118" s="15"/>
      <c r="OVJ118" s="15"/>
      <c r="OVK118" s="15"/>
      <c r="OVL118" s="15"/>
      <c r="OVM118" s="15"/>
      <c r="OVN118" s="15"/>
      <c r="OVO118" s="15"/>
      <c r="OVP118" s="15"/>
      <c r="OVQ118" s="15"/>
      <c r="OVR118" s="15"/>
      <c r="OVS118" s="15"/>
      <c r="OVT118" s="15"/>
      <c r="OVU118" s="15"/>
      <c r="OVV118" s="15"/>
      <c r="OVW118" s="15"/>
      <c r="OVX118" s="14"/>
      <c r="OVY118" s="15"/>
      <c r="OVZ118" s="15"/>
      <c r="OWA118" s="15"/>
      <c r="OWB118" s="15"/>
      <c r="OWC118" s="15"/>
      <c r="OWD118" s="15"/>
      <c r="OWE118" s="15"/>
      <c r="OWF118" s="15"/>
      <c r="OWG118" s="15"/>
      <c r="OWH118" s="15"/>
      <c r="OWI118" s="15"/>
      <c r="OWJ118" s="15"/>
      <c r="OWK118" s="15"/>
      <c r="OWL118" s="15"/>
      <c r="OWM118" s="15"/>
      <c r="OWN118" s="15"/>
      <c r="OWO118" s="15"/>
      <c r="OWP118" s="15"/>
      <c r="OWQ118" s="15"/>
      <c r="OWR118" s="15"/>
      <c r="OWS118" s="15"/>
      <c r="OWT118" s="14"/>
      <c r="OWU118" s="15"/>
      <c r="OWV118" s="15"/>
      <c r="OWW118" s="15"/>
      <c r="OWX118" s="15"/>
      <c r="OWY118" s="15"/>
      <c r="OWZ118" s="15"/>
      <c r="OXA118" s="15"/>
      <c r="OXB118" s="15"/>
      <c r="OXC118" s="15"/>
      <c r="OXD118" s="15"/>
      <c r="OXE118" s="15"/>
      <c r="OXF118" s="15"/>
      <c r="OXG118" s="15"/>
      <c r="OXH118" s="15"/>
      <c r="OXI118" s="15"/>
      <c r="OXJ118" s="15"/>
      <c r="OXK118" s="15"/>
      <c r="OXL118" s="15"/>
      <c r="OXM118" s="15"/>
      <c r="OXN118" s="15"/>
      <c r="OXO118" s="15"/>
      <c r="OXP118" s="14"/>
      <c r="OXQ118" s="15"/>
      <c r="OXR118" s="15"/>
      <c r="OXS118" s="15"/>
      <c r="OXT118" s="15"/>
      <c r="OXU118" s="15"/>
      <c r="OXV118" s="15"/>
      <c r="OXW118" s="15"/>
      <c r="OXX118" s="15"/>
      <c r="OXY118" s="15"/>
      <c r="OXZ118" s="15"/>
      <c r="OYA118" s="15"/>
      <c r="OYB118" s="15"/>
      <c r="OYC118" s="15"/>
      <c r="OYD118" s="15"/>
      <c r="OYE118" s="15"/>
      <c r="OYF118" s="15"/>
      <c r="OYG118" s="15"/>
      <c r="OYH118" s="15"/>
      <c r="OYI118" s="15"/>
      <c r="OYJ118" s="15"/>
      <c r="OYK118" s="15"/>
      <c r="OYL118" s="14"/>
      <c r="OYM118" s="15"/>
      <c r="OYN118" s="15"/>
      <c r="OYO118" s="15"/>
      <c r="OYP118" s="15"/>
      <c r="OYQ118" s="15"/>
      <c r="OYR118" s="15"/>
      <c r="OYS118" s="15"/>
      <c r="OYT118" s="15"/>
      <c r="OYU118" s="15"/>
      <c r="OYV118" s="15"/>
      <c r="OYW118" s="15"/>
      <c r="OYX118" s="15"/>
      <c r="OYY118" s="15"/>
      <c r="OYZ118" s="15"/>
      <c r="OZA118" s="15"/>
      <c r="OZB118" s="15"/>
      <c r="OZC118" s="15"/>
      <c r="OZD118" s="15"/>
      <c r="OZE118" s="15"/>
      <c r="OZF118" s="15"/>
      <c r="OZG118" s="15"/>
      <c r="OZH118" s="14"/>
      <c r="OZI118" s="15"/>
      <c r="OZJ118" s="15"/>
      <c r="OZK118" s="15"/>
      <c r="OZL118" s="15"/>
      <c r="OZM118" s="15"/>
      <c r="OZN118" s="15"/>
      <c r="OZO118" s="15"/>
      <c r="OZP118" s="15"/>
      <c r="OZQ118" s="15"/>
      <c r="OZR118" s="15"/>
      <c r="OZS118" s="15"/>
      <c r="OZT118" s="15"/>
      <c r="OZU118" s="15"/>
      <c r="OZV118" s="15"/>
      <c r="OZW118" s="15"/>
      <c r="OZX118" s="15"/>
      <c r="OZY118" s="15"/>
      <c r="OZZ118" s="15"/>
      <c r="PAA118" s="15"/>
      <c r="PAB118" s="15"/>
      <c r="PAC118" s="15"/>
      <c r="PAD118" s="14"/>
      <c r="PAE118" s="15"/>
      <c r="PAF118" s="15"/>
      <c r="PAG118" s="15"/>
      <c r="PAH118" s="15"/>
      <c r="PAI118" s="15"/>
      <c r="PAJ118" s="15"/>
      <c r="PAK118" s="15"/>
      <c r="PAL118" s="15"/>
      <c r="PAM118" s="15"/>
      <c r="PAN118" s="15"/>
      <c r="PAO118" s="15"/>
      <c r="PAP118" s="15"/>
      <c r="PAQ118" s="15"/>
      <c r="PAR118" s="15"/>
      <c r="PAS118" s="15"/>
      <c r="PAT118" s="15"/>
      <c r="PAU118" s="15"/>
      <c r="PAV118" s="15"/>
      <c r="PAW118" s="15"/>
      <c r="PAX118" s="15"/>
      <c r="PAY118" s="15"/>
      <c r="PAZ118" s="14"/>
      <c r="PBA118" s="15"/>
      <c r="PBB118" s="15"/>
      <c r="PBC118" s="15"/>
      <c r="PBD118" s="15"/>
      <c r="PBE118" s="15"/>
      <c r="PBF118" s="15"/>
      <c r="PBG118" s="15"/>
      <c r="PBH118" s="15"/>
      <c r="PBI118" s="15"/>
      <c r="PBJ118" s="15"/>
      <c r="PBK118" s="15"/>
      <c r="PBL118" s="15"/>
      <c r="PBM118" s="15"/>
      <c r="PBN118" s="15"/>
      <c r="PBO118" s="15"/>
      <c r="PBP118" s="15"/>
      <c r="PBQ118" s="15"/>
      <c r="PBR118" s="15"/>
      <c r="PBS118" s="15"/>
      <c r="PBT118" s="15"/>
      <c r="PBU118" s="15"/>
      <c r="PBV118" s="14"/>
      <c r="PBW118" s="15"/>
      <c r="PBX118" s="15"/>
      <c r="PBY118" s="15"/>
      <c r="PBZ118" s="15"/>
      <c r="PCA118" s="15"/>
      <c r="PCB118" s="15"/>
      <c r="PCC118" s="15"/>
      <c r="PCD118" s="15"/>
      <c r="PCE118" s="15"/>
      <c r="PCF118" s="15"/>
      <c r="PCG118" s="15"/>
      <c r="PCH118" s="15"/>
      <c r="PCI118" s="15"/>
      <c r="PCJ118" s="15"/>
      <c r="PCK118" s="15"/>
      <c r="PCL118" s="15"/>
      <c r="PCM118" s="15"/>
      <c r="PCN118" s="15"/>
      <c r="PCO118" s="15"/>
      <c r="PCP118" s="15"/>
      <c r="PCQ118" s="15"/>
      <c r="PCR118" s="14"/>
      <c r="PCS118" s="15"/>
      <c r="PCT118" s="15"/>
      <c r="PCU118" s="15"/>
      <c r="PCV118" s="15"/>
      <c r="PCW118" s="15"/>
      <c r="PCX118" s="15"/>
      <c r="PCY118" s="15"/>
      <c r="PCZ118" s="15"/>
      <c r="PDA118" s="15"/>
      <c r="PDB118" s="15"/>
      <c r="PDC118" s="15"/>
      <c r="PDD118" s="15"/>
      <c r="PDE118" s="15"/>
      <c r="PDF118" s="15"/>
      <c r="PDG118" s="15"/>
      <c r="PDH118" s="15"/>
      <c r="PDI118" s="15"/>
      <c r="PDJ118" s="15"/>
      <c r="PDK118" s="15"/>
      <c r="PDL118" s="15"/>
      <c r="PDM118" s="15"/>
      <c r="PDN118" s="14"/>
      <c r="PDO118" s="15"/>
      <c r="PDP118" s="15"/>
      <c r="PDQ118" s="15"/>
      <c r="PDR118" s="15"/>
      <c r="PDS118" s="15"/>
      <c r="PDT118" s="15"/>
      <c r="PDU118" s="15"/>
      <c r="PDV118" s="15"/>
      <c r="PDW118" s="15"/>
      <c r="PDX118" s="15"/>
      <c r="PDY118" s="15"/>
      <c r="PDZ118" s="15"/>
      <c r="PEA118" s="15"/>
      <c r="PEB118" s="15"/>
      <c r="PEC118" s="15"/>
      <c r="PED118" s="15"/>
      <c r="PEE118" s="15"/>
      <c r="PEF118" s="15"/>
      <c r="PEG118" s="15"/>
      <c r="PEH118" s="15"/>
      <c r="PEI118" s="15"/>
      <c r="PEJ118" s="14"/>
      <c r="PEK118" s="15"/>
      <c r="PEL118" s="15"/>
      <c r="PEM118" s="15"/>
      <c r="PEN118" s="15"/>
      <c r="PEO118" s="15"/>
      <c r="PEP118" s="15"/>
      <c r="PEQ118" s="15"/>
      <c r="PER118" s="15"/>
      <c r="PES118" s="15"/>
      <c r="PET118" s="15"/>
      <c r="PEU118" s="15"/>
      <c r="PEV118" s="15"/>
      <c r="PEW118" s="15"/>
      <c r="PEX118" s="15"/>
      <c r="PEY118" s="15"/>
      <c r="PEZ118" s="15"/>
      <c r="PFA118" s="15"/>
      <c r="PFB118" s="15"/>
      <c r="PFC118" s="15"/>
      <c r="PFD118" s="15"/>
      <c r="PFE118" s="15"/>
      <c r="PFF118" s="14"/>
      <c r="PFG118" s="15"/>
      <c r="PFH118" s="15"/>
      <c r="PFI118" s="15"/>
      <c r="PFJ118" s="15"/>
      <c r="PFK118" s="15"/>
      <c r="PFL118" s="15"/>
      <c r="PFM118" s="15"/>
      <c r="PFN118" s="15"/>
      <c r="PFO118" s="15"/>
      <c r="PFP118" s="15"/>
      <c r="PFQ118" s="15"/>
      <c r="PFR118" s="15"/>
      <c r="PFS118" s="15"/>
      <c r="PFT118" s="15"/>
      <c r="PFU118" s="15"/>
      <c r="PFV118" s="15"/>
      <c r="PFW118" s="15"/>
      <c r="PFX118" s="15"/>
      <c r="PFY118" s="15"/>
      <c r="PFZ118" s="15"/>
      <c r="PGA118" s="15"/>
      <c r="PGB118" s="14"/>
      <c r="PGC118" s="15"/>
      <c r="PGD118" s="15"/>
      <c r="PGE118" s="15"/>
      <c r="PGF118" s="15"/>
      <c r="PGG118" s="15"/>
      <c r="PGH118" s="15"/>
      <c r="PGI118" s="15"/>
      <c r="PGJ118" s="15"/>
      <c r="PGK118" s="15"/>
      <c r="PGL118" s="15"/>
      <c r="PGM118" s="15"/>
      <c r="PGN118" s="15"/>
      <c r="PGO118" s="15"/>
      <c r="PGP118" s="15"/>
      <c r="PGQ118" s="15"/>
      <c r="PGR118" s="15"/>
      <c r="PGS118" s="15"/>
      <c r="PGT118" s="15"/>
      <c r="PGU118" s="15"/>
      <c r="PGV118" s="15"/>
      <c r="PGW118" s="15"/>
      <c r="PGX118" s="14"/>
      <c r="PGY118" s="15"/>
      <c r="PGZ118" s="15"/>
      <c r="PHA118" s="15"/>
      <c r="PHB118" s="15"/>
      <c r="PHC118" s="15"/>
      <c r="PHD118" s="15"/>
      <c r="PHE118" s="15"/>
      <c r="PHF118" s="15"/>
      <c r="PHG118" s="15"/>
      <c r="PHH118" s="15"/>
      <c r="PHI118" s="15"/>
      <c r="PHJ118" s="15"/>
      <c r="PHK118" s="15"/>
      <c r="PHL118" s="15"/>
      <c r="PHM118" s="15"/>
      <c r="PHN118" s="15"/>
      <c r="PHO118" s="15"/>
      <c r="PHP118" s="15"/>
      <c r="PHQ118" s="15"/>
      <c r="PHR118" s="15"/>
      <c r="PHS118" s="15"/>
      <c r="PHT118" s="14"/>
      <c r="PHU118" s="15"/>
      <c r="PHV118" s="15"/>
      <c r="PHW118" s="15"/>
      <c r="PHX118" s="15"/>
      <c r="PHY118" s="15"/>
      <c r="PHZ118" s="15"/>
      <c r="PIA118" s="15"/>
      <c r="PIB118" s="15"/>
      <c r="PIC118" s="15"/>
      <c r="PID118" s="15"/>
      <c r="PIE118" s="15"/>
      <c r="PIF118" s="15"/>
      <c r="PIG118" s="15"/>
      <c r="PIH118" s="15"/>
      <c r="PII118" s="15"/>
      <c r="PIJ118" s="15"/>
      <c r="PIK118" s="15"/>
      <c r="PIL118" s="15"/>
      <c r="PIM118" s="15"/>
      <c r="PIN118" s="15"/>
      <c r="PIO118" s="15"/>
      <c r="PIP118" s="14"/>
      <c r="PIQ118" s="15"/>
      <c r="PIR118" s="15"/>
      <c r="PIS118" s="15"/>
      <c r="PIT118" s="15"/>
      <c r="PIU118" s="15"/>
      <c r="PIV118" s="15"/>
      <c r="PIW118" s="15"/>
      <c r="PIX118" s="15"/>
      <c r="PIY118" s="15"/>
      <c r="PIZ118" s="15"/>
      <c r="PJA118" s="15"/>
      <c r="PJB118" s="15"/>
      <c r="PJC118" s="15"/>
      <c r="PJD118" s="15"/>
      <c r="PJE118" s="15"/>
      <c r="PJF118" s="15"/>
      <c r="PJG118" s="15"/>
      <c r="PJH118" s="15"/>
      <c r="PJI118" s="15"/>
      <c r="PJJ118" s="15"/>
      <c r="PJK118" s="15"/>
      <c r="PJL118" s="14"/>
      <c r="PJM118" s="15"/>
      <c r="PJN118" s="15"/>
      <c r="PJO118" s="15"/>
      <c r="PJP118" s="15"/>
      <c r="PJQ118" s="15"/>
      <c r="PJR118" s="15"/>
      <c r="PJS118" s="15"/>
      <c r="PJT118" s="15"/>
      <c r="PJU118" s="15"/>
      <c r="PJV118" s="15"/>
      <c r="PJW118" s="15"/>
      <c r="PJX118" s="15"/>
      <c r="PJY118" s="15"/>
      <c r="PJZ118" s="15"/>
      <c r="PKA118" s="15"/>
      <c r="PKB118" s="15"/>
      <c r="PKC118" s="15"/>
      <c r="PKD118" s="15"/>
      <c r="PKE118" s="15"/>
      <c r="PKF118" s="15"/>
      <c r="PKG118" s="15"/>
      <c r="PKH118" s="14"/>
      <c r="PKI118" s="15"/>
      <c r="PKJ118" s="15"/>
      <c r="PKK118" s="15"/>
      <c r="PKL118" s="15"/>
      <c r="PKM118" s="15"/>
      <c r="PKN118" s="15"/>
      <c r="PKO118" s="15"/>
      <c r="PKP118" s="15"/>
      <c r="PKQ118" s="15"/>
      <c r="PKR118" s="15"/>
      <c r="PKS118" s="15"/>
      <c r="PKT118" s="15"/>
      <c r="PKU118" s="15"/>
      <c r="PKV118" s="15"/>
      <c r="PKW118" s="15"/>
      <c r="PKX118" s="15"/>
      <c r="PKY118" s="15"/>
      <c r="PKZ118" s="15"/>
      <c r="PLA118" s="15"/>
      <c r="PLB118" s="15"/>
      <c r="PLC118" s="15"/>
      <c r="PLD118" s="14"/>
      <c r="PLE118" s="15"/>
      <c r="PLF118" s="15"/>
      <c r="PLG118" s="15"/>
      <c r="PLH118" s="15"/>
      <c r="PLI118" s="15"/>
      <c r="PLJ118" s="15"/>
      <c r="PLK118" s="15"/>
      <c r="PLL118" s="15"/>
      <c r="PLM118" s="15"/>
      <c r="PLN118" s="15"/>
      <c r="PLO118" s="15"/>
      <c r="PLP118" s="15"/>
      <c r="PLQ118" s="15"/>
      <c r="PLR118" s="15"/>
      <c r="PLS118" s="15"/>
      <c r="PLT118" s="15"/>
      <c r="PLU118" s="15"/>
      <c r="PLV118" s="15"/>
      <c r="PLW118" s="15"/>
      <c r="PLX118" s="15"/>
      <c r="PLY118" s="15"/>
      <c r="PLZ118" s="14"/>
      <c r="PMA118" s="15"/>
      <c r="PMB118" s="15"/>
      <c r="PMC118" s="15"/>
      <c r="PMD118" s="15"/>
      <c r="PME118" s="15"/>
      <c r="PMF118" s="15"/>
      <c r="PMG118" s="15"/>
      <c r="PMH118" s="15"/>
      <c r="PMI118" s="15"/>
      <c r="PMJ118" s="15"/>
      <c r="PMK118" s="15"/>
      <c r="PML118" s="15"/>
      <c r="PMM118" s="15"/>
      <c r="PMN118" s="15"/>
      <c r="PMO118" s="15"/>
      <c r="PMP118" s="15"/>
      <c r="PMQ118" s="15"/>
      <c r="PMR118" s="15"/>
      <c r="PMS118" s="15"/>
      <c r="PMT118" s="15"/>
      <c r="PMU118" s="15"/>
      <c r="PMV118" s="14"/>
      <c r="PMW118" s="15"/>
      <c r="PMX118" s="15"/>
      <c r="PMY118" s="15"/>
      <c r="PMZ118" s="15"/>
      <c r="PNA118" s="15"/>
      <c r="PNB118" s="15"/>
      <c r="PNC118" s="15"/>
      <c r="PND118" s="15"/>
      <c r="PNE118" s="15"/>
      <c r="PNF118" s="15"/>
      <c r="PNG118" s="15"/>
      <c r="PNH118" s="15"/>
      <c r="PNI118" s="15"/>
      <c r="PNJ118" s="15"/>
      <c r="PNK118" s="15"/>
      <c r="PNL118" s="15"/>
      <c r="PNM118" s="15"/>
      <c r="PNN118" s="15"/>
      <c r="PNO118" s="15"/>
      <c r="PNP118" s="15"/>
      <c r="PNQ118" s="15"/>
      <c r="PNR118" s="14"/>
      <c r="PNS118" s="15"/>
      <c r="PNT118" s="15"/>
      <c r="PNU118" s="15"/>
      <c r="PNV118" s="15"/>
      <c r="PNW118" s="15"/>
      <c r="PNX118" s="15"/>
      <c r="PNY118" s="15"/>
      <c r="PNZ118" s="15"/>
      <c r="POA118" s="15"/>
      <c r="POB118" s="15"/>
      <c r="POC118" s="15"/>
      <c r="POD118" s="15"/>
      <c r="POE118" s="15"/>
      <c r="POF118" s="15"/>
      <c r="POG118" s="15"/>
      <c r="POH118" s="15"/>
      <c r="POI118" s="15"/>
      <c r="POJ118" s="15"/>
      <c r="POK118" s="15"/>
      <c r="POL118" s="15"/>
      <c r="POM118" s="15"/>
      <c r="PON118" s="14"/>
      <c r="POO118" s="15"/>
      <c r="POP118" s="15"/>
      <c r="POQ118" s="15"/>
      <c r="POR118" s="15"/>
      <c r="POS118" s="15"/>
      <c r="POT118" s="15"/>
      <c r="POU118" s="15"/>
      <c r="POV118" s="15"/>
      <c r="POW118" s="15"/>
      <c r="POX118" s="15"/>
      <c r="POY118" s="15"/>
      <c r="POZ118" s="15"/>
      <c r="PPA118" s="15"/>
      <c r="PPB118" s="15"/>
      <c r="PPC118" s="15"/>
      <c r="PPD118" s="15"/>
      <c r="PPE118" s="15"/>
      <c r="PPF118" s="15"/>
      <c r="PPG118" s="15"/>
      <c r="PPH118" s="15"/>
      <c r="PPI118" s="15"/>
      <c r="PPJ118" s="14"/>
      <c r="PPK118" s="15"/>
      <c r="PPL118" s="15"/>
      <c r="PPM118" s="15"/>
      <c r="PPN118" s="15"/>
      <c r="PPO118" s="15"/>
      <c r="PPP118" s="15"/>
      <c r="PPQ118" s="15"/>
      <c r="PPR118" s="15"/>
      <c r="PPS118" s="15"/>
      <c r="PPT118" s="15"/>
      <c r="PPU118" s="15"/>
      <c r="PPV118" s="15"/>
      <c r="PPW118" s="15"/>
      <c r="PPX118" s="15"/>
      <c r="PPY118" s="15"/>
      <c r="PPZ118" s="15"/>
      <c r="PQA118" s="15"/>
      <c r="PQB118" s="15"/>
      <c r="PQC118" s="15"/>
      <c r="PQD118" s="15"/>
      <c r="PQE118" s="15"/>
      <c r="PQF118" s="14"/>
      <c r="PQG118" s="15"/>
      <c r="PQH118" s="15"/>
      <c r="PQI118" s="15"/>
      <c r="PQJ118" s="15"/>
      <c r="PQK118" s="15"/>
      <c r="PQL118" s="15"/>
      <c r="PQM118" s="15"/>
      <c r="PQN118" s="15"/>
      <c r="PQO118" s="15"/>
      <c r="PQP118" s="15"/>
      <c r="PQQ118" s="15"/>
      <c r="PQR118" s="15"/>
      <c r="PQS118" s="15"/>
      <c r="PQT118" s="15"/>
      <c r="PQU118" s="15"/>
      <c r="PQV118" s="15"/>
      <c r="PQW118" s="15"/>
      <c r="PQX118" s="15"/>
      <c r="PQY118" s="15"/>
      <c r="PQZ118" s="15"/>
      <c r="PRA118" s="15"/>
      <c r="PRB118" s="14"/>
      <c r="PRC118" s="15"/>
      <c r="PRD118" s="15"/>
      <c r="PRE118" s="15"/>
      <c r="PRF118" s="15"/>
      <c r="PRG118" s="15"/>
      <c r="PRH118" s="15"/>
      <c r="PRI118" s="15"/>
      <c r="PRJ118" s="15"/>
      <c r="PRK118" s="15"/>
      <c r="PRL118" s="15"/>
      <c r="PRM118" s="15"/>
      <c r="PRN118" s="15"/>
      <c r="PRO118" s="15"/>
      <c r="PRP118" s="15"/>
      <c r="PRQ118" s="15"/>
      <c r="PRR118" s="15"/>
      <c r="PRS118" s="15"/>
      <c r="PRT118" s="15"/>
      <c r="PRU118" s="15"/>
      <c r="PRV118" s="15"/>
      <c r="PRW118" s="15"/>
      <c r="PRX118" s="14"/>
      <c r="PRY118" s="15"/>
      <c r="PRZ118" s="15"/>
      <c r="PSA118" s="15"/>
      <c r="PSB118" s="15"/>
      <c r="PSC118" s="15"/>
      <c r="PSD118" s="15"/>
      <c r="PSE118" s="15"/>
      <c r="PSF118" s="15"/>
      <c r="PSG118" s="15"/>
      <c r="PSH118" s="15"/>
      <c r="PSI118" s="15"/>
      <c r="PSJ118" s="15"/>
      <c r="PSK118" s="15"/>
      <c r="PSL118" s="15"/>
      <c r="PSM118" s="15"/>
      <c r="PSN118" s="15"/>
      <c r="PSO118" s="15"/>
      <c r="PSP118" s="15"/>
      <c r="PSQ118" s="15"/>
      <c r="PSR118" s="15"/>
      <c r="PSS118" s="15"/>
      <c r="PST118" s="14"/>
      <c r="PSU118" s="15"/>
      <c r="PSV118" s="15"/>
      <c r="PSW118" s="15"/>
      <c r="PSX118" s="15"/>
      <c r="PSY118" s="15"/>
      <c r="PSZ118" s="15"/>
      <c r="PTA118" s="15"/>
      <c r="PTB118" s="15"/>
      <c r="PTC118" s="15"/>
      <c r="PTD118" s="15"/>
      <c r="PTE118" s="15"/>
      <c r="PTF118" s="15"/>
      <c r="PTG118" s="15"/>
      <c r="PTH118" s="15"/>
      <c r="PTI118" s="15"/>
      <c r="PTJ118" s="15"/>
      <c r="PTK118" s="15"/>
      <c r="PTL118" s="15"/>
      <c r="PTM118" s="15"/>
      <c r="PTN118" s="15"/>
      <c r="PTO118" s="15"/>
      <c r="PTP118" s="14"/>
      <c r="PTQ118" s="15"/>
      <c r="PTR118" s="15"/>
      <c r="PTS118" s="15"/>
      <c r="PTT118" s="15"/>
      <c r="PTU118" s="15"/>
      <c r="PTV118" s="15"/>
      <c r="PTW118" s="15"/>
      <c r="PTX118" s="15"/>
      <c r="PTY118" s="15"/>
      <c r="PTZ118" s="15"/>
      <c r="PUA118" s="15"/>
      <c r="PUB118" s="15"/>
      <c r="PUC118" s="15"/>
      <c r="PUD118" s="15"/>
      <c r="PUE118" s="15"/>
      <c r="PUF118" s="15"/>
      <c r="PUG118" s="15"/>
      <c r="PUH118" s="15"/>
      <c r="PUI118" s="15"/>
      <c r="PUJ118" s="15"/>
      <c r="PUK118" s="15"/>
      <c r="PUL118" s="14"/>
      <c r="PUM118" s="15"/>
      <c r="PUN118" s="15"/>
      <c r="PUO118" s="15"/>
      <c r="PUP118" s="15"/>
      <c r="PUQ118" s="15"/>
      <c r="PUR118" s="15"/>
      <c r="PUS118" s="15"/>
      <c r="PUT118" s="15"/>
      <c r="PUU118" s="15"/>
      <c r="PUV118" s="15"/>
      <c r="PUW118" s="15"/>
      <c r="PUX118" s="15"/>
      <c r="PUY118" s="15"/>
      <c r="PUZ118" s="15"/>
      <c r="PVA118" s="15"/>
      <c r="PVB118" s="15"/>
      <c r="PVC118" s="15"/>
      <c r="PVD118" s="15"/>
      <c r="PVE118" s="15"/>
      <c r="PVF118" s="15"/>
      <c r="PVG118" s="15"/>
      <c r="PVH118" s="14"/>
      <c r="PVI118" s="15"/>
      <c r="PVJ118" s="15"/>
      <c r="PVK118" s="15"/>
      <c r="PVL118" s="15"/>
      <c r="PVM118" s="15"/>
      <c r="PVN118" s="15"/>
      <c r="PVO118" s="15"/>
      <c r="PVP118" s="15"/>
      <c r="PVQ118" s="15"/>
      <c r="PVR118" s="15"/>
      <c r="PVS118" s="15"/>
      <c r="PVT118" s="15"/>
      <c r="PVU118" s="15"/>
      <c r="PVV118" s="15"/>
      <c r="PVW118" s="15"/>
      <c r="PVX118" s="15"/>
      <c r="PVY118" s="15"/>
      <c r="PVZ118" s="15"/>
      <c r="PWA118" s="15"/>
      <c r="PWB118" s="15"/>
      <c r="PWC118" s="15"/>
      <c r="PWD118" s="14"/>
      <c r="PWE118" s="15"/>
      <c r="PWF118" s="15"/>
      <c r="PWG118" s="15"/>
      <c r="PWH118" s="15"/>
      <c r="PWI118" s="15"/>
      <c r="PWJ118" s="15"/>
      <c r="PWK118" s="15"/>
      <c r="PWL118" s="15"/>
      <c r="PWM118" s="15"/>
      <c r="PWN118" s="15"/>
      <c r="PWO118" s="15"/>
      <c r="PWP118" s="15"/>
      <c r="PWQ118" s="15"/>
      <c r="PWR118" s="15"/>
      <c r="PWS118" s="15"/>
      <c r="PWT118" s="15"/>
      <c r="PWU118" s="15"/>
      <c r="PWV118" s="15"/>
      <c r="PWW118" s="15"/>
      <c r="PWX118" s="15"/>
      <c r="PWY118" s="15"/>
      <c r="PWZ118" s="14"/>
      <c r="PXA118" s="15"/>
      <c r="PXB118" s="15"/>
      <c r="PXC118" s="15"/>
      <c r="PXD118" s="15"/>
      <c r="PXE118" s="15"/>
      <c r="PXF118" s="15"/>
      <c r="PXG118" s="15"/>
      <c r="PXH118" s="15"/>
      <c r="PXI118" s="15"/>
      <c r="PXJ118" s="15"/>
      <c r="PXK118" s="15"/>
      <c r="PXL118" s="15"/>
      <c r="PXM118" s="15"/>
      <c r="PXN118" s="15"/>
      <c r="PXO118" s="15"/>
      <c r="PXP118" s="15"/>
      <c r="PXQ118" s="15"/>
      <c r="PXR118" s="15"/>
      <c r="PXS118" s="15"/>
      <c r="PXT118" s="15"/>
      <c r="PXU118" s="15"/>
      <c r="PXV118" s="14"/>
      <c r="PXW118" s="15"/>
      <c r="PXX118" s="15"/>
      <c r="PXY118" s="15"/>
      <c r="PXZ118" s="15"/>
      <c r="PYA118" s="15"/>
      <c r="PYB118" s="15"/>
      <c r="PYC118" s="15"/>
      <c r="PYD118" s="15"/>
      <c r="PYE118" s="15"/>
      <c r="PYF118" s="15"/>
      <c r="PYG118" s="15"/>
      <c r="PYH118" s="15"/>
      <c r="PYI118" s="15"/>
      <c r="PYJ118" s="15"/>
      <c r="PYK118" s="15"/>
      <c r="PYL118" s="15"/>
      <c r="PYM118" s="15"/>
      <c r="PYN118" s="15"/>
      <c r="PYO118" s="15"/>
      <c r="PYP118" s="15"/>
      <c r="PYQ118" s="15"/>
      <c r="PYR118" s="14"/>
      <c r="PYS118" s="15"/>
      <c r="PYT118" s="15"/>
      <c r="PYU118" s="15"/>
      <c r="PYV118" s="15"/>
      <c r="PYW118" s="15"/>
      <c r="PYX118" s="15"/>
      <c r="PYY118" s="15"/>
      <c r="PYZ118" s="15"/>
      <c r="PZA118" s="15"/>
      <c r="PZB118" s="15"/>
      <c r="PZC118" s="15"/>
      <c r="PZD118" s="15"/>
      <c r="PZE118" s="15"/>
      <c r="PZF118" s="15"/>
      <c r="PZG118" s="15"/>
      <c r="PZH118" s="15"/>
      <c r="PZI118" s="15"/>
      <c r="PZJ118" s="15"/>
      <c r="PZK118" s="15"/>
      <c r="PZL118" s="15"/>
      <c r="PZM118" s="15"/>
      <c r="PZN118" s="14"/>
      <c r="PZO118" s="15"/>
      <c r="PZP118" s="15"/>
      <c r="PZQ118" s="15"/>
      <c r="PZR118" s="15"/>
      <c r="PZS118" s="15"/>
      <c r="PZT118" s="15"/>
      <c r="PZU118" s="15"/>
      <c r="PZV118" s="15"/>
      <c r="PZW118" s="15"/>
      <c r="PZX118" s="15"/>
      <c r="PZY118" s="15"/>
      <c r="PZZ118" s="15"/>
      <c r="QAA118" s="15"/>
      <c r="QAB118" s="15"/>
      <c r="QAC118" s="15"/>
      <c r="QAD118" s="15"/>
      <c r="QAE118" s="15"/>
      <c r="QAF118" s="15"/>
      <c r="QAG118" s="15"/>
      <c r="QAH118" s="15"/>
      <c r="QAI118" s="15"/>
      <c r="QAJ118" s="14"/>
      <c r="QAK118" s="15"/>
      <c r="QAL118" s="15"/>
      <c r="QAM118" s="15"/>
      <c r="QAN118" s="15"/>
      <c r="QAO118" s="15"/>
      <c r="QAP118" s="15"/>
      <c r="QAQ118" s="15"/>
      <c r="QAR118" s="15"/>
      <c r="QAS118" s="15"/>
      <c r="QAT118" s="15"/>
      <c r="QAU118" s="15"/>
      <c r="QAV118" s="15"/>
      <c r="QAW118" s="15"/>
      <c r="QAX118" s="15"/>
      <c r="QAY118" s="15"/>
      <c r="QAZ118" s="15"/>
      <c r="QBA118" s="15"/>
      <c r="QBB118" s="15"/>
      <c r="QBC118" s="15"/>
      <c r="QBD118" s="15"/>
      <c r="QBE118" s="15"/>
      <c r="QBF118" s="14"/>
      <c r="QBG118" s="15"/>
      <c r="QBH118" s="15"/>
      <c r="QBI118" s="15"/>
      <c r="QBJ118" s="15"/>
      <c r="QBK118" s="15"/>
      <c r="QBL118" s="15"/>
      <c r="QBM118" s="15"/>
      <c r="QBN118" s="15"/>
      <c r="QBO118" s="15"/>
      <c r="QBP118" s="15"/>
      <c r="QBQ118" s="15"/>
      <c r="QBR118" s="15"/>
      <c r="QBS118" s="15"/>
      <c r="QBT118" s="15"/>
      <c r="QBU118" s="15"/>
      <c r="QBV118" s="15"/>
      <c r="QBW118" s="15"/>
      <c r="QBX118" s="15"/>
      <c r="QBY118" s="15"/>
      <c r="QBZ118" s="15"/>
      <c r="QCA118" s="15"/>
      <c r="QCB118" s="14"/>
      <c r="QCC118" s="15"/>
      <c r="QCD118" s="15"/>
      <c r="QCE118" s="15"/>
      <c r="QCF118" s="15"/>
      <c r="QCG118" s="15"/>
      <c r="QCH118" s="15"/>
      <c r="QCI118" s="15"/>
      <c r="QCJ118" s="15"/>
      <c r="QCK118" s="15"/>
      <c r="QCL118" s="15"/>
      <c r="QCM118" s="15"/>
      <c r="QCN118" s="15"/>
      <c r="QCO118" s="15"/>
      <c r="QCP118" s="15"/>
      <c r="QCQ118" s="15"/>
      <c r="QCR118" s="15"/>
      <c r="QCS118" s="15"/>
      <c r="QCT118" s="15"/>
      <c r="QCU118" s="15"/>
      <c r="QCV118" s="15"/>
      <c r="QCW118" s="15"/>
      <c r="QCX118" s="14"/>
      <c r="QCY118" s="15"/>
      <c r="QCZ118" s="15"/>
      <c r="QDA118" s="15"/>
      <c r="QDB118" s="15"/>
      <c r="QDC118" s="15"/>
      <c r="QDD118" s="15"/>
      <c r="QDE118" s="15"/>
      <c r="QDF118" s="15"/>
      <c r="QDG118" s="15"/>
      <c r="QDH118" s="15"/>
      <c r="QDI118" s="15"/>
      <c r="QDJ118" s="15"/>
      <c r="QDK118" s="15"/>
      <c r="QDL118" s="15"/>
      <c r="QDM118" s="15"/>
      <c r="QDN118" s="15"/>
      <c r="QDO118" s="15"/>
      <c r="QDP118" s="15"/>
      <c r="QDQ118" s="15"/>
      <c r="QDR118" s="15"/>
      <c r="QDS118" s="15"/>
      <c r="QDT118" s="14"/>
      <c r="QDU118" s="15"/>
      <c r="QDV118" s="15"/>
      <c r="QDW118" s="15"/>
      <c r="QDX118" s="15"/>
      <c r="QDY118" s="15"/>
      <c r="QDZ118" s="15"/>
      <c r="QEA118" s="15"/>
      <c r="QEB118" s="15"/>
      <c r="QEC118" s="15"/>
      <c r="QED118" s="15"/>
      <c r="QEE118" s="15"/>
      <c r="QEF118" s="15"/>
      <c r="QEG118" s="15"/>
      <c r="QEH118" s="15"/>
      <c r="QEI118" s="15"/>
      <c r="QEJ118" s="15"/>
      <c r="QEK118" s="15"/>
      <c r="QEL118" s="15"/>
      <c r="QEM118" s="15"/>
      <c r="QEN118" s="15"/>
      <c r="QEO118" s="15"/>
      <c r="QEP118" s="14"/>
      <c r="QEQ118" s="15"/>
      <c r="QER118" s="15"/>
      <c r="QES118" s="15"/>
      <c r="QET118" s="15"/>
      <c r="QEU118" s="15"/>
      <c r="QEV118" s="15"/>
      <c r="QEW118" s="15"/>
      <c r="QEX118" s="15"/>
      <c r="QEY118" s="15"/>
      <c r="QEZ118" s="15"/>
      <c r="QFA118" s="15"/>
      <c r="QFB118" s="15"/>
      <c r="QFC118" s="15"/>
      <c r="QFD118" s="15"/>
      <c r="QFE118" s="15"/>
      <c r="QFF118" s="15"/>
      <c r="QFG118" s="15"/>
      <c r="QFH118" s="15"/>
      <c r="QFI118" s="15"/>
      <c r="QFJ118" s="15"/>
      <c r="QFK118" s="15"/>
      <c r="QFL118" s="14"/>
      <c r="QFM118" s="15"/>
      <c r="QFN118" s="15"/>
      <c r="QFO118" s="15"/>
      <c r="QFP118" s="15"/>
      <c r="QFQ118" s="15"/>
      <c r="QFR118" s="15"/>
      <c r="QFS118" s="15"/>
      <c r="QFT118" s="15"/>
      <c r="QFU118" s="15"/>
      <c r="QFV118" s="15"/>
      <c r="QFW118" s="15"/>
      <c r="QFX118" s="15"/>
      <c r="QFY118" s="15"/>
      <c r="QFZ118" s="15"/>
      <c r="QGA118" s="15"/>
      <c r="QGB118" s="15"/>
      <c r="QGC118" s="15"/>
      <c r="QGD118" s="15"/>
      <c r="QGE118" s="15"/>
      <c r="QGF118" s="15"/>
      <c r="QGG118" s="15"/>
      <c r="QGH118" s="14"/>
      <c r="QGI118" s="15"/>
      <c r="QGJ118" s="15"/>
      <c r="QGK118" s="15"/>
      <c r="QGL118" s="15"/>
      <c r="QGM118" s="15"/>
      <c r="QGN118" s="15"/>
      <c r="QGO118" s="15"/>
      <c r="QGP118" s="15"/>
      <c r="QGQ118" s="15"/>
      <c r="QGR118" s="15"/>
      <c r="QGS118" s="15"/>
      <c r="QGT118" s="15"/>
      <c r="QGU118" s="15"/>
      <c r="QGV118" s="15"/>
      <c r="QGW118" s="15"/>
      <c r="QGX118" s="15"/>
      <c r="QGY118" s="15"/>
      <c r="QGZ118" s="15"/>
      <c r="QHA118" s="15"/>
      <c r="QHB118" s="15"/>
      <c r="QHC118" s="15"/>
      <c r="QHD118" s="14"/>
      <c r="QHE118" s="15"/>
      <c r="QHF118" s="15"/>
      <c r="QHG118" s="15"/>
      <c r="QHH118" s="15"/>
      <c r="QHI118" s="15"/>
      <c r="QHJ118" s="15"/>
      <c r="QHK118" s="15"/>
      <c r="QHL118" s="15"/>
      <c r="QHM118" s="15"/>
      <c r="QHN118" s="15"/>
      <c r="QHO118" s="15"/>
      <c r="QHP118" s="15"/>
      <c r="QHQ118" s="15"/>
      <c r="QHR118" s="15"/>
      <c r="QHS118" s="15"/>
      <c r="QHT118" s="15"/>
      <c r="QHU118" s="15"/>
      <c r="QHV118" s="15"/>
      <c r="QHW118" s="15"/>
      <c r="QHX118" s="15"/>
      <c r="QHY118" s="15"/>
      <c r="QHZ118" s="14"/>
      <c r="QIA118" s="15"/>
      <c r="QIB118" s="15"/>
      <c r="QIC118" s="15"/>
      <c r="QID118" s="15"/>
      <c r="QIE118" s="15"/>
      <c r="QIF118" s="15"/>
      <c r="QIG118" s="15"/>
      <c r="QIH118" s="15"/>
      <c r="QII118" s="15"/>
      <c r="QIJ118" s="15"/>
      <c r="QIK118" s="15"/>
      <c r="QIL118" s="15"/>
      <c r="QIM118" s="15"/>
      <c r="QIN118" s="15"/>
      <c r="QIO118" s="15"/>
      <c r="QIP118" s="15"/>
      <c r="QIQ118" s="15"/>
      <c r="QIR118" s="15"/>
      <c r="QIS118" s="15"/>
      <c r="QIT118" s="15"/>
      <c r="QIU118" s="15"/>
      <c r="QIV118" s="14"/>
      <c r="QIW118" s="15"/>
      <c r="QIX118" s="15"/>
      <c r="QIY118" s="15"/>
      <c r="QIZ118" s="15"/>
      <c r="QJA118" s="15"/>
      <c r="QJB118" s="15"/>
      <c r="QJC118" s="15"/>
      <c r="QJD118" s="15"/>
      <c r="QJE118" s="15"/>
      <c r="QJF118" s="15"/>
      <c r="QJG118" s="15"/>
      <c r="QJH118" s="15"/>
      <c r="QJI118" s="15"/>
      <c r="QJJ118" s="15"/>
      <c r="QJK118" s="15"/>
      <c r="QJL118" s="15"/>
      <c r="QJM118" s="15"/>
      <c r="QJN118" s="15"/>
      <c r="QJO118" s="15"/>
      <c r="QJP118" s="15"/>
      <c r="QJQ118" s="15"/>
      <c r="QJR118" s="14"/>
      <c r="QJS118" s="15"/>
      <c r="QJT118" s="15"/>
      <c r="QJU118" s="15"/>
      <c r="QJV118" s="15"/>
      <c r="QJW118" s="15"/>
      <c r="QJX118" s="15"/>
      <c r="QJY118" s="15"/>
      <c r="QJZ118" s="15"/>
      <c r="QKA118" s="15"/>
      <c r="QKB118" s="15"/>
      <c r="QKC118" s="15"/>
      <c r="QKD118" s="15"/>
      <c r="QKE118" s="15"/>
      <c r="QKF118" s="15"/>
      <c r="QKG118" s="15"/>
      <c r="QKH118" s="15"/>
      <c r="QKI118" s="15"/>
      <c r="QKJ118" s="15"/>
      <c r="QKK118" s="15"/>
      <c r="QKL118" s="15"/>
      <c r="QKM118" s="15"/>
      <c r="QKN118" s="14"/>
      <c r="QKO118" s="15"/>
      <c r="QKP118" s="15"/>
      <c r="QKQ118" s="15"/>
      <c r="QKR118" s="15"/>
      <c r="QKS118" s="15"/>
      <c r="QKT118" s="15"/>
      <c r="QKU118" s="15"/>
      <c r="QKV118" s="15"/>
      <c r="QKW118" s="15"/>
      <c r="QKX118" s="15"/>
      <c r="QKY118" s="15"/>
      <c r="QKZ118" s="15"/>
      <c r="QLA118" s="15"/>
      <c r="QLB118" s="15"/>
      <c r="QLC118" s="15"/>
      <c r="QLD118" s="15"/>
      <c r="QLE118" s="15"/>
      <c r="QLF118" s="15"/>
      <c r="QLG118" s="15"/>
      <c r="QLH118" s="15"/>
      <c r="QLI118" s="15"/>
      <c r="QLJ118" s="14"/>
      <c r="QLK118" s="15"/>
      <c r="QLL118" s="15"/>
      <c r="QLM118" s="15"/>
      <c r="QLN118" s="15"/>
      <c r="QLO118" s="15"/>
      <c r="QLP118" s="15"/>
      <c r="QLQ118" s="15"/>
      <c r="QLR118" s="15"/>
      <c r="QLS118" s="15"/>
      <c r="QLT118" s="15"/>
      <c r="QLU118" s="15"/>
      <c r="QLV118" s="15"/>
      <c r="QLW118" s="15"/>
      <c r="QLX118" s="15"/>
      <c r="QLY118" s="15"/>
      <c r="QLZ118" s="15"/>
      <c r="QMA118" s="15"/>
      <c r="QMB118" s="15"/>
      <c r="QMC118" s="15"/>
      <c r="QMD118" s="15"/>
      <c r="QME118" s="15"/>
      <c r="QMF118" s="14"/>
      <c r="QMG118" s="15"/>
      <c r="QMH118" s="15"/>
      <c r="QMI118" s="15"/>
      <c r="QMJ118" s="15"/>
      <c r="QMK118" s="15"/>
      <c r="QML118" s="15"/>
      <c r="QMM118" s="15"/>
      <c r="QMN118" s="15"/>
      <c r="QMO118" s="15"/>
      <c r="QMP118" s="15"/>
      <c r="QMQ118" s="15"/>
      <c r="QMR118" s="15"/>
      <c r="QMS118" s="15"/>
      <c r="QMT118" s="15"/>
      <c r="QMU118" s="15"/>
      <c r="QMV118" s="15"/>
      <c r="QMW118" s="15"/>
      <c r="QMX118" s="15"/>
      <c r="QMY118" s="15"/>
      <c r="QMZ118" s="15"/>
      <c r="QNA118" s="15"/>
      <c r="QNB118" s="14"/>
      <c r="QNC118" s="15"/>
      <c r="QND118" s="15"/>
      <c r="QNE118" s="15"/>
      <c r="QNF118" s="15"/>
      <c r="QNG118" s="15"/>
      <c r="QNH118" s="15"/>
      <c r="QNI118" s="15"/>
      <c r="QNJ118" s="15"/>
      <c r="QNK118" s="15"/>
      <c r="QNL118" s="15"/>
      <c r="QNM118" s="15"/>
      <c r="QNN118" s="15"/>
      <c r="QNO118" s="15"/>
      <c r="QNP118" s="15"/>
      <c r="QNQ118" s="15"/>
      <c r="QNR118" s="15"/>
      <c r="QNS118" s="15"/>
      <c r="QNT118" s="15"/>
      <c r="QNU118" s="15"/>
      <c r="QNV118" s="15"/>
      <c r="QNW118" s="15"/>
      <c r="QNX118" s="14"/>
      <c r="QNY118" s="15"/>
      <c r="QNZ118" s="15"/>
      <c r="QOA118" s="15"/>
      <c r="QOB118" s="15"/>
      <c r="QOC118" s="15"/>
      <c r="QOD118" s="15"/>
      <c r="QOE118" s="15"/>
      <c r="QOF118" s="15"/>
      <c r="QOG118" s="15"/>
      <c r="QOH118" s="15"/>
      <c r="QOI118" s="15"/>
      <c r="QOJ118" s="15"/>
      <c r="QOK118" s="15"/>
      <c r="QOL118" s="15"/>
      <c r="QOM118" s="15"/>
      <c r="QON118" s="15"/>
      <c r="QOO118" s="15"/>
      <c r="QOP118" s="15"/>
      <c r="QOQ118" s="15"/>
      <c r="QOR118" s="15"/>
      <c r="QOS118" s="15"/>
      <c r="QOT118" s="14"/>
      <c r="QOU118" s="15"/>
      <c r="QOV118" s="15"/>
      <c r="QOW118" s="15"/>
      <c r="QOX118" s="15"/>
      <c r="QOY118" s="15"/>
      <c r="QOZ118" s="15"/>
      <c r="QPA118" s="15"/>
      <c r="QPB118" s="15"/>
      <c r="QPC118" s="15"/>
      <c r="QPD118" s="15"/>
      <c r="QPE118" s="15"/>
      <c r="QPF118" s="15"/>
      <c r="QPG118" s="15"/>
      <c r="QPH118" s="15"/>
      <c r="QPI118" s="15"/>
      <c r="QPJ118" s="15"/>
      <c r="QPK118" s="15"/>
      <c r="QPL118" s="15"/>
      <c r="QPM118" s="15"/>
      <c r="QPN118" s="15"/>
      <c r="QPO118" s="15"/>
      <c r="QPP118" s="14"/>
      <c r="QPQ118" s="15"/>
      <c r="QPR118" s="15"/>
      <c r="QPS118" s="15"/>
      <c r="QPT118" s="15"/>
      <c r="QPU118" s="15"/>
      <c r="QPV118" s="15"/>
      <c r="QPW118" s="15"/>
      <c r="QPX118" s="15"/>
      <c r="QPY118" s="15"/>
      <c r="QPZ118" s="15"/>
      <c r="QQA118" s="15"/>
      <c r="QQB118" s="15"/>
      <c r="QQC118" s="15"/>
      <c r="QQD118" s="15"/>
      <c r="QQE118" s="15"/>
      <c r="QQF118" s="15"/>
      <c r="QQG118" s="15"/>
      <c r="QQH118" s="15"/>
      <c r="QQI118" s="15"/>
      <c r="QQJ118" s="15"/>
      <c r="QQK118" s="15"/>
      <c r="QQL118" s="14"/>
      <c r="QQM118" s="15"/>
      <c r="QQN118" s="15"/>
      <c r="QQO118" s="15"/>
      <c r="QQP118" s="15"/>
      <c r="QQQ118" s="15"/>
      <c r="QQR118" s="15"/>
      <c r="QQS118" s="15"/>
      <c r="QQT118" s="15"/>
      <c r="QQU118" s="15"/>
      <c r="QQV118" s="15"/>
      <c r="QQW118" s="15"/>
      <c r="QQX118" s="15"/>
      <c r="QQY118" s="15"/>
      <c r="QQZ118" s="15"/>
      <c r="QRA118" s="15"/>
      <c r="QRB118" s="15"/>
      <c r="QRC118" s="15"/>
      <c r="QRD118" s="15"/>
      <c r="QRE118" s="15"/>
      <c r="QRF118" s="15"/>
      <c r="QRG118" s="15"/>
      <c r="QRH118" s="14"/>
      <c r="QRI118" s="15"/>
      <c r="QRJ118" s="15"/>
      <c r="QRK118" s="15"/>
      <c r="QRL118" s="15"/>
      <c r="QRM118" s="15"/>
      <c r="QRN118" s="15"/>
      <c r="QRO118" s="15"/>
      <c r="QRP118" s="15"/>
      <c r="QRQ118" s="15"/>
      <c r="QRR118" s="15"/>
      <c r="QRS118" s="15"/>
      <c r="QRT118" s="15"/>
      <c r="QRU118" s="15"/>
      <c r="QRV118" s="15"/>
      <c r="QRW118" s="15"/>
      <c r="QRX118" s="15"/>
      <c r="QRY118" s="15"/>
      <c r="QRZ118" s="15"/>
      <c r="QSA118" s="15"/>
      <c r="QSB118" s="15"/>
      <c r="QSC118" s="15"/>
      <c r="QSD118" s="14"/>
      <c r="QSE118" s="15"/>
      <c r="QSF118" s="15"/>
      <c r="QSG118" s="15"/>
      <c r="QSH118" s="15"/>
      <c r="QSI118" s="15"/>
      <c r="QSJ118" s="15"/>
      <c r="QSK118" s="15"/>
      <c r="QSL118" s="15"/>
      <c r="QSM118" s="15"/>
      <c r="QSN118" s="15"/>
      <c r="QSO118" s="15"/>
      <c r="QSP118" s="15"/>
      <c r="QSQ118" s="15"/>
      <c r="QSR118" s="15"/>
      <c r="QSS118" s="15"/>
      <c r="QST118" s="15"/>
      <c r="QSU118" s="15"/>
      <c r="QSV118" s="15"/>
      <c r="QSW118" s="15"/>
      <c r="QSX118" s="15"/>
      <c r="QSY118" s="15"/>
      <c r="QSZ118" s="14"/>
      <c r="QTA118" s="15"/>
      <c r="QTB118" s="15"/>
      <c r="QTC118" s="15"/>
      <c r="QTD118" s="15"/>
      <c r="QTE118" s="15"/>
      <c r="QTF118" s="15"/>
      <c r="QTG118" s="15"/>
      <c r="QTH118" s="15"/>
      <c r="QTI118" s="15"/>
      <c r="QTJ118" s="15"/>
      <c r="QTK118" s="15"/>
      <c r="QTL118" s="15"/>
      <c r="QTM118" s="15"/>
      <c r="QTN118" s="15"/>
      <c r="QTO118" s="15"/>
      <c r="QTP118" s="15"/>
      <c r="QTQ118" s="15"/>
      <c r="QTR118" s="15"/>
      <c r="QTS118" s="15"/>
      <c r="QTT118" s="15"/>
      <c r="QTU118" s="15"/>
      <c r="QTV118" s="14"/>
      <c r="QTW118" s="15"/>
      <c r="QTX118" s="15"/>
      <c r="QTY118" s="15"/>
      <c r="QTZ118" s="15"/>
      <c r="QUA118" s="15"/>
      <c r="QUB118" s="15"/>
      <c r="QUC118" s="15"/>
      <c r="QUD118" s="15"/>
      <c r="QUE118" s="15"/>
      <c r="QUF118" s="15"/>
      <c r="QUG118" s="15"/>
      <c r="QUH118" s="15"/>
      <c r="QUI118" s="15"/>
      <c r="QUJ118" s="15"/>
      <c r="QUK118" s="15"/>
      <c r="QUL118" s="15"/>
      <c r="QUM118" s="15"/>
      <c r="QUN118" s="15"/>
      <c r="QUO118" s="15"/>
      <c r="QUP118" s="15"/>
      <c r="QUQ118" s="15"/>
      <c r="QUR118" s="14"/>
      <c r="QUS118" s="15"/>
      <c r="QUT118" s="15"/>
      <c r="QUU118" s="15"/>
      <c r="QUV118" s="15"/>
      <c r="QUW118" s="15"/>
      <c r="QUX118" s="15"/>
      <c r="QUY118" s="15"/>
      <c r="QUZ118" s="15"/>
      <c r="QVA118" s="15"/>
      <c r="QVB118" s="15"/>
      <c r="QVC118" s="15"/>
      <c r="QVD118" s="15"/>
      <c r="QVE118" s="15"/>
      <c r="QVF118" s="15"/>
      <c r="QVG118" s="15"/>
      <c r="QVH118" s="15"/>
      <c r="QVI118" s="15"/>
      <c r="QVJ118" s="15"/>
      <c r="QVK118" s="15"/>
      <c r="QVL118" s="15"/>
      <c r="QVM118" s="15"/>
      <c r="QVN118" s="14"/>
      <c r="QVO118" s="15"/>
      <c r="QVP118" s="15"/>
      <c r="QVQ118" s="15"/>
      <c r="QVR118" s="15"/>
      <c r="QVS118" s="15"/>
      <c r="QVT118" s="15"/>
      <c r="QVU118" s="15"/>
      <c r="QVV118" s="15"/>
      <c r="QVW118" s="15"/>
      <c r="QVX118" s="15"/>
      <c r="QVY118" s="15"/>
      <c r="QVZ118" s="15"/>
      <c r="QWA118" s="15"/>
      <c r="QWB118" s="15"/>
      <c r="QWC118" s="15"/>
      <c r="QWD118" s="15"/>
      <c r="QWE118" s="15"/>
      <c r="QWF118" s="15"/>
      <c r="QWG118" s="15"/>
      <c r="QWH118" s="15"/>
      <c r="QWI118" s="15"/>
      <c r="QWJ118" s="14"/>
      <c r="QWK118" s="15"/>
      <c r="QWL118" s="15"/>
      <c r="QWM118" s="15"/>
      <c r="QWN118" s="15"/>
      <c r="QWO118" s="15"/>
      <c r="QWP118" s="15"/>
      <c r="QWQ118" s="15"/>
      <c r="QWR118" s="15"/>
      <c r="QWS118" s="15"/>
      <c r="QWT118" s="15"/>
      <c r="QWU118" s="15"/>
      <c r="QWV118" s="15"/>
      <c r="QWW118" s="15"/>
      <c r="QWX118" s="15"/>
      <c r="QWY118" s="15"/>
      <c r="QWZ118" s="15"/>
      <c r="QXA118" s="15"/>
      <c r="QXB118" s="15"/>
      <c r="QXC118" s="15"/>
      <c r="QXD118" s="15"/>
      <c r="QXE118" s="15"/>
      <c r="QXF118" s="14"/>
      <c r="QXG118" s="15"/>
      <c r="QXH118" s="15"/>
      <c r="QXI118" s="15"/>
      <c r="QXJ118" s="15"/>
      <c r="QXK118" s="15"/>
      <c r="QXL118" s="15"/>
      <c r="QXM118" s="15"/>
      <c r="QXN118" s="15"/>
      <c r="QXO118" s="15"/>
      <c r="QXP118" s="15"/>
      <c r="QXQ118" s="15"/>
      <c r="QXR118" s="15"/>
      <c r="QXS118" s="15"/>
      <c r="QXT118" s="15"/>
      <c r="QXU118" s="15"/>
      <c r="QXV118" s="15"/>
      <c r="QXW118" s="15"/>
      <c r="QXX118" s="15"/>
      <c r="QXY118" s="15"/>
      <c r="QXZ118" s="15"/>
      <c r="QYA118" s="15"/>
      <c r="QYB118" s="14"/>
      <c r="QYC118" s="15"/>
      <c r="QYD118" s="15"/>
      <c r="QYE118" s="15"/>
      <c r="QYF118" s="15"/>
      <c r="QYG118" s="15"/>
      <c r="QYH118" s="15"/>
      <c r="QYI118" s="15"/>
      <c r="QYJ118" s="15"/>
      <c r="QYK118" s="15"/>
      <c r="QYL118" s="15"/>
      <c r="QYM118" s="15"/>
      <c r="QYN118" s="15"/>
      <c r="QYO118" s="15"/>
      <c r="QYP118" s="15"/>
      <c r="QYQ118" s="15"/>
      <c r="QYR118" s="15"/>
      <c r="QYS118" s="15"/>
      <c r="QYT118" s="15"/>
      <c r="QYU118" s="15"/>
      <c r="QYV118" s="15"/>
      <c r="QYW118" s="15"/>
      <c r="QYX118" s="14"/>
      <c r="QYY118" s="15"/>
      <c r="QYZ118" s="15"/>
      <c r="QZA118" s="15"/>
      <c r="QZB118" s="15"/>
      <c r="QZC118" s="15"/>
      <c r="QZD118" s="15"/>
      <c r="QZE118" s="15"/>
      <c r="QZF118" s="15"/>
      <c r="QZG118" s="15"/>
      <c r="QZH118" s="15"/>
      <c r="QZI118" s="15"/>
      <c r="QZJ118" s="15"/>
      <c r="QZK118" s="15"/>
      <c r="QZL118" s="15"/>
      <c r="QZM118" s="15"/>
      <c r="QZN118" s="15"/>
      <c r="QZO118" s="15"/>
      <c r="QZP118" s="15"/>
      <c r="QZQ118" s="15"/>
      <c r="QZR118" s="15"/>
      <c r="QZS118" s="15"/>
      <c r="QZT118" s="14"/>
      <c r="QZU118" s="15"/>
      <c r="QZV118" s="15"/>
      <c r="QZW118" s="15"/>
      <c r="QZX118" s="15"/>
      <c r="QZY118" s="15"/>
      <c r="QZZ118" s="15"/>
      <c r="RAA118" s="15"/>
      <c r="RAB118" s="15"/>
      <c r="RAC118" s="15"/>
      <c r="RAD118" s="15"/>
      <c r="RAE118" s="15"/>
      <c r="RAF118" s="15"/>
      <c r="RAG118" s="15"/>
      <c r="RAH118" s="15"/>
      <c r="RAI118" s="15"/>
      <c r="RAJ118" s="15"/>
      <c r="RAK118" s="15"/>
      <c r="RAL118" s="15"/>
      <c r="RAM118" s="15"/>
      <c r="RAN118" s="15"/>
      <c r="RAO118" s="15"/>
      <c r="RAP118" s="14"/>
      <c r="RAQ118" s="15"/>
      <c r="RAR118" s="15"/>
      <c r="RAS118" s="15"/>
      <c r="RAT118" s="15"/>
      <c r="RAU118" s="15"/>
      <c r="RAV118" s="15"/>
      <c r="RAW118" s="15"/>
      <c r="RAX118" s="15"/>
      <c r="RAY118" s="15"/>
      <c r="RAZ118" s="15"/>
      <c r="RBA118" s="15"/>
      <c r="RBB118" s="15"/>
      <c r="RBC118" s="15"/>
      <c r="RBD118" s="15"/>
      <c r="RBE118" s="15"/>
      <c r="RBF118" s="15"/>
      <c r="RBG118" s="15"/>
      <c r="RBH118" s="15"/>
      <c r="RBI118" s="15"/>
      <c r="RBJ118" s="15"/>
      <c r="RBK118" s="15"/>
      <c r="RBL118" s="14"/>
      <c r="RBM118" s="15"/>
      <c r="RBN118" s="15"/>
      <c r="RBO118" s="15"/>
      <c r="RBP118" s="15"/>
      <c r="RBQ118" s="15"/>
      <c r="RBR118" s="15"/>
      <c r="RBS118" s="15"/>
      <c r="RBT118" s="15"/>
      <c r="RBU118" s="15"/>
      <c r="RBV118" s="15"/>
      <c r="RBW118" s="15"/>
      <c r="RBX118" s="15"/>
      <c r="RBY118" s="15"/>
      <c r="RBZ118" s="15"/>
      <c r="RCA118" s="15"/>
      <c r="RCB118" s="15"/>
      <c r="RCC118" s="15"/>
      <c r="RCD118" s="15"/>
      <c r="RCE118" s="15"/>
      <c r="RCF118" s="15"/>
      <c r="RCG118" s="15"/>
      <c r="RCH118" s="14"/>
      <c r="RCI118" s="15"/>
      <c r="RCJ118" s="15"/>
      <c r="RCK118" s="15"/>
      <c r="RCL118" s="15"/>
      <c r="RCM118" s="15"/>
      <c r="RCN118" s="15"/>
      <c r="RCO118" s="15"/>
      <c r="RCP118" s="15"/>
      <c r="RCQ118" s="15"/>
      <c r="RCR118" s="15"/>
      <c r="RCS118" s="15"/>
      <c r="RCT118" s="15"/>
      <c r="RCU118" s="15"/>
      <c r="RCV118" s="15"/>
      <c r="RCW118" s="15"/>
      <c r="RCX118" s="15"/>
      <c r="RCY118" s="15"/>
      <c r="RCZ118" s="15"/>
      <c r="RDA118" s="15"/>
      <c r="RDB118" s="15"/>
      <c r="RDC118" s="15"/>
      <c r="RDD118" s="14"/>
      <c r="RDE118" s="15"/>
      <c r="RDF118" s="15"/>
      <c r="RDG118" s="15"/>
      <c r="RDH118" s="15"/>
      <c r="RDI118" s="15"/>
      <c r="RDJ118" s="15"/>
      <c r="RDK118" s="15"/>
      <c r="RDL118" s="15"/>
      <c r="RDM118" s="15"/>
      <c r="RDN118" s="15"/>
      <c r="RDO118" s="15"/>
      <c r="RDP118" s="15"/>
      <c r="RDQ118" s="15"/>
      <c r="RDR118" s="15"/>
      <c r="RDS118" s="15"/>
      <c r="RDT118" s="15"/>
      <c r="RDU118" s="15"/>
      <c r="RDV118" s="15"/>
      <c r="RDW118" s="15"/>
      <c r="RDX118" s="15"/>
      <c r="RDY118" s="15"/>
      <c r="RDZ118" s="14"/>
      <c r="REA118" s="15"/>
      <c r="REB118" s="15"/>
      <c r="REC118" s="15"/>
      <c r="RED118" s="15"/>
      <c r="REE118" s="15"/>
      <c r="REF118" s="15"/>
      <c r="REG118" s="15"/>
      <c r="REH118" s="15"/>
      <c r="REI118" s="15"/>
      <c r="REJ118" s="15"/>
      <c r="REK118" s="15"/>
      <c r="REL118" s="15"/>
      <c r="REM118" s="15"/>
      <c r="REN118" s="15"/>
      <c r="REO118" s="15"/>
      <c r="REP118" s="15"/>
      <c r="REQ118" s="15"/>
      <c r="RER118" s="15"/>
      <c r="RES118" s="15"/>
      <c r="RET118" s="15"/>
      <c r="REU118" s="15"/>
      <c r="REV118" s="14"/>
      <c r="REW118" s="15"/>
      <c r="REX118" s="15"/>
      <c r="REY118" s="15"/>
      <c r="REZ118" s="15"/>
      <c r="RFA118" s="15"/>
      <c r="RFB118" s="15"/>
      <c r="RFC118" s="15"/>
      <c r="RFD118" s="15"/>
      <c r="RFE118" s="15"/>
      <c r="RFF118" s="15"/>
      <c r="RFG118" s="15"/>
      <c r="RFH118" s="15"/>
      <c r="RFI118" s="15"/>
      <c r="RFJ118" s="15"/>
      <c r="RFK118" s="15"/>
      <c r="RFL118" s="15"/>
      <c r="RFM118" s="15"/>
      <c r="RFN118" s="15"/>
      <c r="RFO118" s="15"/>
      <c r="RFP118" s="15"/>
      <c r="RFQ118" s="15"/>
      <c r="RFR118" s="14"/>
      <c r="RFS118" s="15"/>
      <c r="RFT118" s="15"/>
      <c r="RFU118" s="15"/>
      <c r="RFV118" s="15"/>
      <c r="RFW118" s="15"/>
      <c r="RFX118" s="15"/>
      <c r="RFY118" s="15"/>
      <c r="RFZ118" s="15"/>
      <c r="RGA118" s="15"/>
      <c r="RGB118" s="15"/>
      <c r="RGC118" s="15"/>
      <c r="RGD118" s="15"/>
      <c r="RGE118" s="15"/>
      <c r="RGF118" s="15"/>
      <c r="RGG118" s="15"/>
      <c r="RGH118" s="15"/>
      <c r="RGI118" s="15"/>
      <c r="RGJ118" s="15"/>
      <c r="RGK118" s="15"/>
      <c r="RGL118" s="15"/>
      <c r="RGM118" s="15"/>
      <c r="RGN118" s="14"/>
      <c r="RGO118" s="15"/>
      <c r="RGP118" s="15"/>
      <c r="RGQ118" s="15"/>
      <c r="RGR118" s="15"/>
      <c r="RGS118" s="15"/>
      <c r="RGT118" s="15"/>
      <c r="RGU118" s="15"/>
      <c r="RGV118" s="15"/>
      <c r="RGW118" s="15"/>
      <c r="RGX118" s="15"/>
      <c r="RGY118" s="15"/>
      <c r="RGZ118" s="15"/>
      <c r="RHA118" s="15"/>
      <c r="RHB118" s="15"/>
      <c r="RHC118" s="15"/>
      <c r="RHD118" s="15"/>
      <c r="RHE118" s="15"/>
      <c r="RHF118" s="15"/>
      <c r="RHG118" s="15"/>
      <c r="RHH118" s="15"/>
      <c r="RHI118" s="15"/>
      <c r="RHJ118" s="14"/>
      <c r="RHK118" s="15"/>
      <c r="RHL118" s="15"/>
      <c r="RHM118" s="15"/>
      <c r="RHN118" s="15"/>
      <c r="RHO118" s="15"/>
      <c r="RHP118" s="15"/>
      <c r="RHQ118" s="15"/>
      <c r="RHR118" s="15"/>
      <c r="RHS118" s="15"/>
      <c r="RHT118" s="15"/>
      <c r="RHU118" s="15"/>
      <c r="RHV118" s="15"/>
      <c r="RHW118" s="15"/>
      <c r="RHX118" s="15"/>
      <c r="RHY118" s="15"/>
      <c r="RHZ118" s="15"/>
      <c r="RIA118" s="15"/>
      <c r="RIB118" s="15"/>
      <c r="RIC118" s="15"/>
      <c r="RID118" s="15"/>
      <c r="RIE118" s="15"/>
      <c r="RIF118" s="14"/>
      <c r="RIG118" s="15"/>
      <c r="RIH118" s="15"/>
      <c r="RII118" s="15"/>
      <c r="RIJ118" s="15"/>
      <c r="RIK118" s="15"/>
      <c r="RIL118" s="15"/>
      <c r="RIM118" s="15"/>
      <c r="RIN118" s="15"/>
      <c r="RIO118" s="15"/>
      <c r="RIP118" s="15"/>
      <c r="RIQ118" s="15"/>
      <c r="RIR118" s="15"/>
      <c r="RIS118" s="15"/>
      <c r="RIT118" s="15"/>
      <c r="RIU118" s="15"/>
      <c r="RIV118" s="15"/>
      <c r="RIW118" s="15"/>
      <c r="RIX118" s="15"/>
      <c r="RIY118" s="15"/>
      <c r="RIZ118" s="15"/>
      <c r="RJA118" s="15"/>
      <c r="RJB118" s="14"/>
      <c r="RJC118" s="15"/>
      <c r="RJD118" s="15"/>
      <c r="RJE118" s="15"/>
      <c r="RJF118" s="15"/>
      <c r="RJG118" s="15"/>
      <c r="RJH118" s="15"/>
      <c r="RJI118" s="15"/>
      <c r="RJJ118" s="15"/>
      <c r="RJK118" s="15"/>
      <c r="RJL118" s="15"/>
      <c r="RJM118" s="15"/>
      <c r="RJN118" s="15"/>
      <c r="RJO118" s="15"/>
      <c r="RJP118" s="15"/>
      <c r="RJQ118" s="15"/>
      <c r="RJR118" s="15"/>
      <c r="RJS118" s="15"/>
      <c r="RJT118" s="15"/>
      <c r="RJU118" s="15"/>
      <c r="RJV118" s="15"/>
      <c r="RJW118" s="15"/>
      <c r="RJX118" s="14"/>
      <c r="RJY118" s="15"/>
      <c r="RJZ118" s="15"/>
      <c r="RKA118" s="15"/>
      <c r="RKB118" s="15"/>
      <c r="RKC118" s="15"/>
      <c r="RKD118" s="15"/>
      <c r="RKE118" s="15"/>
      <c r="RKF118" s="15"/>
      <c r="RKG118" s="15"/>
      <c r="RKH118" s="15"/>
      <c r="RKI118" s="15"/>
      <c r="RKJ118" s="15"/>
      <c r="RKK118" s="15"/>
      <c r="RKL118" s="15"/>
      <c r="RKM118" s="15"/>
      <c r="RKN118" s="15"/>
      <c r="RKO118" s="15"/>
      <c r="RKP118" s="15"/>
      <c r="RKQ118" s="15"/>
      <c r="RKR118" s="15"/>
      <c r="RKS118" s="15"/>
      <c r="RKT118" s="14"/>
      <c r="RKU118" s="15"/>
      <c r="RKV118" s="15"/>
      <c r="RKW118" s="15"/>
      <c r="RKX118" s="15"/>
      <c r="RKY118" s="15"/>
      <c r="RKZ118" s="15"/>
      <c r="RLA118" s="15"/>
      <c r="RLB118" s="15"/>
      <c r="RLC118" s="15"/>
      <c r="RLD118" s="15"/>
      <c r="RLE118" s="15"/>
      <c r="RLF118" s="15"/>
      <c r="RLG118" s="15"/>
      <c r="RLH118" s="15"/>
      <c r="RLI118" s="15"/>
      <c r="RLJ118" s="15"/>
      <c r="RLK118" s="15"/>
      <c r="RLL118" s="15"/>
      <c r="RLM118" s="15"/>
      <c r="RLN118" s="15"/>
      <c r="RLO118" s="15"/>
      <c r="RLP118" s="14"/>
      <c r="RLQ118" s="15"/>
      <c r="RLR118" s="15"/>
      <c r="RLS118" s="15"/>
      <c r="RLT118" s="15"/>
      <c r="RLU118" s="15"/>
      <c r="RLV118" s="15"/>
      <c r="RLW118" s="15"/>
      <c r="RLX118" s="15"/>
      <c r="RLY118" s="15"/>
      <c r="RLZ118" s="15"/>
      <c r="RMA118" s="15"/>
      <c r="RMB118" s="15"/>
      <c r="RMC118" s="15"/>
      <c r="RMD118" s="15"/>
      <c r="RME118" s="15"/>
      <c r="RMF118" s="15"/>
      <c r="RMG118" s="15"/>
      <c r="RMH118" s="15"/>
      <c r="RMI118" s="15"/>
      <c r="RMJ118" s="15"/>
      <c r="RMK118" s="15"/>
      <c r="RML118" s="14"/>
      <c r="RMM118" s="15"/>
      <c r="RMN118" s="15"/>
      <c r="RMO118" s="15"/>
      <c r="RMP118" s="15"/>
      <c r="RMQ118" s="15"/>
      <c r="RMR118" s="15"/>
      <c r="RMS118" s="15"/>
      <c r="RMT118" s="15"/>
      <c r="RMU118" s="15"/>
      <c r="RMV118" s="15"/>
      <c r="RMW118" s="15"/>
      <c r="RMX118" s="15"/>
      <c r="RMY118" s="15"/>
      <c r="RMZ118" s="15"/>
      <c r="RNA118" s="15"/>
      <c r="RNB118" s="15"/>
      <c r="RNC118" s="15"/>
      <c r="RND118" s="15"/>
      <c r="RNE118" s="15"/>
      <c r="RNF118" s="15"/>
      <c r="RNG118" s="15"/>
      <c r="RNH118" s="14"/>
      <c r="RNI118" s="15"/>
      <c r="RNJ118" s="15"/>
      <c r="RNK118" s="15"/>
      <c r="RNL118" s="15"/>
      <c r="RNM118" s="15"/>
      <c r="RNN118" s="15"/>
      <c r="RNO118" s="15"/>
      <c r="RNP118" s="15"/>
      <c r="RNQ118" s="15"/>
      <c r="RNR118" s="15"/>
      <c r="RNS118" s="15"/>
      <c r="RNT118" s="15"/>
      <c r="RNU118" s="15"/>
      <c r="RNV118" s="15"/>
      <c r="RNW118" s="15"/>
      <c r="RNX118" s="15"/>
      <c r="RNY118" s="15"/>
      <c r="RNZ118" s="15"/>
      <c r="ROA118" s="15"/>
      <c r="ROB118" s="15"/>
      <c r="ROC118" s="15"/>
      <c r="ROD118" s="14"/>
      <c r="ROE118" s="15"/>
      <c r="ROF118" s="15"/>
      <c r="ROG118" s="15"/>
      <c r="ROH118" s="15"/>
      <c r="ROI118" s="15"/>
      <c r="ROJ118" s="15"/>
      <c r="ROK118" s="15"/>
      <c r="ROL118" s="15"/>
      <c r="ROM118" s="15"/>
      <c r="RON118" s="15"/>
      <c r="ROO118" s="15"/>
      <c r="ROP118" s="15"/>
      <c r="ROQ118" s="15"/>
      <c r="ROR118" s="15"/>
      <c r="ROS118" s="15"/>
      <c r="ROT118" s="15"/>
      <c r="ROU118" s="15"/>
      <c r="ROV118" s="15"/>
      <c r="ROW118" s="15"/>
      <c r="ROX118" s="15"/>
      <c r="ROY118" s="15"/>
      <c r="ROZ118" s="14"/>
      <c r="RPA118" s="15"/>
      <c r="RPB118" s="15"/>
      <c r="RPC118" s="15"/>
      <c r="RPD118" s="15"/>
      <c r="RPE118" s="15"/>
      <c r="RPF118" s="15"/>
      <c r="RPG118" s="15"/>
      <c r="RPH118" s="15"/>
      <c r="RPI118" s="15"/>
      <c r="RPJ118" s="15"/>
      <c r="RPK118" s="15"/>
      <c r="RPL118" s="15"/>
      <c r="RPM118" s="15"/>
      <c r="RPN118" s="15"/>
      <c r="RPO118" s="15"/>
      <c r="RPP118" s="15"/>
      <c r="RPQ118" s="15"/>
      <c r="RPR118" s="15"/>
      <c r="RPS118" s="15"/>
      <c r="RPT118" s="15"/>
      <c r="RPU118" s="15"/>
      <c r="RPV118" s="14"/>
      <c r="RPW118" s="15"/>
      <c r="RPX118" s="15"/>
      <c r="RPY118" s="15"/>
      <c r="RPZ118" s="15"/>
      <c r="RQA118" s="15"/>
      <c r="RQB118" s="15"/>
      <c r="RQC118" s="15"/>
      <c r="RQD118" s="15"/>
      <c r="RQE118" s="15"/>
      <c r="RQF118" s="15"/>
      <c r="RQG118" s="15"/>
      <c r="RQH118" s="15"/>
      <c r="RQI118" s="15"/>
      <c r="RQJ118" s="15"/>
      <c r="RQK118" s="15"/>
      <c r="RQL118" s="15"/>
      <c r="RQM118" s="15"/>
      <c r="RQN118" s="15"/>
      <c r="RQO118" s="15"/>
      <c r="RQP118" s="15"/>
      <c r="RQQ118" s="15"/>
      <c r="RQR118" s="14"/>
      <c r="RQS118" s="15"/>
      <c r="RQT118" s="15"/>
      <c r="RQU118" s="15"/>
      <c r="RQV118" s="15"/>
      <c r="RQW118" s="15"/>
      <c r="RQX118" s="15"/>
      <c r="RQY118" s="15"/>
      <c r="RQZ118" s="15"/>
      <c r="RRA118" s="15"/>
      <c r="RRB118" s="15"/>
      <c r="RRC118" s="15"/>
      <c r="RRD118" s="15"/>
      <c r="RRE118" s="15"/>
      <c r="RRF118" s="15"/>
      <c r="RRG118" s="15"/>
      <c r="RRH118" s="15"/>
      <c r="RRI118" s="15"/>
      <c r="RRJ118" s="15"/>
      <c r="RRK118" s="15"/>
      <c r="RRL118" s="15"/>
      <c r="RRM118" s="15"/>
      <c r="RRN118" s="14"/>
      <c r="RRO118" s="15"/>
      <c r="RRP118" s="15"/>
      <c r="RRQ118" s="15"/>
      <c r="RRR118" s="15"/>
      <c r="RRS118" s="15"/>
      <c r="RRT118" s="15"/>
      <c r="RRU118" s="15"/>
      <c r="RRV118" s="15"/>
      <c r="RRW118" s="15"/>
      <c r="RRX118" s="15"/>
      <c r="RRY118" s="15"/>
      <c r="RRZ118" s="15"/>
      <c r="RSA118" s="15"/>
      <c r="RSB118" s="15"/>
      <c r="RSC118" s="15"/>
      <c r="RSD118" s="15"/>
      <c r="RSE118" s="15"/>
      <c r="RSF118" s="15"/>
      <c r="RSG118" s="15"/>
      <c r="RSH118" s="15"/>
      <c r="RSI118" s="15"/>
      <c r="RSJ118" s="14"/>
      <c r="RSK118" s="15"/>
      <c r="RSL118" s="15"/>
      <c r="RSM118" s="15"/>
      <c r="RSN118" s="15"/>
      <c r="RSO118" s="15"/>
      <c r="RSP118" s="15"/>
      <c r="RSQ118" s="15"/>
      <c r="RSR118" s="15"/>
      <c r="RSS118" s="15"/>
      <c r="RST118" s="15"/>
      <c r="RSU118" s="15"/>
      <c r="RSV118" s="15"/>
      <c r="RSW118" s="15"/>
      <c r="RSX118" s="15"/>
      <c r="RSY118" s="15"/>
      <c r="RSZ118" s="15"/>
      <c r="RTA118" s="15"/>
      <c r="RTB118" s="15"/>
      <c r="RTC118" s="15"/>
      <c r="RTD118" s="15"/>
      <c r="RTE118" s="15"/>
      <c r="RTF118" s="14"/>
      <c r="RTG118" s="15"/>
      <c r="RTH118" s="15"/>
      <c r="RTI118" s="15"/>
      <c r="RTJ118" s="15"/>
      <c r="RTK118" s="15"/>
      <c r="RTL118" s="15"/>
      <c r="RTM118" s="15"/>
      <c r="RTN118" s="15"/>
      <c r="RTO118" s="15"/>
      <c r="RTP118" s="15"/>
      <c r="RTQ118" s="15"/>
      <c r="RTR118" s="15"/>
      <c r="RTS118" s="15"/>
      <c r="RTT118" s="15"/>
      <c r="RTU118" s="15"/>
      <c r="RTV118" s="15"/>
      <c r="RTW118" s="15"/>
      <c r="RTX118" s="15"/>
      <c r="RTY118" s="15"/>
      <c r="RTZ118" s="15"/>
      <c r="RUA118" s="15"/>
      <c r="RUB118" s="14"/>
      <c r="RUC118" s="15"/>
      <c r="RUD118" s="15"/>
      <c r="RUE118" s="15"/>
      <c r="RUF118" s="15"/>
      <c r="RUG118" s="15"/>
      <c r="RUH118" s="15"/>
      <c r="RUI118" s="15"/>
      <c r="RUJ118" s="15"/>
      <c r="RUK118" s="15"/>
      <c r="RUL118" s="15"/>
      <c r="RUM118" s="15"/>
      <c r="RUN118" s="15"/>
      <c r="RUO118" s="15"/>
      <c r="RUP118" s="15"/>
      <c r="RUQ118" s="15"/>
      <c r="RUR118" s="15"/>
      <c r="RUS118" s="15"/>
      <c r="RUT118" s="15"/>
      <c r="RUU118" s="15"/>
      <c r="RUV118" s="15"/>
      <c r="RUW118" s="15"/>
      <c r="RUX118" s="14"/>
      <c r="RUY118" s="15"/>
      <c r="RUZ118" s="15"/>
      <c r="RVA118" s="15"/>
      <c r="RVB118" s="15"/>
      <c r="RVC118" s="15"/>
      <c r="RVD118" s="15"/>
      <c r="RVE118" s="15"/>
      <c r="RVF118" s="15"/>
      <c r="RVG118" s="15"/>
      <c r="RVH118" s="15"/>
      <c r="RVI118" s="15"/>
      <c r="RVJ118" s="15"/>
      <c r="RVK118" s="15"/>
      <c r="RVL118" s="15"/>
      <c r="RVM118" s="15"/>
      <c r="RVN118" s="15"/>
      <c r="RVO118" s="15"/>
      <c r="RVP118" s="15"/>
      <c r="RVQ118" s="15"/>
      <c r="RVR118" s="15"/>
      <c r="RVS118" s="15"/>
      <c r="RVT118" s="14"/>
      <c r="RVU118" s="15"/>
      <c r="RVV118" s="15"/>
      <c r="RVW118" s="15"/>
      <c r="RVX118" s="15"/>
      <c r="RVY118" s="15"/>
      <c r="RVZ118" s="15"/>
      <c r="RWA118" s="15"/>
      <c r="RWB118" s="15"/>
      <c r="RWC118" s="15"/>
      <c r="RWD118" s="15"/>
      <c r="RWE118" s="15"/>
      <c r="RWF118" s="15"/>
      <c r="RWG118" s="15"/>
      <c r="RWH118" s="15"/>
      <c r="RWI118" s="15"/>
      <c r="RWJ118" s="15"/>
      <c r="RWK118" s="15"/>
      <c r="RWL118" s="15"/>
      <c r="RWM118" s="15"/>
      <c r="RWN118" s="15"/>
      <c r="RWO118" s="15"/>
      <c r="RWP118" s="14"/>
      <c r="RWQ118" s="15"/>
      <c r="RWR118" s="15"/>
      <c r="RWS118" s="15"/>
      <c r="RWT118" s="15"/>
      <c r="RWU118" s="15"/>
      <c r="RWV118" s="15"/>
      <c r="RWW118" s="15"/>
      <c r="RWX118" s="15"/>
      <c r="RWY118" s="15"/>
      <c r="RWZ118" s="15"/>
      <c r="RXA118" s="15"/>
      <c r="RXB118" s="15"/>
      <c r="RXC118" s="15"/>
      <c r="RXD118" s="15"/>
      <c r="RXE118" s="15"/>
      <c r="RXF118" s="15"/>
      <c r="RXG118" s="15"/>
      <c r="RXH118" s="15"/>
      <c r="RXI118" s="15"/>
      <c r="RXJ118" s="15"/>
      <c r="RXK118" s="15"/>
      <c r="RXL118" s="14"/>
      <c r="RXM118" s="15"/>
      <c r="RXN118" s="15"/>
      <c r="RXO118" s="15"/>
      <c r="RXP118" s="15"/>
      <c r="RXQ118" s="15"/>
      <c r="RXR118" s="15"/>
      <c r="RXS118" s="15"/>
      <c r="RXT118" s="15"/>
      <c r="RXU118" s="15"/>
      <c r="RXV118" s="15"/>
      <c r="RXW118" s="15"/>
      <c r="RXX118" s="15"/>
      <c r="RXY118" s="15"/>
      <c r="RXZ118" s="15"/>
      <c r="RYA118" s="15"/>
      <c r="RYB118" s="15"/>
      <c r="RYC118" s="15"/>
      <c r="RYD118" s="15"/>
      <c r="RYE118" s="15"/>
      <c r="RYF118" s="15"/>
      <c r="RYG118" s="15"/>
      <c r="RYH118" s="14"/>
      <c r="RYI118" s="15"/>
      <c r="RYJ118" s="15"/>
      <c r="RYK118" s="15"/>
      <c r="RYL118" s="15"/>
      <c r="RYM118" s="15"/>
      <c r="RYN118" s="15"/>
      <c r="RYO118" s="15"/>
      <c r="RYP118" s="15"/>
      <c r="RYQ118" s="15"/>
      <c r="RYR118" s="15"/>
      <c r="RYS118" s="15"/>
      <c r="RYT118" s="15"/>
      <c r="RYU118" s="15"/>
      <c r="RYV118" s="15"/>
      <c r="RYW118" s="15"/>
      <c r="RYX118" s="15"/>
      <c r="RYY118" s="15"/>
      <c r="RYZ118" s="15"/>
      <c r="RZA118" s="15"/>
      <c r="RZB118" s="15"/>
      <c r="RZC118" s="15"/>
      <c r="RZD118" s="14"/>
      <c r="RZE118" s="15"/>
      <c r="RZF118" s="15"/>
      <c r="RZG118" s="15"/>
      <c r="RZH118" s="15"/>
      <c r="RZI118" s="15"/>
      <c r="RZJ118" s="15"/>
      <c r="RZK118" s="15"/>
      <c r="RZL118" s="15"/>
      <c r="RZM118" s="15"/>
      <c r="RZN118" s="15"/>
      <c r="RZO118" s="15"/>
      <c r="RZP118" s="15"/>
      <c r="RZQ118" s="15"/>
      <c r="RZR118" s="15"/>
      <c r="RZS118" s="15"/>
      <c r="RZT118" s="15"/>
      <c r="RZU118" s="15"/>
      <c r="RZV118" s="15"/>
      <c r="RZW118" s="15"/>
      <c r="RZX118" s="15"/>
      <c r="RZY118" s="15"/>
      <c r="RZZ118" s="14"/>
      <c r="SAA118" s="15"/>
      <c r="SAB118" s="15"/>
      <c r="SAC118" s="15"/>
      <c r="SAD118" s="15"/>
      <c r="SAE118" s="15"/>
      <c r="SAF118" s="15"/>
      <c r="SAG118" s="15"/>
      <c r="SAH118" s="15"/>
      <c r="SAI118" s="15"/>
      <c r="SAJ118" s="15"/>
      <c r="SAK118" s="15"/>
      <c r="SAL118" s="15"/>
      <c r="SAM118" s="15"/>
      <c r="SAN118" s="15"/>
      <c r="SAO118" s="15"/>
      <c r="SAP118" s="15"/>
      <c r="SAQ118" s="15"/>
      <c r="SAR118" s="15"/>
      <c r="SAS118" s="15"/>
      <c r="SAT118" s="15"/>
      <c r="SAU118" s="15"/>
      <c r="SAV118" s="14"/>
      <c r="SAW118" s="15"/>
      <c r="SAX118" s="15"/>
      <c r="SAY118" s="15"/>
      <c r="SAZ118" s="15"/>
      <c r="SBA118" s="15"/>
      <c r="SBB118" s="15"/>
      <c r="SBC118" s="15"/>
      <c r="SBD118" s="15"/>
      <c r="SBE118" s="15"/>
      <c r="SBF118" s="15"/>
      <c r="SBG118" s="15"/>
      <c r="SBH118" s="15"/>
      <c r="SBI118" s="15"/>
      <c r="SBJ118" s="15"/>
      <c r="SBK118" s="15"/>
      <c r="SBL118" s="15"/>
      <c r="SBM118" s="15"/>
      <c r="SBN118" s="15"/>
      <c r="SBO118" s="15"/>
      <c r="SBP118" s="15"/>
      <c r="SBQ118" s="15"/>
      <c r="SBR118" s="14"/>
      <c r="SBS118" s="15"/>
      <c r="SBT118" s="15"/>
      <c r="SBU118" s="15"/>
      <c r="SBV118" s="15"/>
      <c r="SBW118" s="15"/>
      <c r="SBX118" s="15"/>
      <c r="SBY118" s="15"/>
      <c r="SBZ118" s="15"/>
      <c r="SCA118" s="15"/>
      <c r="SCB118" s="15"/>
      <c r="SCC118" s="15"/>
      <c r="SCD118" s="15"/>
      <c r="SCE118" s="15"/>
      <c r="SCF118" s="15"/>
      <c r="SCG118" s="15"/>
      <c r="SCH118" s="15"/>
      <c r="SCI118" s="15"/>
      <c r="SCJ118" s="15"/>
      <c r="SCK118" s="15"/>
      <c r="SCL118" s="15"/>
      <c r="SCM118" s="15"/>
      <c r="SCN118" s="14"/>
      <c r="SCO118" s="15"/>
      <c r="SCP118" s="15"/>
      <c r="SCQ118" s="15"/>
      <c r="SCR118" s="15"/>
      <c r="SCS118" s="15"/>
      <c r="SCT118" s="15"/>
      <c r="SCU118" s="15"/>
      <c r="SCV118" s="15"/>
      <c r="SCW118" s="15"/>
      <c r="SCX118" s="15"/>
      <c r="SCY118" s="15"/>
      <c r="SCZ118" s="15"/>
      <c r="SDA118" s="15"/>
      <c r="SDB118" s="15"/>
      <c r="SDC118" s="15"/>
      <c r="SDD118" s="15"/>
      <c r="SDE118" s="15"/>
      <c r="SDF118" s="15"/>
      <c r="SDG118" s="15"/>
      <c r="SDH118" s="15"/>
      <c r="SDI118" s="15"/>
      <c r="SDJ118" s="14"/>
      <c r="SDK118" s="15"/>
      <c r="SDL118" s="15"/>
      <c r="SDM118" s="15"/>
      <c r="SDN118" s="15"/>
      <c r="SDO118" s="15"/>
      <c r="SDP118" s="15"/>
      <c r="SDQ118" s="15"/>
      <c r="SDR118" s="15"/>
      <c r="SDS118" s="15"/>
      <c r="SDT118" s="15"/>
      <c r="SDU118" s="15"/>
      <c r="SDV118" s="15"/>
      <c r="SDW118" s="15"/>
      <c r="SDX118" s="15"/>
      <c r="SDY118" s="15"/>
      <c r="SDZ118" s="15"/>
      <c r="SEA118" s="15"/>
      <c r="SEB118" s="15"/>
      <c r="SEC118" s="15"/>
      <c r="SED118" s="15"/>
      <c r="SEE118" s="15"/>
      <c r="SEF118" s="14"/>
      <c r="SEG118" s="15"/>
      <c r="SEH118" s="15"/>
      <c r="SEI118" s="15"/>
      <c r="SEJ118" s="15"/>
      <c r="SEK118" s="15"/>
      <c r="SEL118" s="15"/>
      <c r="SEM118" s="15"/>
      <c r="SEN118" s="15"/>
      <c r="SEO118" s="15"/>
      <c r="SEP118" s="15"/>
      <c r="SEQ118" s="15"/>
      <c r="SER118" s="15"/>
      <c r="SES118" s="15"/>
      <c r="SET118" s="15"/>
      <c r="SEU118" s="15"/>
      <c r="SEV118" s="15"/>
      <c r="SEW118" s="15"/>
      <c r="SEX118" s="15"/>
      <c r="SEY118" s="15"/>
      <c r="SEZ118" s="15"/>
      <c r="SFA118" s="15"/>
      <c r="SFB118" s="14"/>
      <c r="SFC118" s="15"/>
      <c r="SFD118" s="15"/>
      <c r="SFE118" s="15"/>
      <c r="SFF118" s="15"/>
      <c r="SFG118" s="15"/>
      <c r="SFH118" s="15"/>
      <c r="SFI118" s="15"/>
      <c r="SFJ118" s="15"/>
      <c r="SFK118" s="15"/>
      <c r="SFL118" s="15"/>
      <c r="SFM118" s="15"/>
      <c r="SFN118" s="15"/>
      <c r="SFO118" s="15"/>
      <c r="SFP118" s="15"/>
      <c r="SFQ118" s="15"/>
      <c r="SFR118" s="15"/>
      <c r="SFS118" s="15"/>
      <c r="SFT118" s="15"/>
      <c r="SFU118" s="15"/>
      <c r="SFV118" s="15"/>
      <c r="SFW118" s="15"/>
      <c r="SFX118" s="14"/>
      <c r="SFY118" s="15"/>
      <c r="SFZ118" s="15"/>
      <c r="SGA118" s="15"/>
      <c r="SGB118" s="15"/>
      <c r="SGC118" s="15"/>
      <c r="SGD118" s="15"/>
      <c r="SGE118" s="15"/>
      <c r="SGF118" s="15"/>
      <c r="SGG118" s="15"/>
      <c r="SGH118" s="15"/>
      <c r="SGI118" s="15"/>
      <c r="SGJ118" s="15"/>
      <c r="SGK118" s="15"/>
      <c r="SGL118" s="15"/>
      <c r="SGM118" s="15"/>
      <c r="SGN118" s="15"/>
      <c r="SGO118" s="15"/>
      <c r="SGP118" s="15"/>
      <c r="SGQ118" s="15"/>
      <c r="SGR118" s="15"/>
      <c r="SGS118" s="15"/>
      <c r="SGT118" s="14"/>
      <c r="SGU118" s="15"/>
      <c r="SGV118" s="15"/>
      <c r="SGW118" s="15"/>
      <c r="SGX118" s="15"/>
      <c r="SGY118" s="15"/>
      <c r="SGZ118" s="15"/>
      <c r="SHA118" s="15"/>
      <c r="SHB118" s="15"/>
      <c r="SHC118" s="15"/>
      <c r="SHD118" s="15"/>
      <c r="SHE118" s="15"/>
      <c r="SHF118" s="15"/>
      <c r="SHG118" s="15"/>
      <c r="SHH118" s="15"/>
      <c r="SHI118" s="15"/>
      <c r="SHJ118" s="15"/>
      <c r="SHK118" s="15"/>
      <c r="SHL118" s="15"/>
      <c r="SHM118" s="15"/>
      <c r="SHN118" s="15"/>
      <c r="SHO118" s="15"/>
      <c r="SHP118" s="14"/>
      <c r="SHQ118" s="15"/>
      <c r="SHR118" s="15"/>
      <c r="SHS118" s="15"/>
      <c r="SHT118" s="15"/>
      <c r="SHU118" s="15"/>
      <c r="SHV118" s="15"/>
      <c r="SHW118" s="15"/>
      <c r="SHX118" s="15"/>
      <c r="SHY118" s="15"/>
      <c r="SHZ118" s="15"/>
      <c r="SIA118" s="15"/>
      <c r="SIB118" s="15"/>
      <c r="SIC118" s="15"/>
      <c r="SID118" s="15"/>
      <c r="SIE118" s="15"/>
      <c r="SIF118" s="15"/>
      <c r="SIG118" s="15"/>
      <c r="SIH118" s="15"/>
      <c r="SII118" s="15"/>
      <c r="SIJ118" s="15"/>
      <c r="SIK118" s="15"/>
      <c r="SIL118" s="14"/>
      <c r="SIM118" s="15"/>
      <c r="SIN118" s="15"/>
      <c r="SIO118" s="15"/>
      <c r="SIP118" s="15"/>
      <c r="SIQ118" s="15"/>
      <c r="SIR118" s="15"/>
      <c r="SIS118" s="15"/>
      <c r="SIT118" s="15"/>
      <c r="SIU118" s="15"/>
      <c r="SIV118" s="15"/>
      <c r="SIW118" s="15"/>
      <c r="SIX118" s="15"/>
      <c r="SIY118" s="15"/>
      <c r="SIZ118" s="15"/>
      <c r="SJA118" s="15"/>
      <c r="SJB118" s="15"/>
      <c r="SJC118" s="15"/>
      <c r="SJD118" s="15"/>
      <c r="SJE118" s="15"/>
      <c r="SJF118" s="15"/>
      <c r="SJG118" s="15"/>
      <c r="SJH118" s="14"/>
      <c r="SJI118" s="15"/>
      <c r="SJJ118" s="15"/>
      <c r="SJK118" s="15"/>
      <c r="SJL118" s="15"/>
      <c r="SJM118" s="15"/>
      <c r="SJN118" s="15"/>
      <c r="SJO118" s="15"/>
      <c r="SJP118" s="15"/>
      <c r="SJQ118" s="15"/>
      <c r="SJR118" s="15"/>
      <c r="SJS118" s="15"/>
      <c r="SJT118" s="15"/>
      <c r="SJU118" s="15"/>
      <c r="SJV118" s="15"/>
      <c r="SJW118" s="15"/>
      <c r="SJX118" s="15"/>
      <c r="SJY118" s="15"/>
      <c r="SJZ118" s="15"/>
      <c r="SKA118" s="15"/>
      <c r="SKB118" s="15"/>
      <c r="SKC118" s="15"/>
      <c r="SKD118" s="14"/>
      <c r="SKE118" s="15"/>
      <c r="SKF118" s="15"/>
      <c r="SKG118" s="15"/>
      <c r="SKH118" s="15"/>
      <c r="SKI118" s="15"/>
      <c r="SKJ118" s="15"/>
      <c r="SKK118" s="15"/>
      <c r="SKL118" s="15"/>
      <c r="SKM118" s="15"/>
      <c r="SKN118" s="15"/>
      <c r="SKO118" s="15"/>
      <c r="SKP118" s="15"/>
      <c r="SKQ118" s="15"/>
      <c r="SKR118" s="15"/>
      <c r="SKS118" s="15"/>
      <c r="SKT118" s="15"/>
      <c r="SKU118" s="15"/>
      <c r="SKV118" s="15"/>
      <c r="SKW118" s="15"/>
      <c r="SKX118" s="15"/>
      <c r="SKY118" s="15"/>
      <c r="SKZ118" s="14"/>
      <c r="SLA118" s="15"/>
      <c r="SLB118" s="15"/>
      <c r="SLC118" s="15"/>
      <c r="SLD118" s="15"/>
      <c r="SLE118" s="15"/>
      <c r="SLF118" s="15"/>
      <c r="SLG118" s="15"/>
      <c r="SLH118" s="15"/>
      <c r="SLI118" s="15"/>
      <c r="SLJ118" s="15"/>
      <c r="SLK118" s="15"/>
      <c r="SLL118" s="15"/>
      <c r="SLM118" s="15"/>
      <c r="SLN118" s="15"/>
      <c r="SLO118" s="15"/>
      <c r="SLP118" s="15"/>
      <c r="SLQ118" s="15"/>
      <c r="SLR118" s="15"/>
      <c r="SLS118" s="15"/>
      <c r="SLT118" s="15"/>
      <c r="SLU118" s="15"/>
      <c r="SLV118" s="14"/>
      <c r="SLW118" s="15"/>
      <c r="SLX118" s="15"/>
      <c r="SLY118" s="15"/>
      <c r="SLZ118" s="15"/>
      <c r="SMA118" s="15"/>
      <c r="SMB118" s="15"/>
      <c r="SMC118" s="15"/>
      <c r="SMD118" s="15"/>
      <c r="SME118" s="15"/>
      <c r="SMF118" s="15"/>
      <c r="SMG118" s="15"/>
      <c r="SMH118" s="15"/>
      <c r="SMI118" s="15"/>
      <c r="SMJ118" s="15"/>
      <c r="SMK118" s="15"/>
      <c r="SML118" s="15"/>
      <c r="SMM118" s="15"/>
      <c r="SMN118" s="15"/>
      <c r="SMO118" s="15"/>
      <c r="SMP118" s="15"/>
      <c r="SMQ118" s="15"/>
      <c r="SMR118" s="14"/>
      <c r="SMS118" s="15"/>
      <c r="SMT118" s="15"/>
      <c r="SMU118" s="15"/>
      <c r="SMV118" s="15"/>
      <c r="SMW118" s="15"/>
      <c r="SMX118" s="15"/>
      <c r="SMY118" s="15"/>
      <c r="SMZ118" s="15"/>
      <c r="SNA118" s="15"/>
      <c r="SNB118" s="15"/>
      <c r="SNC118" s="15"/>
      <c r="SND118" s="15"/>
      <c r="SNE118" s="15"/>
      <c r="SNF118" s="15"/>
      <c r="SNG118" s="15"/>
      <c r="SNH118" s="15"/>
      <c r="SNI118" s="15"/>
      <c r="SNJ118" s="15"/>
      <c r="SNK118" s="15"/>
      <c r="SNL118" s="15"/>
      <c r="SNM118" s="15"/>
      <c r="SNN118" s="14"/>
      <c r="SNO118" s="15"/>
      <c r="SNP118" s="15"/>
      <c r="SNQ118" s="15"/>
      <c r="SNR118" s="15"/>
      <c r="SNS118" s="15"/>
      <c r="SNT118" s="15"/>
      <c r="SNU118" s="15"/>
      <c r="SNV118" s="15"/>
      <c r="SNW118" s="15"/>
      <c r="SNX118" s="15"/>
      <c r="SNY118" s="15"/>
      <c r="SNZ118" s="15"/>
      <c r="SOA118" s="15"/>
      <c r="SOB118" s="15"/>
      <c r="SOC118" s="15"/>
      <c r="SOD118" s="15"/>
      <c r="SOE118" s="15"/>
      <c r="SOF118" s="15"/>
      <c r="SOG118" s="15"/>
      <c r="SOH118" s="15"/>
      <c r="SOI118" s="15"/>
      <c r="SOJ118" s="14"/>
      <c r="SOK118" s="15"/>
      <c r="SOL118" s="15"/>
      <c r="SOM118" s="15"/>
      <c r="SON118" s="15"/>
      <c r="SOO118" s="15"/>
      <c r="SOP118" s="15"/>
      <c r="SOQ118" s="15"/>
      <c r="SOR118" s="15"/>
      <c r="SOS118" s="15"/>
      <c r="SOT118" s="15"/>
      <c r="SOU118" s="15"/>
      <c r="SOV118" s="15"/>
      <c r="SOW118" s="15"/>
      <c r="SOX118" s="15"/>
      <c r="SOY118" s="15"/>
      <c r="SOZ118" s="15"/>
      <c r="SPA118" s="15"/>
      <c r="SPB118" s="15"/>
      <c r="SPC118" s="15"/>
      <c r="SPD118" s="15"/>
      <c r="SPE118" s="15"/>
      <c r="SPF118" s="14"/>
      <c r="SPG118" s="15"/>
      <c r="SPH118" s="15"/>
      <c r="SPI118" s="15"/>
      <c r="SPJ118" s="15"/>
      <c r="SPK118" s="15"/>
      <c r="SPL118" s="15"/>
      <c r="SPM118" s="15"/>
      <c r="SPN118" s="15"/>
      <c r="SPO118" s="15"/>
      <c r="SPP118" s="15"/>
      <c r="SPQ118" s="15"/>
      <c r="SPR118" s="15"/>
      <c r="SPS118" s="15"/>
      <c r="SPT118" s="15"/>
      <c r="SPU118" s="15"/>
      <c r="SPV118" s="15"/>
      <c r="SPW118" s="15"/>
      <c r="SPX118" s="15"/>
      <c r="SPY118" s="15"/>
      <c r="SPZ118" s="15"/>
      <c r="SQA118" s="15"/>
      <c r="SQB118" s="14"/>
      <c r="SQC118" s="15"/>
      <c r="SQD118" s="15"/>
      <c r="SQE118" s="15"/>
      <c r="SQF118" s="15"/>
      <c r="SQG118" s="15"/>
      <c r="SQH118" s="15"/>
      <c r="SQI118" s="15"/>
      <c r="SQJ118" s="15"/>
      <c r="SQK118" s="15"/>
      <c r="SQL118" s="15"/>
      <c r="SQM118" s="15"/>
      <c r="SQN118" s="15"/>
      <c r="SQO118" s="15"/>
      <c r="SQP118" s="15"/>
      <c r="SQQ118" s="15"/>
      <c r="SQR118" s="15"/>
      <c r="SQS118" s="15"/>
      <c r="SQT118" s="15"/>
      <c r="SQU118" s="15"/>
      <c r="SQV118" s="15"/>
      <c r="SQW118" s="15"/>
      <c r="SQX118" s="14"/>
      <c r="SQY118" s="15"/>
      <c r="SQZ118" s="15"/>
      <c r="SRA118" s="15"/>
      <c r="SRB118" s="15"/>
      <c r="SRC118" s="15"/>
      <c r="SRD118" s="15"/>
      <c r="SRE118" s="15"/>
      <c r="SRF118" s="15"/>
      <c r="SRG118" s="15"/>
      <c r="SRH118" s="15"/>
      <c r="SRI118" s="15"/>
      <c r="SRJ118" s="15"/>
      <c r="SRK118" s="15"/>
      <c r="SRL118" s="15"/>
      <c r="SRM118" s="15"/>
      <c r="SRN118" s="15"/>
      <c r="SRO118" s="15"/>
      <c r="SRP118" s="15"/>
      <c r="SRQ118" s="15"/>
      <c r="SRR118" s="15"/>
      <c r="SRS118" s="15"/>
      <c r="SRT118" s="14"/>
      <c r="SRU118" s="15"/>
      <c r="SRV118" s="15"/>
      <c r="SRW118" s="15"/>
      <c r="SRX118" s="15"/>
      <c r="SRY118" s="15"/>
      <c r="SRZ118" s="15"/>
      <c r="SSA118" s="15"/>
      <c r="SSB118" s="15"/>
      <c r="SSC118" s="15"/>
      <c r="SSD118" s="15"/>
      <c r="SSE118" s="15"/>
      <c r="SSF118" s="15"/>
      <c r="SSG118" s="15"/>
      <c r="SSH118" s="15"/>
      <c r="SSI118" s="15"/>
      <c r="SSJ118" s="15"/>
      <c r="SSK118" s="15"/>
      <c r="SSL118" s="15"/>
      <c r="SSM118" s="15"/>
      <c r="SSN118" s="15"/>
      <c r="SSO118" s="15"/>
      <c r="SSP118" s="14"/>
      <c r="SSQ118" s="15"/>
      <c r="SSR118" s="15"/>
      <c r="SSS118" s="15"/>
      <c r="SST118" s="15"/>
      <c r="SSU118" s="15"/>
      <c r="SSV118" s="15"/>
      <c r="SSW118" s="15"/>
      <c r="SSX118" s="15"/>
      <c r="SSY118" s="15"/>
      <c r="SSZ118" s="15"/>
      <c r="STA118" s="15"/>
      <c r="STB118" s="15"/>
      <c r="STC118" s="15"/>
      <c r="STD118" s="15"/>
      <c r="STE118" s="15"/>
      <c r="STF118" s="15"/>
      <c r="STG118" s="15"/>
      <c r="STH118" s="15"/>
      <c r="STI118" s="15"/>
      <c r="STJ118" s="15"/>
      <c r="STK118" s="15"/>
      <c r="STL118" s="14"/>
      <c r="STM118" s="15"/>
      <c r="STN118" s="15"/>
      <c r="STO118" s="15"/>
      <c r="STP118" s="15"/>
      <c r="STQ118" s="15"/>
      <c r="STR118" s="15"/>
      <c r="STS118" s="15"/>
      <c r="STT118" s="15"/>
      <c r="STU118" s="15"/>
      <c r="STV118" s="15"/>
      <c r="STW118" s="15"/>
      <c r="STX118" s="15"/>
      <c r="STY118" s="15"/>
      <c r="STZ118" s="15"/>
      <c r="SUA118" s="15"/>
      <c r="SUB118" s="15"/>
      <c r="SUC118" s="15"/>
      <c r="SUD118" s="15"/>
      <c r="SUE118" s="15"/>
      <c r="SUF118" s="15"/>
      <c r="SUG118" s="15"/>
      <c r="SUH118" s="14"/>
      <c r="SUI118" s="15"/>
      <c r="SUJ118" s="15"/>
      <c r="SUK118" s="15"/>
      <c r="SUL118" s="15"/>
      <c r="SUM118" s="15"/>
      <c r="SUN118" s="15"/>
      <c r="SUO118" s="15"/>
      <c r="SUP118" s="15"/>
      <c r="SUQ118" s="15"/>
      <c r="SUR118" s="15"/>
      <c r="SUS118" s="15"/>
      <c r="SUT118" s="15"/>
      <c r="SUU118" s="15"/>
      <c r="SUV118" s="15"/>
      <c r="SUW118" s="15"/>
      <c r="SUX118" s="15"/>
      <c r="SUY118" s="15"/>
      <c r="SUZ118" s="15"/>
      <c r="SVA118" s="15"/>
      <c r="SVB118" s="15"/>
      <c r="SVC118" s="15"/>
      <c r="SVD118" s="14"/>
      <c r="SVE118" s="15"/>
      <c r="SVF118" s="15"/>
      <c r="SVG118" s="15"/>
      <c r="SVH118" s="15"/>
      <c r="SVI118" s="15"/>
      <c r="SVJ118" s="15"/>
      <c r="SVK118" s="15"/>
      <c r="SVL118" s="15"/>
      <c r="SVM118" s="15"/>
      <c r="SVN118" s="15"/>
      <c r="SVO118" s="15"/>
      <c r="SVP118" s="15"/>
      <c r="SVQ118" s="15"/>
      <c r="SVR118" s="15"/>
      <c r="SVS118" s="15"/>
      <c r="SVT118" s="15"/>
      <c r="SVU118" s="15"/>
      <c r="SVV118" s="15"/>
      <c r="SVW118" s="15"/>
      <c r="SVX118" s="15"/>
      <c r="SVY118" s="15"/>
      <c r="SVZ118" s="14"/>
      <c r="SWA118" s="15"/>
      <c r="SWB118" s="15"/>
      <c r="SWC118" s="15"/>
      <c r="SWD118" s="15"/>
      <c r="SWE118" s="15"/>
      <c r="SWF118" s="15"/>
      <c r="SWG118" s="15"/>
      <c r="SWH118" s="15"/>
      <c r="SWI118" s="15"/>
      <c r="SWJ118" s="15"/>
      <c r="SWK118" s="15"/>
      <c r="SWL118" s="15"/>
      <c r="SWM118" s="15"/>
      <c r="SWN118" s="15"/>
      <c r="SWO118" s="15"/>
      <c r="SWP118" s="15"/>
      <c r="SWQ118" s="15"/>
      <c r="SWR118" s="15"/>
      <c r="SWS118" s="15"/>
      <c r="SWT118" s="15"/>
      <c r="SWU118" s="15"/>
      <c r="SWV118" s="14"/>
      <c r="SWW118" s="15"/>
      <c r="SWX118" s="15"/>
      <c r="SWY118" s="15"/>
      <c r="SWZ118" s="15"/>
      <c r="SXA118" s="15"/>
      <c r="SXB118" s="15"/>
      <c r="SXC118" s="15"/>
      <c r="SXD118" s="15"/>
      <c r="SXE118" s="15"/>
      <c r="SXF118" s="15"/>
      <c r="SXG118" s="15"/>
      <c r="SXH118" s="15"/>
      <c r="SXI118" s="15"/>
      <c r="SXJ118" s="15"/>
      <c r="SXK118" s="15"/>
      <c r="SXL118" s="15"/>
      <c r="SXM118" s="15"/>
      <c r="SXN118" s="15"/>
      <c r="SXO118" s="15"/>
      <c r="SXP118" s="15"/>
      <c r="SXQ118" s="15"/>
      <c r="SXR118" s="14"/>
      <c r="SXS118" s="15"/>
      <c r="SXT118" s="15"/>
      <c r="SXU118" s="15"/>
      <c r="SXV118" s="15"/>
      <c r="SXW118" s="15"/>
      <c r="SXX118" s="15"/>
      <c r="SXY118" s="15"/>
      <c r="SXZ118" s="15"/>
      <c r="SYA118" s="15"/>
      <c r="SYB118" s="15"/>
      <c r="SYC118" s="15"/>
      <c r="SYD118" s="15"/>
      <c r="SYE118" s="15"/>
      <c r="SYF118" s="15"/>
      <c r="SYG118" s="15"/>
      <c r="SYH118" s="15"/>
      <c r="SYI118" s="15"/>
      <c r="SYJ118" s="15"/>
      <c r="SYK118" s="15"/>
      <c r="SYL118" s="15"/>
      <c r="SYM118" s="15"/>
      <c r="SYN118" s="14"/>
      <c r="SYO118" s="15"/>
      <c r="SYP118" s="15"/>
      <c r="SYQ118" s="15"/>
      <c r="SYR118" s="15"/>
      <c r="SYS118" s="15"/>
      <c r="SYT118" s="15"/>
      <c r="SYU118" s="15"/>
      <c r="SYV118" s="15"/>
      <c r="SYW118" s="15"/>
      <c r="SYX118" s="15"/>
      <c r="SYY118" s="15"/>
      <c r="SYZ118" s="15"/>
      <c r="SZA118" s="15"/>
      <c r="SZB118" s="15"/>
      <c r="SZC118" s="15"/>
      <c r="SZD118" s="15"/>
      <c r="SZE118" s="15"/>
      <c r="SZF118" s="15"/>
      <c r="SZG118" s="15"/>
      <c r="SZH118" s="15"/>
      <c r="SZI118" s="15"/>
      <c r="SZJ118" s="14"/>
      <c r="SZK118" s="15"/>
      <c r="SZL118" s="15"/>
      <c r="SZM118" s="15"/>
      <c r="SZN118" s="15"/>
      <c r="SZO118" s="15"/>
      <c r="SZP118" s="15"/>
      <c r="SZQ118" s="15"/>
      <c r="SZR118" s="15"/>
      <c r="SZS118" s="15"/>
      <c r="SZT118" s="15"/>
      <c r="SZU118" s="15"/>
      <c r="SZV118" s="15"/>
      <c r="SZW118" s="15"/>
      <c r="SZX118" s="15"/>
      <c r="SZY118" s="15"/>
      <c r="SZZ118" s="15"/>
      <c r="TAA118" s="15"/>
      <c r="TAB118" s="15"/>
      <c r="TAC118" s="15"/>
      <c r="TAD118" s="15"/>
      <c r="TAE118" s="15"/>
      <c r="TAF118" s="14"/>
      <c r="TAG118" s="15"/>
      <c r="TAH118" s="15"/>
      <c r="TAI118" s="15"/>
      <c r="TAJ118" s="15"/>
      <c r="TAK118" s="15"/>
      <c r="TAL118" s="15"/>
      <c r="TAM118" s="15"/>
      <c r="TAN118" s="15"/>
      <c r="TAO118" s="15"/>
      <c r="TAP118" s="15"/>
      <c r="TAQ118" s="15"/>
      <c r="TAR118" s="15"/>
      <c r="TAS118" s="15"/>
      <c r="TAT118" s="15"/>
      <c r="TAU118" s="15"/>
      <c r="TAV118" s="15"/>
      <c r="TAW118" s="15"/>
      <c r="TAX118" s="15"/>
      <c r="TAY118" s="15"/>
      <c r="TAZ118" s="15"/>
      <c r="TBA118" s="15"/>
      <c r="TBB118" s="14"/>
      <c r="TBC118" s="15"/>
      <c r="TBD118" s="15"/>
      <c r="TBE118" s="15"/>
      <c r="TBF118" s="15"/>
      <c r="TBG118" s="15"/>
      <c r="TBH118" s="15"/>
      <c r="TBI118" s="15"/>
      <c r="TBJ118" s="15"/>
      <c r="TBK118" s="15"/>
      <c r="TBL118" s="15"/>
      <c r="TBM118" s="15"/>
      <c r="TBN118" s="15"/>
      <c r="TBO118" s="15"/>
      <c r="TBP118" s="15"/>
      <c r="TBQ118" s="15"/>
      <c r="TBR118" s="15"/>
      <c r="TBS118" s="15"/>
      <c r="TBT118" s="15"/>
      <c r="TBU118" s="15"/>
      <c r="TBV118" s="15"/>
      <c r="TBW118" s="15"/>
      <c r="TBX118" s="14"/>
      <c r="TBY118" s="15"/>
      <c r="TBZ118" s="15"/>
      <c r="TCA118" s="15"/>
      <c r="TCB118" s="15"/>
      <c r="TCC118" s="15"/>
      <c r="TCD118" s="15"/>
      <c r="TCE118" s="15"/>
      <c r="TCF118" s="15"/>
      <c r="TCG118" s="15"/>
      <c r="TCH118" s="15"/>
      <c r="TCI118" s="15"/>
      <c r="TCJ118" s="15"/>
      <c r="TCK118" s="15"/>
      <c r="TCL118" s="15"/>
      <c r="TCM118" s="15"/>
      <c r="TCN118" s="15"/>
      <c r="TCO118" s="15"/>
      <c r="TCP118" s="15"/>
      <c r="TCQ118" s="15"/>
      <c r="TCR118" s="15"/>
      <c r="TCS118" s="15"/>
      <c r="TCT118" s="14"/>
      <c r="TCU118" s="15"/>
      <c r="TCV118" s="15"/>
      <c r="TCW118" s="15"/>
      <c r="TCX118" s="15"/>
      <c r="TCY118" s="15"/>
      <c r="TCZ118" s="15"/>
      <c r="TDA118" s="15"/>
      <c r="TDB118" s="15"/>
      <c r="TDC118" s="15"/>
      <c r="TDD118" s="15"/>
      <c r="TDE118" s="15"/>
      <c r="TDF118" s="15"/>
      <c r="TDG118" s="15"/>
      <c r="TDH118" s="15"/>
      <c r="TDI118" s="15"/>
      <c r="TDJ118" s="15"/>
      <c r="TDK118" s="15"/>
      <c r="TDL118" s="15"/>
      <c r="TDM118" s="15"/>
      <c r="TDN118" s="15"/>
      <c r="TDO118" s="15"/>
      <c r="TDP118" s="14"/>
      <c r="TDQ118" s="15"/>
      <c r="TDR118" s="15"/>
      <c r="TDS118" s="15"/>
      <c r="TDT118" s="15"/>
      <c r="TDU118" s="15"/>
      <c r="TDV118" s="15"/>
      <c r="TDW118" s="15"/>
      <c r="TDX118" s="15"/>
      <c r="TDY118" s="15"/>
      <c r="TDZ118" s="15"/>
      <c r="TEA118" s="15"/>
      <c r="TEB118" s="15"/>
      <c r="TEC118" s="15"/>
      <c r="TED118" s="15"/>
      <c r="TEE118" s="15"/>
      <c r="TEF118" s="15"/>
      <c r="TEG118" s="15"/>
      <c r="TEH118" s="15"/>
      <c r="TEI118" s="15"/>
      <c r="TEJ118" s="15"/>
      <c r="TEK118" s="15"/>
      <c r="TEL118" s="14"/>
      <c r="TEM118" s="15"/>
      <c r="TEN118" s="15"/>
      <c r="TEO118" s="15"/>
      <c r="TEP118" s="15"/>
      <c r="TEQ118" s="15"/>
      <c r="TER118" s="15"/>
      <c r="TES118" s="15"/>
      <c r="TET118" s="15"/>
      <c r="TEU118" s="15"/>
      <c r="TEV118" s="15"/>
      <c r="TEW118" s="15"/>
      <c r="TEX118" s="15"/>
      <c r="TEY118" s="15"/>
      <c r="TEZ118" s="15"/>
      <c r="TFA118" s="15"/>
      <c r="TFB118" s="15"/>
      <c r="TFC118" s="15"/>
      <c r="TFD118" s="15"/>
      <c r="TFE118" s="15"/>
      <c r="TFF118" s="15"/>
      <c r="TFG118" s="15"/>
      <c r="TFH118" s="14"/>
      <c r="TFI118" s="15"/>
      <c r="TFJ118" s="15"/>
      <c r="TFK118" s="15"/>
      <c r="TFL118" s="15"/>
      <c r="TFM118" s="15"/>
      <c r="TFN118" s="15"/>
      <c r="TFO118" s="15"/>
      <c r="TFP118" s="15"/>
      <c r="TFQ118" s="15"/>
      <c r="TFR118" s="15"/>
      <c r="TFS118" s="15"/>
      <c r="TFT118" s="15"/>
      <c r="TFU118" s="15"/>
      <c r="TFV118" s="15"/>
      <c r="TFW118" s="15"/>
      <c r="TFX118" s="15"/>
      <c r="TFY118" s="15"/>
      <c r="TFZ118" s="15"/>
      <c r="TGA118" s="15"/>
      <c r="TGB118" s="15"/>
      <c r="TGC118" s="15"/>
      <c r="TGD118" s="14"/>
      <c r="TGE118" s="15"/>
      <c r="TGF118" s="15"/>
      <c r="TGG118" s="15"/>
      <c r="TGH118" s="15"/>
      <c r="TGI118" s="15"/>
      <c r="TGJ118" s="15"/>
      <c r="TGK118" s="15"/>
      <c r="TGL118" s="15"/>
      <c r="TGM118" s="15"/>
      <c r="TGN118" s="15"/>
      <c r="TGO118" s="15"/>
      <c r="TGP118" s="15"/>
      <c r="TGQ118" s="15"/>
      <c r="TGR118" s="15"/>
      <c r="TGS118" s="15"/>
      <c r="TGT118" s="15"/>
      <c r="TGU118" s="15"/>
      <c r="TGV118" s="15"/>
      <c r="TGW118" s="15"/>
      <c r="TGX118" s="15"/>
      <c r="TGY118" s="15"/>
      <c r="TGZ118" s="14"/>
      <c r="THA118" s="15"/>
      <c r="THB118" s="15"/>
      <c r="THC118" s="15"/>
      <c r="THD118" s="15"/>
      <c r="THE118" s="15"/>
      <c r="THF118" s="15"/>
      <c r="THG118" s="15"/>
      <c r="THH118" s="15"/>
      <c r="THI118" s="15"/>
      <c r="THJ118" s="15"/>
      <c r="THK118" s="15"/>
      <c r="THL118" s="15"/>
      <c r="THM118" s="15"/>
      <c r="THN118" s="15"/>
      <c r="THO118" s="15"/>
      <c r="THP118" s="15"/>
      <c r="THQ118" s="15"/>
      <c r="THR118" s="15"/>
      <c r="THS118" s="15"/>
      <c r="THT118" s="15"/>
      <c r="THU118" s="15"/>
      <c r="THV118" s="14"/>
      <c r="THW118" s="15"/>
      <c r="THX118" s="15"/>
      <c r="THY118" s="15"/>
      <c r="THZ118" s="15"/>
      <c r="TIA118" s="15"/>
      <c r="TIB118" s="15"/>
      <c r="TIC118" s="15"/>
      <c r="TID118" s="15"/>
      <c r="TIE118" s="15"/>
      <c r="TIF118" s="15"/>
      <c r="TIG118" s="15"/>
      <c r="TIH118" s="15"/>
      <c r="TII118" s="15"/>
      <c r="TIJ118" s="15"/>
      <c r="TIK118" s="15"/>
      <c r="TIL118" s="15"/>
      <c r="TIM118" s="15"/>
      <c r="TIN118" s="15"/>
      <c r="TIO118" s="15"/>
      <c r="TIP118" s="15"/>
      <c r="TIQ118" s="15"/>
      <c r="TIR118" s="14"/>
      <c r="TIS118" s="15"/>
      <c r="TIT118" s="15"/>
      <c r="TIU118" s="15"/>
      <c r="TIV118" s="15"/>
      <c r="TIW118" s="15"/>
      <c r="TIX118" s="15"/>
      <c r="TIY118" s="15"/>
      <c r="TIZ118" s="15"/>
      <c r="TJA118" s="15"/>
      <c r="TJB118" s="15"/>
      <c r="TJC118" s="15"/>
      <c r="TJD118" s="15"/>
      <c r="TJE118" s="15"/>
      <c r="TJF118" s="15"/>
      <c r="TJG118" s="15"/>
      <c r="TJH118" s="15"/>
      <c r="TJI118" s="15"/>
      <c r="TJJ118" s="15"/>
      <c r="TJK118" s="15"/>
      <c r="TJL118" s="15"/>
      <c r="TJM118" s="15"/>
      <c r="TJN118" s="14"/>
      <c r="TJO118" s="15"/>
      <c r="TJP118" s="15"/>
      <c r="TJQ118" s="15"/>
      <c r="TJR118" s="15"/>
      <c r="TJS118" s="15"/>
      <c r="TJT118" s="15"/>
      <c r="TJU118" s="15"/>
      <c r="TJV118" s="15"/>
      <c r="TJW118" s="15"/>
      <c r="TJX118" s="15"/>
      <c r="TJY118" s="15"/>
      <c r="TJZ118" s="15"/>
      <c r="TKA118" s="15"/>
      <c r="TKB118" s="15"/>
      <c r="TKC118" s="15"/>
      <c r="TKD118" s="15"/>
      <c r="TKE118" s="15"/>
      <c r="TKF118" s="15"/>
      <c r="TKG118" s="15"/>
      <c r="TKH118" s="15"/>
      <c r="TKI118" s="15"/>
      <c r="TKJ118" s="14"/>
      <c r="TKK118" s="15"/>
      <c r="TKL118" s="15"/>
      <c r="TKM118" s="15"/>
      <c r="TKN118" s="15"/>
      <c r="TKO118" s="15"/>
      <c r="TKP118" s="15"/>
      <c r="TKQ118" s="15"/>
      <c r="TKR118" s="15"/>
      <c r="TKS118" s="15"/>
      <c r="TKT118" s="15"/>
      <c r="TKU118" s="15"/>
      <c r="TKV118" s="15"/>
      <c r="TKW118" s="15"/>
      <c r="TKX118" s="15"/>
      <c r="TKY118" s="15"/>
      <c r="TKZ118" s="15"/>
      <c r="TLA118" s="15"/>
      <c r="TLB118" s="15"/>
      <c r="TLC118" s="15"/>
      <c r="TLD118" s="15"/>
      <c r="TLE118" s="15"/>
      <c r="TLF118" s="14"/>
      <c r="TLG118" s="15"/>
      <c r="TLH118" s="15"/>
      <c r="TLI118" s="15"/>
      <c r="TLJ118" s="15"/>
      <c r="TLK118" s="15"/>
      <c r="TLL118" s="15"/>
      <c r="TLM118" s="15"/>
      <c r="TLN118" s="15"/>
      <c r="TLO118" s="15"/>
      <c r="TLP118" s="15"/>
      <c r="TLQ118" s="15"/>
      <c r="TLR118" s="15"/>
      <c r="TLS118" s="15"/>
      <c r="TLT118" s="15"/>
      <c r="TLU118" s="15"/>
      <c r="TLV118" s="15"/>
      <c r="TLW118" s="15"/>
      <c r="TLX118" s="15"/>
      <c r="TLY118" s="15"/>
      <c r="TLZ118" s="15"/>
      <c r="TMA118" s="15"/>
      <c r="TMB118" s="14"/>
      <c r="TMC118" s="15"/>
      <c r="TMD118" s="15"/>
      <c r="TME118" s="15"/>
      <c r="TMF118" s="15"/>
      <c r="TMG118" s="15"/>
      <c r="TMH118" s="15"/>
      <c r="TMI118" s="15"/>
      <c r="TMJ118" s="15"/>
      <c r="TMK118" s="15"/>
      <c r="TML118" s="15"/>
      <c r="TMM118" s="15"/>
      <c r="TMN118" s="15"/>
      <c r="TMO118" s="15"/>
      <c r="TMP118" s="15"/>
      <c r="TMQ118" s="15"/>
      <c r="TMR118" s="15"/>
      <c r="TMS118" s="15"/>
      <c r="TMT118" s="15"/>
      <c r="TMU118" s="15"/>
      <c r="TMV118" s="15"/>
      <c r="TMW118" s="15"/>
      <c r="TMX118" s="14"/>
      <c r="TMY118" s="15"/>
      <c r="TMZ118" s="15"/>
      <c r="TNA118" s="15"/>
      <c r="TNB118" s="15"/>
      <c r="TNC118" s="15"/>
      <c r="TND118" s="15"/>
      <c r="TNE118" s="15"/>
      <c r="TNF118" s="15"/>
      <c r="TNG118" s="15"/>
      <c r="TNH118" s="15"/>
      <c r="TNI118" s="15"/>
      <c r="TNJ118" s="15"/>
      <c r="TNK118" s="15"/>
      <c r="TNL118" s="15"/>
      <c r="TNM118" s="15"/>
      <c r="TNN118" s="15"/>
      <c r="TNO118" s="15"/>
      <c r="TNP118" s="15"/>
      <c r="TNQ118" s="15"/>
      <c r="TNR118" s="15"/>
      <c r="TNS118" s="15"/>
      <c r="TNT118" s="14"/>
      <c r="TNU118" s="15"/>
      <c r="TNV118" s="15"/>
      <c r="TNW118" s="15"/>
      <c r="TNX118" s="15"/>
      <c r="TNY118" s="15"/>
      <c r="TNZ118" s="15"/>
      <c r="TOA118" s="15"/>
      <c r="TOB118" s="15"/>
      <c r="TOC118" s="15"/>
      <c r="TOD118" s="15"/>
      <c r="TOE118" s="15"/>
      <c r="TOF118" s="15"/>
      <c r="TOG118" s="15"/>
      <c r="TOH118" s="15"/>
      <c r="TOI118" s="15"/>
      <c r="TOJ118" s="15"/>
      <c r="TOK118" s="15"/>
      <c r="TOL118" s="15"/>
      <c r="TOM118" s="15"/>
      <c r="TON118" s="15"/>
      <c r="TOO118" s="15"/>
      <c r="TOP118" s="14"/>
      <c r="TOQ118" s="15"/>
      <c r="TOR118" s="15"/>
      <c r="TOS118" s="15"/>
      <c r="TOT118" s="15"/>
      <c r="TOU118" s="15"/>
      <c r="TOV118" s="15"/>
      <c r="TOW118" s="15"/>
      <c r="TOX118" s="15"/>
      <c r="TOY118" s="15"/>
      <c r="TOZ118" s="15"/>
      <c r="TPA118" s="15"/>
      <c r="TPB118" s="15"/>
      <c r="TPC118" s="15"/>
      <c r="TPD118" s="15"/>
      <c r="TPE118" s="15"/>
      <c r="TPF118" s="15"/>
      <c r="TPG118" s="15"/>
      <c r="TPH118" s="15"/>
      <c r="TPI118" s="15"/>
      <c r="TPJ118" s="15"/>
      <c r="TPK118" s="15"/>
      <c r="TPL118" s="14"/>
      <c r="TPM118" s="15"/>
      <c r="TPN118" s="15"/>
      <c r="TPO118" s="15"/>
      <c r="TPP118" s="15"/>
      <c r="TPQ118" s="15"/>
      <c r="TPR118" s="15"/>
      <c r="TPS118" s="15"/>
      <c r="TPT118" s="15"/>
      <c r="TPU118" s="15"/>
      <c r="TPV118" s="15"/>
      <c r="TPW118" s="15"/>
      <c r="TPX118" s="15"/>
      <c r="TPY118" s="15"/>
      <c r="TPZ118" s="15"/>
      <c r="TQA118" s="15"/>
      <c r="TQB118" s="15"/>
      <c r="TQC118" s="15"/>
      <c r="TQD118" s="15"/>
      <c r="TQE118" s="15"/>
      <c r="TQF118" s="15"/>
      <c r="TQG118" s="15"/>
      <c r="TQH118" s="14"/>
      <c r="TQI118" s="15"/>
      <c r="TQJ118" s="15"/>
      <c r="TQK118" s="15"/>
      <c r="TQL118" s="15"/>
      <c r="TQM118" s="15"/>
      <c r="TQN118" s="15"/>
      <c r="TQO118" s="15"/>
      <c r="TQP118" s="15"/>
      <c r="TQQ118" s="15"/>
      <c r="TQR118" s="15"/>
      <c r="TQS118" s="15"/>
      <c r="TQT118" s="15"/>
      <c r="TQU118" s="15"/>
      <c r="TQV118" s="15"/>
      <c r="TQW118" s="15"/>
      <c r="TQX118" s="15"/>
      <c r="TQY118" s="15"/>
      <c r="TQZ118" s="15"/>
      <c r="TRA118" s="15"/>
      <c r="TRB118" s="15"/>
      <c r="TRC118" s="15"/>
      <c r="TRD118" s="14"/>
      <c r="TRE118" s="15"/>
      <c r="TRF118" s="15"/>
      <c r="TRG118" s="15"/>
      <c r="TRH118" s="15"/>
      <c r="TRI118" s="15"/>
      <c r="TRJ118" s="15"/>
      <c r="TRK118" s="15"/>
      <c r="TRL118" s="15"/>
      <c r="TRM118" s="15"/>
      <c r="TRN118" s="15"/>
      <c r="TRO118" s="15"/>
      <c r="TRP118" s="15"/>
      <c r="TRQ118" s="15"/>
      <c r="TRR118" s="15"/>
      <c r="TRS118" s="15"/>
      <c r="TRT118" s="15"/>
      <c r="TRU118" s="15"/>
      <c r="TRV118" s="15"/>
      <c r="TRW118" s="15"/>
      <c r="TRX118" s="15"/>
      <c r="TRY118" s="15"/>
      <c r="TRZ118" s="14"/>
      <c r="TSA118" s="15"/>
      <c r="TSB118" s="15"/>
      <c r="TSC118" s="15"/>
      <c r="TSD118" s="15"/>
      <c r="TSE118" s="15"/>
      <c r="TSF118" s="15"/>
      <c r="TSG118" s="15"/>
      <c r="TSH118" s="15"/>
      <c r="TSI118" s="15"/>
      <c r="TSJ118" s="15"/>
      <c r="TSK118" s="15"/>
      <c r="TSL118" s="15"/>
      <c r="TSM118" s="15"/>
      <c r="TSN118" s="15"/>
      <c r="TSO118" s="15"/>
      <c r="TSP118" s="15"/>
      <c r="TSQ118" s="15"/>
      <c r="TSR118" s="15"/>
      <c r="TSS118" s="15"/>
      <c r="TST118" s="15"/>
      <c r="TSU118" s="15"/>
      <c r="TSV118" s="14"/>
      <c r="TSW118" s="15"/>
      <c r="TSX118" s="15"/>
      <c r="TSY118" s="15"/>
      <c r="TSZ118" s="15"/>
      <c r="TTA118" s="15"/>
      <c r="TTB118" s="15"/>
      <c r="TTC118" s="15"/>
      <c r="TTD118" s="15"/>
      <c r="TTE118" s="15"/>
      <c r="TTF118" s="15"/>
      <c r="TTG118" s="15"/>
      <c r="TTH118" s="15"/>
      <c r="TTI118" s="15"/>
      <c r="TTJ118" s="15"/>
      <c r="TTK118" s="15"/>
      <c r="TTL118" s="15"/>
      <c r="TTM118" s="15"/>
      <c r="TTN118" s="15"/>
      <c r="TTO118" s="15"/>
      <c r="TTP118" s="15"/>
      <c r="TTQ118" s="15"/>
      <c r="TTR118" s="14"/>
      <c r="TTS118" s="15"/>
      <c r="TTT118" s="15"/>
      <c r="TTU118" s="15"/>
      <c r="TTV118" s="15"/>
      <c r="TTW118" s="15"/>
      <c r="TTX118" s="15"/>
      <c r="TTY118" s="15"/>
      <c r="TTZ118" s="15"/>
      <c r="TUA118" s="15"/>
      <c r="TUB118" s="15"/>
      <c r="TUC118" s="15"/>
      <c r="TUD118" s="15"/>
      <c r="TUE118" s="15"/>
      <c r="TUF118" s="15"/>
      <c r="TUG118" s="15"/>
      <c r="TUH118" s="15"/>
      <c r="TUI118" s="15"/>
      <c r="TUJ118" s="15"/>
      <c r="TUK118" s="15"/>
      <c r="TUL118" s="15"/>
      <c r="TUM118" s="15"/>
      <c r="TUN118" s="14"/>
      <c r="TUO118" s="15"/>
      <c r="TUP118" s="15"/>
      <c r="TUQ118" s="15"/>
      <c r="TUR118" s="15"/>
      <c r="TUS118" s="15"/>
      <c r="TUT118" s="15"/>
      <c r="TUU118" s="15"/>
      <c r="TUV118" s="15"/>
      <c r="TUW118" s="15"/>
      <c r="TUX118" s="15"/>
      <c r="TUY118" s="15"/>
      <c r="TUZ118" s="15"/>
      <c r="TVA118" s="15"/>
      <c r="TVB118" s="15"/>
      <c r="TVC118" s="15"/>
      <c r="TVD118" s="15"/>
      <c r="TVE118" s="15"/>
      <c r="TVF118" s="15"/>
      <c r="TVG118" s="15"/>
      <c r="TVH118" s="15"/>
      <c r="TVI118" s="15"/>
      <c r="TVJ118" s="14"/>
      <c r="TVK118" s="15"/>
      <c r="TVL118" s="15"/>
      <c r="TVM118" s="15"/>
      <c r="TVN118" s="15"/>
      <c r="TVO118" s="15"/>
      <c r="TVP118" s="15"/>
      <c r="TVQ118" s="15"/>
      <c r="TVR118" s="15"/>
      <c r="TVS118" s="15"/>
      <c r="TVT118" s="15"/>
      <c r="TVU118" s="15"/>
      <c r="TVV118" s="15"/>
      <c r="TVW118" s="15"/>
      <c r="TVX118" s="15"/>
      <c r="TVY118" s="15"/>
      <c r="TVZ118" s="15"/>
      <c r="TWA118" s="15"/>
      <c r="TWB118" s="15"/>
      <c r="TWC118" s="15"/>
      <c r="TWD118" s="15"/>
      <c r="TWE118" s="15"/>
      <c r="TWF118" s="14"/>
      <c r="TWG118" s="15"/>
      <c r="TWH118" s="15"/>
      <c r="TWI118" s="15"/>
      <c r="TWJ118" s="15"/>
      <c r="TWK118" s="15"/>
      <c r="TWL118" s="15"/>
      <c r="TWM118" s="15"/>
      <c r="TWN118" s="15"/>
      <c r="TWO118" s="15"/>
      <c r="TWP118" s="15"/>
      <c r="TWQ118" s="15"/>
      <c r="TWR118" s="15"/>
      <c r="TWS118" s="15"/>
      <c r="TWT118" s="15"/>
      <c r="TWU118" s="15"/>
      <c r="TWV118" s="15"/>
      <c r="TWW118" s="15"/>
      <c r="TWX118" s="15"/>
      <c r="TWY118" s="15"/>
      <c r="TWZ118" s="15"/>
      <c r="TXA118" s="15"/>
      <c r="TXB118" s="14"/>
      <c r="TXC118" s="15"/>
      <c r="TXD118" s="15"/>
      <c r="TXE118" s="15"/>
      <c r="TXF118" s="15"/>
      <c r="TXG118" s="15"/>
      <c r="TXH118" s="15"/>
      <c r="TXI118" s="15"/>
      <c r="TXJ118" s="15"/>
      <c r="TXK118" s="15"/>
      <c r="TXL118" s="15"/>
      <c r="TXM118" s="15"/>
      <c r="TXN118" s="15"/>
      <c r="TXO118" s="15"/>
      <c r="TXP118" s="15"/>
      <c r="TXQ118" s="15"/>
      <c r="TXR118" s="15"/>
      <c r="TXS118" s="15"/>
      <c r="TXT118" s="15"/>
      <c r="TXU118" s="15"/>
      <c r="TXV118" s="15"/>
      <c r="TXW118" s="15"/>
      <c r="TXX118" s="14"/>
      <c r="TXY118" s="15"/>
      <c r="TXZ118" s="15"/>
      <c r="TYA118" s="15"/>
      <c r="TYB118" s="15"/>
      <c r="TYC118" s="15"/>
      <c r="TYD118" s="15"/>
      <c r="TYE118" s="15"/>
      <c r="TYF118" s="15"/>
      <c r="TYG118" s="15"/>
      <c r="TYH118" s="15"/>
      <c r="TYI118" s="15"/>
      <c r="TYJ118" s="15"/>
      <c r="TYK118" s="15"/>
      <c r="TYL118" s="15"/>
      <c r="TYM118" s="15"/>
      <c r="TYN118" s="15"/>
      <c r="TYO118" s="15"/>
      <c r="TYP118" s="15"/>
      <c r="TYQ118" s="15"/>
      <c r="TYR118" s="15"/>
      <c r="TYS118" s="15"/>
      <c r="TYT118" s="14"/>
      <c r="TYU118" s="15"/>
      <c r="TYV118" s="15"/>
      <c r="TYW118" s="15"/>
      <c r="TYX118" s="15"/>
      <c r="TYY118" s="15"/>
      <c r="TYZ118" s="15"/>
      <c r="TZA118" s="15"/>
      <c r="TZB118" s="15"/>
      <c r="TZC118" s="15"/>
      <c r="TZD118" s="15"/>
      <c r="TZE118" s="15"/>
      <c r="TZF118" s="15"/>
      <c r="TZG118" s="15"/>
      <c r="TZH118" s="15"/>
      <c r="TZI118" s="15"/>
      <c r="TZJ118" s="15"/>
      <c r="TZK118" s="15"/>
      <c r="TZL118" s="15"/>
      <c r="TZM118" s="15"/>
      <c r="TZN118" s="15"/>
      <c r="TZO118" s="15"/>
      <c r="TZP118" s="14"/>
      <c r="TZQ118" s="15"/>
      <c r="TZR118" s="15"/>
      <c r="TZS118" s="15"/>
      <c r="TZT118" s="15"/>
      <c r="TZU118" s="15"/>
      <c r="TZV118" s="15"/>
      <c r="TZW118" s="15"/>
      <c r="TZX118" s="15"/>
      <c r="TZY118" s="15"/>
      <c r="TZZ118" s="15"/>
      <c r="UAA118" s="15"/>
      <c r="UAB118" s="15"/>
      <c r="UAC118" s="15"/>
      <c r="UAD118" s="15"/>
      <c r="UAE118" s="15"/>
      <c r="UAF118" s="15"/>
      <c r="UAG118" s="15"/>
      <c r="UAH118" s="15"/>
      <c r="UAI118" s="15"/>
      <c r="UAJ118" s="15"/>
      <c r="UAK118" s="15"/>
      <c r="UAL118" s="14"/>
      <c r="UAM118" s="15"/>
      <c r="UAN118" s="15"/>
      <c r="UAO118" s="15"/>
      <c r="UAP118" s="15"/>
      <c r="UAQ118" s="15"/>
      <c r="UAR118" s="15"/>
      <c r="UAS118" s="15"/>
      <c r="UAT118" s="15"/>
      <c r="UAU118" s="15"/>
      <c r="UAV118" s="15"/>
      <c r="UAW118" s="15"/>
      <c r="UAX118" s="15"/>
      <c r="UAY118" s="15"/>
      <c r="UAZ118" s="15"/>
      <c r="UBA118" s="15"/>
      <c r="UBB118" s="15"/>
      <c r="UBC118" s="15"/>
      <c r="UBD118" s="15"/>
      <c r="UBE118" s="15"/>
      <c r="UBF118" s="15"/>
      <c r="UBG118" s="15"/>
      <c r="UBH118" s="14"/>
      <c r="UBI118" s="15"/>
      <c r="UBJ118" s="15"/>
      <c r="UBK118" s="15"/>
      <c r="UBL118" s="15"/>
      <c r="UBM118" s="15"/>
      <c r="UBN118" s="15"/>
      <c r="UBO118" s="15"/>
      <c r="UBP118" s="15"/>
      <c r="UBQ118" s="15"/>
      <c r="UBR118" s="15"/>
      <c r="UBS118" s="15"/>
      <c r="UBT118" s="15"/>
      <c r="UBU118" s="15"/>
      <c r="UBV118" s="15"/>
      <c r="UBW118" s="15"/>
      <c r="UBX118" s="15"/>
      <c r="UBY118" s="15"/>
      <c r="UBZ118" s="15"/>
      <c r="UCA118" s="15"/>
      <c r="UCB118" s="15"/>
      <c r="UCC118" s="15"/>
      <c r="UCD118" s="14"/>
      <c r="UCE118" s="15"/>
      <c r="UCF118" s="15"/>
      <c r="UCG118" s="15"/>
      <c r="UCH118" s="15"/>
      <c r="UCI118" s="15"/>
      <c r="UCJ118" s="15"/>
      <c r="UCK118" s="15"/>
      <c r="UCL118" s="15"/>
      <c r="UCM118" s="15"/>
      <c r="UCN118" s="15"/>
      <c r="UCO118" s="15"/>
      <c r="UCP118" s="15"/>
      <c r="UCQ118" s="15"/>
      <c r="UCR118" s="15"/>
      <c r="UCS118" s="15"/>
      <c r="UCT118" s="15"/>
      <c r="UCU118" s="15"/>
      <c r="UCV118" s="15"/>
      <c r="UCW118" s="15"/>
      <c r="UCX118" s="15"/>
      <c r="UCY118" s="15"/>
      <c r="UCZ118" s="14"/>
      <c r="UDA118" s="15"/>
      <c r="UDB118" s="15"/>
      <c r="UDC118" s="15"/>
      <c r="UDD118" s="15"/>
      <c r="UDE118" s="15"/>
      <c r="UDF118" s="15"/>
      <c r="UDG118" s="15"/>
      <c r="UDH118" s="15"/>
      <c r="UDI118" s="15"/>
      <c r="UDJ118" s="15"/>
      <c r="UDK118" s="15"/>
      <c r="UDL118" s="15"/>
      <c r="UDM118" s="15"/>
      <c r="UDN118" s="15"/>
      <c r="UDO118" s="15"/>
      <c r="UDP118" s="15"/>
      <c r="UDQ118" s="15"/>
      <c r="UDR118" s="15"/>
      <c r="UDS118" s="15"/>
      <c r="UDT118" s="15"/>
      <c r="UDU118" s="15"/>
      <c r="UDV118" s="14"/>
      <c r="UDW118" s="15"/>
      <c r="UDX118" s="15"/>
      <c r="UDY118" s="15"/>
      <c r="UDZ118" s="15"/>
      <c r="UEA118" s="15"/>
      <c r="UEB118" s="15"/>
      <c r="UEC118" s="15"/>
      <c r="UED118" s="15"/>
      <c r="UEE118" s="15"/>
      <c r="UEF118" s="15"/>
      <c r="UEG118" s="15"/>
      <c r="UEH118" s="15"/>
      <c r="UEI118" s="15"/>
      <c r="UEJ118" s="15"/>
      <c r="UEK118" s="15"/>
      <c r="UEL118" s="15"/>
      <c r="UEM118" s="15"/>
      <c r="UEN118" s="15"/>
      <c r="UEO118" s="15"/>
      <c r="UEP118" s="15"/>
      <c r="UEQ118" s="15"/>
      <c r="UER118" s="14"/>
      <c r="UES118" s="15"/>
      <c r="UET118" s="15"/>
      <c r="UEU118" s="15"/>
      <c r="UEV118" s="15"/>
      <c r="UEW118" s="15"/>
      <c r="UEX118" s="15"/>
      <c r="UEY118" s="15"/>
      <c r="UEZ118" s="15"/>
      <c r="UFA118" s="15"/>
      <c r="UFB118" s="15"/>
      <c r="UFC118" s="15"/>
      <c r="UFD118" s="15"/>
      <c r="UFE118" s="15"/>
      <c r="UFF118" s="15"/>
      <c r="UFG118" s="15"/>
      <c r="UFH118" s="15"/>
      <c r="UFI118" s="15"/>
      <c r="UFJ118" s="15"/>
      <c r="UFK118" s="15"/>
      <c r="UFL118" s="15"/>
      <c r="UFM118" s="15"/>
      <c r="UFN118" s="14"/>
      <c r="UFO118" s="15"/>
      <c r="UFP118" s="15"/>
      <c r="UFQ118" s="15"/>
      <c r="UFR118" s="15"/>
      <c r="UFS118" s="15"/>
      <c r="UFT118" s="15"/>
      <c r="UFU118" s="15"/>
      <c r="UFV118" s="15"/>
      <c r="UFW118" s="15"/>
      <c r="UFX118" s="15"/>
      <c r="UFY118" s="15"/>
      <c r="UFZ118" s="15"/>
      <c r="UGA118" s="15"/>
      <c r="UGB118" s="15"/>
      <c r="UGC118" s="15"/>
      <c r="UGD118" s="15"/>
      <c r="UGE118" s="15"/>
      <c r="UGF118" s="15"/>
      <c r="UGG118" s="15"/>
      <c r="UGH118" s="15"/>
      <c r="UGI118" s="15"/>
      <c r="UGJ118" s="14"/>
      <c r="UGK118" s="15"/>
      <c r="UGL118" s="15"/>
      <c r="UGM118" s="15"/>
      <c r="UGN118" s="15"/>
      <c r="UGO118" s="15"/>
      <c r="UGP118" s="15"/>
      <c r="UGQ118" s="15"/>
      <c r="UGR118" s="15"/>
      <c r="UGS118" s="15"/>
      <c r="UGT118" s="15"/>
      <c r="UGU118" s="15"/>
      <c r="UGV118" s="15"/>
      <c r="UGW118" s="15"/>
      <c r="UGX118" s="15"/>
      <c r="UGY118" s="15"/>
      <c r="UGZ118" s="15"/>
      <c r="UHA118" s="15"/>
      <c r="UHB118" s="15"/>
      <c r="UHC118" s="15"/>
      <c r="UHD118" s="15"/>
      <c r="UHE118" s="15"/>
      <c r="UHF118" s="14"/>
      <c r="UHG118" s="15"/>
      <c r="UHH118" s="15"/>
      <c r="UHI118" s="15"/>
      <c r="UHJ118" s="15"/>
      <c r="UHK118" s="15"/>
      <c r="UHL118" s="15"/>
      <c r="UHM118" s="15"/>
      <c r="UHN118" s="15"/>
      <c r="UHO118" s="15"/>
      <c r="UHP118" s="15"/>
      <c r="UHQ118" s="15"/>
      <c r="UHR118" s="15"/>
      <c r="UHS118" s="15"/>
      <c r="UHT118" s="15"/>
      <c r="UHU118" s="15"/>
      <c r="UHV118" s="15"/>
      <c r="UHW118" s="15"/>
      <c r="UHX118" s="15"/>
      <c r="UHY118" s="15"/>
      <c r="UHZ118" s="15"/>
      <c r="UIA118" s="15"/>
      <c r="UIB118" s="14"/>
      <c r="UIC118" s="15"/>
      <c r="UID118" s="15"/>
      <c r="UIE118" s="15"/>
      <c r="UIF118" s="15"/>
      <c r="UIG118" s="15"/>
      <c r="UIH118" s="15"/>
      <c r="UII118" s="15"/>
      <c r="UIJ118" s="15"/>
      <c r="UIK118" s="15"/>
      <c r="UIL118" s="15"/>
      <c r="UIM118" s="15"/>
      <c r="UIN118" s="15"/>
      <c r="UIO118" s="15"/>
      <c r="UIP118" s="15"/>
      <c r="UIQ118" s="15"/>
      <c r="UIR118" s="15"/>
      <c r="UIS118" s="15"/>
      <c r="UIT118" s="15"/>
      <c r="UIU118" s="15"/>
      <c r="UIV118" s="15"/>
      <c r="UIW118" s="15"/>
      <c r="UIX118" s="14"/>
      <c r="UIY118" s="15"/>
      <c r="UIZ118" s="15"/>
      <c r="UJA118" s="15"/>
      <c r="UJB118" s="15"/>
      <c r="UJC118" s="15"/>
      <c r="UJD118" s="15"/>
      <c r="UJE118" s="15"/>
      <c r="UJF118" s="15"/>
      <c r="UJG118" s="15"/>
      <c r="UJH118" s="15"/>
      <c r="UJI118" s="15"/>
      <c r="UJJ118" s="15"/>
      <c r="UJK118" s="15"/>
      <c r="UJL118" s="15"/>
      <c r="UJM118" s="15"/>
      <c r="UJN118" s="15"/>
      <c r="UJO118" s="15"/>
      <c r="UJP118" s="15"/>
      <c r="UJQ118" s="15"/>
      <c r="UJR118" s="15"/>
      <c r="UJS118" s="15"/>
      <c r="UJT118" s="14"/>
      <c r="UJU118" s="15"/>
      <c r="UJV118" s="15"/>
      <c r="UJW118" s="15"/>
      <c r="UJX118" s="15"/>
      <c r="UJY118" s="15"/>
      <c r="UJZ118" s="15"/>
      <c r="UKA118" s="15"/>
      <c r="UKB118" s="15"/>
      <c r="UKC118" s="15"/>
      <c r="UKD118" s="15"/>
      <c r="UKE118" s="15"/>
      <c r="UKF118" s="15"/>
      <c r="UKG118" s="15"/>
      <c r="UKH118" s="15"/>
      <c r="UKI118" s="15"/>
      <c r="UKJ118" s="15"/>
      <c r="UKK118" s="15"/>
      <c r="UKL118" s="15"/>
      <c r="UKM118" s="15"/>
      <c r="UKN118" s="15"/>
      <c r="UKO118" s="15"/>
      <c r="UKP118" s="14"/>
      <c r="UKQ118" s="15"/>
      <c r="UKR118" s="15"/>
      <c r="UKS118" s="15"/>
      <c r="UKT118" s="15"/>
      <c r="UKU118" s="15"/>
      <c r="UKV118" s="15"/>
      <c r="UKW118" s="15"/>
      <c r="UKX118" s="15"/>
      <c r="UKY118" s="15"/>
      <c r="UKZ118" s="15"/>
      <c r="ULA118" s="15"/>
      <c r="ULB118" s="15"/>
      <c r="ULC118" s="15"/>
      <c r="ULD118" s="15"/>
      <c r="ULE118" s="15"/>
      <c r="ULF118" s="15"/>
      <c r="ULG118" s="15"/>
      <c r="ULH118" s="15"/>
      <c r="ULI118" s="15"/>
      <c r="ULJ118" s="15"/>
      <c r="ULK118" s="15"/>
      <c r="ULL118" s="14"/>
      <c r="ULM118" s="15"/>
      <c r="ULN118" s="15"/>
      <c r="ULO118" s="15"/>
      <c r="ULP118" s="15"/>
      <c r="ULQ118" s="15"/>
      <c r="ULR118" s="15"/>
      <c r="ULS118" s="15"/>
      <c r="ULT118" s="15"/>
      <c r="ULU118" s="15"/>
      <c r="ULV118" s="15"/>
      <c r="ULW118" s="15"/>
      <c r="ULX118" s="15"/>
      <c r="ULY118" s="15"/>
      <c r="ULZ118" s="15"/>
      <c r="UMA118" s="15"/>
      <c r="UMB118" s="15"/>
      <c r="UMC118" s="15"/>
      <c r="UMD118" s="15"/>
      <c r="UME118" s="15"/>
      <c r="UMF118" s="15"/>
      <c r="UMG118" s="15"/>
      <c r="UMH118" s="14"/>
      <c r="UMI118" s="15"/>
      <c r="UMJ118" s="15"/>
      <c r="UMK118" s="15"/>
      <c r="UML118" s="15"/>
      <c r="UMM118" s="15"/>
      <c r="UMN118" s="15"/>
      <c r="UMO118" s="15"/>
      <c r="UMP118" s="15"/>
      <c r="UMQ118" s="15"/>
      <c r="UMR118" s="15"/>
      <c r="UMS118" s="15"/>
      <c r="UMT118" s="15"/>
      <c r="UMU118" s="15"/>
      <c r="UMV118" s="15"/>
      <c r="UMW118" s="15"/>
      <c r="UMX118" s="15"/>
      <c r="UMY118" s="15"/>
      <c r="UMZ118" s="15"/>
      <c r="UNA118" s="15"/>
      <c r="UNB118" s="15"/>
      <c r="UNC118" s="15"/>
      <c r="UND118" s="14"/>
      <c r="UNE118" s="15"/>
      <c r="UNF118" s="15"/>
      <c r="UNG118" s="15"/>
      <c r="UNH118" s="15"/>
      <c r="UNI118" s="15"/>
      <c r="UNJ118" s="15"/>
      <c r="UNK118" s="15"/>
      <c r="UNL118" s="15"/>
      <c r="UNM118" s="15"/>
      <c r="UNN118" s="15"/>
      <c r="UNO118" s="15"/>
      <c r="UNP118" s="15"/>
      <c r="UNQ118" s="15"/>
      <c r="UNR118" s="15"/>
      <c r="UNS118" s="15"/>
      <c r="UNT118" s="15"/>
      <c r="UNU118" s="15"/>
      <c r="UNV118" s="15"/>
      <c r="UNW118" s="15"/>
      <c r="UNX118" s="15"/>
      <c r="UNY118" s="15"/>
      <c r="UNZ118" s="14"/>
      <c r="UOA118" s="15"/>
      <c r="UOB118" s="15"/>
      <c r="UOC118" s="15"/>
      <c r="UOD118" s="15"/>
      <c r="UOE118" s="15"/>
      <c r="UOF118" s="15"/>
      <c r="UOG118" s="15"/>
      <c r="UOH118" s="15"/>
      <c r="UOI118" s="15"/>
      <c r="UOJ118" s="15"/>
      <c r="UOK118" s="15"/>
      <c r="UOL118" s="15"/>
      <c r="UOM118" s="15"/>
      <c r="UON118" s="15"/>
      <c r="UOO118" s="15"/>
      <c r="UOP118" s="15"/>
      <c r="UOQ118" s="15"/>
      <c r="UOR118" s="15"/>
      <c r="UOS118" s="15"/>
      <c r="UOT118" s="15"/>
      <c r="UOU118" s="15"/>
      <c r="UOV118" s="14"/>
      <c r="UOW118" s="15"/>
      <c r="UOX118" s="15"/>
      <c r="UOY118" s="15"/>
      <c r="UOZ118" s="15"/>
      <c r="UPA118" s="15"/>
      <c r="UPB118" s="15"/>
      <c r="UPC118" s="15"/>
      <c r="UPD118" s="15"/>
      <c r="UPE118" s="15"/>
      <c r="UPF118" s="15"/>
      <c r="UPG118" s="15"/>
      <c r="UPH118" s="15"/>
      <c r="UPI118" s="15"/>
      <c r="UPJ118" s="15"/>
      <c r="UPK118" s="15"/>
      <c r="UPL118" s="15"/>
      <c r="UPM118" s="15"/>
      <c r="UPN118" s="15"/>
      <c r="UPO118" s="15"/>
      <c r="UPP118" s="15"/>
      <c r="UPQ118" s="15"/>
      <c r="UPR118" s="14"/>
      <c r="UPS118" s="15"/>
      <c r="UPT118" s="15"/>
      <c r="UPU118" s="15"/>
      <c r="UPV118" s="15"/>
      <c r="UPW118" s="15"/>
      <c r="UPX118" s="15"/>
      <c r="UPY118" s="15"/>
      <c r="UPZ118" s="15"/>
      <c r="UQA118" s="15"/>
      <c r="UQB118" s="15"/>
      <c r="UQC118" s="15"/>
      <c r="UQD118" s="15"/>
      <c r="UQE118" s="15"/>
      <c r="UQF118" s="15"/>
      <c r="UQG118" s="15"/>
      <c r="UQH118" s="15"/>
      <c r="UQI118" s="15"/>
      <c r="UQJ118" s="15"/>
      <c r="UQK118" s="15"/>
      <c r="UQL118" s="15"/>
      <c r="UQM118" s="15"/>
      <c r="UQN118" s="14"/>
      <c r="UQO118" s="15"/>
      <c r="UQP118" s="15"/>
      <c r="UQQ118" s="15"/>
      <c r="UQR118" s="15"/>
      <c r="UQS118" s="15"/>
      <c r="UQT118" s="15"/>
      <c r="UQU118" s="15"/>
      <c r="UQV118" s="15"/>
      <c r="UQW118" s="15"/>
      <c r="UQX118" s="15"/>
      <c r="UQY118" s="15"/>
      <c r="UQZ118" s="15"/>
      <c r="URA118" s="15"/>
      <c r="URB118" s="15"/>
      <c r="URC118" s="15"/>
      <c r="URD118" s="15"/>
      <c r="URE118" s="15"/>
      <c r="URF118" s="15"/>
      <c r="URG118" s="15"/>
      <c r="URH118" s="15"/>
      <c r="URI118" s="15"/>
      <c r="URJ118" s="14"/>
      <c r="URK118" s="15"/>
      <c r="URL118" s="15"/>
      <c r="URM118" s="15"/>
      <c r="URN118" s="15"/>
      <c r="URO118" s="15"/>
      <c r="URP118" s="15"/>
      <c r="URQ118" s="15"/>
      <c r="URR118" s="15"/>
      <c r="URS118" s="15"/>
      <c r="URT118" s="15"/>
      <c r="URU118" s="15"/>
      <c r="URV118" s="15"/>
      <c r="URW118" s="15"/>
      <c r="URX118" s="15"/>
      <c r="URY118" s="15"/>
      <c r="URZ118" s="15"/>
      <c r="USA118" s="15"/>
      <c r="USB118" s="15"/>
      <c r="USC118" s="15"/>
      <c r="USD118" s="15"/>
      <c r="USE118" s="15"/>
      <c r="USF118" s="14"/>
      <c r="USG118" s="15"/>
      <c r="USH118" s="15"/>
      <c r="USI118" s="15"/>
      <c r="USJ118" s="15"/>
      <c r="USK118" s="15"/>
      <c r="USL118" s="15"/>
      <c r="USM118" s="15"/>
      <c r="USN118" s="15"/>
      <c r="USO118" s="15"/>
      <c r="USP118" s="15"/>
      <c r="USQ118" s="15"/>
      <c r="USR118" s="15"/>
      <c r="USS118" s="15"/>
      <c r="UST118" s="15"/>
      <c r="USU118" s="15"/>
      <c r="USV118" s="15"/>
      <c r="USW118" s="15"/>
      <c r="USX118" s="15"/>
      <c r="USY118" s="15"/>
      <c r="USZ118" s="15"/>
      <c r="UTA118" s="15"/>
      <c r="UTB118" s="14"/>
      <c r="UTC118" s="15"/>
      <c r="UTD118" s="15"/>
      <c r="UTE118" s="15"/>
      <c r="UTF118" s="15"/>
      <c r="UTG118" s="15"/>
      <c r="UTH118" s="15"/>
      <c r="UTI118" s="15"/>
      <c r="UTJ118" s="15"/>
      <c r="UTK118" s="15"/>
      <c r="UTL118" s="15"/>
      <c r="UTM118" s="15"/>
      <c r="UTN118" s="15"/>
      <c r="UTO118" s="15"/>
      <c r="UTP118" s="15"/>
      <c r="UTQ118" s="15"/>
      <c r="UTR118" s="15"/>
      <c r="UTS118" s="15"/>
      <c r="UTT118" s="15"/>
      <c r="UTU118" s="15"/>
      <c r="UTV118" s="15"/>
      <c r="UTW118" s="15"/>
      <c r="UTX118" s="14"/>
      <c r="UTY118" s="15"/>
      <c r="UTZ118" s="15"/>
      <c r="UUA118" s="15"/>
      <c r="UUB118" s="15"/>
      <c r="UUC118" s="15"/>
      <c r="UUD118" s="15"/>
      <c r="UUE118" s="15"/>
      <c r="UUF118" s="15"/>
      <c r="UUG118" s="15"/>
      <c r="UUH118" s="15"/>
      <c r="UUI118" s="15"/>
      <c r="UUJ118" s="15"/>
      <c r="UUK118" s="15"/>
      <c r="UUL118" s="15"/>
      <c r="UUM118" s="15"/>
      <c r="UUN118" s="15"/>
      <c r="UUO118" s="15"/>
      <c r="UUP118" s="15"/>
      <c r="UUQ118" s="15"/>
      <c r="UUR118" s="15"/>
      <c r="UUS118" s="15"/>
      <c r="UUT118" s="14"/>
      <c r="UUU118" s="15"/>
      <c r="UUV118" s="15"/>
      <c r="UUW118" s="15"/>
      <c r="UUX118" s="15"/>
      <c r="UUY118" s="15"/>
      <c r="UUZ118" s="15"/>
      <c r="UVA118" s="15"/>
      <c r="UVB118" s="15"/>
      <c r="UVC118" s="15"/>
      <c r="UVD118" s="15"/>
      <c r="UVE118" s="15"/>
      <c r="UVF118" s="15"/>
      <c r="UVG118" s="15"/>
      <c r="UVH118" s="15"/>
      <c r="UVI118" s="15"/>
      <c r="UVJ118" s="15"/>
      <c r="UVK118" s="15"/>
      <c r="UVL118" s="15"/>
      <c r="UVM118" s="15"/>
      <c r="UVN118" s="15"/>
      <c r="UVO118" s="15"/>
      <c r="UVP118" s="14"/>
      <c r="UVQ118" s="15"/>
      <c r="UVR118" s="15"/>
      <c r="UVS118" s="15"/>
      <c r="UVT118" s="15"/>
      <c r="UVU118" s="15"/>
      <c r="UVV118" s="15"/>
      <c r="UVW118" s="15"/>
      <c r="UVX118" s="15"/>
      <c r="UVY118" s="15"/>
      <c r="UVZ118" s="15"/>
      <c r="UWA118" s="15"/>
      <c r="UWB118" s="15"/>
      <c r="UWC118" s="15"/>
      <c r="UWD118" s="15"/>
      <c r="UWE118" s="15"/>
      <c r="UWF118" s="15"/>
      <c r="UWG118" s="15"/>
      <c r="UWH118" s="15"/>
      <c r="UWI118" s="15"/>
      <c r="UWJ118" s="15"/>
      <c r="UWK118" s="15"/>
      <c r="UWL118" s="14"/>
      <c r="UWM118" s="15"/>
      <c r="UWN118" s="15"/>
      <c r="UWO118" s="15"/>
      <c r="UWP118" s="15"/>
      <c r="UWQ118" s="15"/>
      <c r="UWR118" s="15"/>
      <c r="UWS118" s="15"/>
      <c r="UWT118" s="15"/>
      <c r="UWU118" s="15"/>
      <c r="UWV118" s="15"/>
      <c r="UWW118" s="15"/>
      <c r="UWX118" s="15"/>
      <c r="UWY118" s="15"/>
      <c r="UWZ118" s="15"/>
      <c r="UXA118" s="15"/>
      <c r="UXB118" s="15"/>
      <c r="UXC118" s="15"/>
      <c r="UXD118" s="15"/>
      <c r="UXE118" s="15"/>
      <c r="UXF118" s="15"/>
      <c r="UXG118" s="15"/>
      <c r="UXH118" s="14"/>
      <c r="UXI118" s="15"/>
      <c r="UXJ118" s="15"/>
      <c r="UXK118" s="15"/>
      <c r="UXL118" s="15"/>
      <c r="UXM118" s="15"/>
      <c r="UXN118" s="15"/>
      <c r="UXO118" s="15"/>
      <c r="UXP118" s="15"/>
      <c r="UXQ118" s="15"/>
      <c r="UXR118" s="15"/>
      <c r="UXS118" s="15"/>
      <c r="UXT118" s="15"/>
      <c r="UXU118" s="15"/>
      <c r="UXV118" s="15"/>
      <c r="UXW118" s="15"/>
      <c r="UXX118" s="15"/>
      <c r="UXY118" s="15"/>
      <c r="UXZ118" s="15"/>
      <c r="UYA118" s="15"/>
      <c r="UYB118" s="15"/>
      <c r="UYC118" s="15"/>
      <c r="UYD118" s="14"/>
      <c r="UYE118" s="15"/>
      <c r="UYF118" s="15"/>
      <c r="UYG118" s="15"/>
      <c r="UYH118" s="15"/>
      <c r="UYI118" s="15"/>
      <c r="UYJ118" s="15"/>
      <c r="UYK118" s="15"/>
      <c r="UYL118" s="15"/>
      <c r="UYM118" s="15"/>
      <c r="UYN118" s="15"/>
      <c r="UYO118" s="15"/>
      <c r="UYP118" s="15"/>
      <c r="UYQ118" s="15"/>
      <c r="UYR118" s="15"/>
      <c r="UYS118" s="15"/>
      <c r="UYT118" s="15"/>
      <c r="UYU118" s="15"/>
      <c r="UYV118" s="15"/>
      <c r="UYW118" s="15"/>
      <c r="UYX118" s="15"/>
      <c r="UYY118" s="15"/>
      <c r="UYZ118" s="14"/>
      <c r="UZA118" s="15"/>
      <c r="UZB118" s="15"/>
      <c r="UZC118" s="15"/>
      <c r="UZD118" s="15"/>
      <c r="UZE118" s="15"/>
      <c r="UZF118" s="15"/>
      <c r="UZG118" s="15"/>
      <c r="UZH118" s="15"/>
      <c r="UZI118" s="15"/>
      <c r="UZJ118" s="15"/>
      <c r="UZK118" s="15"/>
      <c r="UZL118" s="15"/>
      <c r="UZM118" s="15"/>
      <c r="UZN118" s="15"/>
      <c r="UZO118" s="15"/>
      <c r="UZP118" s="15"/>
      <c r="UZQ118" s="15"/>
      <c r="UZR118" s="15"/>
      <c r="UZS118" s="15"/>
      <c r="UZT118" s="15"/>
      <c r="UZU118" s="15"/>
      <c r="UZV118" s="14"/>
      <c r="UZW118" s="15"/>
      <c r="UZX118" s="15"/>
      <c r="UZY118" s="15"/>
      <c r="UZZ118" s="15"/>
      <c r="VAA118" s="15"/>
      <c r="VAB118" s="15"/>
      <c r="VAC118" s="15"/>
      <c r="VAD118" s="15"/>
      <c r="VAE118" s="15"/>
      <c r="VAF118" s="15"/>
      <c r="VAG118" s="15"/>
      <c r="VAH118" s="15"/>
      <c r="VAI118" s="15"/>
      <c r="VAJ118" s="15"/>
      <c r="VAK118" s="15"/>
      <c r="VAL118" s="15"/>
      <c r="VAM118" s="15"/>
      <c r="VAN118" s="15"/>
      <c r="VAO118" s="15"/>
      <c r="VAP118" s="15"/>
      <c r="VAQ118" s="15"/>
      <c r="VAR118" s="14"/>
      <c r="VAS118" s="15"/>
      <c r="VAT118" s="15"/>
      <c r="VAU118" s="15"/>
      <c r="VAV118" s="15"/>
      <c r="VAW118" s="15"/>
      <c r="VAX118" s="15"/>
      <c r="VAY118" s="15"/>
      <c r="VAZ118" s="15"/>
      <c r="VBA118" s="15"/>
      <c r="VBB118" s="15"/>
      <c r="VBC118" s="15"/>
      <c r="VBD118" s="15"/>
      <c r="VBE118" s="15"/>
      <c r="VBF118" s="15"/>
      <c r="VBG118" s="15"/>
      <c r="VBH118" s="15"/>
      <c r="VBI118" s="15"/>
      <c r="VBJ118" s="15"/>
      <c r="VBK118" s="15"/>
      <c r="VBL118" s="15"/>
      <c r="VBM118" s="15"/>
      <c r="VBN118" s="14"/>
      <c r="VBO118" s="15"/>
      <c r="VBP118" s="15"/>
      <c r="VBQ118" s="15"/>
      <c r="VBR118" s="15"/>
      <c r="VBS118" s="15"/>
      <c r="VBT118" s="15"/>
      <c r="VBU118" s="15"/>
      <c r="VBV118" s="15"/>
      <c r="VBW118" s="15"/>
      <c r="VBX118" s="15"/>
      <c r="VBY118" s="15"/>
      <c r="VBZ118" s="15"/>
      <c r="VCA118" s="15"/>
      <c r="VCB118" s="15"/>
      <c r="VCC118" s="15"/>
      <c r="VCD118" s="15"/>
      <c r="VCE118" s="15"/>
      <c r="VCF118" s="15"/>
      <c r="VCG118" s="15"/>
      <c r="VCH118" s="15"/>
      <c r="VCI118" s="15"/>
      <c r="VCJ118" s="14"/>
      <c r="VCK118" s="15"/>
      <c r="VCL118" s="15"/>
      <c r="VCM118" s="15"/>
      <c r="VCN118" s="15"/>
      <c r="VCO118" s="15"/>
      <c r="VCP118" s="15"/>
      <c r="VCQ118" s="15"/>
      <c r="VCR118" s="15"/>
      <c r="VCS118" s="15"/>
      <c r="VCT118" s="15"/>
      <c r="VCU118" s="15"/>
      <c r="VCV118" s="15"/>
      <c r="VCW118" s="15"/>
      <c r="VCX118" s="15"/>
      <c r="VCY118" s="15"/>
      <c r="VCZ118" s="15"/>
      <c r="VDA118" s="15"/>
      <c r="VDB118" s="15"/>
      <c r="VDC118" s="15"/>
      <c r="VDD118" s="15"/>
      <c r="VDE118" s="15"/>
      <c r="VDF118" s="14"/>
      <c r="VDG118" s="15"/>
      <c r="VDH118" s="15"/>
      <c r="VDI118" s="15"/>
      <c r="VDJ118" s="15"/>
      <c r="VDK118" s="15"/>
      <c r="VDL118" s="15"/>
      <c r="VDM118" s="15"/>
      <c r="VDN118" s="15"/>
      <c r="VDO118" s="15"/>
      <c r="VDP118" s="15"/>
      <c r="VDQ118" s="15"/>
      <c r="VDR118" s="15"/>
      <c r="VDS118" s="15"/>
      <c r="VDT118" s="15"/>
      <c r="VDU118" s="15"/>
      <c r="VDV118" s="15"/>
      <c r="VDW118" s="15"/>
      <c r="VDX118" s="15"/>
      <c r="VDY118" s="15"/>
      <c r="VDZ118" s="15"/>
      <c r="VEA118" s="15"/>
      <c r="VEB118" s="14"/>
      <c r="VEC118" s="15"/>
      <c r="VED118" s="15"/>
      <c r="VEE118" s="15"/>
      <c r="VEF118" s="15"/>
      <c r="VEG118" s="15"/>
      <c r="VEH118" s="15"/>
      <c r="VEI118" s="15"/>
      <c r="VEJ118" s="15"/>
      <c r="VEK118" s="15"/>
      <c r="VEL118" s="15"/>
      <c r="VEM118" s="15"/>
      <c r="VEN118" s="15"/>
      <c r="VEO118" s="15"/>
      <c r="VEP118" s="15"/>
      <c r="VEQ118" s="15"/>
      <c r="VER118" s="15"/>
      <c r="VES118" s="15"/>
      <c r="VET118" s="15"/>
      <c r="VEU118" s="15"/>
      <c r="VEV118" s="15"/>
      <c r="VEW118" s="15"/>
      <c r="VEX118" s="14"/>
      <c r="VEY118" s="15"/>
      <c r="VEZ118" s="15"/>
      <c r="VFA118" s="15"/>
      <c r="VFB118" s="15"/>
      <c r="VFC118" s="15"/>
      <c r="VFD118" s="15"/>
      <c r="VFE118" s="15"/>
      <c r="VFF118" s="15"/>
      <c r="VFG118" s="15"/>
      <c r="VFH118" s="15"/>
      <c r="VFI118" s="15"/>
      <c r="VFJ118" s="15"/>
      <c r="VFK118" s="15"/>
      <c r="VFL118" s="15"/>
      <c r="VFM118" s="15"/>
      <c r="VFN118" s="15"/>
      <c r="VFO118" s="15"/>
      <c r="VFP118" s="15"/>
      <c r="VFQ118" s="15"/>
      <c r="VFR118" s="15"/>
      <c r="VFS118" s="15"/>
      <c r="VFT118" s="14"/>
      <c r="VFU118" s="15"/>
      <c r="VFV118" s="15"/>
      <c r="VFW118" s="15"/>
      <c r="VFX118" s="15"/>
      <c r="VFY118" s="15"/>
      <c r="VFZ118" s="15"/>
      <c r="VGA118" s="15"/>
      <c r="VGB118" s="15"/>
      <c r="VGC118" s="15"/>
      <c r="VGD118" s="15"/>
      <c r="VGE118" s="15"/>
      <c r="VGF118" s="15"/>
      <c r="VGG118" s="15"/>
      <c r="VGH118" s="15"/>
      <c r="VGI118" s="15"/>
      <c r="VGJ118" s="15"/>
      <c r="VGK118" s="15"/>
      <c r="VGL118" s="15"/>
      <c r="VGM118" s="15"/>
      <c r="VGN118" s="15"/>
      <c r="VGO118" s="15"/>
      <c r="VGP118" s="14"/>
      <c r="VGQ118" s="15"/>
      <c r="VGR118" s="15"/>
      <c r="VGS118" s="15"/>
      <c r="VGT118" s="15"/>
      <c r="VGU118" s="15"/>
      <c r="VGV118" s="15"/>
      <c r="VGW118" s="15"/>
      <c r="VGX118" s="15"/>
      <c r="VGY118" s="15"/>
      <c r="VGZ118" s="15"/>
      <c r="VHA118" s="15"/>
      <c r="VHB118" s="15"/>
      <c r="VHC118" s="15"/>
      <c r="VHD118" s="15"/>
      <c r="VHE118" s="15"/>
      <c r="VHF118" s="15"/>
      <c r="VHG118" s="15"/>
      <c r="VHH118" s="15"/>
      <c r="VHI118" s="15"/>
      <c r="VHJ118" s="15"/>
      <c r="VHK118" s="15"/>
      <c r="VHL118" s="14"/>
      <c r="VHM118" s="15"/>
      <c r="VHN118" s="15"/>
      <c r="VHO118" s="15"/>
      <c r="VHP118" s="15"/>
      <c r="VHQ118" s="15"/>
      <c r="VHR118" s="15"/>
      <c r="VHS118" s="15"/>
      <c r="VHT118" s="15"/>
      <c r="VHU118" s="15"/>
      <c r="VHV118" s="15"/>
      <c r="VHW118" s="15"/>
      <c r="VHX118" s="15"/>
      <c r="VHY118" s="15"/>
      <c r="VHZ118" s="15"/>
      <c r="VIA118" s="15"/>
      <c r="VIB118" s="15"/>
      <c r="VIC118" s="15"/>
      <c r="VID118" s="15"/>
      <c r="VIE118" s="15"/>
      <c r="VIF118" s="15"/>
      <c r="VIG118" s="15"/>
      <c r="VIH118" s="14"/>
      <c r="VII118" s="15"/>
      <c r="VIJ118" s="15"/>
      <c r="VIK118" s="15"/>
      <c r="VIL118" s="15"/>
      <c r="VIM118" s="15"/>
      <c r="VIN118" s="15"/>
      <c r="VIO118" s="15"/>
      <c r="VIP118" s="15"/>
      <c r="VIQ118" s="15"/>
      <c r="VIR118" s="15"/>
      <c r="VIS118" s="15"/>
      <c r="VIT118" s="15"/>
      <c r="VIU118" s="15"/>
      <c r="VIV118" s="15"/>
      <c r="VIW118" s="15"/>
      <c r="VIX118" s="15"/>
      <c r="VIY118" s="15"/>
      <c r="VIZ118" s="15"/>
      <c r="VJA118" s="15"/>
      <c r="VJB118" s="15"/>
      <c r="VJC118" s="15"/>
      <c r="VJD118" s="14"/>
      <c r="VJE118" s="15"/>
      <c r="VJF118" s="15"/>
      <c r="VJG118" s="15"/>
      <c r="VJH118" s="15"/>
      <c r="VJI118" s="15"/>
      <c r="VJJ118" s="15"/>
      <c r="VJK118" s="15"/>
      <c r="VJL118" s="15"/>
      <c r="VJM118" s="15"/>
      <c r="VJN118" s="15"/>
      <c r="VJO118" s="15"/>
      <c r="VJP118" s="15"/>
      <c r="VJQ118" s="15"/>
      <c r="VJR118" s="15"/>
      <c r="VJS118" s="15"/>
      <c r="VJT118" s="15"/>
      <c r="VJU118" s="15"/>
      <c r="VJV118" s="15"/>
      <c r="VJW118" s="15"/>
      <c r="VJX118" s="15"/>
      <c r="VJY118" s="15"/>
      <c r="VJZ118" s="14"/>
      <c r="VKA118" s="15"/>
      <c r="VKB118" s="15"/>
      <c r="VKC118" s="15"/>
      <c r="VKD118" s="15"/>
      <c r="VKE118" s="15"/>
      <c r="VKF118" s="15"/>
      <c r="VKG118" s="15"/>
      <c r="VKH118" s="15"/>
      <c r="VKI118" s="15"/>
      <c r="VKJ118" s="15"/>
      <c r="VKK118" s="15"/>
      <c r="VKL118" s="15"/>
      <c r="VKM118" s="15"/>
      <c r="VKN118" s="15"/>
      <c r="VKO118" s="15"/>
      <c r="VKP118" s="15"/>
      <c r="VKQ118" s="15"/>
      <c r="VKR118" s="15"/>
      <c r="VKS118" s="15"/>
      <c r="VKT118" s="15"/>
      <c r="VKU118" s="15"/>
      <c r="VKV118" s="14"/>
      <c r="VKW118" s="15"/>
      <c r="VKX118" s="15"/>
      <c r="VKY118" s="15"/>
      <c r="VKZ118" s="15"/>
      <c r="VLA118" s="15"/>
      <c r="VLB118" s="15"/>
      <c r="VLC118" s="15"/>
      <c r="VLD118" s="15"/>
      <c r="VLE118" s="15"/>
      <c r="VLF118" s="15"/>
      <c r="VLG118" s="15"/>
      <c r="VLH118" s="15"/>
      <c r="VLI118" s="15"/>
      <c r="VLJ118" s="15"/>
      <c r="VLK118" s="15"/>
      <c r="VLL118" s="15"/>
      <c r="VLM118" s="15"/>
      <c r="VLN118" s="15"/>
      <c r="VLO118" s="15"/>
      <c r="VLP118" s="15"/>
      <c r="VLQ118" s="15"/>
      <c r="VLR118" s="14"/>
      <c r="VLS118" s="15"/>
      <c r="VLT118" s="15"/>
      <c r="VLU118" s="15"/>
      <c r="VLV118" s="15"/>
      <c r="VLW118" s="15"/>
      <c r="VLX118" s="15"/>
      <c r="VLY118" s="15"/>
      <c r="VLZ118" s="15"/>
      <c r="VMA118" s="15"/>
      <c r="VMB118" s="15"/>
      <c r="VMC118" s="15"/>
      <c r="VMD118" s="15"/>
      <c r="VME118" s="15"/>
      <c r="VMF118" s="15"/>
      <c r="VMG118" s="15"/>
      <c r="VMH118" s="15"/>
      <c r="VMI118" s="15"/>
      <c r="VMJ118" s="15"/>
      <c r="VMK118" s="15"/>
      <c r="VML118" s="15"/>
      <c r="VMM118" s="15"/>
      <c r="VMN118" s="14"/>
      <c r="VMO118" s="15"/>
      <c r="VMP118" s="15"/>
      <c r="VMQ118" s="15"/>
      <c r="VMR118" s="15"/>
      <c r="VMS118" s="15"/>
      <c r="VMT118" s="15"/>
      <c r="VMU118" s="15"/>
      <c r="VMV118" s="15"/>
      <c r="VMW118" s="15"/>
      <c r="VMX118" s="15"/>
      <c r="VMY118" s="15"/>
      <c r="VMZ118" s="15"/>
      <c r="VNA118" s="15"/>
      <c r="VNB118" s="15"/>
      <c r="VNC118" s="15"/>
      <c r="VND118" s="15"/>
      <c r="VNE118" s="15"/>
      <c r="VNF118" s="15"/>
      <c r="VNG118" s="15"/>
      <c r="VNH118" s="15"/>
      <c r="VNI118" s="15"/>
      <c r="VNJ118" s="14"/>
      <c r="VNK118" s="15"/>
      <c r="VNL118" s="15"/>
      <c r="VNM118" s="15"/>
      <c r="VNN118" s="15"/>
      <c r="VNO118" s="15"/>
      <c r="VNP118" s="15"/>
      <c r="VNQ118" s="15"/>
      <c r="VNR118" s="15"/>
      <c r="VNS118" s="15"/>
      <c r="VNT118" s="15"/>
      <c r="VNU118" s="15"/>
      <c r="VNV118" s="15"/>
      <c r="VNW118" s="15"/>
      <c r="VNX118" s="15"/>
      <c r="VNY118" s="15"/>
      <c r="VNZ118" s="15"/>
      <c r="VOA118" s="15"/>
      <c r="VOB118" s="15"/>
      <c r="VOC118" s="15"/>
      <c r="VOD118" s="15"/>
      <c r="VOE118" s="15"/>
      <c r="VOF118" s="14"/>
      <c r="VOG118" s="15"/>
      <c r="VOH118" s="15"/>
      <c r="VOI118" s="15"/>
      <c r="VOJ118" s="15"/>
      <c r="VOK118" s="15"/>
      <c r="VOL118" s="15"/>
      <c r="VOM118" s="15"/>
      <c r="VON118" s="15"/>
      <c r="VOO118" s="15"/>
      <c r="VOP118" s="15"/>
      <c r="VOQ118" s="15"/>
      <c r="VOR118" s="15"/>
      <c r="VOS118" s="15"/>
      <c r="VOT118" s="15"/>
      <c r="VOU118" s="15"/>
      <c r="VOV118" s="15"/>
      <c r="VOW118" s="15"/>
      <c r="VOX118" s="15"/>
      <c r="VOY118" s="15"/>
      <c r="VOZ118" s="15"/>
      <c r="VPA118" s="15"/>
      <c r="VPB118" s="14"/>
      <c r="VPC118" s="15"/>
      <c r="VPD118" s="15"/>
      <c r="VPE118" s="15"/>
      <c r="VPF118" s="15"/>
      <c r="VPG118" s="15"/>
      <c r="VPH118" s="15"/>
      <c r="VPI118" s="15"/>
      <c r="VPJ118" s="15"/>
      <c r="VPK118" s="15"/>
      <c r="VPL118" s="15"/>
      <c r="VPM118" s="15"/>
      <c r="VPN118" s="15"/>
      <c r="VPO118" s="15"/>
      <c r="VPP118" s="15"/>
      <c r="VPQ118" s="15"/>
      <c r="VPR118" s="15"/>
      <c r="VPS118" s="15"/>
      <c r="VPT118" s="15"/>
      <c r="VPU118" s="15"/>
      <c r="VPV118" s="15"/>
      <c r="VPW118" s="15"/>
      <c r="VPX118" s="14"/>
      <c r="VPY118" s="15"/>
      <c r="VPZ118" s="15"/>
      <c r="VQA118" s="15"/>
      <c r="VQB118" s="15"/>
      <c r="VQC118" s="15"/>
      <c r="VQD118" s="15"/>
      <c r="VQE118" s="15"/>
      <c r="VQF118" s="15"/>
      <c r="VQG118" s="15"/>
      <c r="VQH118" s="15"/>
      <c r="VQI118" s="15"/>
      <c r="VQJ118" s="15"/>
      <c r="VQK118" s="15"/>
      <c r="VQL118" s="15"/>
      <c r="VQM118" s="15"/>
      <c r="VQN118" s="15"/>
      <c r="VQO118" s="15"/>
      <c r="VQP118" s="15"/>
      <c r="VQQ118" s="15"/>
      <c r="VQR118" s="15"/>
      <c r="VQS118" s="15"/>
      <c r="VQT118" s="14"/>
      <c r="VQU118" s="15"/>
      <c r="VQV118" s="15"/>
      <c r="VQW118" s="15"/>
      <c r="VQX118" s="15"/>
      <c r="VQY118" s="15"/>
      <c r="VQZ118" s="15"/>
      <c r="VRA118" s="15"/>
      <c r="VRB118" s="15"/>
      <c r="VRC118" s="15"/>
      <c r="VRD118" s="15"/>
      <c r="VRE118" s="15"/>
      <c r="VRF118" s="15"/>
      <c r="VRG118" s="15"/>
      <c r="VRH118" s="15"/>
      <c r="VRI118" s="15"/>
      <c r="VRJ118" s="15"/>
      <c r="VRK118" s="15"/>
      <c r="VRL118" s="15"/>
      <c r="VRM118" s="15"/>
      <c r="VRN118" s="15"/>
      <c r="VRO118" s="15"/>
      <c r="VRP118" s="14"/>
      <c r="VRQ118" s="15"/>
      <c r="VRR118" s="15"/>
      <c r="VRS118" s="15"/>
      <c r="VRT118" s="15"/>
      <c r="VRU118" s="15"/>
      <c r="VRV118" s="15"/>
      <c r="VRW118" s="15"/>
      <c r="VRX118" s="15"/>
      <c r="VRY118" s="15"/>
      <c r="VRZ118" s="15"/>
      <c r="VSA118" s="15"/>
      <c r="VSB118" s="15"/>
      <c r="VSC118" s="15"/>
      <c r="VSD118" s="15"/>
      <c r="VSE118" s="15"/>
      <c r="VSF118" s="15"/>
      <c r="VSG118" s="15"/>
      <c r="VSH118" s="15"/>
      <c r="VSI118" s="15"/>
      <c r="VSJ118" s="15"/>
      <c r="VSK118" s="15"/>
      <c r="VSL118" s="14"/>
      <c r="VSM118" s="15"/>
      <c r="VSN118" s="15"/>
      <c r="VSO118" s="15"/>
      <c r="VSP118" s="15"/>
      <c r="VSQ118" s="15"/>
      <c r="VSR118" s="15"/>
      <c r="VSS118" s="15"/>
      <c r="VST118" s="15"/>
      <c r="VSU118" s="15"/>
      <c r="VSV118" s="15"/>
      <c r="VSW118" s="15"/>
      <c r="VSX118" s="15"/>
      <c r="VSY118" s="15"/>
      <c r="VSZ118" s="15"/>
      <c r="VTA118" s="15"/>
      <c r="VTB118" s="15"/>
      <c r="VTC118" s="15"/>
      <c r="VTD118" s="15"/>
      <c r="VTE118" s="15"/>
      <c r="VTF118" s="15"/>
      <c r="VTG118" s="15"/>
      <c r="VTH118" s="14"/>
      <c r="VTI118" s="15"/>
      <c r="VTJ118" s="15"/>
      <c r="VTK118" s="15"/>
      <c r="VTL118" s="15"/>
      <c r="VTM118" s="15"/>
      <c r="VTN118" s="15"/>
      <c r="VTO118" s="15"/>
      <c r="VTP118" s="15"/>
      <c r="VTQ118" s="15"/>
      <c r="VTR118" s="15"/>
      <c r="VTS118" s="15"/>
      <c r="VTT118" s="15"/>
      <c r="VTU118" s="15"/>
      <c r="VTV118" s="15"/>
      <c r="VTW118" s="15"/>
      <c r="VTX118" s="15"/>
      <c r="VTY118" s="15"/>
      <c r="VTZ118" s="15"/>
      <c r="VUA118" s="15"/>
      <c r="VUB118" s="15"/>
      <c r="VUC118" s="15"/>
      <c r="VUD118" s="14"/>
      <c r="VUE118" s="15"/>
      <c r="VUF118" s="15"/>
      <c r="VUG118" s="15"/>
      <c r="VUH118" s="15"/>
      <c r="VUI118" s="15"/>
      <c r="VUJ118" s="15"/>
      <c r="VUK118" s="15"/>
      <c r="VUL118" s="15"/>
      <c r="VUM118" s="15"/>
      <c r="VUN118" s="15"/>
      <c r="VUO118" s="15"/>
      <c r="VUP118" s="15"/>
      <c r="VUQ118" s="15"/>
      <c r="VUR118" s="15"/>
      <c r="VUS118" s="15"/>
      <c r="VUT118" s="15"/>
      <c r="VUU118" s="15"/>
      <c r="VUV118" s="15"/>
      <c r="VUW118" s="15"/>
      <c r="VUX118" s="15"/>
      <c r="VUY118" s="15"/>
      <c r="VUZ118" s="14"/>
      <c r="VVA118" s="15"/>
      <c r="VVB118" s="15"/>
      <c r="VVC118" s="15"/>
      <c r="VVD118" s="15"/>
      <c r="VVE118" s="15"/>
      <c r="VVF118" s="15"/>
      <c r="VVG118" s="15"/>
      <c r="VVH118" s="15"/>
      <c r="VVI118" s="15"/>
      <c r="VVJ118" s="15"/>
      <c r="VVK118" s="15"/>
      <c r="VVL118" s="15"/>
      <c r="VVM118" s="15"/>
      <c r="VVN118" s="15"/>
      <c r="VVO118" s="15"/>
      <c r="VVP118" s="15"/>
      <c r="VVQ118" s="15"/>
      <c r="VVR118" s="15"/>
      <c r="VVS118" s="15"/>
      <c r="VVT118" s="15"/>
      <c r="VVU118" s="15"/>
      <c r="VVV118" s="14"/>
      <c r="VVW118" s="15"/>
      <c r="VVX118" s="15"/>
      <c r="VVY118" s="15"/>
      <c r="VVZ118" s="15"/>
      <c r="VWA118" s="15"/>
      <c r="VWB118" s="15"/>
      <c r="VWC118" s="15"/>
      <c r="VWD118" s="15"/>
      <c r="VWE118" s="15"/>
      <c r="VWF118" s="15"/>
      <c r="VWG118" s="15"/>
      <c r="VWH118" s="15"/>
      <c r="VWI118" s="15"/>
      <c r="VWJ118" s="15"/>
      <c r="VWK118" s="15"/>
      <c r="VWL118" s="15"/>
      <c r="VWM118" s="15"/>
      <c r="VWN118" s="15"/>
      <c r="VWO118" s="15"/>
      <c r="VWP118" s="15"/>
      <c r="VWQ118" s="15"/>
      <c r="VWR118" s="14"/>
      <c r="VWS118" s="15"/>
      <c r="VWT118" s="15"/>
      <c r="VWU118" s="15"/>
      <c r="VWV118" s="15"/>
      <c r="VWW118" s="15"/>
      <c r="VWX118" s="15"/>
      <c r="VWY118" s="15"/>
      <c r="VWZ118" s="15"/>
      <c r="VXA118" s="15"/>
      <c r="VXB118" s="15"/>
      <c r="VXC118" s="15"/>
      <c r="VXD118" s="15"/>
      <c r="VXE118" s="15"/>
      <c r="VXF118" s="15"/>
      <c r="VXG118" s="15"/>
      <c r="VXH118" s="15"/>
      <c r="VXI118" s="15"/>
      <c r="VXJ118" s="15"/>
      <c r="VXK118" s="15"/>
      <c r="VXL118" s="15"/>
      <c r="VXM118" s="15"/>
      <c r="VXN118" s="14"/>
      <c r="VXO118" s="15"/>
      <c r="VXP118" s="15"/>
      <c r="VXQ118" s="15"/>
      <c r="VXR118" s="15"/>
      <c r="VXS118" s="15"/>
      <c r="VXT118" s="15"/>
      <c r="VXU118" s="15"/>
      <c r="VXV118" s="15"/>
      <c r="VXW118" s="15"/>
      <c r="VXX118" s="15"/>
      <c r="VXY118" s="15"/>
      <c r="VXZ118" s="15"/>
      <c r="VYA118" s="15"/>
      <c r="VYB118" s="15"/>
      <c r="VYC118" s="15"/>
      <c r="VYD118" s="15"/>
      <c r="VYE118" s="15"/>
      <c r="VYF118" s="15"/>
      <c r="VYG118" s="15"/>
      <c r="VYH118" s="15"/>
      <c r="VYI118" s="15"/>
      <c r="VYJ118" s="14"/>
      <c r="VYK118" s="15"/>
      <c r="VYL118" s="15"/>
      <c r="VYM118" s="15"/>
      <c r="VYN118" s="15"/>
      <c r="VYO118" s="15"/>
      <c r="VYP118" s="15"/>
      <c r="VYQ118" s="15"/>
      <c r="VYR118" s="15"/>
      <c r="VYS118" s="15"/>
      <c r="VYT118" s="15"/>
      <c r="VYU118" s="15"/>
      <c r="VYV118" s="15"/>
      <c r="VYW118" s="15"/>
      <c r="VYX118" s="15"/>
      <c r="VYY118" s="15"/>
      <c r="VYZ118" s="15"/>
      <c r="VZA118" s="15"/>
      <c r="VZB118" s="15"/>
      <c r="VZC118" s="15"/>
      <c r="VZD118" s="15"/>
      <c r="VZE118" s="15"/>
      <c r="VZF118" s="14"/>
      <c r="VZG118" s="15"/>
      <c r="VZH118" s="15"/>
      <c r="VZI118" s="15"/>
      <c r="VZJ118" s="15"/>
      <c r="VZK118" s="15"/>
      <c r="VZL118" s="15"/>
      <c r="VZM118" s="15"/>
      <c r="VZN118" s="15"/>
      <c r="VZO118" s="15"/>
      <c r="VZP118" s="15"/>
      <c r="VZQ118" s="15"/>
      <c r="VZR118" s="15"/>
      <c r="VZS118" s="15"/>
      <c r="VZT118" s="15"/>
      <c r="VZU118" s="15"/>
      <c r="VZV118" s="15"/>
      <c r="VZW118" s="15"/>
      <c r="VZX118" s="15"/>
      <c r="VZY118" s="15"/>
      <c r="VZZ118" s="15"/>
      <c r="WAA118" s="15"/>
      <c r="WAB118" s="14"/>
      <c r="WAC118" s="15"/>
      <c r="WAD118" s="15"/>
      <c r="WAE118" s="15"/>
      <c r="WAF118" s="15"/>
      <c r="WAG118" s="15"/>
      <c r="WAH118" s="15"/>
      <c r="WAI118" s="15"/>
      <c r="WAJ118" s="15"/>
      <c r="WAK118" s="15"/>
      <c r="WAL118" s="15"/>
      <c r="WAM118" s="15"/>
      <c r="WAN118" s="15"/>
      <c r="WAO118" s="15"/>
      <c r="WAP118" s="15"/>
      <c r="WAQ118" s="15"/>
      <c r="WAR118" s="15"/>
      <c r="WAS118" s="15"/>
      <c r="WAT118" s="15"/>
      <c r="WAU118" s="15"/>
      <c r="WAV118" s="15"/>
      <c r="WAW118" s="15"/>
      <c r="WAX118" s="14"/>
      <c r="WAY118" s="15"/>
      <c r="WAZ118" s="15"/>
      <c r="WBA118" s="15"/>
      <c r="WBB118" s="15"/>
      <c r="WBC118" s="15"/>
      <c r="WBD118" s="15"/>
      <c r="WBE118" s="15"/>
      <c r="WBF118" s="15"/>
      <c r="WBG118" s="15"/>
      <c r="WBH118" s="15"/>
      <c r="WBI118" s="15"/>
      <c r="WBJ118" s="15"/>
      <c r="WBK118" s="15"/>
      <c r="WBL118" s="15"/>
      <c r="WBM118" s="15"/>
      <c r="WBN118" s="15"/>
      <c r="WBO118" s="15"/>
      <c r="WBP118" s="15"/>
      <c r="WBQ118" s="15"/>
      <c r="WBR118" s="15"/>
      <c r="WBS118" s="15"/>
      <c r="WBT118" s="14"/>
      <c r="WBU118" s="15"/>
      <c r="WBV118" s="15"/>
      <c r="WBW118" s="15"/>
      <c r="WBX118" s="15"/>
      <c r="WBY118" s="15"/>
      <c r="WBZ118" s="15"/>
      <c r="WCA118" s="15"/>
      <c r="WCB118" s="15"/>
      <c r="WCC118" s="15"/>
      <c r="WCD118" s="15"/>
      <c r="WCE118" s="15"/>
      <c r="WCF118" s="15"/>
      <c r="WCG118" s="15"/>
      <c r="WCH118" s="15"/>
      <c r="WCI118" s="15"/>
      <c r="WCJ118" s="15"/>
      <c r="WCK118" s="15"/>
      <c r="WCL118" s="15"/>
      <c r="WCM118" s="15"/>
      <c r="WCN118" s="15"/>
      <c r="WCO118" s="15"/>
      <c r="WCP118" s="14"/>
      <c r="WCQ118" s="15"/>
      <c r="WCR118" s="15"/>
      <c r="WCS118" s="15"/>
      <c r="WCT118" s="15"/>
      <c r="WCU118" s="15"/>
      <c r="WCV118" s="15"/>
      <c r="WCW118" s="15"/>
      <c r="WCX118" s="15"/>
      <c r="WCY118" s="15"/>
      <c r="WCZ118" s="15"/>
      <c r="WDA118" s="15"/>
      <c r="WDB118" s="15"/>
      <c r="WDC118" s="15"/>
      <c r="WDD118" s="15"/>
      <c r="WDE118" s="15"/>
      <c r="WDF118" s="15"/>
      <c r="WDG118" s="15"/>
      <c r="WDH118" s="15"/>
      <c r="WDI118" s="15"/>
      <c r="WDJ118" s="15"/>
      <c r="WDK118" s="15"/>
      <c r="WDL118" s="14"/>
      <c r="WDM118" s="15"/>
      <c r="WDN118" s="15"/>
      <c r="WDO118" s="15"/>
      <c r="WDP118" s="15"/>
      <c r="WDQ118" s="15"/>
      <c r="WDR118" s="15"/>
      <c r="WDS118" s="15"/>
      <c r="WDT118" s="15"/>
      <c r="WDU118" s="15"/>
      <c r="WDV118" s="15"/>
      <c r="WDW118" s="15"/>
      <c r="WDX118" s="15"/>
      <c r="WDY118" s="15"/>
      <c r="WDZ118" s="15"/>
      <c r="WEA118" s="15"/>
      <c r="WEB118" s="15"/>
      <c r="WEC118" s="15"/>
      <c r="WED118" s="15"/>
      <c r="WEE118" s="15"/>
      <c r="WEF118" s="15"/>
      <c r="WEG118" s="15"/>
      <c r="WEH118" s="14"/>
      <c r="WEI118" s="15"/>
      <c r="WEJ118" s="15"/>
      <c r="WEK118" s="15"/>
      <c r="WEL118" s="15"/>
      <c r="WEM118" s="15"/>
      <c r="WEN118" s="15"/>
      <c r="WEO118" s="15"/>
      <c r="WEP118" s="15"/>
      <c r="WEQ118" s="15"/>
      <c r="WER118" s="15"/>
      <c r="WES118" s="15"/>
      <c r="WET118" s="15"/>
      <c r="WEU118" s="15"/>
      <c r="WEV118" s="15"/>
      <c r="WEW118" s="15"/>
      <c r="WEX118" s="15"/>
      <c r="WEY118" s="15"/>
      <c r="WEZ118" s="15"/>
      <c r="WFA118" s="15"/>
      <c r="WFB118" s="15"/>
      <c r="WFC118" s="15"/>
      <c r="WFD118" s="14"/>
      <c r="WFE118" s="15"/>
      <c r="WFF118" s="15"/>
      <c r="WFG118" s="15"/>
      <c r="WFH118" s="15"/>
      <c r="WFI118" s="15"/>
      <c r="WFJ118" s="15"/>
      <c r="WFK118" s="15"/>
      <c r="WFL118" s="15"/>
      <c r="WFM118" s="15"/>
      <c r="WFN118" s="15"/>
      <c r="WFO118" s="15"/>
      <c r="WFP118" s="15"/>
      <c r="WFQ118" s="15"/>
      <c r="WFR118" s="15"/>
      <c r="WFS118" s="15"/>
      <c r="WFT118" s="15"/>
      <c r="WFU118" s="15"/>
      <c r="WFV118" s="15"/>
      <c r="WFW118" s="15"/>
      <c r="WFX118" s="15"/>
      <c r="WFY118" s="15"/>
      <c r="WFZ118" s="14"/>
      <c r="WGA118" s="15"/>
      <c r="WGB118" s="15"/>
      <c r="WGC118" s="15"/>
      <c r="WGD118" s="15"/>
      <c r="WGE118" s="15"/>
      <c r="WGF118" s="15"/>
      <c r="WGG118" s="15"/>
      <c r="WGH118" s="15"/>
      <c r="WGI118" s="15"/>
      <c r="WGJ118" s="15"/>
      <c r="WGK118" s="15"/>
      <c r="WGL118" s="15"/>
      <c r="WGM118" s="15"/>
      <c r="WGN118" s="15"/>
      <c r="WGO118" s="15"/>
      <c r="WGP118" s="15"/>
      <c r="WGQ118" s="15"/>
      <c r="WGR118" s="15"/>
      <c r="WGS118" s="15"/>
      <c r="WGT118" s="15"/>
      <c r="WGU118" s="15"/>
      <c r="WGV118" s="14"/>
      <c r="WGW118" s="15"/>
      <c r="WGX118" s="15"/>
      <c r="WGY118" s="15"/>
      <c r="WGZ118" s="15"/>
      <c r="WHA118" s="15"/>
      <c r="WHB118" s="15"/>
      <c r="WHC118" s="15"/>
      <c r="WHD118" s="15"/>
      <c r="WHE118" s="15"/>
      <c r="WHF118" s="15"/>
      <c r="WHG118" s="15"/>
      <c r="WHH118" s="15"/>
      <c r="WHI118" s="15"/>
      <c r="WHJ118" s="15"/>
      <c r="WHK118" s="15"/>
      <c r="WHL118" s="15"/>
      <c r="WHM118" s="15"/>
      <c r="WHN118" s="15"/>
      <c r="WHO118" s="15"/>
      <c r="WHP118" s="15"/>
      <c r="WHQ118" s="15"/>
      <c r="WHR118" s="14"/>
      <c r="WHS118" s="15"/>
      <c r="WHT118" s="15"/>
      <c r="WHU118" s="15"/>
      <c r="WHV118" s="15"/>
      <c r="WHW118" s="15"/>
      <c r="WHX118" s="15"/>
      <c r="WHY118" s="15"/>
      <c r="WHZ118" s="15"/>
      <c r="WIA118" s="15"/>
      <c r="WIB118" s="15"/>
      <c r="WIC118" s="15"/>
      <c r="WID118" s="15"/>
      <c r="WIE118" s="15"/>
      <c r="WIF118" s="15"/>
      <c r="WIG118" s="15"/>
      <c r="WIH118" s="15"/>
      <c r="WII118" s="15"/>
      <c r="WIJ118" s="15"/>
      <c r="WIK118" s="15"/>
      <c r="WIL118" s="15"/>
      <c r="WIM118" s="15"/>
      <c r="WIN118" s="14"/>
      <c r="WIO118" s="15"/>
      <c r="WIP118" s="15"/>
      <c r="WIQ118" s="15"/>
      <c r="WIR118" s="15"/>
      <c r="WIS118" s="15"/>
      <c r="WIT118" s="15"/>
      <c r="WIU118" s="15"/>
      <c r="WIV118" s="15"/>
      <c r="WIW118" s="15"/>
      <c r="WIX118" s="15"/>
      <c r="WIY118" s="15"/>
      <c r="WIZ118" s="15"/>
      <c r="WJA118" s="15"/>
      <c r="WJB118" s="15"/>
      <c r="WJC118" s="15"/>
      <c r="WJD118" s="15"/>
      <c r="WJE118" s="15"/>
      <c r="WJF118" s="15"/>
      <c r="WJG118" s="15"/>
      <c r="WJH118" s="15"/>
      <c r="WJI118" s="15"/>
      <c r="WJJ118" s="14"/>
      <c r="WJK118" s="15"/>
      <c r="WJL118" s="15"/>
      <c r="WJM118" s="15"/>
      <c r="WJN118" s="15"/>
      <c r="WJO118" s="15"/>
      <c r="WJP118" s="15"/>
      <c r="WJQ118" s="15"/>
      <c r="WJR118" s="15"/>
      <c r="WJS118" s="15"/>
      <c r="WJT118" s="15"/>
      <c r="WJU118" s="15"/>
      <c r="WJV118" s="15"/>
      <c r="WJW118" s="15"/>
      <c r="WJX118" s="15"/>
      <c r="WJY118" s="15"/>
      <c r="WJZ118" s="15"/>
      <c r="WKA118" s="15"/>
      <c r="WKB118" s="15"/>
      <c r="WKC118" s="15"/>
      <c r="WKD118" s="15"/>
      <c r="WKE118" s="15"/>
      <c r="WKF118" s="14"/>
      <c r="WKG118" s="15"/>
      <c r="WKH118" s="15"/>
      <c r="WKI118" s="15"/>
      <c r="WKJ118" s="15"/>
      <c r="WKK118" s="15"/>
      <c r="WKL118" s="15"/>
      <c r="WKM118" s="15"/>
      <c r="WKN118" s="15"/>
      <c r="WKO118" s="15"/>
      <c r="WKP118" s="15"/>
      <c r="WKQ118" s="15"/>
      <c r="WKR118" s="15"/>
      <c r="WKS118" s="15"/>
      <c r="WKT118" s="15"/>
      <c r="WKU118" s="15"/>
      <c r="WKV118" s="15"/>
      <c r="WKW118" s="15"/>
      <c r="WKX118" s="15"/>
      <c r="WKY118" s="15"/>
      <c r="WKZ118" s="15"/>
      <c r="WLA118" s="15"/>
      <c r="WLB118" s="14"/>
      <c r="WLC118" s="15"/>
      <c r="WLD118" s="15"/>
      <c r="WLE118" s="15"/>
      <c r="WLF118" s="15"/>
      <c r="WLG118" s="15"/>
      <c r="WLH118" s="15"/>
      <c r="WLI118" s="15"/>
      <c r="WLJ118" s="15"/>
      <c r="WLK118" s="15"/>
      <c r="WLL118" s="15"/>
      <c r="WLM118" s="15"/>
      <c r="WLN118" s="15"/>
      <c r="WLO118" s="15"/>
      <c r="WLP118" s="15"/>
      <c r="WLQ118" s="15"/>
      <c r="WLR118" s="15"/>
      <c r="WLS118" s="15"/>
      <c r="WLT118" s="15"/>
      <c r="WLU118" s="15"/>
      <c r="WLV118" s="15"/>
      <c r="WLW118" s="15"/>
      <c r="WLX118" s="14"/>
      <c r="WLY118" s="15"/>
      <c r="WLZ118" s="15"/>
      <c r="WMA118" s="15"/>
      <c r="WMB118" s="15"/>
      <c r="WMC118" s="15"/>
      <c r="WMD118" s="15"/>
      <c r="WME118" s="15"/>
      <c r="WMF118" s="15"/>
      <c r="WMG118" s="15"/>
      <c r="WMH118" s="15"/>
      <c r="WMI118" s="15"/>
      <c r="WMJ118" s="15"/>
      <c r="WMK118" s="15"/>
      <c r="WML118" s="15"/>
      <c r="WMM118" s="15"/>
      <c r="WMN118" s="15"/>
      <c r="WMO118" s="15"/>
      <c r="WMP118" s="15"/>
      <c r="WMQ118" s="15"/>
      <c r="WMR118" s="15"/>
      <c r="WMS118" s="15"/>
      <c r="WMT118" s="14"/>
      <c r="WMU118" s="15"/>
      <c r="WMV118" s="15"/>
      <c r="WMW118" s="15"/>
      <c r="WMX118" s="15"/>
      <c r="WMY118" s="15"/>
      <c r="WMZ118" s="15"/>
      <c r="WNA118" s="15"/>
      <c r="WNB118" s="15"/>
      <c r="WNC118" s="15"/>
      <c r="WND118" s="15"/>
      <c r="WNE118" s="15"/>
      <c r="WNF118" s="15"/>
      <c r="WNG118" s="15"/>
      <c r="WNH118" s="15"/>
      <c r="WNI118" s="15"/>
      <c r="WNJ118" s="15"/>
      <c r="WNK118" s="15"/>
      <c r="WNL118" s="15"/>
      <c r="WNM118" s="15"/>
      <c r="WNN118" s="15"/>
      <c r="WNO118" s="15"/>
      <c r="WNP118" s="14"/>
      <c r="WNQ118" s="15"/>
      <c r="WNR118" s="15"/>
      <c r="WNS118" s="15"/>
      <c r="WNT118" s="15"/>
      <c r="WNU118" s="15"/>
      <c r="WNV118" s="15"/>
      <c r="WNW118" s="15"/>
      <c r="WNX118" s="15"/>
      <c r="WNY118" s="15"/>
      <c r="WNZ118" s="15"/>
      <c r="WOA118" s="15"/>
      <c r="WOB118" s="15"/>
      <c r="WOC118" s="15"/>
      <c r="WOD118" s="15"/>
      <c r="WOE118" s="15"/>
      <c r="WOF118" s="15"/>
      <c r="WOG118" s="15"/>
      <c r="WOH118" s="15"/>
      <c r="WOI118" s="15"/>
      <c r="WOJ118" s="15"/>
      <c r="WOK118" s="15"/>
      <c r="WOL118" s="14"/>
      <c r="WOM118" s="15"/>
      <c r="WON118" s="15"/>
      <c r="WOO118" s="15"/>
      <c r="WOP118" s="15"/>
      <c r="WOQ118" s="15"/>
      <c r="WOR118" s="15"/>
      <c r="WOS118" s="15"/>
      <c r="WOT118" s="15"/>
      <c r="WOU118" s="15"/>
      <c r="WOV118" s="15"/>
      <c r="WOW118" s="15"/>
      <c r="WOX118" s="15"/>
      <c r="WOY118" s="15"/>
      <c r="WOZ118" s="15"/>
      <c r="WPA118" s="15"/>
      <c r="WPB118" s="15"/>
      <c r="WPC118" s="15"/>
      <c r="WPD118" s="15"/>
      <c r="WPE118" s="15"/>
      <c r="WPF118" s="15"/>
      <c r="WPG118" s="15"/>
      <c r="WPH118" s="14"/>
      <c r="WPI118" s="15"/>
      <c r="WPJ118" s="15"/>
      <c r="WPK118" s="15"/>
      <c r="WPL118" s="15"/>
      <c r="WPM118" s="15"/>
      <c r="WPN118" s="15"/>
      <c r="WPO118" s="15"/>
      <c r="WPP118" s="15"/>
      <c r="WPQ118" s="15"/>
      <c r="WPR118" s="15"/>
      <c r="WPS118" s="15"/>
      <c r="WPT118" s="15"/>
      <c r="WPU118" s="15"/>
      <c r="WPV118" s="15"/>
      <c r="WPW118" s="15"/>
      <c r="WPX118" s="15"/>
      <c r="WPY118" s="15"/>
      <c r="WPZ118" s="15"/>
      <c r="WQA118" s="15"/>
      <c r="WQB118" s="15"/>
      <c r="WQC118" s="15"/>
      <c r="WQD118" s="14"/>
      <c r="WQE118" s="15"/>
      <c r="WQF118" s="15"/>
      <c r="WQG118" s="15"/>
      <c r="WQH118" s="15"/>
      <c r="WQI118" s="15"/>
      <c r="WQJ118" s="15"/>
      <c r="WQK118" s="15"/>
      <c r="WQL118" s="15"/>
      <c r="WQM118" s="15"/>
      <c r="WQN118" s="15"/>
      <c r="WQO118" s="15"/>
      <c r="WQP118" s="15"/>
      <c r="WQQ118" s="15"/>
      <c r="WQR118" s="15"/>
      <c r="WQS118" s="15"/>
      <c r="WQT118" s="15"/>
      <c r="WQU118" s="15"/>
      <c r="WQV118" s="15"/>
      <c r="WQW118" s="15"/>
      <c r="WQX118" s="15"/>
      <c r="WQY118" s="15"/>
      <c r="WQZ118" s="14"/>
      <c r="WRA118" s="15"/>
      <c r="WRB118" s="15"/>
      <c r="WRC118" s="15"/>
      <c r="WRD118" s="15"/>
      <c r="WRE118" s="15"/>
      <c r="WRF118" s="15"/>
      <c r="WRG118" s="15"/>
      <c r="WRH118" s="15"/>
      <c r="WRI118" s="15"/>
      <c r="WRJ118" s="15"/>
      <c r="WRK118" s="15"/>
      <c r="WRL118" s="15"/>
      <c r="WRM118" s="15"/>
      <c r="WRN118" s="15"/>
      <c r="WRO118" s="15"/>
      <c r="WRP118" s="15"/>
      <c r="WRQ118" s="15"/>
      <c r="WRR118" s="15"/>
      <c r="WRS118" s="15"/>
      <c r="WRT118" s="15"/>
      <c r="WRU118" s="15"/>
      <c r="WRV118" s="14"/>
      <c r="WRW118" s="15"/>
      <c r="WRX118" s="15"/>
      <c r="WRY118" s="15"/>
      <c r="WRZ118" s="15"/>
      <c r="WSA118" s="15"/>
      <c r="WSB118" s="15"/>
      <c r="WSC118" s="15"/>
      <c r="WSD118" s="15"/>
      <c r="WSE118" s="15"/>
      <c r="WSF118" s="15"/>
      <c r="WSG118" s="15"/>
      <c r="WSH118" s="15"/>
      <c r="WSI118" s="15"/>
      <c r="WSJ118" s="15"/>
      <c r="WSK118" s="15"/>
      <c r="WSL118" s="15"/>
      <c r="WSM118" s="15"/>
      <c r="WSN118" s="15"/>
      <c r="WSO118" s="15"/>
      <c r="WSP118" s="15"/>
      <c r="WSQ118" s="15"/>
      <c r="WSR118" s="14"/>
      <c r="WSS118" s="15"/>
      <c r="WST118" s="15"/>
      <c r="WSU118" s="15"/>
      <c r="WSV118" s="15"/>
      <c r="WSW118" s="15"/>
      <c r="WSX118" s="15"/>
      <c r="WSY118" s="15"/>
      <c r="WSZ118" s="15"/>
      <c r="WTA118" s="15"/>
      <c r="WTB118" s="15"/>
      <c r="WTC118" s="15"/>
      <c r="WTD118" s="15"/>
      <c r="WTE118" s="15"/>
      <c r="WTF118" s="15"/>
      <c r="WTG118" s="15"/>
      <c r="WTH118" s="15"/>
      <c r="WTI118" s="15"/>
      <c r="WTJ118" s="15"/>
      <c r="WTK118" s="15"/>
      <c r="WTL118" s="15"/>
      <c r="WTM118" s="15"/>
      <c r="WTN118" s="14"/>
      <c r="WTO118" s="15"/>
      <c r="WTP118" s="15"/>
      <c r="WTQ118" s="15"/>
      <c r="WTR118" s="15"/>
      <c r="WTS118" s="15"/>
      <c r="WTT118" s="15"/>
      <c r="WTU118" s="15"/>
      <c r="WTV118" s="15"/>
      <c r="WTW118" s="15"/>
      <c r="WTX118" s="15"/>
      <c r="WTY118" s="15"/>
      <c r="WTZ118" s="15"/>
      <c r="WUA118" s="15"/>
      <c r="WUB118" s="15"/>
      <c r="WUC118" s="15"/>
      <c r="WUD118" s="15"/>
      <c r="WUE118" s="15"/>
      <c r="WUF118" s="15"/>
      <c r="WUG118" s="15"/>
      <c r="WUH118" s="15"/>
      <c r="WUI118" s="15"/>
      <c r="WUJ118" s="14"/>
      <c r="WUK118" s="15"/>
      <c r="WUL118" s="15"/>
      <c r="WUM118" s="15"/>
      <c r="WUN118" s="15"/>
      <c r="WUO118" s="15"/>
      <c r="WUP118" s="15"/>
      <c r="WUQ118" s="15"/>
      <c r="WUR118" s="15"/>
      <c r="WUS118" s="15"/>
      <c r="WUT118" s="15"/>
      <c r="WUU118" s="15"/>
      <c r="WUV118" s="15"/>
      <c r="WUW118" s="15"/>
      <c r="WUX118" s="15"/>
      <c r="WUY118" s="15"/>
      <c r="WUZ118" s="15"/>
      <c r="WVA118" s="15"/>
      <c r="WVB118" s="15"/>
      <c r="WVC118" s="15"/>
      <c r="WVD118" s="15"/>
      <c r="WVE118" s="15"/>
      <c r="WVF118" s="14"/>
      <c r="WVG118" s="15"/>
      <c r="WVH118" s="15"/>
      <c r="WVI118" s="15"/>
      <c r="WVJ118" s="15"/>
      <c r="WVK118" s="15"/>
      <c r="WVL118" s="15"/>
      <c r="WVM118" s="15"/>
      <c r="WVN118" s="15"/>
      <c r="WVO118" s="15"/>
      <c r="WVP118" s="15"/>
      <c r="WVQ118" s="15"/>
      <c r="WVR118" s="15"/>
      <c r="WVS118" s="15"/>
      <c r="WVT118" s="15"/>
      <c r="WVU118" s="15"/>
      <c r="WVV118" s="15"/>
      <c r="WVW118" s="15"/>
      <c r="WVX118" s="15"/>
      <c r="WVY118" s="15"/>
      <c r="WVZ118" s="15"/>
      <c r="WWA118" s="15"/>
      <c r="WWB118" s="14"/>
      <c r="WWC118" s="15"/>
      <c r="WWD118" s="15"/>
      <c r="WWE118" s="15"/>
      <c r="WWF118" s="15"/>
      <c r="WWG118" s="15"/>
      <c r="WWH118" s="15"/>
      <c r="WWI118" s="15"/>
      <c r="WWJ118" s="15"/>
      <c r="WWK118" s="15"/>
      <c r="WWL118" s="15"/>
      <c r="WWM118" s="15"/>
      <c r="WWN118" s="15"/>
      <c r="WWO118" s="15"/>
      <c r="WWP118" s="15"/>
      <c r="WWQ118" s="15"/>
      <c r="WWR118" s="15"/>
      <c r="WWS118" s="15"/>
      <c r="WWT118" s="15"/>
      <c r="WWU118" s="15"/>
      <c r="WWV118" s="15"/>
      <c r="WWW118" s="15"/>
      <c r="WWX118" s="14"/>
      <c r="WWY118" s="15"/>
      <c r="WWZ118" s="15"/>
      <c r="WXA118" s="15"/>
      <c r="WXB118" s="15"/>
      <c r="WXC118" s="15"/>
      <c r="WXD118" s="15"/>
      <c r="WXE118" s="15"/>
      <c r="WXF118" s="15"/>
      <c r="WXG118" s="15"/>
      <c r="WXH118" s="15"/>
      <c r="WXI118" s="15"/>
      <c r="WXJ118" s="15"/>
      <c r="WXK118" s="15"/>
      <c r="WXL118" s="15"/>
      <c r="WXM118" s="15"/>
      <c r="WXN118" s="15"/>
      <c r="WXO118" s="15"/>
      <c r="WXP118" s="15"/>
      <c r="WXQ118" s="15"/>
      <c r="WXR118" s="15"/>
      <c r="WXS118" s="15"/>
      <c r="WXT118" s="14"/>
      <c r="WXU118" s="15"/>
      <c r="WXV118" s="15"/>
      <c r="WXW118" s="15"/>
      <c r="WXX118" s="15"/>
      <c r="WXY118" s="15"/>
      <c r="WXZ118" s="15"/>
      <c r="WYA118" s="15"/>
      <c r="WYB118" s="15"/>
      <c r="WYC118" s="15"/>
      <c r="WYD118" s="15"/>
      <c r="WYE118" s="15"/>
      <c r="WYF118" s="15"/>
      <c r="WYG118" s="15"/>
      <c r="WYH118" s="15"/>
      <c r="WYI118" s="15"/>
      <c r="WYJ118" s="15"/>
      <c r="WYK118" s="15"/>
      <c r="WYL118" s="15"/>
      <c r="WYM118" s="15"/>
      <c r="WYN118" s="15"/>
      <c r="WYO118" s="15"/>
      <c r="WYP118" s="14"/>
      <c r="WYQ118" s="15"/>
      <c r="WYR118" s="15"/>
      <c r="WYS118" s="15"/>
      <c r="WYT118" s="15"/>
      <c r="WYU118" s="15"/>
      <c r="WYV118" s="15"/>
      <c r="WYW118" s="15"/>
      <c r="WYX118" s="15"/>
      <c r="WYY118" s="15"/>
      <c r="WYZ118" s="15"/>
      <c r="WZA118" s="15"/>
      <c r="WZB118" s="15"/>
      <c r="WZC118" s="15"/>
      <c r="WZD118" s="15"/>
      <c r="WZE118" s="15"/>
      <c r="WZF118" s="15"/>
      <c r="WZG118" s="15"/>
      <c r="WZH118" s="15"/>
      <c r="WZI118" s="15"/>
      <c r="WZJ118" s="15"/>
      <c r="WZK118" s="15"/>
      <c r="WZL118" s="14"/>
      <c r="WZM118" s="15"/>
      <c r="WZN118" s="15"/>
      <c r="WZO118" s="15"/>
      <c r="WZP118" s="15"/>
      <c r="WZQ118" s="15"/>
      <c r="WZR118" s="15"/>
      <c r="WZS118" s="15"/>
      <c r="WZT118" s="15"/>
      <c r="WZU118" s="15"/>
      <c r="WZV118" s="15"/>
      <c r="WZW118" s="15"/>
      <c r="WZX118" s="15"/>
      <c r="WZY118" s="15"/>
      <c r="WZZ118" s="15"/>
      <c r="XAA118" s="15"/>
      <c r="XAB118" s="15"/>
      <c r="XAC118" s="15"/>
      <c r="XAD118" s="15"/>
      <c r="XAE118" s="15"/>
      <c r="XAF118" s="15"/>
      <c r="XAG118" s="15"/>
      <c r="XAH118" s="14"/>
      <c r="XAI118" s="15"/>
      <c r="XAJ118" s="15"/>
      <c r="XAK118" s="15"/>
      <c r="XAL118" s="15"/>
      <c r="XAM118" s="15"/>
      <c r="XAN118" s="15"/>
      <c r="XAO118" s="15"/>
      <c r="XAP118" s="15"/>
      <c r="XAQ118" s="15"/>
      <c r="XAR118" s="15"/>
      <c r="XAS118" s="15"/>
      <c r="XAT118" s="15"/>
      <c r="XAU118" s="15"/>
      <c r="XAV118" s="15"/>
      <c r="XAW118" s="15"/>
      <c r="XAX118" s="15"/>
      <c r="XAY118" s="15"/>
      <c r="XAZ118" s="15"/>
      <c r="XBA118" s="15"/>
      <c r="XBB118" s="15"/>
      <c r="XBC118" s="15"/>
      <c r="XBD118" s="14"/>
      <c r="XBE118" s="15"/>
      <c r="XBF118" s="15"/>
      <c r="XBG118" s="15"/>
      <c r="XBH118" s="15"/>
      <c r="XBI118" s="15"/>
      <c r="XBJ118" s="15"/>
      <c r="XBK118" s="15"/>
      <c r="XBL118" s="15"/>
      <c r="XBM118" s="15"/>
      <c r="XBN118" s="15"/>
      <c r="XBO118" s="15"/>
      <c r="XBP118" s="15"/>
      <c r="XBQ118" s="15"/>
      <c r="XBR118" s="15"/>
      <c r="XBS118" s="15"/>
      <c r="XBT118" s="15"/>
      <c r="XBU118" s="15"/>
      <c r="XBV118" s="15"/>
      <c r="XBW118" s="15"/>
      <c r="XBX118" s="15"/>
      <c r="XBY118" s="15"/>
      <c r="XBZ118" s="14"/>
      <c r="XCA118" s="15"/>
      <c r="XCB118" s="15"/>
      <c r="XCC118" s="15"/>
      <c r="XCD118" s="15"/>
      <c r="XCE118" s="15"/>
      <c r="XCF118" s="15"/>
      <c r="XCG118" s="15"/>
      <c r="XCH118" s="15"/>
      <c r="XCI118" s="15"/>
      <c r="XCJ118" s="15"/>
      <c r="XCK118" s="15"/>
      <c r="XCL118" s="15"/>
      <c r="XCM118" s="15"/>
      <c r="XCN118" s="15"/>
      <c r="XCO118" s="15"/>
      <c r="XCP118" s="15"/>
      <c r="XCQ118" s="15"/>
      <c r="XCR118" s="15"/>
      <c r="XCS118" s="15"/>
      <c r="XCT118" s="15"/>
      <c r="XCU118" s="15"/>
      <c r="XCV118" s="14"/>
      <c r="XCW118" s="15"/>
      <c r="XCX118" s="15"/>
      <c r="XCY118" s="15"/>
      <c r="XCZ118" s="15"/>
      <c r="XDA118" s="15"/>
      <c r="XDB118" s="15"/>
      <c r="XDC118" s="15"/>
      <c r="XDD118" s="15"/>
      <c r="XDE118" s="15"/>
      <c r="XDF118" s="15"/>
      <c r="XDG118" s="15"/>
      <c r="XDH118" s="15"/>
      <c r="XDI118" s="15"/>
      <c r="XDJ118" s="15"/>
      <c r="XDK118" s="15"/>
      <c r="XDL118" s="15"/>
      <c r="XDM118" s="15"/>
      <c r="XDN118" s="15"/>
      <c r="XDO118" s="15"/>
      <c r="XDP118" s="15"/>
      <c r="XDQ118" s="15"/>
      <c r="XDR118" s="14"/>
      <c r="XDS118" s="15"/>
      <c r="XDT118" s="15"/>
      <c r="XDU118" s="15"/>
      <c r="XDV118" s="15"/>
      <c r="XDW118" s="15"/>
      <c r="XDX118" s="15"/>
      <c r="XDY118" s="15"/>
      <c r="XDZ118" s="15"/>
      <c r="XEA118" s="15"/>
      <c r="XEB118" s="15"/>
      <c r="XEC118" s="15"/>
      <c r="XED118" s="15"/>
      <c r="XEE118" s="15"/>
      <c r="XEF118" s="15"/>
      <c r="XEG118" s="15"/>
      <c r="XEH118" s="15"/>
      <c r="XEI118" s="15"/>
      <c r="XEJ118" s="15"/>
      <c r="XEK118" s="15"/>
      <c r="XEL118" s="15"/>
      <c r="XEM118" s="15"/>
      <c r="XEN118" s="14"/>
      <c r="XEO118" s="14"/>
      <c r="XEP118" s="14"/>
      <c r="XEQ118" s="14"/>
      <c r="XER118" s="14"/>
      <c r="XES118" s="14"/>
      <c r="XET118" s="14"/>
      <c r="XEU118" s="14"/>
      <c r="XEV118" s="14"/>
      <c r="XEW118" s="14"/>
      <c r="XEX118" s="14"/>
      <c r="XEY118" s="14"/>
      <c r="XEZ118" s="14"/>
      <c r="XFA118" s="14"/>
      <c r="XFB118" s="14"/>
      <c r="XFC118" s="14"/>
    </row>
    <row r="119" spans="1:16383" s="31" customFormat="1" ht="14.1">
      <c r="A119" s="31" t="s">
        <v>112</v>
      </c>
    </row>
    <row r="120" spans="1:16383" s="31" customFormat="1">
      <c r="A120" s="98" t="s">
        <v>113</v>
      </c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</row>
    <row r="121" spans="1:16383" s="31" customFormat="1">
      <c r="A121" s="89" t="s">
        <v>114</v>
      </c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</row>
    <row r="122" spans="1:16383" s="38" customFormat="1" ht="15.95">
      <c r="A122" s="41" t="s">
        <v>106</v>
      </c>
      <c r="C122" s="31"/>
      <c r="D122" s="31"/>
      <c r="E122" s="31"/>
      <c r="F122" s="31"/>
      <c r="G122" s="31"/>
    </row>
    <row r="123" spans="1:16383" ht="15.95" thickBot="1"/>
    <row r="124" spans="1:16383" ht="27" thickTop="1" thickBot="1">
      <c r="B124" s="10"/>
      <c r="C124" s="51" t="s">
        <v>23</v>
      </c>
      <c r="D124" s="52" t="s">
        <v>25</v>
      </c>
      <c r="E124" s="52" t="s">
        <v>37</v>
      </c>
      <c r="F124" s="52" t="s">
        <v>38</v>
      </c>
      <c r="G124" s="52" t="s">
        <v>39</v>
      </c>
      <c r="H124" s="52" t="s">
        <v>40</v>
      </c>
      <c r="I124" s="52" t="s">
        <v>13</v>
      </c>
      <c r="J124" s="52" t="s">
        <v>17</v>
      </c>
      <c r="K124" s="52" t="s">
        <v>31</v>
      </c>
      <c r="L124" s="52" t="s">
        <v>32</v>
      </c>
      <c r="M124" s="52" t="s">
        <v>33</v>
      </c>
      <c r="N124" s="52" t="s">
        <v>34</v>
      </c>
      <c r="O124" s="52" t="s">
        <v>41</v>
      </c>
      <c r="P124" s="52" t="s">
        <v>42</v>
      </c>
      <c r="Q124" s="52" t="s">
        <v>43</v>
      </c>
      <c r="R124" s="53" t="s">
        <v>44</v>
      </c>
    </row>
    <row r="125" spans="1:16383" ht="36" thickTop="1" thickBot="1">
      <c r="B125" s="49" t="s">
        <v>107</v>
      </c>
      <c r="C125" s="16">
        <f>CORREL('FamInsureCo Int. Stats Data'!A1:A1339,'FamInsureCo Int. Stats Data'!$Q$1:$Q$1339)</f>
        <v>0.29900819333064788</v>
      </c>
      <c r="D125" s="16">
        <f>CORREL('FamInsureCo Int. Stats Data'!B1:B1339,'FamInsureCo Int. Stats Data'!$Q$1:$Q$1339)</f>
        <v>0.19834096883362876</v>
      </c>
      <c r="E125" s="16">
        <f>CORREL('FamInsureCo Int. Stats Data'!C1:C1339,'FamInsureCo Int. Stats Data'!$Q$1:$Q$1339)</f>
        <v>-0.10651202733970591</v>
      </c>
      <c r="F125" s="16">
        <f>CORREL('FamInsureCo Int. Stats Data'!D1:D1339,'FamInsureCo Int. Stats Data'!$Q$1:$Q$1339)</f>
        <v>0.19685712729559396</v>
      </c>
      <c r="G125" s="16">
        <f>CORREL('FamInsureCo Int. Stats Data'!E1:E1339,'FamInsureCo Int. Stats Data'!$Q$1:$Q$1339)</f>
        <v>-0.11776843157492765</v>
      </c>
      <c r="H125" s="16">
        <f>CORREL('FamInsureCo Int. Stats Data'!F1:F1339,'FamInsureCo Int. Stats Data'!$Q$1:$Q$1339)</f>
        <v>-4.4959616911276513E-2</v>
      </c>
      <c r="I125" s="16">
        <f>CORREL('FamInsureCo Int. Stats Data'!G1:G1339,'FamInsureCo Int. Stats Data'!$Q$1:$Q$1339)</f>
        <v>5.7292062202026053E-2</v>
      </c>
      <c r="J125" s="16">
        <f>CORREL('FamInsureCo Int. Stats Data'!H1:H1339,'FamInsureCo Int. Stats Data'!$Q$1:$Q$1339)</f>
        <v>0.78725143049847146</v>
      </c>
      <c r="K125" s="16">
        <f>CORREL('FamInsureCo Int. Stats Data'!I1:I1339,'FamInsureCo Int. Stats Data'!$Q$1:$Q$1339)</f>
        <v>7.3981551565758863E-2</v>
      </c>
      <c r="L125" s="16">
        <f>CORREL('FamInsureCo Int. Stats Data'!J1:J1339,'FamInsureCo Int. Stats Data'!$Q$1:$Q$1339)</f>
        <v>-4.3210028991684302E-2</v>
      </c>
      <c r="M125" s="16">
        <f>CORREL('FamInsureCo Int. Stats Data'!K1:K1339,'FamInsureCo Int. Stats Data'!$Q$1:$Q$1339)</f>
        <v>-3.9904864040437402E-2</v>
      </c>
      <c r="N125" s="16">
        <f>CORREL('FamInsureCo Int. Stats Data'!L1:L1339,'FamInsureCo Int. Stats Data'!$Q$1:$Q$1339)</f>
        <v>6.3487712801560221E-3</v>
      </c>
      <c r="O125" s="16">
        <f>CORREL('FamInsureCo Int. Stats Data'!M1:M1339,'FamInsureCo Int. Stats Data'!$Q$1:$Q$1339)</f>
        <v>-0.18817795045068655</v>
      </c>
      <c r="P125" s="16">
        <f>CORREL('FamInsureCo Int. Stats Data'!N1:N1339,'FamInsureCo Int. Stats Data'!$Q$1:$Q$1339)</f>
        <v>-0.11473525072197087</v>
      </c>
      <c r="Q125" s="16">
        <f>CORREL('FamInsureCo Int. Stats Data'!O1:O1339,'FamInsureCo Int. Stats Data'!$Q$1:$Q$1339)</f>
        <v>0.13766569783660046</v>
      </c>
      <c r="R125" s="16">
        <f>CORREL('FamInsureCo Int. Stats Data'!P1:P1339,'FamInsureCo Int. Stats Data'!$Q$1:$Q$1339)</f>
        <v>0.20111837894500917</v>
      </c>
    </row>
    <row r="126" spans="1:16383" ht="15.95" thickTop="1"/>
    <row r="127" spans="1:16383" s="9" customFormat="1" ht="17.25" customHeight="1">
      <c r="A127" s="8"/>
    </row>
    <row r="128" spans="1:16383" s="31" customFormat="1" ht="14.1">
      <c r="A128" s="31" t="s">
        <v>115</v>
      </c>
    </row>
    <row r="129" spans="1:16384" s="38" customFormat="1" ht="15.95">
      <c r="A129" s="89" t="s">
        <v>116</v>
      </c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89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89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89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89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89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89"/>
      <c r="DF129" s="90"/>
      <c r="DG129" s="90"/>
      <c r="DH129" s="90"/>
      <c r="DI129" s="90"/>
      <c r="DJ129" s="90"/>
      <c r="DK129" s="90"/>
      <c r="DL129" s="90"/>
      <c r="DM129" s="90"/>
      <c r="DN129" s="90"/>
      <c r="DO129" s="90"/>
      <c r="DP129" s="90"/>
      <c r="DQ129" s="90"/>
      <c r="DR129" s="90"/>
      <c r="DS129" s="90"/>
      <c r="DT129" s="90"/>
      <c r="DU129" s="90"/>
      <c r="DV129" s="90"/>
      <c r="DW129" s="89"/>
      <c r="DX129" s="90"/>
      <c r="DY129" s="90"/>
      <c r="DZ129" s="90"/>
      <c r="EA129" s="90"/>
      <c r="EB129" s="90"/>
      <c r="EC129" s="90"/>
      <c r="ED129" s="90"/>
      <c r="EE129" s="90"/>
      <c r="EF129" s="90"/>
      <c r="EG129" s="90"/>
      <c r="EH129" s="90"/>
      <c r="EI129" s="90"/>
      <c r="EJ129" s="90"/>
      <c r="EK129" s="90"/>
      <c r="EL129" s="90"/>
      <c r="EM129" s="90"/>
      <c r="EN129" s="90"/>
      <c r="EO129" s="89"/>
      <c r="EP129" s="90"/>
      <c r="EQ129" s="90"/>
      <c r="ER129" s="90"/>
      <c r="ES129" s="90"/>
      <c r="ET129" s="90"/>
      <c r="EU129" s="90"/>
      <c r="EV129" s="90"/>
      <c r="EW129" s="90"/>
      <c r="EX129" s="90"/>
      <c r="EY129" s="90"/>
      <c r="EZ129" s="90"/>
      <c r="FA129" s="90"/>
      <c r="FB129" s="90"/>
      <c r="FC129" s="90"/>
      <c r="FD129" s="90"/>
      <c r="FE129" s="90"/>
      <c r="FF129" s="90"/>
      <c r="FG129" s="89"/>
      <c r="FH129" s="90"/>
      <c r="FI129" s="90"/>
      <c r="FJ129" s="90"/>
      <c r="FK129" s="90"/>
      <c r="FL129" s="90"/>
      <c r="FM129" s="90"/>
      <c r="FN129" s="90"/>
      <c r="FO129" s="90"/>
      <c r="FP129" s="90"/>
      <c r="FQ129" s="90"/>
      <c r="FR129" s="90"/>
      <c r="FS129" s="90"/>
      <c r="FT129" s="90"/>
      <c r="FU129" s="90"/>
      <c r="FV129" s="90"/>
      <c r="FW129" s="90"/>
      <c r="FX129" s="90"/>
      <c r="FY129" s="89"/>
      <c r="FZ129" s="90"/>
      <c r="GA129" s="90"/>
      <c r="GB129" s="90"/>
      <c r="GC129" s="90"/>
      <c r="GD129" s="90"/>
      <c r="GE129" s="90"/>
      <c r="GF129" s="90"/>
      <c r="GG129" s="90"/>
      <c r="GH129" s="90"/>
      <c r="GI129" s="90"/>
      <c r="GJ129" s="90"/>
      <c r="GK129" s="90"/>
      <c r="GL129" s="90"/>
      <c r="GM129" s="90"/>
      <c r="GN129" s="90"/>
      <c r="GO129" s="90"/>
      <c r="GP129" s="90"/>
      <c r="GQ129" s="89"/>
      <c r="GR129" s="90"/>
      <c r="GS129" s="90"/>
      <c r="GT129" s="90"/>
      <c r="GU129" s="90"/>
      <c r="GV129" s="90"/>
      <c r="GW129" s="90"/>
      <c r="GX129" s="90"/>
      <c r="GY129" s="90"/>
      <c r="GZ129" s="90"/>
      <c r="HA129" s="90"/>
      <c r="HB129" s="90"/>
      <c r="HC129" s="90"/>
      <c r="HD129" s="90"/>
      <c r="HE129" s="90"/>
      <c r="HF129" s="90"/>
      <c r="HG129" s="90"/>
      <c r="HH129" s="90"/>
      <c r="HI129" s="89"/>
      <c r="HJ129" s="90"/>
      <c r="HK129" s="90"/>
      <c r="HL129" s="90"/>
      <c r="HM129" s="90"/>
      <c r="HN129" s="90"/>
      <c r="HO129" s="90"/>
      <c r="HP129" s="90"/>
      <c r="HQ129" s="90"/>
      <c r="HR129" s="90"/>
      <c r="HS129" s="90"/>
      <c r="HT129" s="90"/>
      <c r="HU129" s="90"/>
      <c r="HV129" s="90"/>
      <c r="HW129" s="90"/>
      <c r="HX129" s="90"/>
      <c r="HY129" s="90"/>
      <c r="HZ129" s="90"/>
      <c r="IA129" s="89"/>
      <c r="IB129" s="90"/>
      <c r="IC129" s="90"/>
      <c r="ID129" s="90"/>
      <c r="IE129" s="90"/>
      <c r="IF129" s="90"/>
      <c r="IG129" s="90"/>
      <c r="IH129" s="90"/>
      <c r="II129" s="90"/>
      <c r="IJ129" s="90"/>
      <c r="IK129" s="90"/>
      <c r="IL129" s="90"/>
      <c r="IM129" s="90"/>
      <c r="IN129" s="90"/>
      <c r="IO129" s="90"/>
      <c r="IP129" s="90"/>
      <c r="IQ129" s="90"/>
      <c r="IR129" s="90"/>
      <c r="IS129" s="89"/>
      <c r="IT129" s="90"/>
      <c r="IU129" s="90"/>
      <c r="IV129" s="90"/>
      <c r="IW129" s="90"/>
      <c r="IX129" s="90"/>
      <c r="IY129" s="90"/>
      <c r="IZ129" s="90"/>
      <c r="JA129" s="90"/>
      <c r="JB129" s="90"/>
      <c r="JC129" s="90"/>
      <c r="JD129" s="90"/>
      <c r="JE129" s="90"/>
      <c r="JF129" s="90"/>
      <c r="JG129" s="90"/>
      <c r="JH129" s="90"/>
      <c r="JI129" s="90"/>
      <c r="JJ129" s="90"/>
      <c r="JK129" s="89"/>
      <c r="JL129" s="90"/>
      <c r="JM129" s="90"/>
      <c r="JN129" s="90"/>
      <c r="JO129" s="90"/>
      <c r="JP129" s="90"/>
      <c r="JQ129" s="90"/>
      <c r="JR129" s="90"/>
      <c r="JS129" s="90"/>
      <c r="JT129" s="90"/>
      <c r="JU129" s="90"/>
      <c r="JV129" s="90"/>
      <c r="JW129" s="90"/>
      <c r="JX129" s="90"/>
      <c r="JY129" s="90"/>
      <c r="JZ129" s="90"/>
      <c r="KA129" s="90"/>
      <c r="KB129" s="90"/>
      <c r="KC129" s="89"/>
      <c r="KD129" s="90"/>
      <c r="KE129" s="90"/>
      <c r="KF129" s="90"/>
      <c r="KG129" s="90"/>
      <c r="KH129" s="90"/>
      <c r="KI129" s="90"/>
      <c r="KJ129" s="90"/>
      <c r="KK129" s="90"/>
      <c r="KL129" s="90"/>
      <c r="KM129" s="90"/>
      <c r="KN129" s="90"/>
      <c r="KO129" s="90"/>
      <c r="KP129" s="90"/>
      <c r="KQ129" s="90"/>
      <c r="KR129" s="90"/>
      <c r="KS129" s="90"/>
      <c r="KT129" s="90"/>
      <c r="KU129" s="89"/>
      <c r="KV129" s="90"/>
      <c r="KW129" s="90"/>
      <c r="KX129" s="90"/>
      <c r="KY129" s="90"/>
      <c r="KZ129" s="90"/>
      <c r="LA129" s="90"/>
      <c r="LB129" s="90"/>
      <c r="LC129" s="90"/>
      <c r="LD129" s="90"/>
      <c r="LE129" s="90"/>
      <c r="LF129" s="90"/>
      <c r="LG129" s="90"/>
      <c r="LH129" s="90"/>
      <c r="LI129" s="90"/>
      <c r="LJ129" s="90"/>
      <c r="LK129" s="90"/>
      <c r="LL129" s="90"/>
      <c r="LM129" s="89"/>
      <c r="LN129" s="90"/>
      <c r="LO129" s="90"/>
      <c r="LP129" s="90"/>
      <c r="LQ129" s="90"/>
      <c r="LR129" s="90"/>
      <c r="LS129" s="90"/>
      <c r="LT129" s="90"/>
      <c r="LU129" s="90"/>
      <c r="LV129" s="90"/>
      <c r="LW129" s="90"/>
      <c r="LX129" s="90"/>
      <c r="LY129" s="90"/>
      <c r="LZ129" s="90"/>
      <c r="MA129" s="90"/>
      <c r="MB129" s="90"/>
      <c r="MC129" s="90"/>
      <c r="MD129" s="90"/>
      <c r="ME129" s="89"/>
      <c r="MF129" s="90"/>
      <c r="MG129" s="90"/>
      <c r="MH129" s="90"/>
      <c r="MI129" s="90"/>
      <c r="MJ129" s="90"/>
      <c r="MK129" s="90"/>
      <c r="ML129" s="90"/>
      <c r="MM129" s="90"/>
      <c r="MN129" s="90"/>
      <c r="MO129" s="90"/>
      <c r="MP129" s="90"/>
      <c r="MQ129" s="90"/>
      <c r="MR129" s="90"/>
      <c r="MS129" s="90"/>
      <c r="MT129" s="90"/>
      <c r="MU129" s="90"/>
      <c r="MV129" s="90"/>
      <c r="MW129" s="89"/>
      <c r="MX129" s="90"/>
      <c r="MY129" s="90"/>
      <c r="MZ129" s="90"/>
      <c r="NA129" s="90"/>
      <c r="NB129" s="90"/>
      <c r="NC129" s="90"/>
      <c r="ND129" s="90"/>
      <c r="NE129" s="90"/>
      <c r="NF129" s="90"/>
      <c r="NG129" s="90"/>
      <c r="NH129" s="90"/>
      <c r="NI129" s="90"/>
      <c r="NJ129" s="90"/>
      <c r="NK129" s="90"/>
      <c r="NL129" s="90"/>
      <c r="NM129" s="90"/>
      <c r="NN129" s="90"/>
      <c r="NO129" s="89"/>
      <c r="NP129" s="90"/>
      <c r="NQ129" s="90"/>
      <c r="NR129" s="90"/>
      <c r="NS129" s="90"/>
      <c r="NT129" s="90"/>
      <c r="NU129" s="90"/>
      <c r="NV129" s="90"/>
      <c r="NW129" s="90"/>
      <c r="NX129" s="90"/>
      <c r="NY129" s="90"/>
      <c r="NZ129" s="90"/>
      <c r="OA129" s="90"/>
      <c r="OB129" s="90"/>
      <c r="OC129" s="90"/>
      <c r="OD129" s="90"/>
      <c r="OE129" s="90"/>
      <c r="OF129" s="90"/>
      <c r="OG129" s="89"/>
      <c r="OH129" s="90"/>
      <c r="OI129" s="90"/>
      <c r="OJ129" s="90"/>
      <c r="OK129" s="90"/>
      <c r="OL129" s="90"/>
      <c r="OM129" s="90"/>
      <c r="ON129" s="90"/>
      <c r="OO129" s="90"/>
      <c r="OP129" s="90"/>
      <c r="OQ129" s="90"/>
      <c r="OR129" s="90"/>
      <c r="OS129" s="90"/>
      <c r="OT129" s="90"/>
      <c r="OU129" s="90"/>
      <c r="OV129" s="90"/>
      <c r="OW129" s="90"/>
      <c r="OX129" s="90"/>
      <c r="OY129" s="89"/>
      <c r="OZ129" s="90"/>
      <c r="PA129" s="90"/>
      <c r="PB129" s="90"/>
      <c r="PC129" s="90"/>
      <c r="PD129" s="90"/>
      <c r="PE129" s="90"/>
      <c r="PF129" s="90"/>
      <c r="PG129" s="90"/>
      <c r="PH129" s="90"/>
      <c r="PI129" s="90"/>
      <c r="PJ129" s="90"/>
      <c r="PK129" s="90"/>
      <c r="PL129" s="90"/>
      <c r="PM129" s="90"/>
      <c r="PN129" s="90"/>
      <c r="PO129" s="90"/>
      <c r="PP129" s="90"/>
      <c r="PQ129" s="89"/>
      <c r="PR129" s="90"/>
      <c r="PS129" s="90"/>
      <c r="PT129" s="90"/>
      <c r="PU129" s="90"/>
      <c r="PV129" s="90"/>
      <c r="PW129" s="90"/>
      <c r="PX129" s="90"/>
      <c r="PY129" s="90"/>
      <c r="PZ129" s="90"/>
      <c r="QA129" s="90"/>
      <c r="QB129" s="90"/>
      <c r="QC129" s="90"/>
      <c r="QD129" s="90"/>
      <c r="QE129" s="90"/>
      <c r="QF129" s="90"/>
      <c r="QG129" s="90"/>
      <c r="QH129" s="90"/>
      <c r="QI129" s="89"/>
      <c r="QJ129" s="90"/>
      <c r="QK129" s="90"/>
      <c r="QL129" s="90"/>
      <c r="QM129" s="90"/>
      <c r="QN129" s="90"/>
      <c r="QO129" s="90"/>
      <c r="QP129" s="90"/>
      <c r="QQ129" s="90"/>
      <c r="QR129" s="90"/>
      <c r="QS129" s="90"/>
      <c r="QT129" s="90"/>
      <c r="QU129" s="90"/>
      <c r="QV129" s="90"/>
      <c r="QW129" s="90"/>
      <c r="QX129" s="90"/>
      <c r="QY129" s="90"/>
      <c r="QZ129" s="90"/>
      <c r="RA129" s="89"/>
      <c r="RB129" s="90"/>
      <c r="RC129" s="90"/>
      <c r="RD129" s="90"/>
      <c r="RE129" s="90"/>
      <c r="RF129" s="90"/>
      <c r="RG129" s="90"/>
      <c r="RH129" s="90"/>
      <c r="RI129" s="90"/>
      <c r="RJ129" s="90"/>
      <c r="RK129" s="90"/>
      <c r="RL129" s="90"/>
      <c r="RM129" s="90"/>
      <c r="RN129" s="90"/>
      <c r="RO129" s="90"/>
      <c r="RP129" s="90"/>
      <c r="RQ129" s="90"/>
      <c r="RR129" s="90"/>
      <c r="RS129" s="89"/>
      <c r="RT129" s="90"/>
      <c r="RU129" s="90"/>
      <c r="RV129" s="90"/>
      <c r="RW129" s="90"/>
      <c r="RX129" s="90"/>
      <c r="RY129" s="90"/>
      <c r="RZ129" s="90"/>
      <c r="SA129" s="90"/>
      <c r="SB129" s="90"/>
      <c r="SC129" s="90"/>
      <c r="SD129" s="90"/>
      <c r="SE129" s="90"/>
      <c r="SF129" s="90"/>
      <c r="SG129" s="90"/>
      <c r="SH129" s="90"/>
      <c r="SI129" s="90"/>
      <c r="SJ129" s="90"/>
      <c r="SK129" s="89"/>
      <c r="SL129" s="90"/>
      <c r="SM129" s="90"/>
      <c r="SN129" s="90"/>
      <c r="SO129" s="90"/>
      <c r="SP129" s="90"/>
      <c r="SQ129" s="90"/>
      <c r="SR129" s="90"/>
      <c r="SS129" s="90"/>
      <c r="ST129" s="90"/>
      <c r="SU129" s="90"/>
      <c r="SV129" s="90"/>
      <c r="SW129" s="90"/>
      <c r="SX129" s="90"/>
      <c r="SY129" s="90"/>
      <c r="SZ129" s="90"/>
      <c r="TA129" s="90"/>
      <c r="TB129" s="90"/>
      <c r="TC129" s="89"/>
      <c r="TD129" s="90"/>
      <c r="TE129" s="90"/>
      <c r="TF129" s="90"/>
      <c r="TG129" s="90"/>
      <c r="TH129" s="90"/>
      <c r="TI129" s="90"/>
      <c r="TJ129" s="90"/>
      <c r="TK129" s="90"/>
      <c r="TL129" s="90"/>
      <c r="TM129" s="90"/>
      <c r="TN129" s="90"/>
      <c r="TO129" s="90"/>
      <c r="TP129" s="90"/>
      <c r="TQ129" s="90"/>
      <c r="TR129" s="90"/>
      <c r="TS129" s="90"/>
      <c r="TT129" s="90"/>
      <c r="TU129" s="89"/>
      <c r="TV129" s="90"/>
      <c r="TW129" s="90"/>
      <c r="TX129" s="90"/>
      <c r="TY129" s="90"/>
      <c r="TZ129" s="90"/>
      <c r="UA129" s="90"/>
      <c r="UB129" s="90"/>
      <c r="UC129" s="90"/>
      <c r="UD129" s="90"/>
      <c r="UE129" s="90"/>
      <c r="UF129" s="90"/>
      <c r="UG129" s="90"/>
      <c r="UH129" s="90"/>
      <c r="UI129" s="90"/>
      <c r="UJ129" s="90"/>
      <c r="UK129" s="90"/>
      <c r="UL129" s="90"/>
      <c r="UM129" s="89"/>
      <c r="UN129" s="90"/>
      <c r="UO129" s="90"/>
      <c r="UP129" s="90"/>
      <c r="UQ129" s="90"/>
      <c r="UR129" s="90"/>
      <c r="US129" s="90"/>
      <c r="UT129" s="90"/>
      <c r="UU129" s="90"/>
      <c r="UV129" s="90"/>
      <c r="UW129" s="90"/>
      <c r="UX129" s="90"/>
      <c r="UY129" s="90"/>
      <c r="UZ129" s="90"/>
      <c r="VA129" s="90"/>
      <c r="VB129" s="90"/>
      <c r="VC129" s="90"/>
      <c r="VD129" s="90"/>
      <c r="VE129" s="89"/>
      <c r="VF129" s="90"/>
      <c r="VG129" s="90"/>
      <c r="VH129" s="90"/>
      <c r="VI129" s="90"/>
      <c r="VJ129" s="90"/>
      <c r="VK129" s="90"/>
      <c r="VL129" s="90"/>
      <c r="VM129" s="90"/>
      <c r="VN129" s="90"/>
      <c r="VO129" s="90"/>
      <c r="VP129" s="90"/>
      <c r="VQ129" s="90"/>
      <c r="VR129" s="90"/>
      <c r="VS129" s="90"/>
      <c r="VT129" s="90"/>
      <c r="VU129" s="90"/>
      <c r="VV129" s="90"/>
      <c r="VW129" s="89"/>
      <c r="VX129" s="90"/>
      <c r="VY129" s="90"/>
      <c r="VZ129" s="90"/>
      <c r="WA129" s="90"/>
      <c r="WB129" s="90"/>
      <c r="WC129" s="90"/>
      <c r="WD129" s="90"/>
      <c r="WE129" s="90"/>
      <c r="WF129" s="90"/>
      <c r="WG129" s="90"/>
      <c r="WH129" s="90"/>
      <c r="WI129" s="90"/>
      <c r="WJ129" s="90"/>
      <c r="WK129" s="90"/>
      <c r="WL129" s="90"/>
      <c r="WM129" s="90"/>
      <c r="WN129" s="90"/>
      <c r="WO129" s="89"/>
      <c r="WP129" s="90"/>
      <c r="WQ129" s="90"/>
      <c r="WR129" s="90"/>
      <c r="WS129" s="90"/>
      <c r="WT129" s="90"/>
      <c r="WU129" s="90"/>
      <c r="WV129" s="90"/>
      <c r="WW129" s="90"/>
      <c r="WX129" s="90"/>
      <c r="WY129" s="90"/>
      <c r="WZ129" s="90"/>
      <c r="XA129" s="90"/>
      <c r="XB129" s="90"/>
      <c r="XC129" s="90"/>
      <c r="XD129" s="90"/>
      <c r="XE129" s="90"/>
      <c r="XF129" s="90"/>
      <c r="XG129" s="89"/>
      <c r="XH129" s="90"/>
      <c r="XI129" s="90"/>
      <c r="XJ129" s="90"/>
      <c r="XK129" s="90"/>
      <c r="XL129" s="90"/>
      <c r="XM129" s="90"/>
      <c r="XN129" s="90"/>
      <c r="XO129" s="90"/>
      <c r="XP129" s="90"/>
      <c r="XQ129" s="90"/>
      <c r="XR129" s="90"/>
      <c r="XS129" s="90"/>
      <c r="XT129" s="90"/>
      <c r="XU129" s="90"/>
      <c r="XV129" s="90"/>
      <c r="XW129" s="90"/>
      <c r="XX129" s="90"/>
      <c r="XY129" s="89"/>
      <c r="XZ129" s="90"/>
      <c r="YA129" s="90"/>
      <c r="YB129" s="90"/>
      <c r="YC129" s="90"/>
      <c r="YD129" s="90"/>
      <c r="YE129" s="90"/>
      <c r="YF129" s="90"/>
      <c r="YG129" s="90"/>
      <c r="YH129" s="90"/>
      <c r="YI129" s="90"/>
      <c r="YJ129" s="90"/>
      <c r="YK129" s="90"/>
      <c r="YL129" s="90"/>
      <c r="YM129" s="90"/>
      <c r="YN129" s="90"/>
      <c r="YO129" s="90"/>
      <c r="YP129" s="90"/>
      <c r="YQ129" s="89"/>
      <c r="YR129" s="90"/>
      <c r="YS129" s="90"/>
      <c r="YT129" s="90"/>
      <c r="YU129" s="90"/>
      <c r="YV129" s="90"/>
      <c r="YW129" s="90"/>
      <c r="YX129" s="90"/>
      <c r="YY129" s="90"/>
      <c r="YZ129" s="90"/>
      <c r="ZA129" s="90"/>
      <c r="ZB129" s="90"/>
      <c r="ZC129" s="90"/>
      <c r="ZD129" s="90"/>
      <c r="ZE129" s="90"/>
      <c r="ZF129" s="90"/>
      <c r="ZG129" s="90"/>
      <c r="ZH129" s="90"/>
      <c r="ZI129" s="89"/>
      <c r="ZJ129" s="90"/>
      <c r="ZK129" s="90"/>
      <c r="ZL129" s="90"/>
      <c r="ZM129" s="90"/>
      <c r="ZN129" s="90"/>
      <c r="ZO129" s="90"/>
      <c r="ZP129" s="90"/>
      <c r="ZQ129" s="90"/>
      <c r="ZR129" s="90"/>
      <c r="ZS129" s="90"/>
      <c r="ZT129" s="90"/>
      <c r="ZU129" s="90"/>
      <c r="ZV129" s="90"/>
      <c r="ZW129" s="90"/>
      <c r="ZX129" s="90"/>
      <c r="ZY129" s="90"/>
      <c r="ZZ129" s="90"/>
      <c r="AAA129" s="89"/>
      <c r="AAB129" s="90"/>
      <c r="AAC129" s="90"/>
      <c r="AAD129" s="90"/>
      <c r="AAE129" s="90"/>
      <c r="AAF129" s="90"/>
      <c r="AAG129" s="90"/>
      <c r="AAH129" s="90"/>
      <c r="AAI129" s="90"/>
      <c r="AAJ129" s="90"/>
      <c r="AAK129" s="90"/>
      <c r="AAL129" s="90"/>
      <c r="AAM129" s="90"/>
      <c r="AAN129" s="90"/>
      <c r="AAO129" s="90"/>
      <c r="AAP129" s="90"/>
      <c r="AAQ129" s="90"/>
      <c r="AAR129" s="90"/>
      <c r="AAS129" s="89"/>
      <c r="AAT129" s="90"/>
      <c r="AAU129" s="90"/>
      <c r="AAV129" s="90"/>
      <c r="AAW129" s="90"/>
      <c r="AAX129" s="90"/>
      <c r="AAY129" s="90"/>
      <c r="AAZ129" s="90"/>
      <c r="ABA129" s="90"/>
      <c r="ABB129" s="90"/>
      <c r="ABC129" s="90"/>
      <c r="ABD129" s="90"/>
      <c r="ABE129" s="90"/>
      <c r="ABF129" s="90"/>
      <c r="ABG129" s="90"/>
      <c r="ABH129" s="90"/>
      <c r="ABI129" s="90"/>
      <c r="ABJ129" s="90"/>
      <c r="ABK129" s="89"/>
      <c r="ABL129" s="90"/>
      <c r="ABM129" s="90"/>
      <c r="ABN129" s="90"/>
      <c r="ABO129" s="90"/>
      <c r="ABP129" s="90"/>
      <c r="ABQ129" s="90"/>
      <c r="ABR129" s="90"/>
      <c r="ABS129" s="90"/>
      <c r="ABT129" s="90"/>
      <c r="ABU129" s="90"/>
      <c r="ABV129" s="90"/>
      <c r="ABW129" s="90"/>
      <c r="ABX129" s="90"/>
      <c r="ABY129" s="90"/>
      <c r="ABZ129" s="90"/>
      <c r="ACA129" s="90"/>
      <c r="ACB129" s="90"/>
      <c r="ACC129" s="89"/>
      <c r="ACD129" s="90"/>
      <c r="ACE129" s="90"/>
      <c r="ACF129" s="90"/>
      <c r="ACG129" s="90"/>
      <c r="ACH129" s="90"/>
      <c r="ACI129" s="90"/>
      <c r="ACJ129" s="90"/>
      <c r="ACK129" s="90"/>
      <c r="ACL129" s="90"/>
      <c r="ACM129" s="90"/>
      <c r="ACN129" s="90"/>
      <c r="ACO129" s="90"/>
      <c r="ACP129" s="90"/>
      <c r="ACQ129" s="90"/>
      <c r="ACR129" s="90"/>
      <c r="ACS129" s="90"/>
      <c r="ACT129" s="90"/>
      <c r="ACU129" s="89"/>
      <c r="ACV129" s="90"/>
      <c r="ACW129" s="90"/>
      <c r="ACX129" s="90"/>
      <c r="ACY129" s="90"/>
      <c r="ACZ129" s="90"/>
      <c r="ADA129" s="90"/>
      <c r="ADB129" s="90"/>
      <c r="ADC129" s="90"/>
      <c r="ADD129" s="90"/>
      <c r="ADE129" s="90"/>
      <c r="ADF129" s="90"/>
      <c r="ADG129" s="90"/>
      <c r="ADH129" s="90"/>
      <c r="ADI129" s="90"/>
      <c r="ADJ129" s="90"/>
      <c r="ADK129" s="90"/>
      <c r="ADL129" s="90"/>
      <c r="ADM129" s="89"/>
      <c r="ADN129" s="90"/>
      <c r="ADO129" s="90"/>
      <c r="ADP129" s="90"/>
      <c r="ADQ129" s="90"/>
      <c r="ADR129" s="90"/>
      <c r="ADS129" s="90"/>
      <c r="ADT129" s="90"/>
      <c r="ADU129" s="90"/>
      <c r="ADV129" s="90"/>
      <c r="ADW129" s="90"/>
      <c r="ADX129" s="90"/>
      <c r="ADY129" s="90"/>
      <c r="ADZ129" s="90"/>
      <c r="AEA129" s="90"/>
      <c r="AEB129" s="90"/>
      <c r="AEC129" s="90"/>
      <c r="AED129" s="90"/>
      <c r="AEE129" s="89"/>
      <c r="AEF129" s="90"/>
      <c r="AEG129" s="90"/>
      <c r="AEH129" s="90"/>
      <c r="AEI129" s="90"/>
      <c r="AEJ129" s="90"/>
      <c r="AEK129" s="90"/>
      <c r="AEL129" s="90"/>
      <c r="AEM129" s="90"/>
      <c r="AEN129" s="90"/>
      <c r="AEO129" s="90"/>
      <c r="AEP129" s="90"/>
      <c r="AEQ129" s="90"/>
      <c r="AER129" s="90"/>
      <c r="AES129" s="90"/>
      <c r="AET129" s="90"/>
      <c r="AEU129" s="90"/>
      <c r="AEV129" s="90"/>
      <c r="AEW129" s="89"/>
      <c r="AEX129" s="90"/>
      <c r="AEY129" s="90"/>
      <c r="AEZ129" s="90"/>
      <c r="AFA129" s="90"/>
      <c r="AFB129" s="90"/>
      <c r="AFC129" s="90"/>
      <c r="AFD129" s="90"/>
      <c r="AFE129" s="90"/>
      <c r="AFF129" s="90"/>
      <c r="AFG129" s="90"/>
      <c r="AFH129" s="90"/>
      <c r="AFI129" s="90"/>
      <c r="AFJ129" s="90"/>
      <c r="AFK129" s="90"/>
      <c r="AFL129" s="90"/>
      <c r="AFM129" s="90"/>
      <c r="AFN129" s="90"/>
      <c r="AFO129" s="89"/>
      <c r="AFP129" s="90"/>
      <c r="AFQ129" s="90"/>
      <c r="AFR129" s="90"/>
      <c r="AFS129" s="90"/>
      <c r="AFT129" s="90"/>
      <c r="AFU129" s="90"/>
      <c r="AFV129" s="90"/>
      <c r="AFW129" s="90"/>
      <c r="AFX129" s="90"/>
      <c r="AFY129" s="90"/>
      <c r="AFZ129" s="90"/>
      <c r="AGA129" s="90"/>
      <c r="AGB129" s="90"/>
      <c r="AGC129" s="90"/>
      <c r="AGD129" s="90"/>
      <c r="AGE129" s="90"/>
      <c r="AGF129" s="90"/>
      <c r="AGG129" s="89"/>
      <c r="AGH129" s="90"/>
      <c r="AGI129" s="90"/>
      <c r="AGJ129" s="90"/>
      <c r="AGK129" s="90"/>
      <c r="AGL129" s="90"/>
      <c r="AGM129" s="90"/>
      <c r="AGN129" s="90"/>
      <c r="AGO129" s="90"/>
      <c r="AGP129" s="90"/>
      <c r="AGQ129" s="90"/>
      <c r="AGR129" s="90"/>
      <c r="AGS129" s="90"/>
      <c r="AGT129" s="90"/>
      <c r="AGU129" s="90"/>
      <c r="AGV129" s="90"/>
      <c r="AGW129" s="90"/>
      <c r="AGX129" s="90"/>
      <c r="AGY129" s="89"/>
      <c r="AGZ129" s="90"/>
      <c r="AHA129" s="90"/>
      <c r="AHB129" s="90"/>
      <c r="AHC129" s="90"/>
      <c r="AHD129" s="90"/>
      <c r="AHE129" s="90"/>
      <c r="AHF129" s="90"/>
      <c r="AHG129" s="90"/>
      <c r="AHH129" s="90"/>
      <c r="AHI129" s="90"/>
      <c r="AHJ129" s="90"/>
      <c r="AHK129" s="90"/>
      <c r="AHL129" s="90"/>
      <c r="AHM129" s="90"/>
      <c r="AHN129" s="90"/>
      <c r="AHO129" s="90"/>
      <c r="AHP129" s="90"/>
      <c r="AHQ129" s="89"/>
      <c r="AHR129" s="90"/>
      <c r="AHS129" s="90"/>
      <c r="AHT129" s="90"/>
      <c r="AHU129" s="90"/>
      <c r="AHV129" s="90"/>
      <c r="AHW129" s="90"/>
      <c r="AHX129" s="90"/>
      <c r="AHY129" s="90"/>
      <c r="AHZ129" s="90"/>
      <c r="AIA129" s="90"/>
      <c r="AIB129" s="90"/>
      <c r="AIC129" s="90"/>
      <c r="AID129" s="90"/>
      <c r="AIE129" s="90"/>
      <c r="AIF129" s="90"/>
      <c r="AIG129" s="90"/>
      <c r="AIH129" s="90"/>
      <c r="AII129" s="89"/>
      <c r="AIJ129" s="90"/>
      <c r="AIK129" s="90"/>
      <c r="AIL129" s="90"/>
      <c r="AIM129" s="90"/>
      <c r="AIN129" s="90"/>
      <c r="AIO129" s="90"/>
      <c r="AIP129" s="90"/>
      <c r="AIQ129" s="90"/>
      <c r="AIR129" s="90"/>
      <c r="AIS129" s="90"/>
      <c r="AIT129" s="90"/>
      <c r="AIU129" s="90"/>
      <c r="AIV129" s="90"/>
      <c r="AIW129" s="90"/>
      <c r="AIX129" s="90"/>
      <c r="AIY129" s="90"/>
      <c r="AIZ129" s="90"/>
      <c r="AJA129" s="89"/>
      <c r="AJB129" s="90"/>
      <c r="AJC129" s="90"/>
      <c r="AJD129" s="90"/>
      <c r="AJE129" s="90"/>
      <c r="AJF129" s="90"/>
      <c r="AJG129" s="90"/>
      <c r="AJH129" s="90"/>
      <c r="AJI129" s="90"/>
      <c r="AJJ129" s="90"/>
      <c r="AJK129" s="90"/>
      <c r="AJL129" s="90"/>
      <c r="AJM129" s="90"/>
      <c r="AJN129" s="90"/>
      <c r="AJO129" s="90"/>
      <c r="AJP129" s="90"/>
      <c r="AJQ129" s="90"/>
      <c r="AJR129" s="90"/>
      <c r="AJS129" s="89"/>
      <c r="AJT129" s="90"/>
      <c r="AJU129" s="90"/>
      <c r="AJV129" s="90"/>
      <c r="AJW129" s="90"/>
      <c r="AJX129" s="90"/>
      <c r="AJY129" s="90"/>
      <c r="AJZ129" s="90"/>
      <c r="AKA129" s="90"/>
      <c r="AKB129" s="90"/>
      <c r="AKC129" s="90"/>
      <c r="AKD129" s="90"/>
      <c r="AKE129" s="90"/>
      <c r="AKF129" s="90"/>
      <c r="AKG129" s="90"/>
      <c r="AKH129" s="90"/>
      <c r="AKI129" s="90"/>
      <c r="AKJ129" s="90"/>
      <c r="AKK129" s="89"/>
      <c r="AKL129" s="90"/>
      <c r="AKM129" s="90"/>
      <c r="AKN129" s="90"/>
      <c r="AKO129" s="90"/>
      <c r="AKP129" s="90"/>
      <c r="AKQ129" s="90"/>
      <c r="AKR129" s="90"/>
      <c r="AKS129" s="90"/>
      <c r="AKT129" s="90"/>
      <c r="AKU129" s="90"/>
      <c r="AKV129" s="90"/>
      <c r="AKW129" s="90"/>
      <c r="AKX129" s="90"/>
      <c r="AKY129" s="90"/>
      <c r="AKZ129" s="90"/>
      <c r="ALA129" s="90"/>
      <c r="ALB129" s="90"/>
      <c r="ALC129" s="89"/>
      <c r="ALD129" s="90"/>
      <c r="ALE129" s="90"/>
      <c r="ALF129" s="90"/>
      <c r="ALG129" s="90"/>
      <c r="ALH129" s="90"/>
      <c r="ALI129" s="90"/>
      <c r="ALJ129" s="90"/>
      <c r="ALK129" s="90"/>
      <c r="ALL129" s="90"/>
      <c r="ALM129" s="90"/>
      <c r="ALN129" s="90"/>
      <c r="ALO129" s="90"/>
      <c r="ALP129" s="90"/>
      <c r="ALQ129" s="90"/>
      <c r="ALR129" s="90"/>
      <c r="ALS129" s="90"/>
      <c r="ALT129" s="90"/>
      <c r="ALU129" s="89"/>
      <c r="ALV129" s="90"/>
      <c r="ALW129" s="90"/>
      <c r="ALX129" s="90"/>
      <c r="ALY129" s="90"/>
      <c r="ALZ129" s="90"/>
      <c r="AMA129" s="90"/>
      <c r="AMB129" s="90"/>
      <c r="AMC129" s="90"/>
      <c r="AMD129" s="90"/>
      <c r="AME129" s="90"/>
      <c r="AMF129" s="90"/>
      <c r="AMG129" s="90"/>
      <c r="AMH129" s="90"/>
      <c r="AMI129" s="90"/>
      <c r="AMJ129" s="90"/>
      <c r="AMK129" s="90"/>
      <c r="AML129" s="90"/>
      <c r="AMM129" s="89"/>
      <c r="AMN129" s="90"/>
      <c r="AMO129" s="90"/>
      <c r="AMP129" s="90"/>
      <c r="AMQ129" s="90"/>
      <c r="AMR129" s="90"/>
      <c r="AMS129" s="90"/>
      <c r="AMT129" s="90"/>
      <c r="AMU129" s="90"/>
      <c r="AMV129" s="90"/>
      <c r="AMW129" s="90"/>
      <c r="AMX129" s="90"/>
      <c r="AMY129" s="90"/>
      <c r="AMZ129" s="90"/>
      <c r="ANA129" s="90"/>
      <c r="ANB129" s="90"/>
      <c r="ANC129" s="90"/>
      <c r="AND129" s="90"/>
      <c r="ANE129" s="89"/>
      <c r="ANF129" s="90"/>
      <c r="ANG129" s="90"/>
      <c r="ANH129" s="90"/>
      <c r="ANI129" s="90"/>
      <c r="ANJ129" s="90"/>
      <c r="ANK129" s="90"/>
      <c r="ANL129" s="90"/>
      <c r="ANM129" s="90"/>
      <c r="ANN129" s="90"/>
      <c r="ANO129" s="90"/>
      <c r="ANP129" s="90"/>
      <c r="ANQ129" s="90"/>
      <c r="ANR129" s="90"/>
      <c r="ANS129" s="90"/>
      <c r="ANT129" s="90"/>
      <c r="ANU129" s="90"/>
      <c r="ANV129" s="90"/>
      <c r="ANW129" s="89"/>
      <c r="ANX129" s="90"/>
      <c r="ANY129" s="90"/>
      <c r="ANZ129" s="90"/>
      <c r="AOA129" s="90"/>
      <c r="AOB129" s="90"/>
      <c r="AOC129" s="90"/>
      <c r="AOD129" s="90"/>
      <c r="AOE129" s="90"/>
      <c r="AOF129" s="90"/>
      <c r="AOG129" s="90"/>
      <c r="AOH129" s="90"/>
      <c r="AOI129" s="90"/>
      <c r="AOJ129" s="90"/>
      <c r="AOK129" s="90"/>
      <c r="AOL129" s="90"/>
      <c r="AOM129" s="90"/>
      <c r="AON129" s="90"/>
      <c r="AOO129" s="89"/>
      <c r="AOP129" s="90"/>
      <c r="AOQ129" s="90"/>
      <c r="AOR129" s="90"/>
      <c r="AOS129" s="90"/>
      <c r="AOT129" s="90"/>
      <c r="AOU129" s="90"/>
      <c r="AOV129" s="90"/>
      <c r="AOW129" s="90"/>
      <c r="AOX129" s="90"/>
      <c r="AOY129" s="90"/>
      <c r="AOZ129" s="90"/>
      <c r="APA129" s="90"/>
      <c r="APB129" s="90"/>
      <c r="APC129" s="90"/>
      <c r="APD129" s="90"/>
      <c r="APE129" s="90"/>
      <c r="APF129" s="90"/>
      <c r="APG129" s="89"/>
      <c r="APH129" s="90"/>
      <c r="API129" s="90"/>
      <c r="APJ129" s="90"/>
      <c r="APK129" s="90"/>
      <c r="APL129" s="90"/>
      <c r="APM129" s="90"/>
      <c r="APN129" s="90"/>
      <c r="APO129" s="90"/>
      <c r="APP129" s="90"/>
      <c r="APQ129" s="90"/>
      <c r="APR129" s="90"/>
      <c r="APS129" s="90"/>
      <c r="APT129" s="90"/>
      <c r="APU129" s="90"/>
      <c r="APV129" s="90"/>
      <c r="APW129" s="90"/>
      <c r="APX129" s="90"/>
      <c r="APY129" s="89"/>
      <c r="APZ129" s="90"/>
      <c r="AQA129" s="90"/>
      <c r="AQB129" s="90"/>
      <c r="AQC129" s="90"/>
      <c r="AQD129" s="90"/>
      <c r="AQE129" s="90"/>
      <c r="AQF129" s="90"/>
      <c r="AQG129" s="90"/>
      <c r="AQH129" s="90"/>
      <c r="AQI129" s="90"/>
      <c r="AQJ129" s="90"/>
      <c r="AQK129" s="90"/>
      <c r="AQL129" s="90"/>
      <c r="AQM129" s="90"/>
      <c r="AQN129" s="90"/>
      <c r="AQO129" s="90"/>
      <c r="AQP129" s="90"/>
      <c r="AQQ129" s="89"/>
      <c r="AQR129" s="90"/>
      <c r="AQS129" s="90"/>
      <c r="AQT129" s="90"/>
      <c r="AQU129" s="90"/>
      <c r="AQV129" s="90"/>
      <c r="AQW129" s="90"/>
      <c r="AQX129" s="90"/>
      <c r="AQY129" s="90"/>
      <c r="AQZ129" s="90"/>
      <c r="ARA129" s="90"/>
      <c r="ARB129" s="90"/>
      <c r="ARC129" s="90"/>
      <c r="ARD129" s="90"/>
      <c r="ARE129" s="90"/>
      <c r="ARF129" s="90"/>
      <c r="ARG129" s="90"/>
      <c r="ARH129" s="90"/>
      <c r="ARI129" s="89"/>
      <c r="ARJ129" s="90"/>
      <c r="ARK129" s="90"/>
      <c r="ARL129" s="90"/>
      <c r="ARM129" s="90"/>
      <c r="ARN129" s="90"/>
      <c r="ARO129" s="90"/>
      <c r="ARP129" s="90"/>
      <c r="ARQ129" s="90"/>
      <c r="ARR129" s="90"/>
      <c r="ARS129" s="90"/>
      <c r="ART129" s="90"/>
      <c r="ARU129" s="90"/>
      <c r="ARV129" s="90"/>
      <c r="ARW129" s="90"/>
      <c r="ARX129" s="90"/>
      <c r="ARY129" s="90"/>
      <c r="ARZ129" s="90"/>
      <c r="ASA129" s="89"/>
      <c r="ASB129" s="90"/>
      <c r="ASC129" s="90"/>
      <c r="ASD129" s="90"/>
      <c r="ASE129" s="90"/>
      <c r="ASF129" s="90"/>
      <c r="ASG129" s="90"/>
      <c r="ASH129" s="90"/>
      <c r="ASI129" s="90"/>
      <c r="ASJ129" s="90"/>
      <c r="ASK129" s="90"/>
      <c r="ASL129" s="90"/>
      <c r="ASM129" s="90"/>
      <c r="ASN129" s="90"/>
      <c r="ASO129" s="90"/>
      <c r="ASP129" s="90"/>
      <c r="ASQ129" s="90"/>
      <c r="ASR129" s="90"/>
      <c r="ASS129" s="89"/>
      <c r="AST129" s="90"/>
      <c r="ASU129" s="90"/>
      <c r="ASV129" s="90"/>
      <c r="ASW129" s="90"/>
      <c r="ASX129" s="90"/>
      <c r="ASY129" s="90"/>
      <c r="ASZ129" s="90"/>
      <c r="ATA129" s="90"/>
      <c r="ATB129" s="90"/>
      <c r="ATC129" s="90"/>
      <c r="ATD129" s="90"/>
      <c r="ATE129" s="90"/>
      <c r="ATF129" s="90"/>
      <c r="ATG129" s="90"/>
      <c r="ATH129" s="90"/>
      <c r="ATI129" s="90"/>
      <c r="ATJ129" s="90"/>
      <c r="ATK129" s="89"/>
      <c r="ATL129" s="90"/>
      <c r="ATM129" s="90"/>
      <c r="ATN129" s="90"/>
      <c r="ATO129" s="90"/>
      <c r="ATP129" s="90"/>
      <c r="ATQ129" s="90"/>
      <c r="ATR129" s="90"/>
      <c r="ATS129" s="90"/>
      <c r="ATT129" s="90"/>
      <c r="ATU129" s="90"/>
      <c r="ATV129" s="90"/>
      <c r="ATW129" s="90"/>
      <c r="ATX129" s="90"/>
      <c r="ATY129" s="90"/>
      <c r="ATZ129" s="90"/>
      <c r="AUA129" s="90"/>
      <c r="AUB129" s="90"/>
      <c r="AUC129" s="89"/>
      <c r="AUD129" s="90"/>
      <c r="AUE129" s="90"/>
      <c r="AUF129" s="90"/>
      <c r="AUG129" s="90"/>
      <c r="AUH129" s="90"/>
      <c r="AUI129" s="90"/>
      <c r="AUJ129" s="90"/>
      <c r="AUK129" s="90"/>
      <c r="AUL129" s="90"/>
      <c r="AUM129" s="90"/>
      <c r="AUN129" s="90"/>
      <c r="AUO129" s="90"/>
      <c r="AUP129" s="90"/>
      <c r="AUQ129" s="90"/>
      <c r="AUR129" s="90"/>
      <c r="AUS129" s="90"/>
      <c r="AUT129" s="90"/>
      <c r="AUU129" s="89"/>
      <c r="AUV129" s="90"/>
      <c r="AUW129" s="90"/>
      <c r="AUX129" s="90"/>
      <c r="AUY129" s="90"/>
      <c r="AUZ129" s="90"/>
      <c r="AVA129" s="90"/>
      <c r="AVB129" s="90"/>
      <c r="AVC129" s="90"/>
      <c r="AVD129" s="90"/>
      <c r="AVE129" s="90"/>
      <c r="AVF129" s="90"/>
      <c r="AVG129" s="90"/>
      <c r="AVH129" s="90"/>
      <c r="AVI129" s="90"/>
      <c r="AVJ129" s="90"/>
      <c r="AVK129" s="90"/>
      <c r="AVL129" s="90"/>
      <c r="AVM129" s="89"/>
      <c r="AVN129" s="90"/>
      <c r="AVO129" s="90"/>
      <c r="AVP129" s="90"/>
      <c r="AVQ129" s="90"/>
      <c r="AVR129" s="90"/>
      <c r="AVS129" s="90"/>
      <c r="AVT129" s="90"/>
      <c r="AVU129" s="90"/>
      <c r="AVV129" s="90"/>
      <c r="AVW129" s="90"/>
      <c r="AVX129" s="90"/>
      <c r="AVY129" s="90"/>
      <c r="AVZ129" s="90"/>
      <c r="AWA129" s="90"/>
      <c r="AWB129" s="90"/>
      <c r="AWC129" s="90"/>
      <c r="AWD129" s="90"/>
      <c r="AWE129" s="89"/>
      <c r="AWF129" s="90"/>
      <c r="AWG129" s="90"/>
      <c r="AWH129" s="90"/>
      <c r="AWI129" s="90"/>
      <c r="AWJ129" s="90"/>
      <c r="AWK129" s="90"/>
      <c r="AWL129" s="90"/>
      <c r="AWM129" s="90"/>
      <c r="AWN129" s="90"/>
      <c r="AWO129" s="90"/>
      <c r="AWP129" s="90"/>
      <c r="AWQ129" s="90"/>
      <c r="AWR129" s="90"/>
      <c r="AWS129" s="90"/>
      <c r="AWT129" s="90"/>
      <c r="AWU129" s="90"/>
      <c r="AWV129" s="90"/>
      <c r="AWW129" s="89"/>
      <c r="AWX129" s="90"/>
      <c r="AWY129" s="90"/>
      <c r="AWZ129" s="90"/>
      <c r="AXA129" s="90"/>
      <c r="AXB129" s="90"/>
      <c r="AXC129" s="90"/>
      <c r="AXD129" s="90"/>
      <c r="AXE129" s="90"/>
      <c r="AXF129" s="90"/>
      <c r="AXG129" s="90"/>
      <c r="AXH129" s="90"/>
      <c r="AXI129" s="90"/>
      <c r="AXJ129" s="90"/>
      <c r="AXK129" s="90"/>
      <c r="AXL129" s="90"/>
      <c r="AXM129" s="90"/>
      <c r="AXN129" s="90"/>
      <c r="AXO129" s="89"/>
      <c r="AXP129" s="90"/>
      <c r="AXQ129" s="90"/>
      <c r="AXR129" s="90"/>
      <c r="AXS129" s="90"/>
      <c r="AXT129" s="90"/>
      <c r="AXU129" s="90"/>
      <c r="AXV129" s="90"/>
      <c r="AXW129" s="90"/>
      <c r="AXX129" s="90"/>
      <c r="AXY129" s="90"/>
      <c r="AXZ129" s="90"/>
      <c r="AYA129" s="90"/>
      <c r="AYB129" s="90"/>
      <c r="AYC129" s="90"/>
      <c r="AYD129" s="90"/>
      <c r="AYE129" s="90"/>
      <c r="AYF129" s="90"/>
      <c r="AYG129" s="89"/>
      <c r="AYH129" s="90"/>
      <c r="AYI129" s="90"/>
      <c r="AYJ129" s="90"/>
      <c r="AYK129" s="90"/>
      <c r="AYL129" s="90"/>
      <c r="AYM129" s="90"/>
      <c r="AYN129" s="90"/>
      <c r="AYO129" s="90"/>
      <c r="AYP129" s="90"/>
      <c r="AYQ129" s="90"/>
      <c r="AYR129" s="90"/>
      <c r="AYS129" s="90"/>
      <c r="AYT129" s="90"/>
      <c r="AYU129" s="90"/>
      <c r="AYV129" s="90"/>
      <c r="AYW129" s="90"/>
      <c r="AYX129" s="90"/>
      <c r="AYY129" s="89"/>
      <c r="AYZ129" s="90"/>
      <c r="AZA129" s="90"/>
      <c r="AZB129" s="90"/>
      <c r="AZC129" s="90"/>
      <c r="AZD129" s="90"/>
      <c r="AZE129" s="90"/>
      <c r="AZF129" s="90"/>
      <c r="AZG129" s="90"/>
      <c r="AZH129" s="90"/>
      <c r="AZI129" s="90"/>
      <c r="AZJ129" s="90"/>
      <c r="AZK129" s="90"/>
      <c r="AZL129" s="90"/>
      <c r="AZM129" s="90"/>
      <c r="AZN129" s="90"/>
      <c r="AZO129" s="90"/>
      <c r="AZP129" s="90"/>
      <c r="AZQ129" s="89"/>
      <c r="AZR129" s="90"/>
      <c r="AZS129" s="90"/>
      <c r="AZT129" s="90"/>
      <c r="AZU129" s="90"/>
      <c r="AZV129" s="90"/>
      <c r="AZW129" s="90"/>
      <c r="AZX129" s="90"/>
      <c r="AZY129" s="90"/>
      <c r="AZZ129" s="90"/>
      <c r="BAA129" s="90"/>
      <c r="BAB129" s="90"/>
      <c r="BAC129" s="90"/>
      <c r="BAD129" s="90"/>
      <c r="BAE129" s="90"/>
      <c r="BAF129" s="90"/>
      <c r="BAG129" s="90"/>
      <c r="BAH129" s="90"/>
      <c r="BAI129" s="89"/>
      <c r="BAJ129" s="90"/>
      <c r="BAK129" s="90"/>
      <c r="BAL129" s="90"/>
      <c r="BAM129" s="90"/>
      <c r="BAN129" s="90"/>
      <c r="BAO129" s="90"/>
      <c r="BAP129" s="90"/>
      <c r="BAQ129" s="90"/>
      <c r="BAR129" s="90"/>
      <c r="BAS129" s="90"/>
      <c r="BAT129" s="90"/>
      <c r="BAU129" s="90"/>
      <c r="BAV129" s="90"/>
      <c r="BAW129" s="90"/>
      <c r="BAX129" s="90"/>
      <c r="BAY129" s="90"/>
      <c r="BAZ129" s="90"/>
      <c r="BBA129" s="89"/>
      <c r="BBB129" s="90"/>
      <c r="BBC129" s="90"/>
      <c r="BBD129" s="90"/>
      <c r="BBE129" s="90"/>
      <c r="BBF129" s="90"/>
      <c r="BBG129" s="90"/>
      <c r="BBH129" s="90"/>
      <c r="BBI129" s="90"/>
      <c r="BBJ129" s="90"/>
      <c r="BBK129" s="90"/>
      <c r="BBL129" s="90"/>
      <c r="BBM129" s="90"/>
      <c r="BBN129" s="90"/>
      <c r="BBO129" s="90"/>
      <c r="BBP129" s="90"/>
      <c r="BBQ129" s="90"/>
      <c r="BBR129" s="90"/>
      <c r="BBS129" s="89"/>
      <c r="BBT129" s="90"/>
      <c r="BBU129" s="90"/>
      <c r="BBV129" s="90"/>
      <c r="BBW129" s="90"/>
      <c r="BBX129" s="90"/>
      <c r="BBY129" s="90"/>
      <c r="BBZ129" s="90"/>
      <c r="BCA129" s="90"/>
      <c r="BCB129" s="90"/>
      <c r="BCC129" s="90"/>
      <c r="BCD129" s="90"/>
      <c r="BCE129" s="90"/>
      <c r="BCF129" s="90"/>
      <c r="BCG129" s="90"/>
      <c r="BCH129" s="90"/>
      <c r="BCI129" s="90"/>
      <c r="BCJ129" s="90"/>
      <c r="BCK129" s="89"/>
      <c r="BCL129" s="90"/>
      <c r="BCM129" s="90"/>
      <c r="BCN129" s="90"/>
      <c r="BCO129" s="90"/>
      <c r="BCP129" s="90"/>
      <c r="BCQ129" s="90"/>
      <c r="BCR129" s="90"/>
      <c r="BCS129" s="90"/>
      <c r="BCT129" s="90"/>
      <c r="BCU129" s="90"/>
      <c r="BCV129" s="90"/>
      <c r="BCW129" s="90"/>
      <c r="BCX129" s="90"/>
      <c r="BCY129" s="90"/>
      <c r="BCZ129" s="90"/>
      <c r="BDA129" s="90"/>
      <c r="BDB129" s="90"/>
      <c r="BDC129" s="89"/>
      <c r="BDD129" s="90"/>
      <c r="BDE129" s="90"/>
      <c r="BDF129" s="90"/>
      <c r="BDG129" s="90"/>
      <c r="BDH129" s="90"/>
      <c r="BDI129" s="90"/>
      <c r="BDJ129" s="90"/>
      <c r="BDK129" s="90"/>
      <c r="BDL129" s="90"/>
      <c r="BDM129" s="90"/>
      <c r="BDN129" s="90"/>
      <c r="BDO129" s="90"/>
      <c r="BDP129" s="90"/>
      <c r="BDQ129" s="90"/>
      <c r="BDR129" s="90"/>
      <c r="BDS129" s="90"/>
      <c r="BDT129" s="90"/>
      <c r="BDU129" s="89"/>
      <c r="BDV129" s="90"/>
      <c r="BDW129" s="90"/>
      <c r="BDX129" s="90"/>
      <c r="BDY129" s="90"/>
      <c r="BDZ129" s="90"/>
      <c r="BEA129" s="90"/>
      <c r="BEB129" s="90"/>
      <c r="BEC129" s="90"/>
      <c r="BED129" s="90"/>
      <c r="BEE129" s="90"/>
      <c r="BEF129" s="90"/>
      <c r="BEG129" s="90"/>
      <c r="BEH129" s="90"/>
      <c r="BEI129" s="90"/>
      <c r="BEJ129" s="90"/>
      <c r="BEK129" s="90"/>
      <c r="BEL129" s="90"/>
      <c r="BEM129" s="89"/>
      <c r="BEN129" s="90"/>
      <c r="BEO129" s="90"/>
      <c r="BEP129" s="90"/>
      <c r="BEQ129" s="90"/>
      <c r="BER129" s="90"/>
      <c r="BES129" s="90"/>
      <c r="BET129" s="90"/>
      <c r="BEU129" s="90"/>
      <c r="BEV129" s="90"/>
      <c r="BEW129" s="90"/>
      <c r="BEX129" s="90"/>
      <c r="BEY129" s="90"/>
      <c r="BEZ129" s="90"/>
      <c r="BFA129" s="90"/>
      <c r="BFB129" s="90"/>
      <c r="BFC129" s="90"/>
      <c r="BFD129" s="90"/>
      <c r="BFE129" s="89"/>
      <c r="BFF129" s="90"/>
      <c r="BFG129" s="90"/>
      <c r="BFH129" s="90"/>
      <c r="BFI129" s="90"/>
      <c r="BFJ129" s="90"/>
      <c r="BFK129" s="90"/>
      <c r="BFL129" s="90"/>
      <c r="BFM129" s="90"/>
      <c r="BFN129" s="90"/>
      <c r="BFO129" s="90"/>
      <c r="BFP129" s="90"/>
      <c r="BFQ129" s="90"/>
      <c r="BFR129" s="90"/>
      <c r="BFS129" s="90"/>
      <c r="BFT129" s="90"/>
      <c r="BFU129" s="90"/>
      <c r="BFV129" s="90"/>
      <c r="BFW129" s="89"/>
      <c r="BFX129" s="90"/>
      <c r="BFY129" s="90"/>
      <c r="BFZ129" s="90"/>
      <c r="BGA129" s="90"/>
      <c r="BGB129" s="90"/>
      <c r="BGC129" s="90"/>
      <c r="BGD129" s="90"/>
      <c r="BGE129" s="90"/>
      <c r="BGF129" s="90"/>
      <c r="BGG129" s="90"/>
      <c r="BGH129" s="90"/>
      <c r="BGI129" s="90"/>
      <c r="BGJ129" s="90"/>
      <c r="BGK129" s="90"/>
      <c r="BGL129" s="90"/>
      <c r="BGM129" s="90"/>
      <c r="BGN129" s="90"/>
      <c r="BGO129" s="89"/>
      <c r="BGP129" s="90"/>
      <c r="BGQ129" s="90"/>
      <c r="BGR129" s="90"/>
      <c r="BGS129" s="90"/>
      <c r="BGT129" s="90"/>
      <c r="BGU129" s="90"/>
      <c r="BGV129" s="90"/>
      <c r="BGW129" s="90"/>
      <c r="BGX129" s="90"/>
      <c r="BGY129" s="90"/>
      <c r="BGZ129" s="90"/>
      <c r="BHA129" s="90"/>
      <c r="BHB129" s="90"/>
      <c r="BHC129" s="90"/>
      <c r="BHD129" s="90"/>
      <c r="BHE129" s="90"/>
      <c r="BHF129" s="90"/>
      <c r="BHG129" s="89"/>
      <c r="BHH129" s="90"/>
      <c r="BHI129" s="90"/>
      <c r="BHJ129" s="90"/>
      <c r="BHK129" s="90"/>
      <c r="BHL129" s="90"/>
      <c r="BHM129" s="90"/>
      <c r="BHN129" s="90"/>
      <c r="BHO129" s="90"/>
      <c r="BHP129" s="90"/>
      <c r="BHQ129" s="90"/>
      <c r="BHR129" s="90"/>
      <c r="BHS129" s="90"/>
      <c r="BHT129" s="90"/>
      <c r="BHU129" s="90"/>
      <c r="BHV129" s="90"/>
      <c r="BHW129" s="90"/>
      <c r="BHX129" s="90"/>
      <c r="BHY129" s="89"/>
      <c r="BHZ129" s="90"/>
      <c r="BIA129" s="90"/>
      <c r="BIB129" s="90"/>
      <c r="BIC129" s="90"/>
      <c r="BID129" s="90"/>
      <c r="BIE129" s="90"/>
      <c r="BIF129" s="90"/>
      <c r="BIG129" s="90"/>
      <c r="BIH129" s="90"/>
      <c r="BII129" s="90"/>
      <c r="BIJ129" s="90"/>
      <c r="BIK129" s="90"/>
      <c r="BIL129" s="90"/>
      <c r="BIM129" s="90"/>
      <c r="BIN129" s="90"/>
      <c r="BIO129" s="90"/>
      <c r="BIP129" s="90"/>
      <c r="BIQ129" s="89"/>
      <c r="BIR129" s="90"/>
      <c r="BIS129" s="90"/>
      <c r="BIT129" s="90"/>
      <c r="BIU129" s="90"/>
      <c r="BIV129" s="90"/>
      <c r="BIW129" s="90"/>
      <c r="BIX129" s="90"/>
      <c r="BIY129" s="90"/>
      <c r="BIZ129" s="90"/>
      <c r="BJA129" s="90"/>
      <c r="BJB129" s="90"/>
      <c r="BJC129" s="90"/>
      <c r="BJD129" s="90"/>
      <c r="BJE129" s="90"/>
      <c r="BJF129" s="90"/>
      <c r="BJG129" s="90"/>
      <c r="BJH129" s="90"/>
      <c r="BJI129" s="89"/>
      <c r="BJJ129" s="90"/>
      <c r="BJK129" s="90"/>
      <c r="BJL129" s="90"/>
      <c r="BJM129" s="90"/>
      <c r="BJN129" s="90"/>
      <c r="BJO129" s="90"/>
      <c r="BJP129" s="90"/>
      <c r="BJQ129" s="90"/>
      <c r="BJR129" s="90"/>
      <c r="BJS129" s="90"/>
      <c r="BJT129" s="90"/>
      <c r="BJU129" s="90"/>
      <c r="BJV129" s="90"/>
      <c r="BJW129" s="90"/>
      <c r="BJX129" s="90"/>
      <c r="BJY129" s="90"/>
      <c r="BJZ129" s="90"/>
      <c r="BKA129" s="89"/>
      <c r="BKB129" s="90"/>
      <c r="BKC129" s="90"/>
      <c r="BKD129" s="90"/>
      <c r="BKE129" s="90"/>
      <c r="BKF129" s="90"/>
      <c r="BKG129" s="90"/>
      <c r="BKH129" s="90"/>
      <c r="BKI129" s="90"/>
      <c r="BKJ129" s="90"/>
      <c r="BKK129" s="90"/>
      <c r="BKL129" s="90"/>
      <c r="BKM129" s="90"/>
      <c r="BKN129" s="90"/>
      <c r="BKO129" s="90"/>
      <c r="BKP129" s="90"/>
      <c r="BKQ129" s="90"/>
      <c r="BKR129" s="90"/>
      <c r="BKS129" s="89"/>
      <c r="BKT129" s="90"/>
      <c r="BKU129" s="90"/>
      <c r="BKV129" s="90"/>
      <c r="BKW129" s="90"/>
      <c r="BKX129" s="90"/>
      <c r="BKY129" s="90"/>
      <c r="BKZ129" s="90"/>
      <c r="BLA129" s="90"/>
      <c r="BLB129" s="90"/>
      <c r="BLC129" s="90"/>
      <c r="BLD129" s="90"/>
      <c r="BLE129" s="90"/>
      <c r="BLF129" s="90"/>
      <c r="BLG129" s="90"/>
      <c r="BLH129" s="90"/>
      <c r="BLI129" s="90"/>
      <c r="BLJ129" s="90"/>
      <c r="BLK129" s="89"/>
      <c r="BLL129" s="90"/>
      <c r="BLM129" s="90"/>
      <c r="BLN129" s="90"/>
      <c r="BLO129" s="90"/>
      <c r="BLP129" s="90"/>
      <c r="BLQ129" s="90"/>
      <c r="BLR129" s="90"/>
      <c r="BLS129" s="90"/>
      <c r="BLT129" s="90"/>
      <c r="BLU129" s="90"/>
      <c r="BLV129" s="90"/>
      <c r="BLW129" s="90"/>
      <c r="BLX129" s="90"/>
      <c r="BLY129" s="90"/>
      <c r="BLZ129" s="90"/>
      <c r="BMA129" s="90"/>
      <c r="BMB129" s="90"/>
      <c r="BMC129" s="89"/>
      <c r="BMD129" s="90"/>
      <c r="BME129" s="90"/>
      <c r="BMF129" s="90"/>
      <c r="BMG129" s="90"/>
      <c r="BMH129" s="90"/>
      <c r="BMI129" s="90"/>
      <c r="BMJ129" s="90"/>
      <c r="BMK129" s="90"/>
      <c r="BML129" s="90"/>
      <c r="BMM129" s="90"/>
      <c r="BMN129" s="90"/>
      <c r="BMO129" s="90"/>
      <c r="BMP129" s="90"/>
      <c r="BMQ129" s="90"/>
      <c r="BMR129" s="90"/>
      <c r="BMS129" s="90"/>
      <c r="BMT129" s="90"/>
      <c r="BMU129" s="89"/>
      <c r="BMV129" s="90"/>
      <c r="BMW129" s="90"/>
      <c r="BMX129" s="90"/>
      <c r="BMY129" s="90"/>
      <c r="BMZ129" s="90"/>
      <c r="BNA129" s="90"/>
      <c r="BNB129" s="90"/>
      <c r="BNC129" s="90"/>
      <c r="BND129" s="90"/>
      <c r="BNE129" s="90"/>
      <c r="BNF129" s="90"/>
      <c r="BNG129" s="90"/>
      <c r="BNH129" s="90"/>
      <c r="BNI129" s="90"/>
      <c r="BNJ129" s="90"/>
      <c r="BNK129" s="90"/>
      <c r="BNL129" s="90"/>
      <c r="BNM129" s="89"/>
      <c r="BNN129" s="90"/>
      <c r="BNO129" s="90"/>
      <c r="BNP129" s="90"/>
      <c r="BNQ129" s="90"/>
      <c r="BNR129" s="90"/>
      <c r="BNS129" s="90"/>
      <c r="BNT129" s="90"/>
      <c r="BNU129" s="90"/>
      <c r="BNV129" s="90"/>
      <c r="BNW129" s="90"/>
      <c r="BNX129" s="90"/>
      <c r="BNY129" s="90"/>
      <c r="BNZ129" s="90"/>
      <c r="BOA129" s="90"/>
      <c r="BOB129" s="90"/>
      <c r="BOC129" s="90"/>
      <c r="BOD129" s="90"/>
      <c r="BOE129" s="89"/>
      <c r="BOF129" s="90"/>
      <c r="BOG129" s="90"/>
      <c r="BOH129" s="90"/>
      <c r="BOI129" s="90"/>
      <c r="BOJ129" s="90"/>
      <c r="BOK129" s="90"/>
      <c r="BOL129" s="90"/>
      <c r="BOM129" s="90"/>
      <c r="BON129" s="90"/>
      <c r="BOO129" s="90"/>
      <c r="BOP129" s="90"/>
      <c r="BOQ129" s="90"/>
      <c r="BOR129" s="90"/>
      <c r="BOS129" s="90"/>
      <c r="BOT129" s="90"/>
      <c r="BOU129" s="90"/>
      <c r="BOV129" s="90"/>
      <c r="BOW129" s="89"/>
      <c r="BOX129" s="90"/>
      <c r="BOY129" s="90"/>
      <c r="BOZ129" s="90"/>
      <c r="BPA129" s="90"/>
      <c r="BPB129" s="90"/>
      <c r="BPC129" s="90"/>
      <c r="BPD129" s="90"/>
      <c r="BPE129" s="90"/>
      <c r="BPF129" s="90"/>
      <c r="BPG129" s="90"/>
      <c r="BPH129" s="90"/>
      <c r="BPI129" s="90"/>
      <c r="BPJ129" s="90"/>
      <c r="BPK129" s="90"/>
      <c r="BPL129" s="90"/>
      <c r="BPM129" s="90"/>
      <c r="BPN129" s="90"/>
      <c r="BPO129" s="89"/>
      <c r="BPP129" s="90"/>
      <c r="BPQ129" s="90"/>
      <c r="BPR129" s="90"/>
      <c r="BPS129" s="90"/>
      <c r="BPT129" s="90"/>
      <c r="BPU129" s="90"/>
      <c r="BPV129" s="90"/>
      <c r="BPW129" s="90"/>
      <c r="BPX129" s="90"/>
      <c r="BPY129" s="90"/>
      <c r="BPZ129" s="90"/>
      <c r="BQA129" s="90"/>
      <c r="BQB129" s="90"/>
      <c r="BQC129" s="90"/>
      <c r="BQD129" s="90"/>
      <c r="BQE129" s="90"/>
      <c r="BQF129" s="90"/>
      <c r="BQG129" s="89"/>
      <c r="BQH129" s="90"/>
      <c r="BQI129" s="90"/>
      <c r="BQJ129" s="90"/>
      <c r="BQK129" s="90"/>
      <c r="BQL129" s="90"/>
      <c r="BQM129" s="90"/>
      <c r="BQN129" s="90"/>
      <c r="BQO129" s="90"/>
      <c r="BQP129" s="90"/>
      <c r="BQQ129" s="90"/>
      <c r="BQR129" s="90"/>
      <c r="BQS129" s="90"/>
      <c r="BQT129" s="90"/>
      <c r="BQU129" s="90"/>
      <c r="BQV129" s="90"/>
      <c r="BQW129" s="90"/>
      <c r="BQX129" s="90"/>
      <c r="BQY129" s="89"/>
      <c r="BQZ129" s="90"/>
      <c r="BRA129" s="90"/>
      <c r="BRB129" s="90"/>
      <c r="BRC129" s="90"/>
      <c r="BRD129" s="90"/>
      <c r="BRE129" s="90"/>
      <c r="BRF129" s="90"/>
      <c r="BRG129" s="90"/>
      <c r="BRH129" s="90"/>
      <c r="BRI129" s="90"/>
      <c r="BRJ129" s="90"/>
      <c r="BRK129" s="90"/>
      <c r="BRL129" s="90"/>
      <c r="BRM129" s="90"/>
      <c r="BRN129" s="90"/>
      <c r="BRO129" s="90"/>
      <c r="BRP129" s="90"/>
      <c r="BRQ129" s="89"/>
      <c r="BRR129" s="90"/>
      <c r="BRS129" s="90"/>
      <c r="BRT129" s="90"/>
      <c r="BRU129" s="90"/>
      <c r="BRV129" s="90"/>
      <c r="BRW129" s="90"/>
      <c r="BRX129" s="90"/>
      <c r="BRY129" s="90"/>
      <c r="BRZ129" s="90"/>
      <c r="BSA129" s="90"/>
      <c r="BSB129" s="90"/>
      <c r="BSC129" s="90"/>
      <c r="BSD129" s="90"/>
      <c r="BSE129" s="90"/>
      <c r="BSF129" s="90"/>
      <c r="BSG129" s="90"/>
      <c r="BSH129" s="90"/>
      <c r="BSI129" s="89"/>
      <c r="BSJ129" s="90"/>
      <c r="BSK129" s="90"/>
      <c r="BSL129" s="90"/>
      <c r="BSM129" s="90"/>
      <c r="BSN129" s="90"/>
      <c r="BSO129" s="90"/>
      <c r="BSP129" s="90"/>
      <c r="BSQ129" s="90"/>
      <c r="BSR129" s="90"/>
      <c r="BSS129" s="90"/>
      <c r="BST129" s="90"/>
      <c r="BSU129" s="90"/>
      <c r="BSV129" s="90"/>
      <c r="BSW129" s="90"/>
      <c r="BSX129" s="90"/>
      <c r="BSY129" s="90"/>
      <c r="BSZ129" s="90"/>
      <c r="BTA129" s="89"/>
      <c r="BTB129" s="90"/>
      <c r="BTC129" s="90"/>
      <c r="BTD129" s="90"/>
      <c r="BTE129" s="90"/>
      <c r="BTF129" s="90"/>
      <c r="BTG129" s="90"/>
      <c r="BTH129" s="90"/>
      <c r="BTI129" s="90"/>
      <c r="BTJ129" s="90"/>
      <c r="BTK129" s="90"/>
      <c r="BTL129" s="90"/>
      <c r="BTM129" s="90"/>
      <c r="BTN129" s="90"/>
      <c r="BTO129" s="90"/>
      <c r="BTP129" s="90"/>
      <c r="BTQ129" s="90"/>
      <c r="BTR129" s="90"/>
      <c r="BTS129" s="89"/>
      <c r="BTT129" s="90"/>
      <c r="BTU129" s="90"/>
      <c r="BTV129" s="90"/>
      <c r="BTW129" s="90"/>
      <c r="BTX129" s="90"/>
      <c r="BTY129" s="90"/>
      <c r="BTZ129" s="90"/>
      <c r="BUA129" s="90"/>
      <c r="BUB129" s="90"/>
      <c r="BUC129" s="90"/>
      <c r="BUD129" s="90"/>
      <c r="BUE129" s="90"/>
      <c r="BUF129" s="90"/>
      <c r="BUG129" s="90"/>
      <c r="BUH129" s="90"/>
      <c r="BUI129" s="90"/>
      <c r="BUJ129" s="90"/>
      <c r="BUK129" s="89"/>
      <c r="BUL129" s="90"/>
      <c r="BUM129" s="90"/>
      <c r="BUN129" s="90"/>
      <c r="BUO129" s="90"/>
      <c r="BUP129" s="90"/>
      <c r="BUQ129" s="90"/>
      <c r="BUR129" s="90"/>
      <c r="BUS129" s="90"/>
      <c r="BUT129" s="90"/>
      <c r="BUU129" s="90"/>
      <c r="BUV129" s="90"/>
      <c r="BUW129" s="90"/>
      <c r="BUX129" s="90"/>
      <c r="BUY129" s="90"/>
      <c r="BUZ129" s="90"/>
      <c r="BVA129" s="90"/>
      <c r="BVB129" s="90"/>
      <c r="BVC129" s="89"/>
      <c r="BVD129" s="90"/>
      <c r="BVE129" s="90"/>
      <c r="BVF129" s="90"/>
      <c r="BVG129" s="90"/>
      <c r="BVH129" s="90"/>
      <c r="BVI129" s="90"/>
      <c r="BVJ129" s="90"/>
      <c r="BVK129" s="90"/>
      <c r="BVL129" s="90"/>
      <c r="BVM129" s="90"/>
      <c r="BVN129" s="90"/>
      <c r="BVO129" s="90"/>
      <c r="BVP129" s="90"/>
      <c r="BVQ129" s="90"/>
      <c r="BVR129" s="90"/>
      <c r="BVS129" s="90"/>
      <c r="BVT129" s="90"/>
      <c r="BVU129" s="89"/>
      <c r="BVV129" s="90"/>
      <c r="BVW129" s="90"/>
      <c r="BVX129" s="90"/>
      <c r="BVY129" s="90"/>
      <c r="BVZ129" s="90"/>
      <c r="BWA129" s="90"/>
      <c r="BWB129" s="90"/>
      <c r="BWC129" s="90"/>
      <c r="BWD129" s="90"/>
      <c r="BWE129" s="90"/>
      <c r="BWF129" s="90"/>
      <c r="BWG129" s="90"/>
      <c r="BWH129" s="90"/>
      <c r="BWI129" s="90"/>
      <c r="BWJ129" s="90"/>
      <c r="BWK129" s="90"/>
      <c r="BWL129" s="90"/>
      <c r="BWM129" s="89"/>
      <c r="BWN129" s="90"/>
      <c r="BWO129" s="90"/>
      <c r="BWP129" s="90"/>
      <c r="BWQ129" s="90"/>
      <c r="BWR129" s="90"/>
      <c r="BWS129" s="90"/>
      <c r="BWT129" s="90"/>
      <c r="BWU129" s="90"/>
      <c r="BWV129" s="90"/>
      <c r="BWW129" s="90"/>
      <c r="BWX129" s="90"/>
      <c r="BWY129" s="90"/>
      <c r="BWZ129" s="90"/>
      <c r="BXA129" s="90"/>
      <c r="BXB129" s="90"/>
      <c r="BXC129" s="90"/>
      <c r="BXD129" s="90"/>
      <c r="BXE129" s="89"/>
      <c r="BXF129" s="90"/>
      <c r="BXG129" s="90"/>
      <c r="BXH129" s="90"/>
      <c r="BXI129" s="90"/>
      <c r="BXJ129" s="90"/>
      <c r="BXK129" s="90"/>
      <c r="BXL129" s="90"/>
      <c r="BXM129" s="90"/>
      <c r="BXN129" s="90"/>
      <c r="BXO129" s="90"/>
      <c r="BXP129" s="90"/>
      <c r="BXQ129" s="90"/>
      <c r="BXR129" s="90"/>
      <c r="BXS129" s="90"/>
      <c r="BXT129" s="90"/>
      <c r="BXU129" s="90"/>
      <c r="BXV129" s="90"/>
      <c r="BXW129" s="89"/>
      <c r="BXX129" s="90"/>
      <c r="BXY129" s="90"/>
      <c r="BXZ129" s="90"/>
      <c r="BYA129" s="90"/>
      <c r="BYB129" s="90"/>
      <c r="BYC129" s="90"/>
      <c r="BYD129" s="90"/>
      <c r="BYE129" s="90"/>
      <c r="BYF129" s="90"/>
      <c r="BYG129" s="90"/>
      <c r="BYH129" s="90"/>
      <c r="BYI129" s="90"/>
      <c r="BYJ129" s="90"/>
      <c r="BYK129" s="90"/>
      <c r="BYL129" s="90"/>
      <c r="BYM129" s="90"/>
      <c r="BYN129" s="90"/>
      <c r="BYO129" s="89"/>
      <c r="BYP129" s="90"/>
      <c r="BYQ129" s="90"/>
      <c r="BYR129" s="90"/>
      <c r="BYS129" s="90"/>
      <c r="BYT129" s="90"/>
      <c r="BYU129" s="90"/>
      <c r="BYV129" s="90"/>
      <c r="BYW129" s="90"/>
      <c r="BYX129" s="90"/>
      <c r="BYY129" s="90"/>
      <c r="BYZ129" s="90"/>
      <c r="BZA129" s="90"/>
      <c r="BZB129" s="90"/>
      <c r="BZC129" s="90"/>
      <c r="BZD129" s="90"/>
      <c r="BZE129" s="90"/>
      <c r="BZF129" s="90"/>
      <c r="BZG129" s="89"/>
      <c r="BZH129" s="90"/>
      <c r="BZI129" s="90"/>
      <c r="BZJ129" s="90"/>
      <c r="BZK129" s="90"/>
      <c r="BZL129" s="90"/>
      <c r="BZM129" s="90"/>
      <c r="BZN129" s="90"/>
      <c r="BZO129" s="90"/>
      <c r="BZP129" s="90"/>
      <c r="BZQ129" s="90"/>
      <c r="BZR129" s="90"/>
      <c r="BZS129" s="90"/>
      <c r="BZT129" s="90"/>
      <c r="BZU129" s="90"/>
      <c r="BZV129" s="90"/>
      <c r="BZW129" s="90"/>
      <c r="BZX129" s="90"/>
      <c r="BZY129" s="89"/>
      <c r="BZZ129" s="90"/>
      <c r="CAA129" s="90"/>
      <c r="CAB129" s="90"/>
      <c r="CAC129" s="90"/>
      <c r="CAD129" s="90"/>
      <c r="CAE129" s="90"/>
      <c r="CAF129" s="90"/>
      <c r="CAG129" s="90"/>
      <c r="CAH129" s="90"/>
      <c r="CAI129" s="90"/>
      <c r="CAJ129" s="90"/>
      <c r="CAK129" s="90"/>
      <c r="CAL129" s="90"/>
      <c r="CAM129" s="90"/>
      <c r="CAN129" s="90"/>
      <c r="CAO129" s="90"/>
      <c r="CAP129" s="90"/>
      <c r="CAQ129" s="89"/>
      <c r="CAR129" s="90"/>
      <c r="CAS129" s="90"/>
      <c r="CAT129" s="90"/>
      <c r="CAU129" s="90"/>
      <c r="CAV129" s="90"/>
      <c r="CAW129" s="90"/>
      <c r="CAX129" s="90"/>
      <c r="CAY129" s="90"/>
      <c r="CAZ129" s="90"/>
      <c r="CBA129" s="90"/>
      <c r="CBB129" s="90"/>
      <c r="CBC129" s="90"/>
      <c r="CBD129" s="90"/>
      <c r="CBE129" s="90"/>
      <c r="CBF129" s="90"/>
      <c r="CBG129" s="90"/>
      <c r="CBH129" s="90"/>
      <c r="CBI129" s="89"/>
      <c r="CBJ129" s="90"/>
      <c r="CBK129" s="90"/>
      <c r="CBL129" s="90"/>
      <c r="CBM129" s="90"/>
      <c r="CBN129" s="90"/>
      <c r="CBO129" s="90"/>
      <c r="CBP129" s="90"/>
      <c r="CBQ129" s="90"/>
      <c r="CBR129" s="90"/>
      <c r="CBS129" s="90"/>
      <c r="CBT129" s="90"/>
      <c r="CBU129" s="90"/>
      <c r="CBV129" s="90"/>
      <c r="CBW129" s="90"/>
      <c r="CBX129" s="90"/>
      <c r="CBY129" s="90"/>
      <c r="CBZ129" s="90"/>
      <c r="CCA129" s="89"/>
      <c r="CCB129" s="90"/>
      <c r="CCC129" s="90"/>
      <c r="CCD129" s="90"/>
      <c r="CCE129" s="90"/>
      <c r="CCF129" s="90"/>
      <c r="CCG129" s="90"/>
      <c r="CCH129" s="90"/>
      <c r="CCI129" s="90"/>
      <c r="CCJ129" s="90"/>
      <c r="CCK129" s="90"/>
      <c r="CCL129" s="90"/>
      <c r="CCM129" s="90"/>
      <c r="CCN129" s="90"/>
      <c r="CCO129" s="90"/>
      <c r="CCP129" s="90"/>
      <c r="CCQ129" s="90"/>
      <c r="CCR129" s="90"/>
      <c r="CCS129" s="89"/>
      <c r="CCT129" s="90"/>
      <c r="CCU129" s="90"/>
      <c r="CCV129" s="90"/>
      <c r="CCW129" s="90"/>
      <c r="CCX129" s="90"/>
      <c r="CCY129" s="90"/>
      <c r="CCZ129" s="90"/>
      <c r="CDA129" s="90"/>
      <c r="CDB129" s="90"/>
      <c r="CDC129" s="90"/>
      <c r="CDD129" s="90"/>
      <c r="CDE129" s="90"/>
      <c r="CDF129" s="90"/>
      <c r="CDG129" s="90"/>
      <c r="CDH129" s="90"/>
      <c r="CDI129" s="90"/>
      <c r="CDJ129" s="90"/>
      <c r="CDK129" s="89"/>
      <c r="CDL129" s="90"/>
      <c r="CDM129" s="90"/>
      <c r="CDN129" s="90"/>
      <c r="CDO129" s="90"/>
      <c r="CDP129" s="90"/>
      <c r="CDQ129" s="90"/>
      <c r="CDR129" s="90"/>
      <c r="CDS129" s="90"/>
      <c r="CDT129" s="90"/>
      <c r="CDU129" s="90"/>
      <c r="CDV129" s="90"/>
      <c r="CDW129" s="90"/>
      <c r="CDX129" s="90"/>
      <c r="CDY129" s="90"/>
      <c r="CDZ129" s="90"/>
      <c r="CEA129" s="90"/>
      <c r="CEB129" s="90"/>
      <c r="CEC129" s="89"/>
      <c r="CED129" s="90"/>
      <c r="CEE129" s="90"/>
      <c r="CEF129" s="90"/>
      <c r="CEG129" s="90"/>
      <c r="CEH129" s="90"/>
      <c r="CEI129" s="90"/>
      <c r="CEJ129" s="90"/>
      <c r="CEK129" s="90"/>
      <c r="CEL129" s="90"/>
      <c r="CEM129" s="90"/>
      <c r="CEN129" s="90"/>
      <c r="CEO129" s="90"/>
      <c r="CEP129" s="90"/>
      <c r="CEQ129" s="90"/>
      <c r="CER129" s="90"/>
      <c r="CES129" s="90"/>
      <c r="CET129" s="90"/>
      <c r="CEU129" s="89"/>
      <c r="CEV129" s="90"/>
      <c r="CEW129" s="90"/>
      <c r="CEX129" s="90"/>
      <c r="CEY129" s="90"/>
      <c r="CEZ129" s="90"/>
      <c r="CFA129" s="90"/>
      <c r="CFB129" s="90"/>
      <c r="CFC129" s="90"/>
      <c r="CFD129" s="90"/>
      <c r="CFE129" s="90"/>
      <c r="CFF129" s="90"/>
      <c r="CFG129" s="90"/>
      <c r="CFH129" s="90"/>
      <c r="CFI129" s="90"/>
      <c r="CFJ129" s="90"/>
      <c r="CFK129" s="90"/>
      <c r="CFL129" s="90"/>
      <c r="CFM129" s="89"/>
      <c r="CFN129" s="90"/>
      <c r="CFO129" s="90"/>
      <c r="CFP129" s="90"/>
      <c r="CFQ129" s="90"/>
      <c r="CFR129" s="90"/>
      <c r="CFS129" s="90"/>
      <c r="CFT129" s="90"/>
      <c r="CFU129" s="90"/>
      <c r="CFV129" s="90"/>
      <c r="CFW129" s="90"/>
      <c r="CFX129" s="90"/>
      <c r="CFY129" s="90"/>
      <c r="CFZ129" s="90"/>
      <c r="CGA129" s="90"/>
      <c r="CGB129" s="90"/>
      <c r="CGC129" s="90"/>
      <c r="CGD129" s="90"/>
      <c r="CGE129" s="89"/>
      <c r="CGF129" s="90"/>
      <c r="CGG129" s="90"/>
      <c r="CGH129" s="90"/>
      <c r="CGI129" s="90"/>
      <c r="CGJ129" s="90"/>
      <c r="CGK129" s="90"/>
      <c r="CGL129" s="90"/>
      <c r="CGM129" s="90"/>
      <c r="CGN129" s="90"/>
      <c r="CGO129" s="90"/>
      <c r="CGP129" s="90"/>
      <c r="CGQ129" s="90"/>
      <c r="CGR129" s="90"/>
      <c r="CGS129" s="90"/>
      <c r="CGT129" s="90"/>
      <c r="CGU129" s="90"/>
      <c r="CGV129" s="90"/>
      <c r="CGW129" s="89"/>
      <c r="CGX129" s="90"/>
      <c r="CGY129" s="90"/>
      <c r="CGZ129" s="90"/>
      <c r="CHA129" s="90"/>
      <c r="CHB129" s="90"/>
      <c r="CHC129" s="90"/>
      <c r="CHD129" s="90"/>
      <c r="CHE129" s="90"/>
      <c r="CHF129" s="90"/>
      <c r="CHG129" s="90"/>
      <c r="CHH129" s="90"/>
      <c r="CHI129" s="90"/>
      <c r="CHJ129" s="90"/>
      <c r="CHK129" s="90"/>
      <c r="CHL129" s="90"/>
      <c r="CHM129" s="90"/>
      <c r="CHN129" s="90"/>
      <c r="CHO129" s="89"/>
      <c r="CHP129" s="90"/>
      <c r="CHQ129" s="90"/>
      <c r="CHR129" s="90"/>
      <c r="CHS129" s="90"/>
      <c r="CHT129" s="90"/>
      <c r="CHU129" s="90"/>
      <c r="CHV129" s="90"/>
      <c r="CHW129" s="90"/>
      <c r="CHX129" s="90"/>
      <c r="CHY129" s="90"/>
      <c r="CHZ129" s="90"/>
      <c r="CIA129" s="90"/>
      <c r="CIB129" s="90"/>
      <c r="CIC129" s="90"/>
      <c r="CID129" s="90"/>
      <c r="CIE129" s="90"/>
      <c r="CIF129" s="90"/>
      <c r="CIG129" s="89"/>
      <c r="CIH129" s="90"/>
      <c r="CII129" s="90"/>
      <c r="CIJ129" s="90"/>
      <c r="CIK129" s="90"/>
      <c r="CIL129" s="90"/>
      <c r="CIM129" s="90"/>
      <c r="CIN129" s="90"/>
      <c r="CIO129" s="90"/>
      <c r="CIP129" s="90"/>
      <c r="CIQ129" s="90"/>
      <c r="CIR129" s="90"/>
      <c r="CIS129" s="90"/>
      <c r="CIT129" s="90"/>
      <c r="CIU129" s="90"/>
      <c r="CIV129" s="90"/>
      <c r="CIW129" s="90"/>
      <c r="CIX129" s="90"/>
      <c r="CIY129" s="89"/>
      <c r="CIZ129" s="90"/>
      <c r="CJA129" s="90"/>
      <c r="CJB129" s="90"/>
      <c r="CJC129" s="90"/>
      <c r="CJD129" s="90"/>
      <c r="CJE129" s="90"/>
      <c r="CJF129" s="90"/>
      <c r="CJG129" s="90"/>
      <c r="CJH129" s="90"/>
      <c r="CJI129" s="90"/>
      <c r="CJJ129" s="90"/>
      <c r="CJK129" s="90"/>
      <c r="CJL129" s="90"/>
      <c r="CJM129" s="90"/>
      <c r="CJN129" s="90"/>
      <c r="CJO129" s="90"/>
      <c r="CJP129" s="90"/>
      <c r="CJQ129" s="89"/>
      <c r="CJR129" s="90"/>
      <c r="CJS129" s="90"/>
      <c r="CJT129" s="90"/>
      <c r="CJU129" s="90"/>
      <c r="CJV129" s="90"/>
      <c r="CJW129" s="90"/>
      <c r="CJX129" s="90"/>
      <c r="CJY129" s="90"/>
      <c r="CJZ129" s="90"/>
      <c r="CKA129" s="90"/>
      <c r="CKB129" s="90"/>
      <c r="CKC129" s="90"/>
      <c r="CKD129" s="90"/>
      <c r="CKE129" s="90"/>
      <c r="CKF129" s="90"/>
      <c r="CKG129" s="90"/>
      <c r="CKH129" s="90"/>
      <c r="CKI129" s="89"/>
      <c r="CKJ129" s="90"/>
      <c r="CKK129" s="90"/>
      <c r="CKL129" s="90"/>
      <c r="CKM129" s="90"/>
      <c r="CKN129" s="90"/>
      <c r="CKO129" s="90"/>
      <c r="CKP129" s="90"/>
      <c r="CKQ129" s="90"/>
      <c r="CKR129" s="90"/>
      <c r="CKS129" s="90"/>
      <c r="CKT129" s="90"/>
      <c r="CKU129" s="90"/>
      <c r="CKV129" s="90"/>
      <c r="CKW129" s="90"/>
      <c r="CKX129" s="90"/>
      <c r="CKY129" s="90"/>
      <c r="CKZ129" s="90"/>
      <c r="CLA129" s="89"/>
      <c r="CLB129" s="90"/>
      <c r="CLC129" s="90"/>
      <c r="CLD129" s="90"/>
      <c r="CLE129" s="90"/>
      <c r="CLF129" s="90"/>
      <c r="CLG129" s="90"/>
      <c r="CLH129" s="90"/>
      <c r="CLI129" s="90"/>
      <c r="CLJ129" s="90"/>
      <c r="CLK129" s="90"/>
      <c r="CLL129" s="90"/>
      <c r="CLM129" s="90"/>
      <c r="CLN129" s="90"/>
      <c r="CLO129" s="90"/>
      <c r="CLP129" s="90"/>
      <c r="CLQ129" s="90"/>
      <c r="CLR129" s="90"/>
      <c r="CLS129" s="89"/>
      <c r="CLT129" s="90"/>
      <c r="CLU129" s="90"/>
      <c r="CLV129" s="90"/>
      <c r="CLW129" s="90"/>
      <c r="CLX129" s="90"/>
      <c r="CLY129" s="90"/>
      <c r="CLZ129" s="90"/>
      <c r="CMA129" s="90"/>
      <c r="CMB129" s="90"/>
      <c r="CMC129" s="90"/>
      <c r="CMD129" s="90"/>
      <c r="CME129" s="90"/>
      <c r="CMF129" s="90"/>
      <c r="CMG129" s="90"/>
      <c r="CMH129" s="90"/>
      <c r="CMI129" s="90"/>
      <c r="CMJ129" s="90"/>
      <c r="CMK129" s="89"/>
      <c r="CML129" s="90"/>
      <c r="CMM129" s="90"/>
      <c r="CMN129" s="90"/>
      <c r="CMO129" s="90"/>
      <c r="CMP129" s="90"/>
      <c r="CMQ129" s="90"/>
      <c r="CMR129" s="90"/>
      <c r="CMS129" s="90"/>
      <c r="CMT129" s="90"/>
      <c r="CMU129" s="90"/>
      <c r="CMV129" s="90"/>
      <c r="CMW129" s="90"/>
      <c r="CMX129" s="90"/>
      <c r="CMY129" s="90"/>
      <c r="CMZ129" s="90"/>
      <c r="CNA129" s="90"/>
      <c r="CNB129" s="90"/>
      <c r="CNC129" s="89"/>
      <c r="CND129" s="90"/>
      <c r="CNE129" s="90"/>
      <c r="CNF129" s="90"/>
      <c r="CNG129" s="90"/>
      <c r="CNH129" s="90"/>
      <c r="CNI129" s="90"/>
      <c r="CNJ129" s="90"/>
      <c r="CNK129" s="90"/>
      <c r="CNL129" s="90"/>
      <c r="CNM129" s="90"/>
      <c r="CNN129" s="90"/>
      <c r="CNO129" s="90"/>
      <c r="CNP129" s="90"/>
      <c r="CNQ129" s="90"/>
      <c r="CNR129" s="90"/>
      <c r="CNS129" s="90"/>
      <c r="CNT129" s="90"/>
      <c r="CNU129" s="89"/>
      <c r="CNV129" s="90"/>
      <c r="CNW129" s="90"/>
      <c r="CNX129" s="90"/>
      <c r="CNY129" s="90"/>
      <c r="CNZ129" s="90"/>
      <c r="COA129" s="90"/>
      <c r="COB129" s="90"/>
      <c r="COC129" s="90"/>
      <c r="COD129" s="90"/>
      <c r="COE129" s="90"/>
      <c r="COF129" s="90"/>
      <c r="COG129" s="90"/>
      <c r="COH129" s="90"/>
      <c r="COI129" s="90"/>
      <c r="COJ129" s="90"/>
      <c r="COK129" s="90"/>
      <c r="COL129" s="90"/>
      <c r="COM129" s="89"/>
      <c r="CON129" s="90"/>
      <c r="COO129" s="90"/>
      <c r="COP129" s="90"/>
      <c r="COQ129" s="90"/>
      <c r="COR129" s="90"/>
      <c r="COS129" s="90"/>
      <c r="COT129" s="90"/>
      <c r="COU129" s="90"/>
      <c r="COV129" s="90"/>
      <c r="COW129" s="90"/>
      <c r="COX129" s="90"/>
      <c r="COY129" s="90"/>
      <c r="COZ129" s="90"/>
      <c r="CPA129" s="90"/>
      <c r="CPB129" s="90"/>
      <c r="CPC129" s="90"/>
      <c r="CPD129" s="90"/>
      <c r="CPE129" s="89"/>
      <c r="CPF129" s="90"/>
      <c r="CPG129" s="90"/>
      <c r="CPH129" s="90"/>
      <c r="CPI129" s="90"/>
      <c r="CPJ129" s="90"/>
      <c r="CPK129" s="90"/>
      <c r="CPL129" s="90"/>
      <c r="CPM129" s="90"/>
      <c r="CPN129" s="90"/>
      <c r="CPO129" s="90"/>
      <c r="CPP129" s="90"/>
      <c r="CPQ129" s="90"/>
      <c r="CPR129" s="90"/>
      <c r="CPS129" s="90"/>
      <c r="CPT129" s="90"/>
      <c r="CPU129" s="90"/>
      <c r="CPV129" s="90"/>
      <c r="CPW129" s="89"/>
      <c r="CPX129" s="90"/>
      <c r="CPY129" s="90"/>
      <c r="CPZ129" s="90"/>
      <c r="CQA129" s="90"/>
      <c r="CQB129" s="90"/>
      <c r="CQC129" s="90"/>
      <c r="CQD129" s="90"/>
      <c r="CQE129" s="90"/>
      <c r="CQF129" s="90"/>
      <c r="CQG129" s="90"/>
      <c r="CQH129" s="90"/>
      <c r="CQI129" s="90"/>
      <c r="CQJ129" s="90"/>
      <c r="CQK129" s="90"/>
      <c r="CQL129" s="90"/>
      <c r="CQM129" s="90"/>
      <c r="CQN129" s="90"/>
      <c r="CQO129" s="89"/>
      <c r="CQP129" s="90"/>
      <c r="CQQ129" s="90"/>
      <c r="CQR129" s="90"/>
      <c r="CQS129" s="90"/>
      <c r="CQT129" s="90"/>
      <c r="CQU129" s="90"/>
      <c r="CQV129" s="90"/>
      <c r="CQW129" s="90"/>
      <c r="CQX129" s="90"/>
      <c r="CQY129" s="90"/>
      <c r="CQZ129" s="90"/>
      <c r="CRA129" s="90"/>
      <c r="CRB129" s="90"/>
      <c r="CRC129" s="90"/>
      <c r="CRD129" s="90"/>
      <c r="CRE129" s="90"/>
      <c r="CRF129" s="90"/>
      <c r="CRG129" s="89"/>
      <c r="CRH129" s="90"/>
      <c r="CRI129" s="90"/>
      <c r="CRJ129" s="90"/>
      <c r="CRK129" s="90"/>
      <c r="CRL129" s="90"/>
      <c r="CRM129" s="90"/>
      <c r="CRN129" s="90"/>
      <c r="CRO129" s="90"/>
      <c r="CRP129" s="90"/>
      <c r="CRQ129" s="90"/>
      <c r="CRR129" s="90"/>
      <c r="CRS129" s="90"/>
      <c r="CRT129" s="90"/>
      <c r="CRU129" s="90"/>
      <c r="CRV129" s="90"/>
      <c r="CRW129" s="90"/>
      <c r="CRX129" s="90"/>
      <c r="CRY129" s="89"/>
      <c r="CRZ129" s="90"/>
      <c r="CSA129" s="90"/>
      <c r="CSB129" s="90"/>
      <c r="CSC129" s="90"/>
      <c r="CSD129" s="90"/>
      <c r="CSE129" s="90"/>
      <c r="CSF129" s="90"/>
      <c r="CSG129" s="90"/>
      <c r="CSH129" s="90"/>
      <c r="CSI129" s="90"/>
      <c r="CSJ129" s="90"/>
      <c r="CSK129" s="90"/>
      <c r="CSL129" s="90"/>
      <c r="CSM129" s="90"/>
      <c r="CSN129" s="90"/>
      <c r="CSO129" s="90"/>
      <c r="CSP129" s="90"/>
      <c r="CSQ129" s="89"/>
      <c r="CSR129" s="90"/>
      <c r="CSS129" s="90"/>
      <c r="CST129" s="90"/>
      <c r="CSU129" s="90"/>
      <c r="CSV129" s="90"/>
      <c r="CSW129" s="90"/>
      <c r="CSX129" s="90"/>
      <c r="CSY129" s="90"/>
      <c r="CSZ129" s="90"/>
      <c r="CTA129" s="90"/>
      <c r="CTB129" s="90"/>
      <c r="CTC129" s="90"/>
      <c r="CTD129" s="90"/>
      <c r="CTE129" s="90"/>
      <c r="CTF129" s="90"/>
      <c r="CTG129" s="90"/>
      <c r="CTH129" s="90"/>
      <c r="CTI129" s="89"/>
      <c r="CTJ129" s="90"/>
      <c r="CTK129" s="90"/>
      <c r="CTL129" s="90"/>
      <c r="CTM129" s="90"/>
      <c r="CTN129" s="90"/>
      <c r="CTO129" s="90"/>
      <c r="CTP129" s="90"/>
      <c r="CTQ129" s="90"/>
      <c r="CTR129" s="90"/>
      <c r="CTS129" s="90"/>
      <c r="CTT129" s="90"/>
      <c r="CTU129" s="90"/>
      <c r="CTV129" s="90"/>
      <c r="CTW129" s="90"/>
      <c r="CTX129" s="90"/>
      <c r="CTY129" s="90"/>
      <c r="CTZ129" s="90"/>
      <c r="CUA129" s="89"/>
      <c r="CUB129" s="90"/>
      <c r="CUC129" s="90"/>
      <c r="CUD129" s="90"/>
      <c r="CUE129" s="90"/>
      <c r="CUF129" s="90"/>
      <c r="CUG129" s="90"/>
      <c r="CUH129" s="90"/>
      <c r="CUI129" s="90"/>
      <c r="CUJ129" s="90"/>
      <c r="CUK129" s="90"/>
      <c r="CUL129" s="90"/>
      <c r="CUM129" s="90"/>
      <c r="CUN129" s="90"/>
      <c r="CUO129" s="90"/>
      <c r="CUP129" s="90"/>
      <c r="CUQ129" s="90"/>
      <c r="CUR129" s="90"/>
      <c r="CUS129" s="89"/>
      <c r="CUT129" s="90"/>
      <c r="CUU129" s="90"/>
      <c r="CUV129" s="90"/>
      <c r="CUW129" s="90"/>
      <c r="CUX129" s="90"/>
      <c r="CUY129" s="90"/>
      <c r="CUZ129" s="90"/>
      <c r="CVA129" s="90"/>
      <c r="CVB129" s="90"/>
      <c r="CVC129" s="90"/>
      <c r="CVD129" s="90"/>
      <c r="CVE129" s="90"/>
      <c r="CVF129" s="90"/>
      <c r="CVG129" s="90"/>
      <c r="CVH129" s="90"/>
      <c r="CVI129" s="90"/>
      <c r="CVJ129" s="90"/>
      <c r="CVK129" s="89"/>
      <c r="CVL129" s="90"/>
      <c r="CVM129" s="90"/>
      <c r="CVN129" s="90"/>
      <c r="CVO129" s="90"/>
      <c r="CVP129" s="90"/>
      <c r="CVQ129" s="90"/>
      <c r="CVR129" s="90"/>
      <c r="CVS129" s="90"/>
      <c r="CVT129" s="90"/>
      <c r="CVU129" s="90"/>
      <c r="CVV129" s="90"/>
      <c r="CVW129" s="90"/>
      <c r="CVX129" s="90"/>
      <c r="CVY129" s="90"/>
      <c r="CVZ129" s="90"/>
      <c r="CWA129" s="90"/>
      <c r="CWB129" s="90"/>
      <c r="CWC129" s="89"/>
      <c r="CWD129" s="90"/>
      <c r="CWE129" s="90"/>
      <c r="CWF129" s="90"/>
      <c r="CWG129" s="90"/>
      <c r="CWH129" s="90"/>
      <c r="CWI129" s="90"/>
      <c r="CWJ129" s="90"/>
      <c r="CWK129" s="90"/>
      <c r="CWL129" s="90"/>
      <c r="CWM129" s="90"/>
      <c r="CWN129" s="90"/>
      <c r="CWO129" s="90"/>
      <c r="CWP129" s="90"/>
      <c r="CWQ129" s="90"/>
      <c r="CWR129" s="90"/>
      <c r="CWS129" s="90"/>
      <c r="CWT129" s="90"/>
      <c r="CWU129" s="89"/>
      <c r="CWV129" s="90"/>
      <c r="CWW129" s="90"/>
      <c r="CWX129" s="90"/>
      <c r="CWY129" s="90"/>
      <c r="CWZ129" s="90"/>
      <c r="CXA129" s="90"/>
      <c r="CXB129" s="90"/>
      <c r="CXC129" s="90"/>
      <c r="CXD129" s="90"/>
      <c r="CXE129" s="90"/>
      <c r="CXF129" s="90"/>
      <c r="CXG129" s="90"/>
      <c r="CXH129" s="90"/>
      <c r="CXI129" s="90"/>
      <c r="CXJ129" s="90"/>
      <c r="CXK129" s="90"/>
      <c r="CXL129" s="90"/>
      <c r="CXM129" s="89"/>
      <c r="CXN129" s="90"/>
      <c r="CXO129" s="90"/>
      <c r="CXP129" s="90"/>
      <c r="CXQ129" s="90"/>
      <c r="CXR129" s="90"/>
      <c r="CXS129" s="90"/>
      <c r="CXT129" s="90"/>
      <c r="CXU129" s="90"/>
      <c r="CXV129" s="90"/>
      <c r="CXW129" s="90"/>
      <c r="CXX129" s="90"/>
      <c r="CXY129" s="90"/>
      <c r="CXZ129" s="90"/>
      <c r="CYA129" s="90"/>
      <c r="CYB129" s="90"/>
      <c r="CYC129" s="90"/>
      <c r="CYD129" s="90"/>
      <c r="CYE129" s="89"/>
      <c r="CYF129" s="90"/>
      <c r="CYG129" s="90"/>
      <c r="CYH129" s="90"/>
      <c r="CYI129" s="90"/>
      <c r="CYJ129" s="90"/>
      <c r="CYK129" s="90"/>
      <c r="CYL129" s="90"/>
      <c r="CYM129" s="90"/>
      <c r="CYN129" s="90"/>
      <c r="CYO129" s="90"/>
      <c r="CYP129" s="90"/>
      <c r="CYQ129" s="90"/>
      <c r="CYR129" s="90"/>
      <c r="CYS129" s="90"/>
      <c r="CYT129" s="90"/>
      <c r="CYU129" s="90"/>
      <c r="CYV129" s="90"/>
      <c r="CYW129" s="89"/>
      <c r="CYX129" s="90"/>
      <c r="CYY129" s="90"/>
      <c r="CYZ129" s="90"/>
      <c r="CZA129" s="90"/>
      <c r="CZB129" s="90"/>
      <c r="CZC129" s="90"/>
      <c r="CZD129" s="90"/>
      <c r="CZE129" s="90"/>
      <c r="CZF129" s="90"/>
      <c r="CZG129" s="90"/>
      <c r="CZH129" s="90"/>
      <c r="CZI129" s="90"/>
      <c r="CZJ129" s="90"/>
      <c r="CZK129" s="90"/>
      <c r="CZL129" s="90"/>
      <c r="CZM129" s="90"/>
      <c r="CZN129" s="90"/>
      <c r="CZO129" s="89"/>
      <c r="CZP129" s="90"/>
      <c r="CZQ129" s="90"/>
      <c r="CZR129" s="90"/>
      <c r="CZS129" s="90"/>
      <c r="CZT129" s="90"/>
      <c r="CZU129" s="90"/>
      <c r="CZV129" s="90"/>
      <c r="CZW129" s="90"/>
      <c r="CZX129" s="90"/>
      <c r="CZY129" s="90"/>
      <c r="CZZ129" s="90"/>
      <c r="DAA129" s="90"/>
      <c r="DAB129" s="90"/>
      <c r="DAC129" s="90"/>
      <c r="DAD129" s="90"/>
      <c r="DAE129" s="90"/>
      <c r="DAF129" s="90"/>
      <c r="DAG129" s="89"/>
      <c r="DAH129" s="90"/>
      <c r="DAI129" s="90"/>
      <c r="DAJ129" s="90"/>
      <c r="DAK129" s="90"/>
      <c r="DAL129" s="90"/>
      <c r="DAM129" s="90"/>
      <c r="DAN129" s="90"/>
      <c r="DAO129" s="90"/>
      <c r="DAP129" s="90"/>
      <c r="DAQ129" s="90"/>
      <c r="DAR129" s="90"/>
      <c r="DAS129" s="90"/>
      <c r="DAT129" s="90"/>
      <c r="DAU129" s="90"/>
      <c r="DAV129" s="90"/>
      <c r="DAW129" s="90"/>
      <c r="DAX129" s="90"/>
      <c r="DAY129" s="89"/>
      <c r="DAZ129" s="90"/>
      <c r="DBA129" s="90"/>
      <c r="DBB129" s="90"/>
      <c r="DBC129" s="90"/>
      <c r="DBD129" s="90"/>
      <c r="DBE129" s="90"/>
      <c r="DBF129" s="90"/>
      <c r="DBG129" s="90"/>
      <c r="DBH129" s="90"/>
      <c r="DBI129" s="90"/>
      <c r="DBJ129" s="90"/>
      <c r="DBK129" s="90"/>
      <c r="DBL129" s="90"/>
      <c r="DBM129" s="90"/>
      <c r="DBN129" s="90"/>
      <c r="DBO129" s="90"/>
      <c r="DBP129" s="90"/>
      <c r="DBQ129" s="89"/>
      <c r="DBR129" s="90"/>
      <c r="DBS129" s="90"/>
      <c r="DBT129" s="90"/>
      <c r="DBU129" s="90"/>
      <c r="DBV129" s="90"/>
      <c r="DBW129" s="90"/>
      <c r="DBX129" s="90"/>
      <c r="DBY129" s="90"/>
      <c r="DBZ129" s="90"/>
      <c r="DCA129" s="90"/>
      <c r="DCB129" s="90"/>
      <c r="DCC129" s="90"/>
      <c r="DCD129" s="90"/>
      <c r="DCE129" s="90"/>
      <c r="DCF129" s="90"/>
      <c r="DCG129" s="90"/>
      <c r="DCH129" s="90"/>
      <c r="DCI129" s="89"/>
      <c r="DCJ129" s="90"/>
      <c r="DCK129" s="90"/>
      <c r="DCL129" s="90"/>
      <c r="DCM129" s="90"/>
      <c r="DCN129" s="90"/>
      <c r="DCO129" s="90"/>
      <c r="DCP129" s="90"/>
      <c r="DCQ129" s="90"/>
      <c r="DCR129" s="90"/>
      <c r="DCS129" s="90"/>
      <c r="DCT129" s="90"/>
      <c r="DCU129" s="90"/>
      <c r="DCV129" s="90"/>
      <c r="DCW129" s="90"/>
      <c r="DCX129" s="90"/>
      <c r="DCY129" s="90"/>
      <c r="DCZ129" s="90"/>
      <c r="DDA129" s="89"/>
      <c r="DDB129" s="90"/>
      <c r="DDC129" s="90"/>
      <c r="DDD129" s="90"/>
      <c r="DDE129" s="90"/>
      <c r="DDF129" s="90"/>
      <c r="DDG129" s="90"/>
      <c r="DDH129" s="90"/>
      <c r="DDI129" s="90"/>
      <c r="DDJ129" s="90"/>
      <c r="DDK129" s="90"/>
      <c r="DDL129" s="90"/>
      <c r="DDM129" s="90"/>
      <c r="DDN129" s="90"/>
      <c r="DDO129" s="90"/>
      <c r="DDP129" s="90"/>
      <c r="DDQ129" s="90"/>
      <c r="DDR129" s="90"/>
      <c r="DDS129" s="89"/>
      <c r="DDT129" s="90"/>
      <c r="DDU129" s="90"/>
      <c r="DDV129" s="90"/>
      <c r="DDW129" s="90"/>
      <c r="DDX129" s="90"/>
      <c r="DDY129" s="90"/>
      <c r="DDZ129" s="90"/>
      <c r="DEA129" s="90"/>
      <c r="DEB129" s="90"/>
      <c r="DEC129" s="90"/>
      <c r="DED129" s="90"/>
      <c r="DEE129" s="90"/>
      <c r="DEF129" s="90"/>
      <c r="DEG129" s="90"/>
      <c r="DEH129" s="90"/>
      <c r="DEI129" s="90"/>
      <c r="DEJ129" s="90"/>
      <c r="DEK129" s="89"/>
      <c r="DEL129" s="90"/>
      <c r="DEM129" s="90"/>
      <c r="DEN129" s="90"/>
      <c r="DEO129" s="90"/>
      <c r="DEP129" s="90"/>
      <c r="DEQ129" s="90"/>
      <c r="DER129" s="90"/>
      <c r="DES129" s="90"/>
      <c r="DET129" s="90"/>
      <c r="DEU129" s="90"/>
      <c r="DEV129" s="90"/>
      <c r="DEW129" s="90"/>
      <c r="DEX129" s="90"/>
      <c r="DEY129" s="90"/>
      <c r="DEZ129" s="90"/>
      <c r="DFA129" s="90"/>
      <c r="DFB129" s="90"/>
      <c r="DFC129" s="89"/>
      <c r="DFD129" s="90"/>
      <c r="DFE129" s="90"/>
      <c r="DFF129" s="90"/>
      <c r="DFG129" s="90"/>
      <c r="DFH129" s="90"/>
      <c r="DFI129" s="90"/>
      <c r="DFJ129" s="90"/>
      <c r="DFK129" s="90"/>
      <c r="DFL129" s="90"/>
      <c r="DFM129" s="90"/>
      <c r="DFN129" s="90"/>
      <c r="DFO129" s="90"/>
      <c r="DFP129" s="90"/>
      <c r="DFQ129" s="90"/>
      <c r="DFR129" s="90"/>
      <c r="DFS129" s="90"/>
      <c r="DFT129" s="90"/>
      <c r="DFU129" s="89"/>
      <c r="DFV129" s="90"/>
      <c r="DFW129" s="90"/>
      <c r="DFX129" s="90"/>
      <c r="DFY129" s="90"/>
      <c r="DFZ129" s="90"/>
      <c r="DGA129" s="90"/>
      <c r="DGB129" s="90"/>
      <c r="DGC129" s="90"/>
      <c r="DGD129" s="90"/>
      <c r="DGE129" s="90"/>
      <c r="DGF129" s="90"/>
      <c r="DGG129" s="90"/>
      <c r="DGH129" s="90"/>
      <c r="DGI129" s="90"/>
      <c r="DGJ129" s="90"/>
      <c r="DGK129" s="90"/>
      <c r="DGL129" s="90"/>
      <c r="DGM129" s="89"/>
      <c r="DGN129" s="90"/>
      <c r="DGO129" s="90"/>
      <c r="DGP129" s="90"/>
      <c r="DGQ129" s="90"/>
      <c r="DGR129" s="90"/>
      <c r="DGS129" s="90"/>
      <c r="DGT129" s="90"/>
      <c r="DGU129" s="90"/>
      <c r="DGV129" s="90"/>
      <c r="DGW129" s="90"/>
      <c r="DGX129" s="90"/>
      <c r="DGY129" s="90"/>
      <c r="DGZ129" s="90"/>
      <c r="DHA129" s="90"/>
      <c r="DHB129" s="90"/>
      <c r="DHC129" s="90"/>
      <c r="DHD129" s="90"/>
      <c r="DHE129" s="89"/>
      <c r="DHF129" s="90"/>
      <c r="DHG129" s="90"/>
      <c r="DHH129" s="90"/>
      <c r="DHI129" s="90"/>
      <c r="DHJ129" s="90"/>
      <c r="DHK129" s="90"/>
      <c r="DHL129" s="90"/>
      <c r="DHM129" s="90"/>
      <c r="DHN129" s="90"/>
      <c r="DHO129" s="90"/>
      <c r="DHP129" s="90"/>
      <c r="DHQ129" s="90"/>
      <c r="DHR129" s="90"/>
      <c r="DHS129" s="90"/>
      <c r="DHT129" s="90"/>
      <c r="DHU129" s="90"/>
      <c r="DHV129" s="90"/>
      <c r="DHW129" s="89"/>
      <c r="DHX129" s="90"/>
      <c r="DHY129" s="90"/>
      <c r="DHZ129" s="90"/>
      <c r="DIA129" s="90"/>
      <c r="DIB129" s="90"/>
      <c r="DIC129" s="90"/>
      <c r="DID129" s="90"/>
      <c r="DIE129" s="90"/>
      <c r="DIF129" s="90"/>
      <c r="DIG129" s="90"/>
      <c r="DIH129" s="90"/>
      <c r="DII129" s="90"/>
      <c r="DIJ129" s="90"/>
      <c r="DIK129" s="90"/>
      <c r="DIL129" s="90"/>
      <c r="DIM129" s="90"/>
      <c r="DIN129" s="90"/>
      <c r="DIO129" s="89"/>
      <c r="DIP129" s="90"/>
      <c r="DIQ129" s="90"/>
      <c r="DIR129" s="90"/>
      <c r="DIS129" s="90"/>
      <c r="DIT129" s="90"/>
      <c r="DIU129" s="90"/>
      <c r="DIV129" s="90"/>
      <c r="DIW129" s="90"/>
      <c r="DIX129" s="90"/>
      <c r="DIY129" s="90"/>
      <c r="DIZ129" s="90"/>
      <c r="DJA129" s="90"/>
      <c r="DJB129" s="90"/>
      <c r="DJC129" s="90"/>
      <c r="DJD129" s="90"/>
      <c r="DJE129" s="90"/>
      <c r="DJF129" s="90"/>
      <c r="DJG129" s="89"/>
      <c r="DJH129" s="90"/>
      <c r="DJI129" s="90"/>
      <c r="DJJ129" s="90"/>
      <c r="DJK129" s="90"/>
      <c r="DJL129" s="90"/>
      <c r="DJM129" s="90"/>
      <c r="DJN129" s="90"/>
      <c r="DJO129" s="90"/>
      <c r="DJP129" s="90"/>
      <c r="DJQ129" s="90"/>
      <c r="DJR129" s="90"/>
      <c r="DJS129" s="90"/>
      <c r="DJT129" s="90"/>
      <c r="DJU129" s="90"/>
      <c r="DJV129" s="90"/>
      <c r="DJW129" s="90"/>
      <c r="DJX129" s="90"/>
      <c r="DJY129" s="89"/>
      <c r="DJZ129" s="90"/>
      <c r="DKA129" s="90"/>
      <c r="DKB129" s="90"/>
      <c r="DKC129" s="90"/>
      <c r="DKD129" s="90"/>
      <c r="DKE129" s="90"/>
      <c r="DKF129" s="90"/>
      <c r="DKG129" s="90"/>
      <c r="DKH129" s="90"/>
      <c r="DKI129" s="90"/>
      <c r="DKJ129" s="90"/>
      <c r="DKK129" s="90"/>
      <c r="DKL129" s="90"/>
      <c r="DKM129" s="90"/>
      <c r="DKN129" s="90"/>
      <c r="DKO129" s="90"/>
      <c r="DKP129" s="90"/>
      <c r="DKQ129" s="89"/>
      <c r="DKR129" s="90"/>
      <c r="DKS129" s="90"/>
      <c r="DKT129" s="90"/>
      <c r="DKU129" s="90"/>
      <c r="DKV129" s="90"/>
      <c r="DKW129" s="90"/>
      <c r="DKX129" s="90"/>
      <c r="DKY129" s="90"/>
      <c r="DKZ129" s="90"/>
      <c r="DLA129" s="90"/>
      <c r="DLB129" s="90"/>
      <c r="DLC129" s="90"/>
      <c r="DLD129" s="90"/>
      <c r="DLE129" s="90"/>
      <c r="DLF129" s="90"/>
      <c r="DLG129" s="90"/>
      <c r="DLH129" s="90"/>
      <c r="DLI129" s="89"/>
      <c r="DLJ129" s="90"/>
      <c r="DLK129" s="90"/>
      <c r="DLL129" s="90"/>
      <c r="DLM129" s="90"/>
      <c r="DLN129" s="90"/>
      <c r="DLO129" s="90"/>
      <c r="DLP129" s="90"/>
      <c r="DLQ129" s="90"/>
      <c r="DLR129" s="90"/>
      <c r="DLS129" s="90"/>
      <c r="DLT129" s="90"/>
      <c r="DLU129" s="90"/>
      <c r="DLV129" s="90"/>
      <c r="DLW129" s="90"/>
      <c r="DLX129" s="90"/>
      <c r="DLY129" s="90"/>
      <c r="DLZ129" s="90"/>
      <c r="DMA129" s="89"/>
      <c r="DMB129" s="90"/>
      <c r="DMC129" s="90"/>
      <c r="DMD129" s="90"/>
      <c r="DME129" s="90"/>
      <c r="DMF129" s="90"/>
      <c r="DMG129" s="90"/>
      <c r="DMH129" s="90"/>
      <c r="DMI129" s="90"/>
      <c r="DMJ129" s="90"/>
      <c r="DMK129" s="90"/>
      <c r="DML129" s="90"/>
      <c r="DMM129" s="90"/>
      <c r="DMN129" s="90"/>
      <c r="DMO129" s="90"/>
      <c r="DMP129" s="90"/>
      <c r="DMQ129" s="90"/>
      <c r="DMR129" s="90"/>
      <c r="DMS129" s="89"/>
      <c r="DMT129" s="90"/>
      <c r="DMU129" s="90"/>
      <c r="DMV129" s="90"/>
      <c r="DMW129" s="90"/>
      <c r="DMX129" s="90"/>
      <c r="DMY129" s="90"/>
      <c r="DMZ129" s="90"/>
      <c r="DNA129" s="90"/>
      <c r="DNB129" s="90"/>
      <c r="DNC129" s="90"/>
      <c r="DND129" s="90"/>
      <c r="DNE129" s="90"/>
      <c r="DNF129" s="90"/>
      <c r="DNG129" s="90"/>
      <c r="DNH129" s="90"/>
      <c r="DNI129" s="90"/>
      <c r="DNJ129" s="90"/>
      <c r="DNK129" s="89"/>
      <c r="DNL129" s="90"/>
      <c r="DNM129" s="90"/>
      <c r="DNN129" s="90"/>
      <c r="DNO129" s="90"/>
      <c r="DNP129" s="90"/>
      <c r="DNQ129" s="90"/>
      <c r="DNR129" s="90"/>
      <c r="DNS129" s="90"/>
      <c r="DNT129" s="90"/>
      <c r="DNU129" s="90"/>
      <c r="DNV129" s="90"/>
      <c r="DNW129" s="90"/>
      <c r="DNX129" s="90"/>
      <c r="DNY129" s="90"/>
      <c r="DNZ129" s="90"/>
      <c r="DOA129" s="90"/>
      <c r="DOB129" s="90"/>
      <c r="DOC129" s="89"/>
      <c r="DOD129" s="90"/>
      <c r="DOE129" s="90"/>
      <c r="DOF129" s="90"/>
      <c r="DOG129" s="90"/>
      <c r="DOH129" s="90"/>
      <c r="DOI129" s="90"/>
      <c r="DOJ129" s="90"/>
      <c r="DOK129" s="90"/>
      <c r="DOL129" s="90"/>
      <c r="DOM129" s="90"/>
      <c r="DON129" s="90"/>
      <c r="DOO129" s="90"/>
      <c r="DOP129" s="90"/>
      <c r="DOQ129" s="90"/>
      <c r="DOR129" s="90"/>
      <c r="DOS129" s="90"/>
      <c r="DOT129" s="90"/>
      <c r="DOU129" s="89"/>
      <c r="DOV129" s="90"/>
      <c r="DOW129" s="90"/>
      <c r="DOX129" s="90"/>
      <c r="DOY129" s="90"/>
      <c r="DOZ129" s="90"/>
      <c r="DPA129" s="90"/>
      <c r="DPB129" s="90"/>
      <c r="DPC129" s="90"/>
      <c r="DPD129" s="90"/>
      <c r="DPE129" s="90"/>
      <c r="DPF129" s="90"/>
      <c r="DPG129" s="90"/>
      <c r="DPH129" s="90"/>
      <c r="DPI129" s="90"/>
      <c r="DPJ129" s="90"/>
      <c r="DPK129" s="90"/>
      <c r="DPL129" s="90"/>
      <c r="DPM129" s="89"/>
      <c r="DPN129" s="90"/>
      <c r="DPO129" s="90"/>
      <c r="DPP129" s="90"/>
      <c r="DPQ129" s="90"/>
      <c r="DPR129" s="90"/>
      <c r="DPS129" s="90"/>
      <c r="DPT129" s="90"/>
      <c r="DPU129" s="90"/>
      <c r="DPV129" s="90"/>
      <c r="DPW129" s="90"/>
      <c r="DPX129" s="90"/>
      <c r="DPY129" s="90"/>
      <c r="DPZ129" s="90"/>
      <c r="DQA129" s="90"/>
      <c r="DQB129" s="90"/>
      <c r="DQC129" s="90"/>
      <c r="DQD129" s="90"/>
      <c r="DQE129" s="89"/>
      <c r="DQF129" s="90"/>
      <c r="DQG129" s="90"/>
      <c r="DQH129" s="90"/>
      <c r="DQI129" s="90"/>
      <c r="DQJ129" s="90"/>
      <c r="DQK129" s="90"/>
      <c r="DQL129" s="90"/>
      <c r="DQM129" s="90"/>
      <c r="DQN129" s="90"/>
      <c r="DQO129" s="90"/>
      <c r="DQP129" s="90"/>
      <c r="DQQ129" s="90"/>
      <c r="DQR129" s="90"/>
      <c r="DQS129" s="90"/>
      <c r="DQT129" s="90"/>
      <c r="DQU129" s="90"/>
      <c r="DQV129" s="90"/>
      <c r="DQW129" s="89"/>
      <c r="DQX129" s="90"/>
      <c r="DQY129" s="90"/>
      <c r="DQZ129" s="90"/>
      <c r="DRA129" s="90"/>
      <c r="DRB129" s="90"/>
      <c r="DRC129" s="90"/>
      <c r="DRD129" s="90"/>
      <c r="DRE129" s="90"/>
      <c r="DRF129" s="90"/>
      <c r="DRG129" s="90"/>
      <c r="DRH129" s="90"/>
      <c r="DRI129" s="90"/>
      <c r="DRJ129" s="90"/>
      <c r="DRK129" s="90"/>
      <c r="DRL129" s="90"/>
      <c r="DRM129" s="90"/>
      <c r="DRN129" s="90"/>
      <c r="DRO129" s="89"/>
      <c r="DRP129" s="90"/>
      <c r="DRQ129" s="90"/>
      <c r="DRR129" s="90"/>
      <c r="DRS129" s="90"/>
      <c r="DRT129" s="90"/>
      <c r="DRU129" s="90"/>
      <c r="DRV129" s="90"/>
      <c r="DRW129" s="90"/>
      <c r="DRX129" s="90"/>
      <c r="DRY129" s="90"/>
      <c r="DRZ129" s="90"/>
      <c r="DSA129" s="90"/>
      <c r="DSB129" s="90"/>
      <c r="DSC129" s="90"/>
      <c r="DSD129" s="90"/>
      <c r="DSE129" s="90"/>
      <c r="DSF129" s="90"/>
      <c r="DSG129" s="89"/>
      <c r="DSH129" s="90"/>
      <c r="DSI129" s="90"/>
      <c r="DSJ129" s="90"/>
      <c r="DSK129" s="90"/>
      <c r="DSL129" s="90"/>
      <c r="DSM129" s="90"/>
      <c r="DSN129" s="90"/>
      <c r="DSO129" s="90"/>
      <c r="DSP129" s="90"/>
      <c r="DSQ129" s="90"/>
      <c r="DSR129" s="90"/>
      <c r="DSS129" s="90"/>
      <c r="DST129" s="90"/>
      <c r="DSU129" s="90"/>
      <c r="DSV129" s="90"/>
      <c r="DSW129" s="90"/>
      <c r="DSX129" s="90"/>
      <c r="DSY129" s="89"/>
      <c r="DSZ129" s="90"/>
      <c r="DTA129" s="90"/>
      <c r="DTB129" s="90"/>
      <c r="DTC129" s="90"/>
      <c r="DTD129" s="90"/>
      <c r="DTE129" s="90"/>
      <c r="DTF129" s="90"/>
      <c r="DTG129" s="90"/>
      <c r="DTH129" s="90"/>
      <c r="DTI129" s="90"/>
      <c r="DTJ129" s="90"/>
      <c r="DTK129" s="90"/>
      <c r="DTL129" s="90"/>
      <c r="DTM129" s="90"/>
      <c r="DTN129" s="90"/>
      <c r="DTO129" s="90"/>
      <c r="DTP129" s="90"/>
      <c r="DTQ129" s="89"/>
      <c r="DTR129" s="90"/>
      <c r="DTS129" s="90"/>
      <c r="DTT129" s="90"/>
      <c r="DTU129" s="90"/>
      <c r="DTV129" s="90"/>
      <c r="DTW129" s="90"/>
      <c r="DTX129" s="90"/>
      <c r="DTY129" s="90"/>
      <c r="DTZ129" s="90"/>
      <c r="DUA129" s="90"/>
      <c r="DUB129" s="90"/>
      <c r="DUC129" s="90"/>
      <c r="DUD129" s="90"/>
      <c r="DUE129" s="90"/>
      <c r="DUF129" s="90"/>
      <c r="DUG129" s="90"/>
      <c r="DUH129" s="90"/>
      <c r="DUI129" s="89"/>
      <c r="DUJ129" s="90"/>
      <c r="DUK129" s="90"/>
      <c r="DUL129" s="90"/>
      <c r="DUM129" s="90"/>
      <c r="DUN129" s="90"/>
      <c r="DUO129" s="90"/>
      <c r="DUP129" s="90"/>
      <c r="DUQ129" s="90"/>
      <c r="DUR129" s="90"/>
      <c r="DUS129" s="90"/>
      <c r="DUT129" s="90"/>
      <c r="DUU129" s="90"/>
      <c r="DUV129" s="90"/>
      <c r="DUW129" s="90"/>
      <c r="DUX129" s="90"/>
      <c r="DUY129" s="90"/>
      <c r="DUZ129" s="90"/>
      <c r="DVA129" s="89"/>
      <c r="DVB129" s="90"/>
      <c r="DVC129" s="90"/>
      <c r="DVD129" s="90"/>
      <c r="DVE129" s="90"/>
      <c r="DVF129" s="90"/>
      <c r="DVG129" s="90"/>
      <c r="DVH129" s="90"/>
      <c r="DVI129" s="90"/>
      <c r="DVJ129" s="90"/>
      <c r="DVK129" s="90"/>
      <c r="DVL129" s="90"/>
      <c r="DVM129" s="90"/>
      <c r="DVN129" s="90"/>
      <c r="DVO129" s="90"/>
      <c r="DVP129" s="90"/>
      <c r="DVQ129" s="90"/>
      <c r="DVR129" s="90"/>
      <c r="DVS129" s="89"/>
      <c r="DVT129" s="90"/>
      <c r="DVU129" s="90"/>
      <c r="DVV129" s="90"/>
      <c r="DVW129" s="90"/>
      <c r="DVX129" s="90"/>
      <c r="DVY129" s="90"/>
      <c r="DVZ129" s="90"/>
      <c r="DWA129" s="90"/>
      <c r="DWB129" s="90"/>
      <c r="DWC129" s="90"/>
      <c r="DWD129" s="90"/>
      <c r="DWE129" s="90"/>
      <c r="DWF129" s="90"/>
      <c r="DWG129" s="90"/>
      <c r="DWH129" s="90"/>
      <c r="DWI129" s="90"/>
      <c r="DWJ129" s="90"/>
      <c r="DWK129" s="89"/>
      <c r="DWL129" s="90"/>
      <c r="DWM129" s="90"/>
      <c r="DWN129" s="90"/>
      <c r="DWO129" s="90"/>
      <c r="DWP129" s="90"/>
      <c r="DWQ129" s="90"/>
      <c r="DWR129" s="90"/>
      <c r="DWS129" s="90"/>
      <c r="DWT129" s="90"/>
      <c r="DWU129" s="90"/>
      <c r="DWV129" s="90"/>
      <c r="DWW129" s="90"/>
      <c r="DWX129" s="90"/>
      <c r="DWY129" s="90"/>
      <c r="DWZ129" s="90"/>
      <c r="DXA129" s="90"/>
      <c r="DXB129" s="90"/>
      <c r="DXC129" s="89"/>
      <c r="DXD129" s="90"/>
      <c r="DXE129" s="90"/>
      <c r="DXF129" s="90"/>
      <c r="DXG129" s="90"/>
      <c r="DXH129" s="90"/>
      <c r="DXI129" s="90"/>
      <c r="DXJ129" s="90"/>
      <c r="DXK129" s="90"/>
      <c r="DXL129" s="90"/>
      <c r="DXM129" s="90"/>
      <c r="DXN129" s="90"/>
      <c r="DXO129" s="90"/>
      <c r="DXP129" s="90"/>
      <c r="DXQ129" s="90"/>
      <c r="DXR129" s="90"/>
      <c r="DXS129" s="90"/>
      <c r="DXT129" s="90"/>
      <c r="DXU129" s="89"/>
      <c r="DXV129" s="90"/>
      <c r="DXW129" s="90"/>
      <c r="DXX129" s="90"/>
      <c r="DXY129" s="90"/>
      <c r="DXZ129" s="90"/>
      <c r="DYA129" s="90"/>
      <c r="DYB129" s="90"/>
      <c r="DYC129" s="90"/>
      <c r="DYD129" s="90"/>
      <c r="DYE129" s="90"/>
      <c r="DYF129" s="90"/>
      <c r="DYG129" s="90"/>
      <c r="DYH129" s="90"/>
      <c r="DYI129" s="90"/>
      <c r="DYJ129" s="90"/>
      <c r="DYK129" s="90"/>
      <c r="DYL129" s="90"/>
      <c r="DYM129" s="89"/>
      <c r="DYN129" s="90"/>
      <c r="DYO129" s="90"/>
      <c r="DYP129" s="90"/>
      <c r="DYQ129" s="90"/>
      <c r="DYR129" s="90"/>
      <c r="DYS129" s="90"/>
      <c r="DYT129" s="90"/>
      <c r="DYU129" s="90"/>
      <c r="DYV129" s="90"/>
      <c r="DYW129" s="90"/>
      <c r="DYX129" s="90"/>
      <c r="DYY129" s="90"/>
      <c r="DYZ129" s="90"/>
      <c r="DZA129" s="90"/>
      <c r="DZB129" s="90"/>
      <c r="DZC129" s="90"/>
      <c r="DZD129" s="90"/>
      <c r="DZE129" s="89"/>
      <c r="DZF129" s="90"/>
      <c r="DZG129" s="90"/>
      <c r="DZH129" s="90"/>
      <c r="DZI129" s="90"/>
      <c r="DZJ129" s="90"/>
      <c r="DZK129" s="90"/>
      <c r="DZL129" s="90"/>
      <c r="DZM129" s="90"/>
      <c r="DZN129" s="90"/>
      <c r="DZO129" s="90"/>
      <c r="DZP129" s="90"/>
      <c r="DZQ129" s="90"/>
      <c r="DZR129" s="90"/>
      <c r="DZS129" s="90"/>
      <c r="DZT129" s="90"/>
      <c r="DZU129" s="90"/>
      <c r="DZV129" s="90"/>
      <c r="DZW129" s="89"/>
      <c r="DZX129" s="90"/>
      <c r="DZY129" s="90"/>
      <c r="DZZ129" s="90"/>
      <c r="EAA129" s="90"/>
      <c r="EAB129" s="90"/>
      <c r="EAC129" s="90"/>
      <c r="EAD129" s="90"/>
      <c r="EAE129" s="90"/>
      <c r="EAF129" s="90"/>
      <c r="EAG129" s="90"/>
      <c r="EAH129" s="90"/>
      <c r="EAI129" s="90"/>
      <c r="EAJ129" s="90"/>
      <c r="EAK129" s="90"/>
      <c r="EAL129" s="90"/>
      <c r="EAM129" s="90"/>
      <c r="EAN129" s="90"/>
      <c r="EAO129" s="89"/>
      <c r="EAP129" s="90"/>
      <c r="EAQ129" s="90"/>
      <c r="EAR129" s="90"/>
      <c r="EAS129" s="90"/>
      <c r="EAT129" s="90"/>
      <c r="EAU129" s="90"/>
      <c r="EAV129" s="90"/>
      <c r="EAW129" s="90"/>
      <c r="EAX129" s="90"/>
      <c r="EAY129" s="90"/>
      <c r="EAZ129" s="90"/>
      <c r="EBA129" s="90"/>
      <c r="EBB129" s="90"/>
      <c r="EBC129" s="90"/>
      <c r="EBD129" s="90"/>
      <c r="EBE129" s="90"/>
      <c r="EBF129" s="90"/>
      <c r="EBG129" s="89"/>
      <c r="EBH129" s="90"/>
      <c r="EBI129" s="90"/>
      <c r="EBJ129" s="90"/>
      <c r="EBK129" s="90"/>
      <c r="EBL129" s="90"/>
      <c r="EBM129" s="90"/>
      <c r="EBN129" s="90"/>
      <c r="EBO129" s="90"/>
      <c r="EBP129" s="90"/>
      <c r="EBQ129" s="90"/>
      <c r="EBR129" s="90"/>
      <c r="EBS129" s="90"/>
      <c r="EBT129" s="90"/>
      <c r="EBU129" s="90"/>
      <c r="EBV129" s="90"/>
      <c r="EBW129" s="90"/>
      <c r="EBX129" s="90"/>
      <c r="EBY129" s="89"/>
      <c r="EBZ129" s="90"/>
      <c r="ECA129" s="90"/>
      <c r="ECB129" s="90"/>
      <c r="ECC129" s="90"/>
      <c r="ECD129" s="90"/>
      <c r="ECE129" s="90"/>
      <c r="ECF129" s="90"/>
      <c r="ECG129" s="90"/>
      <c r="ECH129" s="90"/>
      <c r="ECI129" s="90"/>
      <c r="ECJ129" s="90"/>
      <c r="ECK129" s="90"/>
      <c r="ECL129" s="90"/>
      <c r="ECM129" s="90"/>
      <c r="ECN129" s="90"/>
      <c r="ECO129" s="90"/>
      <c r="ECP129" s="90"/>
      <c r="ECQ129" s="89"/>
      <c r="ECR129" s="90"/>
      <c r="ECS129" s="90"/>
      <c r="ECT129" s="90"/>
      <c r="ECU129" s="90"/>
      <c r="ECV129" s="90"/>
      <c r="ECW129" s="90"/>
      <c r="ECX129" s="90"/>
      <c r="ECY129" s="90"/>
      <c r="ECZ129" s="90"/>
      <c r="EDA129" s="90"/>
      <c r="EDB129" s="90"/>
      <c r="EDC129" s="90"/>
      <c r="EDD129" s="90"/>
      <c r="EDE129" s="90"/>
      <c r="EDF129" s="90"/>
      <c r="EDG129" s="90"/>
      <c r="EDH129" s="90"/>
      <c r="EDI129" s="89"/>
      <c r="EDJ129" s="90"/>
      <c r="EDK129" s="90"/>
      <c r="EDL129" s="90"/>
      <c r="EDM129" s="90"/>
      <c r="EDN129" s="90"/>
      <c r="EDO129" s="90"/>
      <c r="EDP129" s="90"/>
      <c r="EDQ129" s="90"/>
      <c r="EDR129" s="90"/>
      <c r="EDS129" s="90"/>
      <c r="EDT129" s="90"/>
      <c r="EDU129" s="90"/>
      <c r="EDV129" s="90"/>
      <c r="EDW129" s="90"/>
      <c r="EDX129" s="90"/>
      <c r="EDY129" s="90"/>
      <c r="EDZ129" s="90"/>
      <c r="EEA129" s="89"/>
      <c r="EEB129" s="90"/>
      <c r="EEC129" s="90"/>
      <c r="EED129" s="90"/>
      <c r="EEE129" s="90"/>
      <c r="EEF129" s="90"/>
      <c r="EEG129" s="90"/>
      <c r="EEH129" s="90"/>
      <c r="EEI129" s="90"/>
      <c r="EEJ129" s="90"/>
      <c r="EEK129" s="90"/>
      <c r="EEL129" s="90"/>
      <c r="EEM129" s="90"/>
      <c r="EEN129" s="90"/>
      <c r="EEO129" s="90"/>
      <c r="EEP129" s="90"/>
      <c r="EEQ129" s="90"/>
      <c r="EER129" s="90"/>
      <c r="EES129" s="89"/>
      <c r="EET129" s="90"/>
      <c r="EEU129" s="90"/>
      <c r="EEV129" s="90"/>
      <c r="EEW129" s="90"/>
      <c r="EEX129" s="90"/>
      <c r="EEY129" s="90"/>
      <c r="EEZ129" s="90"/>
      <c r="EFA129" s="90"/>
      <c r="EFB129" s="90"/>
      <c r="EFC129" s="90"/>
      <c r="EFD129" s="90"/>
      <c r="EFE129" s="90"/>
      <c r="EFF129" s="90"/>
      <c r="EFG129" s="90"/>
      <c r="EFH129" s="90"/>
      <c r="EFI129" s="90"/>
      <c r="EFJ129" s="90"/>
      <c r="EFK129" s="89"/>
      <c r="EFL129" s="90"/>
      <c r="EFM129" s="90"/>
      <c r="EFN129" s="90"/>
      <c r="EFO129" s="90"/>
      <c r="EFP129" s="90"/>
      <c r="EFQ129" s="90"/>
      <c r="EFR129" s="90"/>
      <c r="EFS129" s="90"/>
      <c r="EFT129" s="90"/>
      <c r="EFU129" s="90"/>
      <c r="EFV129" s="90"/>
      <c r="EFW129" s="90"/>
      <c r="EFX129" s="90"/>
      <c r="EFY129" s="90"/>
      <c r="EFZ129" s="90"/>
      <c r="EGA129" s="90"/>
      <c r="EGB129" s="90"/>
      <c r="EGC129" s="89"/>
      <c r="EGD129" s="90"/>
      <c r="EGE129" s="90"/>
      <c r="EGF129" s="90"/>
      <c r="EGG129" s="90"/>
      <c r="EGH129" s="90"/>
      <c r="EGI129" s="90"/>
      <c r="EGJ129" s="90"/>
      <c r="EGK129" s="90"/>
      <c r="EGL129" s="90"/>
      <c r="EGM129" s="90"/>
      <c r="EGN129" s="90"/>
      <c r="EGO129" s="90"/>
      <c r="EGP129" s="90"/>
      <c r="EGQ129" s="90"/>
      <c r="EGR129" s="90"/>
      <c r="EGS129" s="90"/>
      <c r="EGT129" s="90"/>
      <c r="EGU129" s="89"/>
      <c r="EGV129" s="90"/>
      <c r="EGW129" s="90"/>
      <c r="EGX129" s="90"/>
      <c r="EGY129" s="90"/>
      <c r="EGZ129" s="90"/>
      <c r="EHA129" s="90"/>
      <c r="EHB129" s="90"/>
      <c r="EHC129" s="90"/>
      <c r="EHD129" s="90"/>
      <c r="EHE129" s="90"/>
      <c r="EHF129" s="90"/>
      <c r="EHG129" s="90"/>
      <c r="EHH129" s="90"/>
      <c r="EHI129" s="90"/>
      <c r="EHJ129" s="90"/>
      <c r="EHK129" s="90"/>
      <c r="EHL129" s="90"/>
      <c r="EHM129" s="89"/>
      <c r="EHN129" s="90"/>
      <c r="EHO129" s="90"/>
      <c r="EHP129" s="90"/>
      <c r="EHQ129" s="90"/>
      <c r="EHR129" s="90"/>
      <c r="EHS129" s="90"/>
      <c r="EHT129" s="90"/>
      <c r="EHU129" s="90"/>
      <c r="EHV129" s="90"/>
      <c r="EHW129" s="90"/>
      <c r="EHX129" s="90"/>
      <c r="EHY129" s="90"/>
      <c r="EHZ129" s="90"/>
      <c r="EIA129" s="90"/>
      <c r="EIB129" s="90"/>
      <c r="EIC129" s="90"/>
      <c r="EID129" s="90"/>
      <c r="EIE129" s="89"/>
      <c r="EIF129" s="90"/>
      <c r="EIG129" s="90"/>
      <c r="EIH129" s="90"/>
      <c r="EII129" s="90"/>
      <c r="EIJ129" s="90"/>
      <c r="EIK129" s="90"/>
      <c r="EIL129" s="90"/>
      <c r="EIM129" s="90"/>
      <c r="EIN129" s="90"/>
      <c r="EIO129" s="90"/>
      <c r="EIP129" s="90"/>
      <c r="EIQ129" s="90"/>
      <c r="EIR129" s="90"/>
      <c r="EIS129" s="90"/>
      <c r="EIT129" s="90"/>
      <c r="EIU129" s="90"/>
      <c r="EIV129" s="90"/>
      <c r="EIW129" s="89"/>
      <c r="EIX129" s="90"/>
      <c r="EIY129" s="90"/>
      <c r="EIZ129" s="90"/>
      <c r="EJA129" s="90"/>
      <c r="EJB129" s="90"/>
      <c r="EJC129" s="90"/>
      <c r="EJD129" s="90"/>
      <c r="EJE129" s="90"/>
      <c r="EJF129" s="90"/>
      <c r="EJG129" s="90"/>
      <c r="EJH129" s="90"/>
      <c r="EJI129" s="90"/>
      <c r="EJJ129" s="90"/>
      <c r="EJK129" s="90"/>
      <c r="EJL129" s="90"/>
      <c r="EJM129" s="90"/>
      <c r="EJN129" s="90"/>
      <c r="EJO129" s="89"/>
      <c r="EJP129" s="90"/>
      <c r="EJQ129" s="90"/>
      <c r="EJR129" s="90"/>
      <c r="EJS129" s="90"/>
      <c r="EJT129" s="90"/>
      <c r="EJU129" s="90"/>
      <c r="EJV129" s="90"/>
      <c r="EJW129" s="90"/>
      <c r="EJX129" s="90"/>
      <c r="EJY129" s="90"/>
      <c r="EJZ129" s="90"/>
      <c r="EKA129" s="90"/>
      <c r="EKB129" s="90"/>
      <c r="EKC129" s="90"/>
      <c r="EKD129" s="90"/>
      <c r="EKE129" s="90"/>
      <c r="EKF129" s="90"/>
      <c r="EKG129" s="89"/>
      <c r="EKH129" s="90"/>
      <c r="EKI129" s="90"/>
      <c r="EKJ129" s="90"/>
      <c r="EKK129" s="90"/>
      <c r="EKL129" s="90"/>
      <c r="EKM129" s="90"/>
      <c r="EKN129" s="90"/>
      <c r="EKO129" s="90"/>
      <c r="EKP129" s="90"/>
      <c r="EKQ129" s="90"/>
      <c r="EKR129" s="90"/>
      <c r="EKS129" s="90"/>
      <c r="EKT129" s="90"/>
      <c r="EKU129" s="90"/>
      <c r="EKV129" s="90"/>
      <c r="EKW129" s="90"/>
      <c r="EKX129" s="90"/>
      <c r="EKY129" s="89"/>
      <c r="EKZ129" s="90"/>
      <c r="ELA129" s="90"/>
      <c r="ELB129" s="90"/>
      <c r="ELC129" s="90"/>
      <c r="ELD129" s="90"/>
      <c r="ELE129" s="90"/>
      <c r="ELF129" s="90"/>
      <c r="ELG129" s="90"/>
      <c r="ELH129" s="90"/>
      <c r="ELI129" s="90"/>
      <c r="ELJ129" s="90"/>
      <c r="ELK129" s="90"/>
      <c r="ELL129" s="90"/>
      <c r="ELM129" s="90"/>
      <c r="ELN129" s="90"/>
      <c r="ELO129" s="90"/>
      <c r="ELP129" s="90"/>
      <c r="ELQ129" s="89"/>
      <c r="ELR129" s="90"/>
      <c r="ELS129" s="90"/>
      <c r="ELT129" s="90"/>
      <c r="ELU129" s="90"/>
      <c r="ELV129" s="90"/>
      <c r="ELW129" s="90"/>
      <c r="ELX129" s="90"/>
      <c r="ELY129" s="90"/>
      <c r="ELZ129" s="90"/>
      <c r="EMA129" s="90"/>
      <c r="EMB129" s="90"/>
      <c r="EMC129" s="90"/>
      <c r="EMD129" s="90"/>
      <c r="EME129" s="90"/>
      <c r="EMF129" s="90"/>
      <c r="EMG129" s="90"/>
      <c r="EMH129" s="90"/>
      <c r="EMI129" s="89"/>
      <c r="EMJ129" s="90"/>
      <c r="EMK129" s="90"/>
      <c r="EML129" s="90"/>
      <c r="EMM129" s="90"/>
      <c r="EMN129" s="90"/>
      <c r="EMO129" s="90"/>
      <c r="EMP129" s="90"/>
      <c r="EMQ129" s="90"/>
      <c r="EMR129" s="90"/>
      <c r="EMS129" s="90"/>
      <c r="EMT129" s="90"/>
      <c r="EMU129" s="90"/>
      <c r="EMV129" s="90"/>
      <c r="EMW129" s="90"/>
      <c r="EMX129" s="90"/>
      <c r="EMY129" s="90"/>
      <c r="EMZ129" s="90"/>
      <c r="ENA129" s="89"/>
      <c r="ENB129" s="90"/>
      <c r="ENC129" s="90"/>
      <c r="END129" s="90"/>
      <c r="ENE129" s="90"/>
      <c r="ENF129" s="90"/>
      <c r="ENG129" s="90"/>
      <c r="ENH129" s="90"/>
      <c r="ENI129" s="90"/>
      <c r="ENJ129" s="90"/>
      <c r="ENK129" s="90"/>
      <c r="ENL129" s="90"/>
      <c r="ENM129" s="90"/>
      <c r="ENN129" s="90"/>
      <c r="ENO129" s="90"/>
      <c r="ENP129" s="90"/>
      <c r="ENQ129" s="90"/>
      <c r="ENR129" s="90"/>
      <c r="ENS129" s="89"/>
      <c r="ENT129" s="90"/>
      <c r="ENU129" s="90"/>
      <c r="ENV129" s="90"/>
      <c r="ENW129" s="90"/>
      <c r="ENX129" s="90"/>
      <c r="ENY129" s="90"/>
      <c r="ENZ129" s="90"/>
      <c r="EOA129" s="90"/>
      <c r="EOB129" s="90"/>
      <c r="EOC129" s="90"/>
      <c r="EOD129" s="90"/>
      <c r="EOE129" s="90"/>
      <c r="EOF129" s="90"/>
      <c r="EOG129" s="90"/>
      <c r="EOH129" s="90"/>
      <c r="EOI129" s="90"/>
      <c r="EOJ129" s="90"/>
      <c r="EOK129" s="89"/>
      <c r="EOL129" s="90"/>
      <c r="EOM129" s="90"/>
      <c r="EON129" s="90"/>
      <c r="EOO129" s="90"/>
      <c r="EOP129" s="90"/>
      <c r="EOQ129" s="90"/>
      <c r="EOR129" s="90"/>
      <c r="EOS129" s="90"/>
      <c r="EOT129" s="90"/>
      <c r="EOU129" s="90"/>
      <c r="EOV129" s="90"/>
      <c r="EOW129" s="90"/>
      <c r="EOX129" s="90"/>
      <c r="EOY129" s="90"/>
      <c r="EOZ129" s="90"/>
      <c r="EPA129" s="90"/>
      <c r="EPB129" s="90"/>
      <c r="EPC129" s="89"/>
      <c r="EPD129" s="90"/>
      <c r="EPE129" s="90"/>
      <c r="EPF129" s="90"/>
      <c r="EPG129" s="90"/>
      <c r="EPH129" s="90"/>
      <c r="EPI129" s="90"/>
      <c r="EPJ129" s="90"/>
      <c r="EPK129" s="90"/>
      <c r="EPL129" s="90"/>
      <c r="EPM129" s="90"/>
      <c r="EPN129" s="90"/>
      <c r="EPO129" s="90"/>
      <c r="EPP129" s="90"/>
      <c r="EPQ129" s="90"/>
      <c r="EPR129" s="90"/>
      <c r="EPS129" s="90"/>
      <c r="EPT129" s="90"/>
      <c r="EPU129" s="89"/>
      <c r="EPV129" s="90"/>
      <c r="EPW129" s="90"/>
      <c r="EPX129" s="90"/>
      <c r="EPY129" s="90"/>
      <c r="EPZ129" s="90"/>
      <c r="EQA129" s="90"/>
      <c r="EQB129" s="90"/>
      <c r="EQC129" s="90"/>
      <c r="EQD129" s="90"/>
      <c r="EQE129" s="90"/>
      <c r="EQF129" s="90"/>
      <c r="EQG129" s="90"/>
      <c r="EQH129" s="90"/>
      <c r="EQI129" s="90"/>
      <c r="EQJ129" s="90"/>
      <c r="EQK129" s="90"/>
      <c r="EQL129" s="90"/>
      <c r="EQM129" s="89"/>
      <c r="EQN129" s="90"/>
      <c r="EQO129" s="90"/>
      <c r="EQP129" s="90"/>
      <c r="EQQ129" s="90"/>
      <c r="EQR129" s="90"/>
      <c r="EQS129" s="90"/>
      <c r="EQT129" s="90"/>
      <c r="EQU129" s="90"/>
      <c r="EQV129" s="90"/>
      <c r="EQW129" s="90"/>
      <c r="EQX129" s="90"/>
      <c r="EQY129" s="90"/>
      <c r="EQZ129" s="90"/>
      <c r="ERA129" s="90"/>
      <c r="ERB129" s="90"/>
      <c r="ERC129" s="90"/>
      <c r="ERD129" s="90"/>
      <c r="ERE129" s="89"/>
      <c r="ERF129" s="90"/>
      <c r="ERG129" s="90"/>
      <c r="ERH129" s="90"/>
      <c r="ERI129" s="90"/>
      <c r="ERJ129" s="90"/>
      <c r="ERK129" s="90"/>
      <c r="ERL129" s="90"/>
      <c r="ERM129" s="90"/>
      <c r="ERN129" s="90"/>
      <c r="ERO129" s="90"/>
      <c r="ERP129" s="90"/>
      <c r="ERQ129" s="90"/>
      <c r="ERR129" s="90"/>
      <c r="ERS129" s="90"/>
      <c r="ERT129" s="90"/>
      <c r="ERU129" s="90"/>
      <c r="ERV129" s="90"/>
      <c r="ERW129" s="89"/>
      <c r="ERX129" s="90"/>
      <c r="ERY129" s="90"/>
      <c r="ERZ129" s="90"/>
      <c r="ESA129" s="90"/>
      <c r="ESB129" s="90"/>
      <c r="ESC129" s="90"/>
      <c r="ESD129" s="90"/>
      <c r="ESE129" s="90"/>
      <c r="ESF129" s="90"/>
      <c r="ESG129" s="90"/>
      <c r="ESH129" s="90"/>
      <c r="ESI129" s="90"/>
      <c r="ESJ129" s="90"/>
      <c r="ESK129" s="90"/>
      <c r="ESL129" s="90"/>
      <c r="ESM129" s="90"/>
      <c r="ESN129" s="90"/>
      <c r="ESO129" s="89"/>
      <c r="ESP129" s="90"/>
      <c r="ESQ129" s="90"/>
      <c r="ESR129" s="90"/>
      <c r="ESS129" s="90"/>
      <c r="EST129" s="90"/>
      <c r="ESU129" s="90"/>
      <c r="ESV129" s="90"/>
      <c r="ESW129" s="90"/>
      <c r="ESX129" s="90"/>
      <c r="ESY129" s="90"/>
      <c r="ESZ129" s="90"/>
      <c r="ETA129" s="90"/>
      <c r="ETB129" s="90"/>
      <c r="ETC129" s="90"/>
      <c r="ETD129" s="90"/>
      <c r="ETE129" s="90"/>
      <c r="ETF129" s="90"/>
      <c r="ETG129" s="89"/>
      <c r="ETH129" s="90"/>
      <c r="ETI129" s="90"/>
      <c r="ETJ129" s="90"/>
      <c r="ETK129" s="90"/>
      <c r="ETL129" s="90"/>
      <c r="ETM129" s="90"/>
      <c r="ETN129" s="90"/>
      <c r="ETO129" s="90"/>
      <c r="ETP129" s="90"/>
      <c r="ETQ129" s="90"/>
      <c r="ETR129" s="90"/>
      <c r="ETS129" s="90"/>
      <c r="ETT129" s="90"/>
      <c r="ETU129" s="90"/>
      <c r="ETV129" s="90"/>
      <c r="ETW129" s="90"/>
      <c r="ETX129" s="90"/>
      <c r="ETY129" s="89"/>
      <c r="ETZ129" s="90"/>
      <c r="EUA129" s="90"/>
      <c r="EUB129" s="90"/>
      <c r="EUC129" s="90"/>
      <c r="EUD129" s="90"/>
      <c r="EUE129" s="90"/>
      <c r="EUF129" s="90"/>
      <c r="EUG129" s="90"/>
      <c r="EUH129" s="90"/>
      <c r="EUI129" s="90"/>
      <c r="EUJ129" s="90"/>
      <c r="EUK129" s="90"/>
      <c r="EUL129" s="90"/>
      <c r="EUM129" s="90"/>
      <c r="EUN129" s="90"/>
      <c r="EUO129" s="90"/>
      <c r="EUP129" s="90"/>
      <c r="EUQ129" s="89"/>
      <c r="EUR129" s="90"/>
      <c r="EUS129" s="90"/>
      <c r="EUT129" s="90"/>
      <c r="EUU129" s="90"/>
      <c r="EUV129" s="90"/>
      <c r="EUW129" s="90"/>
      <c r="EUX129" s="90"/>
      <c r="EUY129" s="90"/>
      <c r="EUZ129" s="90"/>
      <c r="EVA129" s="90"/>
      <c r="EVB129" s="90"/>
      <c r="EVC129" s="90"/>
      <c r="EVD129" s="90"/>
      <c r="EVE129" s="90"/>
      <c r="EVF129" s="90"/>
      <c r="EVG129" s="90"/>
      <c r="EVH129" s="90"/>
      <c r="EVI129" s="89"/>
      <c r="EVJ129" s="90"/>
      <c r="EVK129" s="90"/>
      <c r="EVL129" s="90"/>
      <c r="EVM129" s="90"/>
      <c r="EVN129" s="90"/>
      <c r="EVO129" s="90"/>
      <c r="EVP129" s="90"/>
      <c r="EVQ129" s="90"/>
      <c r="EVR129" s="90"/>
      <c r="EVS129" s="90"/>
      <c r="EVT129" s="90"/>
      <c r="EVU129" s="90"/>
      <c r="EVV129" s="90"/>
      <c r="EVW129" s="90"/>
      <c r="EVX129" s="90"/>
      <c r="EVY129" s="90"/>
      <c r="EVZ129" s="90"/>
      <c r="EWA129" s="89"/>
      <c r="EWB129" s="90"/>
      <c r="EWC129" s="90"/>
      <c r="EWD129" s="90"/>
      <c r="EWE129" s="90"/>
      <c r="EWF129" s="90"/>
      <c r="EWG129" s="90"/>
      <c r="EWH129" s="90"/>
      <c r="EWI129" s="90"/>
      <c r="EWJ129" s="90"/>
      <c r="EWK129" s="90"/>
      <c r="EWL129" s="90"/>
      <c r="EWM129" s="90"/>
      <c r="EWN129" s="90"/>
      <c r="EWO129" s="90"/>
      <c r="EWP129" s="90"/>
      <c r="EWQ129" s="90"/>
      <c r="EWR129" s="90"/>
      <c r="EWS129" s="89"/>
      <c r="EWT129" s="90"/>
      <c r="EWU129" s="90"/>
      <c r="EWV129" s="90"/>
      <c r="EWW129" s="90"/>
      <c r="EWX129" s="90"/>
      <c r="EWY129" s="90"/>
      <c r="EWZ129" s="90"/>
      <c r="EXA129" s="90"/>
      <c r="EXB129" s="90"/>
      <c r="EXC129" s="90"/>
      <c r="EXD129" s="90"/>
      <c r="EXE129" s="90"/>
      <c r="EXF129" s="90"/>
      <c r="EXG129" s="90"/>
      <c r="EXH129" s="90"/>
      <c r="EXI129" s="90"/>
      <c r="EXJ129" s="90"/>
      <c r="EXK129" s="89"/>
      <c r="EXL129" s="90"/>
      <c r="EXM129" s="90"/>
      <c r="EXN129" s="90"/>
      <c r="EXO129" s="90"/>
      <c r="EXP129" s="90"/>
      <c r="EXQ129" s="90"/>
      <c r="EXR129" s="90"/>
      <c r="EXS129" s="90"/>
      <c r="EXT129" s="90"/>
      <c r="EXU129" s="90"/>
      <c r="EXV129" s="90"/>
      <c r="EXW129" s="90"/>
      <c r="EXX129" s="90"/>
      <c r="EXY129" s="90"/>
      <c r="EXZ129" s="90"/>
      <c r="EYA129" s="90"/>
      <c r="EYB129" s="90"/>
      <c r="EYC129" s="89"/>
      <c r="EYD129" s="90"/>
      <c r="EYE129" s="90"/>
      <c r="EYF129" s="90"/>
      <c r="EYG129" s="90"/>
      <c r="EYH129" s="90"/>
      <c r="EYI129" s="90"/>
      <c r="EYJ129" s="90"/>
      <c r="EYK129" s="90"/>
      <c r="EYL129" s="90"/>
      <c r="EYM129" s="90"/>
      <c r="EYN129" s="90"/>
      <c r="EYO129" s="90"/>
      <c r="EYP129" s="90"/>
      <c r="EYQ129" s="90"/>
      <c r="EYR129" s="90"/>
      <c r="EYS129" s="90"/>
      <c r="EYT129" s="90"/>
      <c r="EYU129" s="89"/>
      <c r="EYV129" s="90"/>
      <c r="EYW129" s="90"/>
      <c r="EYX129" s="90"/>
      <c r="EYY129" s="90"/>
      <c r="EYZ129" s="90"/>
      <c r="EZA129" s="90"/>
      <c r="EZB129" s="90"/>
      <c r="EZC129" s="90"/>
      <c r="EZD129" s="90"/>
      <c r="EZE129" s="90"/>
      <c r="EZF129" s="90"/>
      <c r="EZG129" s="90"/>
      <c r="EZH129" s="90"/>
      <c r="EZI129" s="90"/>
      <c r="EZJ129" s="90"/>
      <c r="EZK129" s="90"/>
      <c r="EZL129" s="90"/>
      <c r="EZM129" s="89"/>
      <c r="EZN129" s="90"/>
      <c r="EZO129" s="90"/>
      <c r="EZP129" s="90"/>
      <c r="EZQ129" s="90"/>
      <c r="EZR129" s="90"/>
      <c r="EZS129" s="90"/>
      <c r="EZT129" s="90"/>
      <c r="EZU129" s="90"/>
      <c r="EZV129" s="90"/>
      <c r="EZW129" s="90"/>
      <c r="EZX129" s="90"/>
      <c r="EZY129" s="90"/>
      <c r="EZZ129" s="90"/>
      <c r="FAA129" s="90"/>
      <c r="FAB129" s="90"/>
      <c r="FAC129" s="90"/>
      <c r="FAD129" s="90"/>
      <c r="FAE129" s="89"/>
      <c r="FAF129" s="90"/>
      <c r="FAG129" s="90"/>
      <c r="FAH129" s="90"/>
      <c r="FAI129" s="90"/>
      <c r="FAJ129" s="90"/>
      <c r="FAK129" s="90"/>
      <c r="FAL129" s="90"/>
      <c r="FAM129" s="90"/>
      <c r="FAN129" s="90"/>
      <c r="FAO129" s="90"/>
      <c r="FAP129" s="90"/>
      <c r="FAQ129" s="90"/>
      <c r="FAR129" s="90"/>
      <c r="FAS129" s="90"/>
      <c r="FAT129" s="90"/>
      <c r="FAU129" s="90"/>
      <c r="FAV129" s="90"/>
      <c r="FAW129" s="89"/>
      <c r="FAX129" s="90"/>
      <c r="FAY129" s="90"/>
      <c r="FAZ129" s="90"/>
      <c r="FBA129" s="90"/>
      <c r="FBB129" s="90"/>
      <c r="FBC129" s="90"/>
      <c r="FBD129" s="90"/>
      <c r="FBE129" s="90"/>
      <c r="FBF129" s="90"/>
      <c r="FBG129" s="90"/>
      <c r="FBH129" s="90"/>
      <c r="FBI129" s="90"/>
      <c r="FBJ129" s="90"/>
      <c r="FBK129" s="90"/>
      <c r="FBL129" s="90"/>
      <c r="FBM129" s="90"/>
      <c r="FBN129" s="90"/>
      <c r="FBO129" s="89"/>
      <c r="FBP129" s="90"/>
      <c r="FBQ129" s="90"/>
      <c r="FBR129" s="90"/>
      <c r="FBS129" s="90"/>
      <c r="FBT129" s="90"/>
      <c r="FBU129" s="90"/>
      <c r="FBV129" s="90"/>
      <c r="FBW129" s="90"/>
      <c r="FBX129" s="90"/>
      <c r="FBY129" s="90"/>
      <c r="FBZ129" s="90"/>
      <c r="FCA129" s="90"/>
      <c r="FCB129" s="90"/>
      <c r="FCC129" s="90"/>
      <c r="FCD129" s="90"/>
      <c r="FCE129" s="90"/>
      <c r="FCF129" s="90"/>
      <c r="FCG129" s="89"/>
      <c r="FCH129" s="90"/>
      <c r="FCI129" s="90"/>
      <c r="FCJ129" s="90"/>
      <c r="FCK129" s="90"/>
      <c r="FCL129" s="90"/>
      <c r="FCM129" s="90"/>
      <c r="FCN129" s="90"/>
      <c r="FCO129" s="90"/>
      <c r="FCP129" s="90"/>
      <c r="FCQ129" s="90"/>
      <c r="FCR129" s="90"/>
      <c r="FCS129" s="90"/>
      <c r="FCT129" s="90"/>
      <c r="FCU129" s="90"/>
      <c r="FCV129" s="90"/>
      <c r="FCW129" s="90"/>
      <c r="FCX129" s="90"/>
      <c r="FCY129" s="89"/>
      <c r="FCZ129" s="90"/>
      <c r="FDA129" s="90"/>
      <c r="FDB129" s="90"/>
      <c r="FDC129" s="90"/>
      <c r="FDD129" s="90"/>
      <c r="FDE129" s="90"/>
      <c r="FDF129" s="90"/>
      <c r="FDG129" s="90"/>
      <c r="FDH129" s="90"/>
      <c r="FDI129" s="90"/>
      <c r="FDJ129" s="90"/>
      <c r="FDK129" s="90"/>
      <c r="FDL129" s="90"/>
      <c r="FDM129" s="90"/>
      <c r="FDN129" s="90"/>
      <c r="FDO129" s="90"/>
      <c r="FDP129" s="90"/>
      <c r="FDQ129" s="89"/>
      <c r="FDR129" s="90"/>
      <c r="FDS129" s="90"/>
      <c r="FDT129" s="90"/>
      <c r="FDU129" s="90"/>
      <c r="FDV129" s="90"/>
      <c r="FDW129" s="90"/>
      <c r="FDX129" s="90"/>
      <c r="FDY129" s="90"/>
      <c r="FDZ129" s="90"/>
      <c r="FEA129" s="90"/>
      <c r="FEB129" s="90"/>
      <c r="FEC129" s="90"/>
      <c r="FED129" s="90"/>
      <c r="FEE129" s="90"/>
      <c r="FEF129" s="90"/>
      <c r="FEG129" s="90"/>
      <c r="FEH129" s="90"/>
      <c r="FEI129" s="89"/>
      <c r="FEJ129" s="90"/>
      <c r="FEK129" s="90"/>
      <c r="FEL129" s="90"/>
      <c r="FEM129" s="90"/>
      <c r="FEN129" s="90"/>
      <c r="FEO129" s="90"/>
      <c r="FEP129" s="90"/>
      <c r="FEQ129" s="90"/>
      <c r="FER129" s="90"/>
      <c r="FES129" s="90"/>
      <c r="FET129" s="90"/>
      <c r="FEU129" s="90"/>
      <c r="FEV129" s="90"/>
      <c r="FEW129" s="90"/>
      <c r="FEX129" s="90"/>
      <c r="FEY129" s="90"/>
      <c r="FEZ129" s="90"/>
      <c r="FFA129" s="89"/>
      <c r="FFB129" s="90"/>
      <c r="FFC129" s="90"/>
      <c r="FFD129" s="90"/>
      <c r="FFE129" s="90"/>
      <c r="FFF129" s="90"/>
      <c r="FFG129" s="90"/>
      <c r="FFH129" s="90"/>
      <c r="FFI129" s="90"/>
      <c r="FFJ129" s="90"/>
      <c r="FFK129" s="90"/>
      <c r="FFL129" s="90"/>
      <c r="FFM129" s="90"/>
      <c r="FFN129" s="90"/>
      <c r="FFO129" s="90"/>
      <c r="FFP129" s="90"/>
      <c r="FFQ129" s="90"/>
      <c r="FFR129" s="90"/>
      <c r="FFS129" s="89"/>
      <c r="FFT129" s="90"/>
      <c r="FFU129" s="90"/>
      <c r="FFV129" s="90"/>
      <c r="FFW129" s="90"/>
      <c r="FFX129" s="90"/>
      <c r="FFY129" s="90"/>
      <c r="FFZ129" s="90"/>
      <c r="FGA129" s="90"/>
      <c r="FGB129" s="90"/>
      <c r="FGC129" s="90"/>
      <c r="FGD129" s="90"/>
      <c r="FGE129" s="90"/>
      <c r="FGF129" s="90"/>
      <c r="FGG129" s="90"/>
      <c r="FGH129" s="90"/>
      <c r="FGI129" s="90"/>
      <c r="FGJ129" s="90"/>
      <c r="FGK129" s="89"/>
      <c r="FGL129" s="90"/>
      <c r="FGM129" s="90"/>
      <c r="FGN129" s="90"/>
      <c r="FGO129" s="90"/>
      <c r="FGP129" s="90"/>
      <c r="FGQ129" s="90"/>
      <c r="FGR129" s="90"/>
      <c r="FGS129" s="90"/>
      <c r="FGT129" s="90"/>
      <c r="FGU129" s="90"/>
      <c r="FGV129" s="90"/>
      <c r="FGW129" s="90"/>
      <c r="FGX129" s="90"/>
      <c r="FGY129" s="90"/>
      <c r="FGZ129" s="90"/>
      <c r="FHA129" s="90"/>
      <c r="FHB129" s="90"/>
      <c r="FHC129" s="89"/>
      <c r="FHD129" s="90"/>
      <c r="FHE129" s="90"/>
      <c r="FHF129" s="90"/>
      <c r="FHG129" s="90"/>
      <c r="FHH129" s="90"/>
      <c r="FHI129" s="90"/>
      <c r="FHJ129" s="90"/>
      <c r="FHK129" s="90"/>
      <c r="FHL129" s="90"/>
      <c r="FHM129" s="90"/>
      <c r="FHN129" s="90"/>
      <c r="FHO129" s="90"/>
      <c r="FHP129" s="90"/>
      <c r="FHQ129" s="90"/>
      <c r="FHR129" s="90"/>
      <c r="FHS129" s="90"/>
      <c r="FHT129" s="90"/>
      <c r="FHU129" s="89"/>
      <c r="FHV129" s="90"/>
      <c r="FHW129" s="90"/>
      <c r="FHX129" s="90"/>
      <c r="FHY129" s="90"/>
      <c r="FHZ129" s="90"/>
      <c r="FIA129" s="90"/>
      <c r="FIB129" s="90"/>
      <c r="FIC129" s="90"/>
      <c r="FID129" s="90"/>
      <c r="FIE129" s="90"/>
      <c r="FIF129" s="90"/>
      <c r="FIG129" s="90"/>
      <c r="FIH129" s="90"/>
      <c r="FII129" s="90"/>
      <c r="FIJ129" s="90"/>
      <c r="FIK129" s="90"/>
      <c r="FIL129" s="90"/>
      <c r="FIM129" s="89"/>
      <c r="FIN129" s="90"/>
      <c r="FIO129" s="90"/>
      <c r="FIP129" s="90"/>
      <c r="FIQ129" s="90"/>
      <c r="FIR129" s="90"/>
      <c r="FIS129" s="90"/>
      <c r="FIT129" s="90"/>
      <c r="FIU129" s="90"/>
      <c r="FIV129" s="90"/>
      <c r="FIW129" s="90"/>
      <c r="FIX129" s="90"/>
      <c r="FIY129" s="90"/>
      <c r="FIZ129" s="90"/>
      <c r="FJA129" s="90"/>
      <c r="FJB129" s="90"/>
      <c r="FJC129" s="90"/>
      <c r="FJD129" s="90"/>
      <c r="FJE129" s="89"/>
      <c r="FJF129" s="90"/>
      <c r="FJG129" s="90"/>
      <c r="FJH129" s="90"/>
      <c r="FJI129" s="90"/>
      <c r="FJJ129" s="90"/>
      <c r="FJK129" s="90"/>
      <c r="FJL129" s="90"/>
      <c r="FJM129" s="90"/>
      <c r="FJN129" s="90"/>
      <c r="FJO129" s="90"/>
      <c r="FJP129" s="90"/>
      <c r="FJQ129" s="90"/>
      <c r="FJR129" s="90"/>
      <c r="FJS129" s="90"/>
      <c r="FJT129" s="90"/>
      <c r="FJU129" s="90"/>
      <c r="FJV129" s="90"/>
      <c r="FJW129" s="89"/>
      <c r="FJX129" s="90"/>
      <c r="FJY129" s="90"/>
      <c r="FJZ129" s="90"/>
      <c r="FKA129" s="90"/>
      <c r="FKB129" s="90"/>
      <c r="FKC129" s="90"/>
      <c r="FKD129" s="90"/>
      <c r="FKE129" s="90"/>
      <c r="FKF129" s="90"/>
      <c r="FKG129" s="90"/>
      <c r="FKH129" s="90"/>
      <c r="FKI129" s="90"/>
      <c r="FKJ129" s="90"/>
      <c r="FKK129" s="90"/>
      <c r="FKL129" s="90"/>
      <c r="FKM129" s="90"/>
      <c r="FKN129" s="90"/>
      <c r="FKO129" s="89"/>
      <c r="FKP129" s="90"/>
      <c r="FKQ129" s="90"/>
      <c r="FKR129" s="90"/>
      <c r="FKS129" s="90"/>
      <c r="FKT129" s="90"/>
      <c r="FKU129" s="90"/>
      <c r="FKV129" s="90"/>
      <c r="FKW129" s="90"/>
      <c r="FKX129" s="90"/>
      <c r="FKY129" s="90"/>
      <c r="FKZ129" s="90"/>
      <c r="FLA129" s="90"/>
      <c r="FLB129" s="90"/>
      <c r="FLC129" s="90"/>
      <c r="FLD129" s="90"/>
      <c r="FLE129" s="90"/>
      <c r="FLF129" s="90"/>
      <c r="FLG129" s="89"/>
      <c r="FLH129" s="90"/>
      <c r="FLI129" s="90"/>
      <c r="FLJ129" s="90"/>
      <c r="FLK129" s="90"/>
      <c r="FLL129" s="90"/>
      <c r="FLM129" s="90"/>
      <c r="FLN129" s="90"/>
      <c r="FLO129" s="90"/>
      <c r="FLP129" s="90"/>
      <c r="FLQ129" s="90"/>
      <c r="FLR129" s="90"/>
      <c r="FLS129" s="90"/>
      <c r="FLT129" s="90"/>
      <c r="FLU129" s="90"/>
      <c r="FLV129" s="90"/>
      <c r="FLW129" s="90"/>
      <c r="FLX129" s="90"/>
      <c r="FLY129" s="89"/>
      <c r="FLZ129" s="90"/>
      <c r="FMA129" s="90"/>
      <c r="FMB129" s="90"/>
      <c r="FMC129" s="90"/>
      <c r="FMD129" s="90"/>
      <c r="FME129" s="90"/>
      <c r="FMF129" s="90"/>
      <c r="FMG129" s="90"/>
      <c r="FMH129" s="90"/>
      <c r="FMI129" s="90"/>
      <c r="FMJ129" s="90"/>
      <c r="FMK129" s="90"/>
      <c r="FML129" s="90"/>
      <c r="FMM129" s="90"/>
      <c r="FMN129" s="90"/>
      <c r="FMO129" s="90"/>
      <c r="FMP129" s="90"/>
      <c r="FMQ129" s="89"/>
      <c r="FMR129" s="90"/>
      <c r="FMS129" s="90"/>
      <c r="FMT129" s="90"/>
      <c r="FMU129" s="90"/>
      <c r="FMV129" s="90"/>
      <c r="FMW129" s="90"/>
      <c r="FMX129" s="90"/>
      <c r="FMY129" s="90"/>
      <c r="FMZ129" s="90"/>
      <c r="FNA129" s="90"/>
      <c r="FNB129" s="90"/>
      <c r="FNC129" s="90"/>
      <c r="FND129" s="90"/>
      <c r="FNE129" s="90"/>
      <c r="FNF129" s="90"/>
      <c r="FNG129" s="90"/>
      <c r="FNH129" s="90"/>
      <c r="FNI129" s="89"/>
      <c r="FNJ129" s="90"/>
      <c r="FNK129" s="90"/>
      <c r="FNL129" s="90"/>
      <c r="FNM129" s="90"/>
      <c r="FNN129" s="90"/>
      <c r="FNO129" s="90"/>
      <c r="FNP129" s="90"/>
      <c r="FNQ129" s="90"/>
      <c r="FNR129" s="90"/>
      <c r="FNS129" s="90"/>
      <c r="FNT129" s="90"/>
      <c r="FNU129" s="90"/>
      <c r="FNV129" s="90"/>
      <c r="FNW129" s="90"/>
      <c r="FNX129" s="90"/>
      <c r="FNY129" s="90"/>
      <c r="FNZ129" s="90"/>
      <c r="FOA129" s="89"/>
      <c r="FOB129" s="90"/>
      <c r="FOC129" s="90"/>
      <c r="FOD129" s="90"/>
      <c r="FOE129" s="90"/>
      <c r="FOF129" s="90"/>
      <c r="FOG129" s="90"/>
      <c r="FOH129" s="90"/>
      <c r="FOI129" s="90"/>
      <c r="FOJ129" s="90"/>
      <c r="FOK129" s="90"/>
      <c r="FOL129" s="90"/>
      <c r="FOM129" s="90"/>
      <c r="FON129" s="90"/>
      <c r="FOO129" s="90"/>
      <c r="FOP129" s="90"/>
      <c r="FOQ129" s="90"/>
      <c r="FOR129" s="90"/>
      <c r="FOS129" s="89"/>
      <c r="FOT129" s="90"/>
      <c r="FOU129" s="90"/>
      <c r="FOV129" s="90"/>
      <c r="FOW129" s="90"/>
      <c r="FOX129" s="90"/>
      <c r="FOY129" s="90"/>
      <c r="FOZ129" s="90"/>
      <c r="FPA129" s="90"/>
      <c r="FPB129" s="90"/>
      <c r="FPC129" s="90"/>
      <c r="FPD129" s="90"/>
      <c r="FPE129" s="90"/>
      <c r="FPF129" s="90"/>
      <c r="FPG129" s="90"/>
      <c r="FPH129" s="90"/>
      <c r="FPI129" s="90"/>
      <c r="FPJ129" s="90"/>
      <c r="FPK129" s="89"/>
      <c r="FPL129" s="90"/>
      <c r="FPM129" s="90"/>
      <c r="FPN129" s="90"/>
      <c r="FPO129" s="90"/>
      <c r="FPP129" s="90"/>
      <c r="FPQ129" s="90"/>
      <c r="FPR129" s="90"/>
      <c r="FPS129" s="90"/>
      <c r="FPT129" s="90"/>
      <c r="FPU129" s="90"/>
      <c r="FPV129" s="90"/>
      <c r="FPW129" s="90"/>
      <c r="FPX129" s="90"/>
      <c r="FPY129" s="90"/>
      <c r="FPZ129" s="90"/>
      <c r="FQA129" s="90"/>
      <c r="FQB129" s="90"/>
      <c r="FQC129" s="89"/>
      <c r="FQD129" s="90"/>
      <c r="FQE129" s="90"/>
      <c r="FQF129" s="90"/>
      <c r="FQG129" s="90"/>
      <c r="FQH129" s="90"/>
      <c r="FQI129" s="90"/>
      <c r="FQJ129" s="90"/>
      <c r="FQK129" s="90"/>
      <c r="FQL129" s="90"/>
      <c r="FQM129" s="90"/>
      <c r="FQN129" s="90"/>
      <c r="FQO129" s="90"/>
      <c r="FQP129" s="90"/>
      <c r="FQQ129" s="90"/>
      <c r="FQR129" s="90"/>
      <c r="FQS129" s="90"/>
      <c r="FQT129" s="90"/>
      <c r="FQU129" s="89"/>
      <c r="FQV129" s="90"/>
      <c r="FQW129" s="90"/>
      <c r="FQX129" s="90"/>
      <c r="FQY129" s="90"/>
      <c r="FQZ129" s="90"/>
      <c r="FRA129" s="90"/>
      <c r="FRB129" s="90"/>
      <c r="FRC129" s="90"/>
      <c r="FRD129" s="90"/>
      <c r="FRE129" s="90"/>
      <c r="FRF129" s="90"/>
      <c r="FRG129" s="90"/>
      <c r="FRH129" s="90"/>
      <c r="FRI129" s="90"/>
      <c r="FRJ129" s="90"/>
      <c r="FRK129" s="90"/>
      <c r="FRL129" s="90"/>
      <c r="FRM129" s="89"/>
      <c r="FRN129" s="90"/>
      <c r="FRO129" s="90"/>
      <c r="FRP129" s="90"/>
      <c r="FRQ129" s="90"/>
      <c r="FRR129" s="90"/>
      <c r="FRS129" s="90"/>
      <c r="FRT129" s="90"/>
      <c r="FRU129" s="90"/>
      <c r="FRV129" s="90"/>
      <c r="FRW129" s="90"/>
      <c r="FRX129" s="90"/>
      <c r="FRY129" s="90"/>
      <c r="FRZ129" s="90"/>
      <c r="FSA129" s="90"/>
      <c r="FSB129" s="90"/>
      <c r="FSC129" s="90"/>
      <c r="FSD129" s="90"/>
      <c r="FSE129" s="89"/>
      <c r="FSF129" s="90"/>
      <c r="FSG129" s="90"/>
      <c r="FSH129" s="90"/>
      <c r="FSI129" s="90"/>
      <c r="FSJ129" s="90"/>
      <c r="FSK129" s="90"/>
      <c r="FSL129" s="90"/>
      <c r="FSM129" s="90"/>
      <c r="FSN129" s="90"/>
      <c r="FSO129" s="90"/>
      <c r="FSP129" s="90"/>
      <c r="FSQ129" s="90"/>
      <c r="FSR129" s="90"/>
      <c r="FSS129" s="90"/>
      <c r="FST129" s="90"/>
      <c r="FSU129" s="90"/>
      <c r="FSV129" s="90"/>
      <c r="FSW129" s="89"/>
      <c r="FSX129" s="90"/>
      <c r="FSY129" s="90"/>
      <c r="FSZ129" s="90"/>
      <c r="FTA129" s="90"/>
      <c r="FTB129" s="90"/>
      <c r="FTC129" s="90"/>
      <c r="FTD129" s="90"/>
      <c r="FTE129" s="90"/>
      <c r="FTF129" s="90"/>
      <c r="FTG129" s="90"/>
      <c r="FTH129" s="90"/>
      <c r="FTI129" s="90"/>
      <c r="FTJ129" s="90"/>
      <c r="FTK129" s="90"/>
      <c r="FTL129" s="90"/>
      <c r="FTM129" s="90"/>
      <c r="FTN129" s="90"/>
      <c r="FTO129" s="89"/>
      <c r="FTP129" s="90"/>
      <c r="FTQ129" s="90"/>
      <c r="FTR129" s="90"/>
      <c r="FTS129" s="90"/>
      <c r="FTT129" s="90"/>
      <c r="FTU129" s="90"/>
      <c r="FTV129" s="90"/>
      <c r="FTW129" s="90"/>
      <c r="FTX129" s="90"/>
      <c r="FTY129" s="90"/>
      <c r="FTZ129" s="90"/>
      <c r="FUA129" s="90"/>
      <c r="FUB129" s="90"/>
      <c r="FUC129" s="90"/>
      <c r="FUD129" s="90"/>
      <c r="FUE129" s="90"/>
      <c r="FUF129" s="90"/>
      <c r="FUG129" s="89"/>
      <c r="FUH129" s="90"/>
      <c r="FUI129" s="90"/>
      <c r="FUJ129" s="90"/>
      <c r="FUK129" s="90"/>
      <c r="FUL129" s="90"/>
      <c r="FUM129" s="90"/>
      <c r="FUN129" s="90"/>
      <c r="FUO129" s="90"/>
      <c r="FUP129" s="90"/>
      <c r="FUQ129" s="90"/>
      <c r="FUR129" s="90"/>
      <c r="FUS129" s="90"/>
      <c r="FUT129" s="90"/>
      <c r="FUU129" s="90"/>
      <c r="FUV129" s="90"/>
      <c r="FUW129" s="90"/>
      <c r="FUX129" s="90"/>
      <c r="FUY129" s="89"/>
      <c r="FUZ129" s="90"/>
      <c r="FVA129" s="90"/>
      <c r="FVB129" s="90"/>
      <c r="FVC129" s="90"/>
      <c r="FVD129" s="90"/>
      <c r="FVE129" s="90"/>
      <c r="FVF129" s="90"/>
      <c r="FVG129" s="90"/>
      <c r="FVH129" s="90"/>
      <c r="FVI129" s="90"/>
      <c r="FVJ129" s="90"/>
      <c r="FVK129" s="90"/>
      <c r="FVL129" s="90"/>
      <c r="FVM129" s="90"/>
      <c r="FVN129" s="90"/>
      <c r="FVO129" s="90"/>
      <c r="FVP129" s="90"/>
      <c r="FVQ129" s="89"/>
      <c r="FVR129" s="90"/>
      <c r="FVS129" s="90"/>
      <c r="FVT129" s="90"/>
      <c r="FVU129" s="90"/>
      <c r="FVV129" s="90"/>
      <c r="FVW129" s="90"/>
      <c r="FVX129" s="90"/>
      <c r="FVY129" s="90"/>
      <c r="FVZ129" s="90"/>
      <c r="FWA129" s="90"/>
      <c r="FWB129" s="90"/>
      <c r="FWC129" s="90"/>
      <c r="FWD129" s="90"/>
      <c r="FWE129" s="90"/>
      <c r="FWF129" s="90"/>
      <c r="FWG129" s="90"/>
      <c r="FWH129" s="90"/>
      <c r="FWI129" s="89"/>
      <c r="FWJ129" s="90"/>
      <c r="FWK129" s="90"/>
      <c r="FWL129" s="90"/>
      <c r="FWM129" s="90"/>
      <c r="FWN129" s="90"/>
      <c r="FWO129" s="90"/>
      <c r="FWP129" s="90"/>
      <c r="FWQ129" s="90"/>
      <c r="FWR129" s="90"/>
      <c r="FWS129" s="90"/>
      <c r="FWT129" s="90"/>
      <c r="FWU129" s="90"/>
      <c r="FWV129" s="90"/>
      <c r="FWW129" s="90"/>
      <c r="FWX129" s="90"/>
      <c r="FWY129" s="90"/>
      <c r="FWZ129" s="90"/>
      <c r="FXA129" s="89"/>
      <c r="FXB129" s="90"/>
      <c r="FXC129" s="90"/>
      <c r="FXD129" s="90"/>
      <c r="FXE129" s="90"/>
      <c r="FXF129" s="90"/>
      <c r="FXG129" s="90"/>
      <c r="FXH129" s="90"/>
      <c r="FXI129" s="90"/>
      <c r="FXJ129" s="90"/>
      <c r="FXK129" s="90"/>
      <c r="FXL129" s="90"/>
      <c r="FXM129" s="90"/>
      <c r="FXN129" s="90"/>
      <c r="FXO129" s="90"/>
      <c r="FXP129" s="90"/>
      <c r="FXQ129" s="90"/>
      <c r="FXR129" s="90"/>
      <c r="FXS129" s="89"/>
      <c r="FXT129" s="90"/>
      <c r="FXU129" s="90"/>
      <c r="FXV129" s="90"/>
      <c r="FXW129" s="90"/>
      <c r="FXX129" s="90"/>
      <c r="FXY129" s="90"/>
      <c r="FXZ129" s="90"/>
      <c r="FYA129" s="90"/>
      <c r="FYB129" s="90"/>
      <c r="FYC129" s="90"/>
      <c r="FYD129" s="90"/>
      <c r="FYE129" s="90"/>
      <c r="FYF129" s="90"/>
      <c r="FYG129" s="90"/>
      <c r="FYH129" s="90"/>
      <c r="FYI129" s="90"/>
      <c r="FYJ129" s="90"/>
      <c r="FYK129" s="89"/>
      <c r="FYL129" s="90"/>
      <c r="FYM129" s="90"/>
      <c r="FYN129" s="90"/>
      <c r="FYO129" s="90"/>
      <c r="FYP129" s="90"/>
      <c r="FYQ129" s="90"/>
      <c r="FYR129" s="90"/>
      <c r="FYS129" s="90"/>
      <c r="FYT129" s="90"/>
      <c r="FYU129" s="90"/>
      <c r="FYV129" s="90"/>
      <c r="FYW129" s="90"/>
      <c r="FYX129" s="90"/>
      <c r="FYY129" s="90"/>
      <c r="FYZ129" s="90"/>
      <c r="FZA129" s="90"/>
      <c r="FZB129" s="90"/>
      <c r="FZC129" s="89"/>
      <c r="FZD129" s="90"/>
      <c r="FZE129" s="90"/>
      <c r="FZF129" s="90"/>
      <c r="FZG129" s="90"/>
      <c r="FZH129" s="90"/>
      <c r="FZI129" s="90"/>
      <c r="FZJ129" s="90"/>
      <c r="FZK129" s="90"/>
      <c r="FZL129" s="90"/>
      <c r="FZM129" s="90"/>
      <c r="FZN129" s="90"/>
      <c r="FZO129" s="90"/>
      <c r="FZP129" s="90"/>
      <c r="FZQ129" s="90"/>
      <c r="FZR129" s="90"/>
      <c r="FZS129" s="90"/>
      <c r="FZT129" s="90"/>
      <c r="FZU129" s="89"/>
      <c r="FZV129" s="90"/>
      <c r="FZW129" s="90"/>
      <c r="FZX129" s="90"/>
      <c r="FZY129" s="90"/>
      <c r="FZZ129" s="90"/>
      <c r="GAA129" s="90"/>
      <c r="GAB129" s="90"/>
      <c r="GAC129" s="90"/>
      <c r="GAD129" s="90"/>
      <c r="GAE129" s="90"/>
      <c r="GAF129" s="90"/>
      <c r="GAG129" s="90"/>
      <c r="GAH129" s="90"/>
      <c r="GAI129" s="90"/>
      <c r="GAJ129" s="90"/>
      <c r="GAK129" s="90"/>
      <c r="GAL129" s="90"/>
      <c r="GAM129" s="89"/>
      <c r="GAN129" s="90"/>
      <c r="GAO129" s="90"/>
      <c r="GAP129" s="90"/>
      <c r="GAQ129" s="90"/>
      <c r="GAR129" s="90"/>
      <c r="GAS129" s="90"/>
      <c r="GAT129" s="90"/>
      <c r="GAU129" s="90"/>
      <c r="GAV129" s="90"/>
      <c r="GAW129" s="90"/>
      <c r="GAX129" s="90"/>
      <c r="GAY129" s="90"/>
      <c r="GAZ129" s="90"/>
      <c r="GBA129" s="90"/>
      <c r="GBB129" s="90"/>
      <c r="GBC129" s="90"/>
      <c r="GBD129" s="90"/>
      <c r="GBE129" s="89"/>
      <c r="GBF129" s="90"/>
      <c r="GBG129" s="90"/>
      <c r="GBH129" s="90"/>
      <c r="GBI129" s="90"/>
      <c r="GBJ129" s="90"/>
      <c r="GBK129" s="90"/>
      <c r="GBL129" s="90"/>
      <c r="GBM129" s="90"/>
      <c r="GBN129" s="90"/>
      <c r="GBO129" s="90"/>
      <c r="GBP129" s="90"/>
      <c r="GBQ129" s="90"/>
      <c r="GBR129" s="90"/>
      <c r="GBS129" s="90"/>
      <c r="GBT129" s="90"/>
      <c r="GBU129" s="90"/>
      <c r="GBV129" s="90"/>
      <c r="GBW129" s="89"/>
      <c r="GBX129" s="90"/>
      <c r="GBY129" s="90"/>
      <c r="GBZ129" s="90"/>
      <c r="GCA129" s="90"/>
      <c r="GCB129" s="90"/>
      <c r="GCC129" s="90"/>
      <c r="GCD129" s="90"/>
      <c r="GCE129" s="90"/>
      <c r="GCF129" s="90"/>
      <c r="GCG129" s="90"/>
      <c r="GCH129" s="90"/>
      <c r="GCI129" s="90"/>
      <c r="GCJ129" s="90"/>
      <c r="GCK129" s="90"/>
      <c r="GCL129" s="90"/>
      <c r="GCM129" s="90"/>
      <c r="GCN129" s="90"/>
      <c r="GCO129" s="89"/>
      <c r="GCP129" s="90"/>
      <c r="GCQ129" s="90"/>
      <c r="GCR129" s="90"/>
      <c r="GCS129" s="90"/>
      <c r="GCT129" s="90"/>
      <c r="GCU129" s="90"/>
      <c r="GCV129" s="90"/>
      <c r="GCW129" s="90"/>
      <c r="GCX129" s="90"/>
      <c r="GCY129" s="90"/>
      <c r="GCZ129" s="90"/>
      <c r="GDA129" s="90"/>
      <c r="GDB129" s="90"/>
      <c r="GDC129" s="90"/>
      <c r="GDD129" s="90"/>
      <c r="GDE129" s="90"/>
      <c r="GDF129" s="90"/>
      <c r="GDG129" s="89"/>
      <c r="GDH129" s="90"/>
      <c r="GDI129" s="90"/>
      <c r="GDJ129" s="90"/>
      <c r="GDK129" s="90"/>
      <c r="GDL129" s="90"/>
      <c r="GDM129" s="90"/>
      <c r="GDN129" s="90"/>
      <c r="GDO129" s="90"/>
      <c r="GDP129" s="90"/>
      <c r="GDQ129" s="90"/>
      <c r="GDR129" s="90"/>
      <c r="GDS129" s="90"/>
      <c r="GDT129" s="90"/>
      <c r="GDU129" s="90"/>
      <c r="GDV129" s="90"/>
      <c r="GDW129" s="90"/>
      <c r="GDX129" s="90"/>
      <c r="GDY129" s="89"/>
      <c r="GDZ129" s="90"/>
      <c r="GEA129" s="90"/>
      <c r="GEB129" s="90"/>
      <c r="GEC129" s="90"/>
      <c r="GED129" s="90"/>
      <c r="GEE129" s="90"/>
      <c r="GEF129" s="90"/>
      <c r="GEG129" s="90"/>
      <c r="GEH129" s="90"/>
      <c r="GEI129" s="90"/>
      <c r="GEJ129" s="90"/>
      <c r="GEK129" s="90"/>
      <c r="GEL129" s="90"/>
      <c r="GEM129" s="90"/>
      <c r="GEN129" s="90"/>
      <c r="GEO129" s="90"/>
      <c r="GEP129" s="90"/>
      <c r="GEQ129" s="89"/>
      <c r="GER129" s="90"/>
      <c r="GES129" s="90"/>
      <c r="GET129" s="90"/>
      <c r="GEU129" s="90"/>
      <c r="GEV129" s="90"/>
      <c r="GEW129" s="90"/>
      <c r="GEX129" s="90"/>
      <c r="GEY129" s="90"/>
      <c r="GEZ129" s="90"/>
      <c r="GFA129" s="90"/>
      <c r="GFB129" s="90"/>
      <c r="GFC129" s="90"/>
      <c r="GFD129" s="90"/>
      <c r="GFE129" s="90"/>
      <c r="GFF129" s="90"/>
      <c r="GFG129" s="90"/>
      <c r="GFH129" s="90"/>
      <c r="GFI129" s="89"/>
      <c r="GFJ129" s="90"/>
      <c r="GFK129" s="90"/>
      <c r="GFL129" s="90"/>
      <c r="GFM129" s="90"/>
      <c r="GFN129" s="90"/>
      <c r="GFO129" s="90"/>
      <c r="GFP129" s="90"/>
      <c r="GFQ129" s="90"/>
      <c r="GFR129" s="90"/>
      <c r="GFS129" s="90"/>
      <c r="GFT129" s="90"/>
      <c r="GFU129" s="90"/>
      <c r="GFV129" s="90"/>
      <c r="GFW129" s="90"/>
      <c r="GFX129" s="90"/>
      <c r="GFY129" s="90"/>
      <c r="GFZ129" s="90"/>
      <c r="GGA129" s="89"/>
      <c r="GGB129" s="90"/>
      <c r="GGC129" s="90"/>
      <c r="GGD129" s="90"/>
      <c r="GGE129" s="90"/>
      <c r="GGF129" s="90"/>
      <c r="GGG129" s="90"/>
      <c r="GGH129" s="90"/>
      <c r="GGI129" s="90"/>
      <c r="GGJ129" s="90"/>
      <c r="GGK129" s="90"/>
      <c r="GGL129" s="90"/>
      <c r="GGM129" s="90"/>
      <c r="GGN129" s="90"/>
      <c r="GGO129" s="90"/>
      <c r="GGP129" s="90"/>
      <c r="GGQ129" s="90"/>
      <c r="GGR129" s="90"/>
      <c r="GGS129" s="89"/>
      <c r="GGT129" s="90"/>
      <c r="GGU129" s="90"/>
      <c r="GGV129" s="90"/>
      <c r="GGW129" s="90"/>
      <c r="GGX129" s="90"/>
      <c r="GGY129" s="90"/>
      <c r="GGZ129" s="90"/>
      <c r="GHA129" s="90"/>
      <c r="GHB129" s="90"/>
      <c r="GHC129" s="90"/>
      <c r="GHD129" s="90"/>
      <c r="GHE129" s="90"/>
      <c r="GHF129" s="90"/>
      <c r="GHG129" s="90"/>
      <c r="GHH129" s="90"/>
      <c r="GHI129" s="90"/>
      <c r="GHJ129" s="90"/>
      <c r="GHK129" s="89"/>
      <c r="GHL129" s="90"/>
      <c r="GHM129" s="90"/>
      <c r="GHN129" s="90"/>
      <c r="GHO129" s="90"/>
      <c r="GHP129" s="90"/>
      <c r="GHQ129" s="90"/>
      <c r="GHR129" s="90"/>
      <c r="GHS129" s="90"/>
      <c r="GHT129" s="90"/>
      <c r="GHU129" s="90"/>
      <c r="GHV129" s="90"/>
      <c r="GHW129" s="90"/>
      <c r="GHX129" s="90"/>
      <c r="GHY129" s="90"/>
      <c r="GHZ129" s="90"/>
      <c r="GIA129" s="90"/>
      <c r="GIB129" s="90"/>
      <c r="GIC129" s="89"/>
      <c r="GID129" s="90"/>
      <c r="GIE129" s="90"/>
      <c r="GIF129" s="90"/>
      <c r="GIG129" s="90"/>
      <c r="GIH129" s="90"/>
      <c r="GII129" s="90"/>
      <c r="GIJ129" s="90"/>
      <c r="GIK129" s="90"/>
      <c r="GIL129" s="90"/>
      <c r="GIM129" s="90"/>
      <c r="GIN129" s="90"/>
      <c r="GIO129" s="90"/>
      <c r="GIP129" s="90"/>
      <c r="GIQ129" s="90"/>
      <c r="GIR129" s="90"/>
      <c r="GIS129" s="90"/>
      <c r="GIT129" s="90"/>
      <c r="GIU129" s="89"/>
      <c r="GIV129" s="90"/>
      <c r="GIW129" s="90"/>
      <c r="GIX129" s="90"/>
      <c r="GIY129" s="90"/>
      <c r="GIZ129" s="90"/>
      <c r="GJA129" s="90"/>
      <c r="GJB129" s="90"/>
      <c r="GJC129" s="90"/>
      <c r="GJD129" s="90"/>
      <c r="GJE129" s="90"/>
      <c r="GJF129" s="90"/>
      <c r="GJG129" s="90"/>
      <c r="GJH129" s="90"/>
      <c r="GJI129" s="90"/>
      <c r="GJJ129" s="90"/>
      <c r="GJK129" s="90"/>
      <c r="GJL129" s="90"/>
      <c r="GJM129" s="89"/>
      <c r="GJN129" s="90"/>
      <c r="GJO129" s="90"/>
      <c r="GJP129" s="90"/>
      <c r="GJQ129" s="90"/>
      <c r="GJR129" s="90"/>
      <c r="GJS129" s="90"/>
      <c r="GJT129" s="90"/>
      <c r="GJU129" s="90"/>
      <c r="GJV129" s="90"/>
      <c r="GJW129" s="90"/>
      <c r="GJX129" s="90"/>
      <c r="GJY129" s="90"/>
      <c r="GJZ129" s="90"/>
      <c r="GKA129" s="90"/>
      <c r="GKB129" s="90"/>
      <c r="GKC129" s="90"/>
      <c r="GKD129" s="90"/>
      <c r="GKE129" s="89"/>
      <c r="GKF129" s="90"/>
      <c r="GKG129" s="90"/>
      <c r="GKH129" s="90"/>
      <c r="GKI129" s="90"/>
      <c r="GKJ129" s="90"/>
      <c r="GKK129" s="90"/>
      <c r="GKL129" s="90"/>
      <c r="GKM129" s="90"/>
      <c r="GKN129" s="90"/>
      <c r="GKO129" s="90"/>
      <c r="GKP129" s="90"/>
      <c r="GKQ129" s="90"/>
      <c r="GKR129" s="90"/>
      <c r="GKS129" s="90"/>
      <c r="GKT129" s="90"/>
      <c r="GKU129" s="90"/>
      <c r="GKV129" s="90"/>
      <c r="GKW129" s="89"/>
      <c r="GKX129" s="90"/>
      <c r="GKY129" s="90"/>
      <c r="GKZ129" s="90"/>
      <c r="GLA129" s="90"/>
      <c r="GLB129" s="90"/>
      <c r="GLC129" s="90"/>
      <c r="GLD129" s="90"/>
      <c r="GLE129" s="90"/>
      <c r="GLF129" s="90"/>
      <c r="GLG129" s="90"/>
      <c r="GLH129" s="90"/>
      <c r="GLI129" s="90"/>
      <c r="GLJ129" s="90"/>
      <c r="GLK129" s="90"/>
      <c r="GLL129" s="90"/>
      <c r="GLM129" s="90"/>
      <c r="GLN129" s="90"/>
      <c r="GLO129" s="89"/>
      <c r="GLP129" s="90"/>
      <c r="GLQ129" s="90"/>
      <c r="GLR129" s="90"/>
      <c r="GLS129" s="90"/>
      <c r="GLT129" s="90"/>
      <c r="GLU129" s="90"/>
      <c r="GLV129" s="90"/>
      <c r="GLW129" s="90"/>
      <c r="GLX129" s="90"/>
      <c r="GLY129" s="90"/>
      <c r="GLZ129" s="90"/>
      <c r="GMA129" s="90"/>
      <c r="GMB129" s="90"/>
      <c r="GMC129" s="90"/>
      <c r="GMD129" s="90"/>
      <c r="GME129" s="90"/>
      <c r="GMF129" s="90"/>
      <c r="GMG129" s="89"/>
      <c r="GMH129" s="90"/>
      <c r="GMI129" s="90"/>
      <c r="GMJ129" s="90"/>
      <c r="GMK129" s="90"/>
      <c r="GML129" s="90"/>
      <c r="GMM129" s="90"/>
      <c r="GMN129" s="90"/>
      <c r="GMO129" s="90"/>
      <c r="GMP129" s="90"/>
      <c r="GMQ129" s="90"/>
      <c r="GMR129" s="90"/>
      <c r="GMS129" s="90"/>
      <c r="GMT129" s="90"/>
      <c r="GMU129" s="90"/>
      <c r="GMV129" s="90"/>
      <c r="GMW129" s="90"/>
      <c r="GMX129" s="90"/>
      <c r="GMY129" s="89"/>
      <c r="GMZ129" s="90"/>
      <c r="GNA129" s="90"/>
      <c r="GNB129" s="90"/>
      <c r="GNC129" s="90"/>
      <c r="GND129" s="90"/>
      <c r="GNE129" s="90"/>
      <c r="GNF129" s="90"/>
      <c r="GNG129" s="90"/>
      <c r="GNH129" s="90"/>
      <c r="GNI129" s="90"/>
      <c r="GNJ129" s="90"/>
      <c r="GNK129" s="90"/>
      <c r="GNL129" s="90"/>
      <c r="GNM129" s="90"/>
      <c r="GNN129" s="90"/>
      <c r="GNO129" s="90"/>
      <c r="GNP129" s="90"/>
      <c r="GNQ129" s="89"/>
      <c r="GNR129" s="90"/>
      <c r="GNS129" s="90"/>
      <c r="GNT129" s="90"/>
      <c r="GNU129" s="90"/>
      <c r="GNV129" s="90"/>
      <c r="GNW129" s="90"/>
      <c r="GNX129" s="90"/>
      <c r="GNY129" s="90"/>
      <c r="GNZ129" s="90"/>
      <c r="GOA129" s="90"/>
      <c r="GOB129" s="90"/>
      <c r="GOC129" s="90"/>
      <c r="GOD129" s="90"/>
      <c r="GOE129" s="90"/>
      <c r="GOF129" s="90"/>
      <c r="GOG129" s="90"/>
      <c r="GOH129" s="90"/>
      <c r="GOI129" s="89"/>
      <c r="GOJ129" s="90"/>
      <c r="GOK129" s="90"/>
      <c r="GOL129" s="90"/>
      <c r="GOM129" s="90"/>
      <c r="GON129" s="90"/>
      <c r="GOO129" s="90"/>
      <c r="GOP129" s="90"/>
      <c r="GOQ129" s="90"/>
      <c r="GOR129" s="90"/>
      <c r="GOS129" s="90"/>
      <c r="GOT129" s="90"/>
      <c r="GOU129" s="90"/>
      <c r="GOV129" s="90"/>
      <c r="GOW129" s="90"/>
      <c r="GOX129" s="90"/>
      <c r="GOY129" s="90"/>
      <c r="GOZ129" s="90"/>
      <c r="GPA129" s="89"/>
      <c r="GPB129" s="90"/>
      <c r="GPC129" s="90"/>
      <c r="GPD129" s="90"/>
      <c r="GPE129" s="90"/>
      <c r="GPF129" s="90"/>
      <c r="GPG129" s="90"/>
      <c r="GPH129" s="90"/>
      <c r="GPI129" s="90"/>
      <c r="GPJ129" s="90"/>
      <c r="GPK129" s="90"/>
      <c r="GPL129" s="90"/>
      <c r="GPM129" s="90"/>
      <c r="GPN129" s="90"/>
      <c r="GPO129" s="90"/>
      <c r="GPP129" s="90"/>
      <c r="GPQ129" s="90"/>
      <c r="GPR129" s="90"/>
      <c r="GPS129" s="89"/>
      <c r="GPT129" s="90"/>
      <c r="GPU129" s="90"/>
      <c r="GPV129" s="90"/>
      <c r="GPW129" s="90"/>
      <c r="GPX129" s="90"/>
      <c r="GPY129" s="90"/>
      <c r="GPZ129" s="90"/>
      <c r="GQA129" s="90"/>
      <c r="GQB129" s="90"/>
      <c r="GQC129" s="90"/>
      <c r="GQD129" s="90"/>
      <c r="GQE129" s="90"/>
      <c r="GQF129" s="90"/>
      <c r="GQG129" s="90"/>
      <c r="GQH129" s="90"/>
      <c r="GQI129" s="90"/>
      <c r="GQJ129" s="90"/>
      <c r="GQK129" s="89"/>
      <c r="GQL129" s="90"/>
      <c r="GQM129" s="90"/>
      <c r="GQN129" s="90"/>
      <c r="GQO129" s="90"/>
      <c r="GQP129" s="90"/>
      <c r="GQQ129" s="90"/>
      <c r="GQR129" s="90"/>
      <c r="GQS129" s="90"/>
      <c r="GQT129" s="90"/>
      <c r="GQU129" s="90"/>
      <c r="GQV129" s="90"/>
      <c r="GQW129" s="90"/>
      <c r="GQX129" s="90"/>
      <c r="GQY129" s="90"/>
      <c r="GQZ129" s="90"/>
      <c r="GRA129" s="90"/>
      <c r="GRB129" s="90"/>
      <c r="GRC129" s="89"/>
      <c r="GRD129" s="90"/>
      <c r="GRE129" s="90"/>
      <c r="GRF129" s="90"/>
      <c r="GRG129" s="90"/>
      <c r="GRH129" s="90"/>
      <c r="GRI129" s="90"/>
      <c r="GRJ129" s="90"/>
      <c r="GRK129" s="90"/>
      <c r="GRL129" s="90"/>
      <c r="GRM129" s="90"/>
      <c r="GRN129" s="90"/>
      <c r="GRO129" s="90"/>
      <c r="GRP129" s="90"/>
      <c r="GRQ129" s="90"/>
      <c r="GRR129" s="90"/>
      <c r="GRS129" s="90"/>
      <c r="GRT129" s="90"/>
      <c r="GRU129" s="89"/>
      <c r="GRV129" s="90"/>
      <c r="GRW129" s="90"/>
      <c r="GRX129" s="90"/>
      <c r="GRY129" s="90"/>
      <c r="GRZ129" s="90"/>
      <c r="GSA129" s="90"/>
      <c r="GSB129" s="90"/>
      <c r="GSC129" s="90"/>
      <c r="GSD129" s="90"/>
      <c r="GSE129" s="90"/>
      <c r="GSF129" s="90"/>
      <c r="GSG129" s="90"/>
      <c r="GSH129" s="90"/>
      <c r="GSI129" s="90"/>
      <c r="GSJ129" s="90"/>
      <c r="GSK129" s="90"/>
      <c r="GSL129" s="90"/>
      <c r="GSM129" s="89"/>
      <c r="GSN129" s="90"/>
      <c r="GSO129" s="90"/>
      <c r="GSP129" s="90"/>
      <c r="GSQ129" s="90"/>
      <c r="GSR129" s="90"/>
      <c r="GSS129" s="90"/>
      <c r="GST129" s="90"/>
      <c r="GSU129" s="90"/>
      <c r="GSV129" s="90"/>
      <c r="GSW129" s="90"/>
      <c r="GSX129" s="90"/>
      <c r="GSY129" s="90"/>
      <c r="GSZ129" s="90"/>
      <c r="GTA129" s="90"/>
      <c r="GTB129" s="90"/>
      <c r="GTC129" s="90"/>
      <c r="GTD129" s="90"/>
      <c r="GTE129" s="89"/>
      <c r="GTF129" s="90"/>
      <c r="GTG129" s="90"/>
      <c r="GTH129" s="90"/>
      <c r="GTI129" s="90"/>
      <c r="GTJ129" s="90"/>
      <c r="GTK129" s="90"/>
      <c r="GTL129" s="90"/>
      <c r="GTM129" s="90"/>
      <c r="GTN129" s="90"/>
      <c r="GTO129" s="90"/>
      <c r="GTP129" s="90"/>
      <c r="GTQ129" s="90"/>
      <c r="GTR129" s="90"/>
      <c r="GTS129" s="90"/>
      <c r="GTT129" s="90"/>
      <c r="GTU129" s="90"/>
      <c r="GTV129" s="90"/>
      <c r="GTW129" s="89"/>
      <c r="GTX129" s="90"/>
      <c r="GTY129" s="90"/>
      <c r="GTZ129" s="90"/>
      <c r="GUA129" s="90"/>
      <c r="GUB129" s="90"/>
      <c r="GUC129" s="90"/>
      <c r="GUD129" s="90"/>
      <c r="GUE129" s="90"/>
      <c r="GUF129" s="90"/>
      <c r="GUG129" s="90"/>
      <c r="GUH129" s="90"/>
      <c r="GUI129" s="90"/>
      <c r="GUJ129" s="90"/>
      <c r="GUK129" s="90"/>
      <c r="GUL129" s="90"/>
      <c r="GUM129" s="90"/>
      <c r="GUN129" s="90"/>
      <c r="GUO129" s="89"/>
      <c r="GUP129" s="90"/>
      <c r="GUQ129" s="90"/>
      <c r="GUR129" s="90"/>
      <c r="GUS129" s="90"/>
      <c r="GUT129" s="90"/>
      <c r="GUU129" s="90"/>
      <c r="GUV129" s="90"/>
      <c r="GUW129" s="90"/>
      <c r="GUX129" s="90"/>
      <c r="GUY129" s="90"/>
      <c r="GUZ129" s="90"/>
      <c r="GVA129" s="90"/>
      <c r="GVB129" s="90"/>
      <c r="GVC129" s="90"/>
      <c r="GVD129" s="90"/>
      <c r="GVE129" s="90"/>
      <c r="GVF129" s="90"/>
      <c r="GVG129" s="89"/>
      <c r="GVH129" s="90"/>
      <c r="GVI129" s="90"/>
      <c r="GVJ129" s="90"/>
      <c r="GVK129" s="90"/>
      <c r="GVL129" s="90"/>
      <c r="GVM129" s="90"/>
      <c r="GVN129" s="90"/>
      <c r="GVO129" s="90"/>
      <c r="GVP129" s="90"/>
      <c r="GVQ129" s="90"/>
      <c r="GVR129" s="90"/>
      <c r="GVS129" s="90"/>
      <c r="GVT129" s="90"/>
      <c r="GVU129" s="90"/>
      <c r="GVV129" s="90"/>
      <c r="GVW129" s="90"/>
      <c r="GVX129" s="90"/>
      <c r="GVY129" s="89"/>
      <c r="GVZ129" s="90"/>
      <c r="GWA129" s="90"/>
      <c r="GWB129" s="90"/>
      <c r="GWC129" s="90"/>
      <c r="GWD129" s="90"/>
      <c r="GWE129" s="90"/>
      <c r="GWF129" s="90"/>
      <c r="GWG129" s="90"/>
      <c r="GWH129" s="90"/>
      <c r="GWI129" s="90"/>
      <c r="GWJ129" s="90"/>
      <c r="GWK129" s="90"/>
      <c r="GWL129" s="90"/>
      <c r="GWM129" s="90"/>
      <c r="GWN129" s="90"/>
      <c r="GWO129" s="90"/>
      <c r="GWP129" s="90"/>
      <c r="GWQ129" s="89"/>
      <c r="GWR129" s="90"/>
      <c r="GWS129" s="90"/>
      <c r="GWT129" s="90"/>
      <c r="GWU129" s="90"/>
      <c r="GWV129" s="90"/>
      <c r="GWW129" s="90"/>
      <c r="GWX129" s="90"/>
      <c r="GWY129" s="90"/>
      <c r="GWZ129" s="90"/>
      <c r="GXA129" s="90"/>
      <c r="GXB129" s="90"/>
      <c r="GXC129" s="90"/>
      <c r="GXD129" s="90"/>
      <c r="GXE129" s="90"/>
      <c r="GXF129" s="90"/>
      <c r="GXG129" s="90"/>
      <c r="GXH129" s="90"/>
      <c r="GXI129" s="89"/>
      <c r="GXJ129" s="90"/>
      <c r="GXK129" s="90"/>
      <c r="GXL129" s="90"/>
      <c r="GXM129" s="90"/>
      <c r="GXN129" s="90"/>
      <c r="GXO129" s="90"/>
      <c r="GXP129" s="90"/>
      <c r="GXQ129" s="90"/>
      <c r="GXR129" s="90"/>
      <c r="GXS129" s="90"/>
      <c r="GXT129" s="90"/>
      <c r="GXU129" s="90"/>
      <c r="GXV129" s="90"/>
      <c r="GXW129" s="90"/>
      <c r="GXX129" s="90"/>
      <c r="GXY129" s="90"/>
      <c r="GXZ129" s="90"/>
      <c r="GYA129" s="89"/>
      <c r="GYB129" s="90"/>
      <c r="GYC129" s="90"/>
      <c r="GYD129" s="90"/>
      <c r="GYE129" s="90"/>
      <c r="GYF129" s="90"/>
      <c r="GYG129" s="90"/>
      <c r="GYH129" s="90"/>
      <c r="GYI129" s="90"/>
      <c r="GYJ129" s="90"/>
      <c r="GYK129" s="90"/>
      <c r="GYL129" s="90"/>
      <c r="GYM129" s="90"/>
      <c r="GYN129" s="90"/>
      <c r="GYO129" s="90"/>
      <c r="GYP129" s="90"/>
      <c r="GYQ129" s="90"/>
      <c r="GYR129" s="90"/>
      <c r="GYS129" s="89"/>
      <c r="GYT129" s="90"/>
      <c r="GYU129" s="90"/>
      <c r="GYV129" s="90"/>
      <c r="GYW129" s="90"/>
      <c r="GYX129" s="90"/>
      <c r="GYY129" s="90"/>
      <c r="GYZ129" s="90"/>
      <c r="GZA129" s="90"/>
      <c r="GZB129" s="90"/>
      <c r="GZC129" s="90"/>
      <c r="GZD129" s="90"/>
      <c r="GZE129" s="90"/>
      <c r="GZF129" s="90"/>
      <c r="GZG129" s="90"/>
      <c r="GZH129" s="90"/>
      <c r="GZI129" s="90"/>
      <c r="GZJ129" s="90"/>
      <c r="GZK129" s="89"/>
      <c r="GZL129" s="90"/>
      <c r="GZM129" s="90"/>
      <c r="GZN129" s="90"/>
      <c r="GZO129" s="90"/>
      <c r="GZP129" s="90"/>
      <c r="GZQ129" s="90"/>
      <c r="GZR129" s="90"/>
      <c r="GZS129" s="90"/>
      <c r="GZT129" s="90"/>
      <c r="GZU129" s="90"/>
      <c r="GZV129" s="90"/>
      <c r="GZW129" s="90"/>
      <c r="GZX129" s="90"/>
      <c r="GZY129" s="90"/>
      <c r="GZZ129" s="90"/>
      <c r="HAA129" s="90"/>
      <c r="HAB129" s="90"/>
      <c r="HAC129" s="89"/>
      <c r="HAD129" s="90"/>
      <c r="HAE129" s="90"/>
      <c r="HAF129" s="90"/>
      <c r="HAG129" s="90"/>
      <c r="HAH129" s="90"/>
      <c r="HAI129" s="90"/>
      <c r="HAJ129" s="90"/>
      <c r="HAK129" s="90"/>
      <c r="HAL129" s="90"/>
      <c r="HAM129" s="90"/>
      <c r="HAN129" s="90"/>
      <c r="HAO129" s="90"/>
      <c r="HAP129" s="90"/>
      <c r="HAQ129" s="90"/>
      <c r="HAR129" s="90"/>
      <c r="HAS129" s="90"/>
      <c r="HAT129" s="90"/>
      <c r="HAU129" s="89"/>
      <c r="HAV129" s="90"/>
      <c r="HAW129" s="90"/>
      <c r="HAX129" s="90"/>
      <c r="HAY129" s="90"/>
      <c r="HAZ129" s="90"/>
      <c r="HBA129" s="90"/>
      <c r="HBB129" s="90"/>
      <c r="HBC129" s="90"/>
      <c r="HBD129" s="90"/>
      <c r="HBE129" s="90"/>
      <c r="HBF129" s="90"/>
      <c r="HBG129" s="90"/>
      <c r="HBH129" s="90"/>
      <c r="HBI129" s="90"/>
      <c r="HBJ129" s="90"/>
      <c r="HBK129" s="90"/>
      <c r="HBL129" s="90"/>
      <c r="HBM129" s="89"/>
      <c r="HBN129" s="90"/>
      <c r="HBO129" s="90"/>
      <c r="HBP129" s="90"/>
      <c r="HBQ129" s="90"/>
      <c r="HBR129" s="90"/>
      <c r="HBS129" s="90"/>
      <c r="HBT129" s="90"/>
      <c r="HBU129" s="90"/>
      <c r="HBV129" s="90"/>
      <c r="HBW129" s="90"/>
      <c r="HBX129" s="90"/>
      <c r="HBY129" s="90"/>
      <c r="HBZ129" s="90"/>
      <c r="HCA129" s="90"/>
      <c r="HCB129" s="90"/>
      <c r="HCC129" s="90"/>
      <c r="HCD129" s="90"/>
      <c r="HCE129" s="89"/>
      <c r="HCF129" s="90"/>
      <c r="HCG129" s="90"/>
      <c r="HCH129" s="90"/>
      <c r="HCI129" s="90"/>
      <c r="HCJ129" s="90"/>
      <c r="HCK129" s="90"/>
      <c r="HCL129" s="90"/>
      <c r="HCM129" s="90"/>
      <c r="HCN129" s="90"/>
      <c r="HCO129" s="90"/>
      <c r="HCP129" s="90"/>
      <c r="HCQ129" s="90"/>
      <c r="HCR129" s="90"/>
      <c r="HCS129" s="90"/>
      <c r="HCT129" s="90"/>
      <c r="HCU129" s="90"/>
      <c r="HCV129" s="90"/>
      <c r="HCW129" s="89"/>
      <c r="HCX129" s="90"/>
      <c r="HCY129" s="90"/>
      <c r="HCZ129" s="90"/>
      <c r="HDA129" s="90"/>
      <c r="HDB129" s="90"/>
      <c r="HDC129" s="90"/>
      <c r="HDD129" s="90"/>
      <c r="HDE129" s="90"/>
      <c r="HDF129" s="90"/>
      <c r="HDG129" s="90"/>
      <c r="HDH129" s="90"/>
      <c r="HDI129" s="90"/>
      <c r="HDJ129" s="90"/>
      <c r="HDK129" s="90"/>
      <c r="HDL129" s="90"/>
      <c r="HDM129" s="90"/>
      <c r="HDN129" s="90"/>
      <c r="HDO129" s="89"/>
      <c r="HDP129" s="90"/>
      <c r="HDQ129" s="90"/>
      <c r="HDR129" s="90"/>
      <c r="HDS129" s="90"/>
      <c r="HDT129" s="90"/>
      <c r="HDU129" s="90"/>
      <c r="HDV129" s="90"/>
      <c r="HDW129" s="90"/>
      <c r="HDX129" s="90"/>
      <c r="HDY129" s="90"/>
      <c r="HDZ129" s="90"/>
      <c r="HEA129" s="90"/>
      <c r="HEB129" s="90"/>
      <c r="HEC129" s="90"/>
      <c r="HED129" s="90"/>
      <c r="HEE129" s="90"/>
      <c r="HEF129" s="90"/>
      <c r="HEG129" s="89"/>
      <c r="HEH129" s="90"/>
      <c r="HEI129" s="90"/>
      <c r="HEJ129" s="90"/>
      <c r="HEK129" s="90"/>
      <c r="HEL129" s="90"/>
      <c r="HEM129" s="90"/>
      <c r="HEN129" s="90"/>
      <c r="HEO129" s="90"/>
      <c r="HEP129" s="90"/>
      <c r="HEQ129" s="90"/>
      <c r="HER129" s="90"/>
      <c r="HES129" s="90"/>
      <c r="HET129" s="90"/>
      <c r="HEU129" s="90"/>
      <c r="HEV129" s="90"/>
      <c r="HEW129" s="90"/>
      <c r="HEX129" s="90"/>
      <c r="HEY129" s="89"/>
      <c r="HEZ129" s="90"/>
      <c r="HFA129" s="90"/>
      <c r="HFB129" s="90"/>
      <c r="HFC129" s="90"/>
      <c r="HFD129" s="90"/>
      <c r="HFE129" s="90"/>
      <c r="HFF129" s="90"/>
      <c r="HFG129" s="90"/>
      <c r="HFH129" s="90"/>
      <c r="HFI129" s="90"/>
      <c r="HFJ129" s="90"/>
      <c r="HFK129" s="90"/>
      <c r="HFL129" s="90"/>
      <c r="HFM129" s="90"/>
      <c r="HFN129" s="90"/>
      <c r="HFO129" s="90"/>
      <c r="HFP129" s="90"/>
      <c r="HFQ129" s="89"/>
      <c r="HFR129" s="90"/>
      <c r="HFS129" s="90"/>
      <c r="HFT129" s="90"/>
      <c r="HFU129" s="90"/>
      <c r="HFV129" s="90"/>
      <c r="HFW129" s="90"/>
      <c r="HFX129" s="90"/>
      <c r="HFY129" s="90"/>
      <c r="HFZ129" s="90"/>
      <c r="HGA129" s="90"/>
      <c r="HGB129" s="90"/>
      <c r="HGC129" s="90"/>
      <c r="HGD129" s="90"/>
      <c r="HGE129" s="90"/>
      <c r="HGF129" s="90"/>
      <c r="HGG129" s="90"/>
      <c r="HGH129" s="90"/>
      <c r="HGI129" s="89"/>
      <c r="HGJ129" s="90"/>
      <c r="HGK129" s="90"/>
      <c r="HGL129" s="90"/>
      <c r="HGM129" s="90"/>
      <c r="HGN129" s="90"/>
      <c r="HGO129" s="90"/>
      <c r="HGP129" s="90"/>
      <c r="HGQ129" s="90"/>
      <c r="HGR129" s="90"/>
      <c r="HGS129" s="90"/>
      <c r="HGT129" s="90"/>
      <c r="HGU129" s="90"/>
      <c r="HGV129" s="90"/>
      <c r="HGW129" s="90"/>
      <c r="HGX129" s="90"/>
      <c r="HGY129" s="90"/>
      <c r="HGZ129" s="90"/>
      <c r="HHA129" s="89"/>
      <c r="HHB129" s="90"/>
      <c r="HHC129" s="90"/>
      <c r="HHD129" s="90"/>
      <c r="HHE129" s="90"/>
      <c r="HHF129" s="90"/>
      <c r="HHG129" s="90"/>
      <c r="HHH129" s="90"/>
      <c r="HHI129" s="90"/>
      <c r="HHJ129" s="90"/>
      <c r="HHK129" s="90"/>
      <c r="HHL129" s="90"/>
      <c r="HHM129" s="90"/>
      <c r="HHN129" s="90"/>
      <c r="HHO129" s="90"/>
      <c r="HHP129" s="90"/>
      <c r="HHQ129" s="90"/>
      <c r="HHR129" s="90"/>
      <c r="HHS129" s="89"/>
      <c r="HHT129" s="90"/>
      <c r="HHU129" s="90"/>
      <c r="HHV129" s="90"/>
      <c r="HHW129" s="90"/>
      <c r="HHX129" s="90"/>
      <c r="HHY129" s="90"/>
      <c r="HHZ129" s="90"/>
      <c r="HIA129" s="90"/>
      <c r="HIB129" s="90"/>
      <c r="HIC129" s="90"/>
      <c r="HID129" s="90"/>
      <c r="HIE129" s="90"/>
      <c r="HIF129" s="90"/>
      <c r="HIG129" s="90"/>
      <c r="HIH129" s="90"/>
      <c r="HII129" s="90"/>
      <c r="HIJ129" s="90"/>
      <c r="HIK129" s="89"/>
      <c r="HIL129" s="90"/>
      <c r="HIM129" s="90"/>
      <c r="HIN129" s="90"/>
      <c r="HIO129" s="90"/>
      <c r="HIP129" s="90"/>
      <c r="HIQ129" s="90"/>
      <c r="HIR129" s="90"/>
      <c r="HIS129" s="90"/>
      <c r="HIT129" s="90"/>
      <c r="HIU129" s="90"/>
      <c r="HIV129" s="90"/>
      <c r="HIW129" s="90"/>
      <c r="HIX129" s="90"/>
      <c r="HIY129" s="90"/>
      <c r="HIZ129" s="90"/>
      <c r="HJA129" s="90"/>
      <c r="HJB129" s="90"/>
      <c r="HJC129" s="89"/>
      <c r="HJD129" s="90"/>
      <c r="HJE129" s="90"/>
      <c r="HJF129" s="90"/>
      <c r="HJG129" s="90"/>
      <c r="HJH129" s="90"/>
      <c r="HJI129" s="90"/>
      <c r="HJJ129" s="90"/>
      <c r="HJK129" s="90"/>
      <c r="HJL129" s="90"/>
      <c r="HJM129" s="90"/>
      <c r="HJN129" s="90"/>
      <c r="HJO129" s="90"/>
      <c r="HJP129" s="90"/>
      <c r="HJQ129" s="90"/>
      <c r="HJR129" s="90"/>
      <c r="HJS129" s="90"/>
      <c r="HJT129" s="90"/>
      <c r="HJU129" s="89"/>
      <c r="HJV129" s="90"/>
      <c r="HJW129" s="90"/>
      <c r="HJX129" s="90"/>
      <c r="HJY129" s="90"/>
      <c r="HJZ129" s="90"/>
      <c r="HKA129" s="90"/>
      <c r="HKB129" s="90"/>
      <c r="HKC129" s="90"/>
      <c r="HKD129" s="90"/>
      <c r="HKE129" s="90"/>
      <c r="HKF129" s="90"/>
      <c r="HKG129" s="90"/>
      <c r="HKH129" s="90"/>
      <c r="HKI129" s="90"/>
      <c r="HKJ129" s="90"/>
      <c r="HKK129" s="90"/>
      <c r="HKL129" s="90"/>
      <c r="HKM129" s="89"/>
      <c r="HKN129" s="90"/>
      <c r="HKO129" s="90"/>
      <c r="HKP129" s="90"/>
      <c r="HKQ129" s="90"/>
      <c r="HKR129" s="90"/>
      <c r="HKS129" s="90"/>
      <c r="HKT129" s="90"/>
      <c r="HKU129" s="90"/>
      <c r="HKV129" s="90"/>
      <c r="HKW129" s="90"/>
      <c r="HKX129" s="90"/>
      <c r="HKY129" s="90"/>
      <c r="HKZ129" s="90"/>
      <c r="HLA129" s="90"/>
      <c r="HLB129" s="90"/>
      <c r="HLC129" s="90"/>
      <c r="HLD129" s="90"/>
      <c r="HLE129" s="89"/>
      <c r="HLF129" s="90"/>
      <c r="HLG129" s="90"/>
      <c r="HLH129" s="90"/>
      <c r="HLI129" s="90"/>
      <c r="HLJ129" s="90"/>
      <c r="HLK129" s="90"/>
      <c r="HLL129" s="90"/>
      <c r="HLM129" s="90"/>
      <c r="HLN129" s="90"/>
      <c r="HLO129" s="90"/>
      <c r="HLP129" s="90"/>
      <c r="HLQ129" s="90"/>
      <c r="HLR129" s="90"/>
      <c r="HLS129" s="90"/>
      <c r="HLT129" s="90"/>
      <c r="HLU129" s="90"/>
      <c r="HLV129" s="90"/>
      <c r="HLW129" s="89"/>
      <c r="HLX129" s="90"/>
      <c r="HLY129" s="90"/>
      <c r="HLZ129" s="90"/>
      <c r="HMA129" s="90"/>
      <c r="HMB129" s="90"/>
      <c r="HMC129" s="90"/>
      <c r="HMD129" s="90"/>
      <c r="HME129" s="90"/>
      <c r="HMF129" s="90"/>
      <c r="HMG129" s="90"/>
      <c r="HMH129" s="90"/>
      <c r="HMI129" s="90"/>
      <c r="HMJ129" s="90"/>
      <c r="HMK129" s="90"/>
      <c r="HML129" s="90"/>
      <c r="HMM129" s="90"/>
      <c r="HMN129" s="90"/>
      <c r="HMO129" s="89"/>
      <c r="HMP129" s="90"/>
      <c r="HMQ129" s="90"/>
      <c r="HMR129" s="90"/>
      <c r="HMS129" s="90"/>
      <c r="HMT129" s="90"/>
      <c r="HMU129" s="90"/>
      <c r="HMV129" s="90"/>
      <c r="HMW129" s="90"/>
      <c r="HMX129" s="90"/>
      <c r="HMY129" s="90"/>
      <c r="HMZ129" s="90"/>
      <c r="HNA129" s="90"/>
      <c r="HNB129" s="90"/>
      <c r="HNC129" s="90"/>
      <c r="HND129" s="90"/>
      <c r="HNE129" s="90"/>
      <c r="HNF129" s="90"/>
      <c r="HNG129" s="89"/>
      <c r="HNH129" s="90"/>
      <c r="HNI129" s="90"/>
      <c r="HNJ129" s="90"/>
      <c r="HNK129" s="90"/>
      <c r="HNL129" s="90"/>
      <c r="HNM129" s="90"/>
      <c r="HNN129" s="90"/>
      <c r="HNO129" s="90"/>
      <c r="HNP129" s="90"/>
      <c r="HNQ129" s="90"/>
      <c r="HNR129" s="90"/>
      <c r="HNS129" s="90"/>
      <c r="HNT129" s="90"/>
      <c r="HNU129" s="90"/>
      <c r="HNV129" s="90"/>
      <c r="HNW129" s="90"/>
      <c r="HNX129" s="90"/>
      <c r="HNY129" s="89"/>
      <c r="HNZ129" s="90"/>
      <c r="HOA129" s="90"/>
      <c r="HOB129" s="90"/>
      <c r="HOC129" s="90"/>
      <c r="HOD129" s="90"/>
      <c r="HOE129" s="90"/>
      <c r="HOF129" s="90"/>
      <c r="HOG129" s="90"/>
      <c r="HOH129" s="90"/>
      <c r="HOI129" s="90"/>
      <c r="HOJ129" s="90"/>
      <c r="HOK129" s="90"/>
      <c r="HOL129" s="90"/>
      <c r="HOM129" s="90"/>
      <c r="HON129" s="90"/>
      <c r="HOO129" s="90"/>
      <c r="HOP129" s="90"/>
      <c r="HOQ129" s="89"/>
      <c r="HOR129" s="90"/>
      <c r="HOS129" s="90"/>
      <c r="HOT129" s="90"/>
      <c r="HOU129" s="90"/>
      <c r="HOV129" s="90"/>
      <c r="HOW129" s="90"/>
      <c r="HOX129" s="90"/>
      <c r="HOY129" s="90"/>
      <c r="HOZ129" s="90"/>
      <c r="HPA129" s="90"/>
      <c r="HPB129" s="90"/>
      <c r="HPC129" s="90"/>
      <c r="HPD129" s="90"/>
      <c r="HPE129" s="90"/>
      <c r="HPF129" s="90"/>
      <c r="HPG129" s="90"/>
      <c r="HPH129" s="90"/>
      <c r="HPI129" s="89"/>
      <c r="HPJ129" s="90"/>
      <c r="HPK129" s="90"/>
      <c r="HPL129" s="90"/>
      <c r="HPM129" s="90"/>
      <c r="HPN129" s="90"/>
      <c r="HPO129" s="90"/>
      <c r="HPP129" s="90"/>
      <c r="HPQ129" s="90"/>
      <c r="HPR129" s="90"/>
      <c r="HPS129" s="90"/>
      <c r="HPT129" s="90"/>
      <c r="HPU129" s="90"/>
      <c r="HPV129" s="90"/>
      <c r="HPW129" s="90"/>
      <c r="HPX129" s="90"/>
      <c r="HPY129" s="90"/>
      <c r="HPZ129" s="90"/>
      <c r="HQA129" s="89"/>
      <c r="HQB129" s="90"/>
      <c r="HQC129" s="90"/>
      <c r="HQD129" s="90"/>
      <c r="HQE129" s="90"/>
      <c r="HQF129" s="90"/>
      <c r="HQG129" s="90"/>
      <c r="HQH129" s="90"/>
      <c r="HQI129" s="90"/>
      <c r="HQJ129" s="90"/>
      <c r="HQK129" s="90"/>
      <c r="HQL129" s="90"/>
      <c r="HQM129" s="90"/>
      <c r="HQN129" s="90"/>
      <c r="HQO129" s="90"/>
      <c r="HQP129" s="90"/>
      <c r="HQQ129" s="90"/>
      <c r="HQR129" s="90"/>
      <c r="HQS129" s="89"/>
      <c r="HQT129" s="90"/>
      <c r="HQU129" s="90"/>
      <c r="HQV129" s="90"/>
      <c r="HQW129" s="90"/>
      <c r="HQX129" s="90"/>
      <c r="HQY129" s="90"/>
      <c r="HQZ129" s="90"/>
      <c r="HRA129" s="90"/>
      <c r="HRB129" s="90"/>
      <c r="HRC129" s="90"/>
      <c r="HRD129" s="90"/>
      <c r="HRE129" s="90"/>
      <c r="HRF129" s="90"/>
      <c r="HRG129" s="90"/>
      <c r="HRH129" s="90"/>
      <c r="HRI129" s="90"/>
      <c r="HRJ129" s="90"/>
      <c r="HRK129" s="89"/>
      <c r="HRL129" s="90"/>
      <c r="HRM129" s="90"/>
      <c r="HRN129" s="90"/>
      <c r="HRO129" s="90"/>
      <c r="HRP129" s="90"/>
      <c r="HRQ129" s="90"/>
      <c r="HRR129" s="90"/>
      <c r="HRS129" s="90"/>
      <c r="HRT129" s="90"/>
      <c r="HRU129" s="90"/>
      <c r="HRV129" s="90"/>
      <c r="HRW129" s="90"/>
      <c r="HRX129" s="90"/>
      <c r="HRY129" s="90"/>
      <c r="HRZ129" s="90"/>
      <c r="HSA129" s="90"/>
      <c r="HSB129" s="90"/>
      <c r="HSC129" s="89"/>
      <c r="HSD129" s="90"/>
      <c r="HSE129" s="90"/>
      <c r="HSF129" s="90"/>
      <c r="HSG129" s="90"/>
      <c r="HSH129" s="90"/>
      <c r="HSI129" s="90"/>
      <c r="HSJ129" s="90"/>
      <c r="HSK129" s="90"/>
      <c r="HSL129" s="90"/>
      <c r="HSM129" s="90"/>
      <c r="HSN129" s="90"/>
      <c r="HSO129" s="90"/>
      <c r="HSP129" s="90"/>
      <c r="HSQ129" s="90"/>
      <c r="HSR129" s="90"/>
      <c r="HSS129" s="90"/>
      <c r="HST129" s="90"/>
      <c r="HSU129" s="89"/>
      <c r="HSV129" s="90"/>
      <c r="HSW129" s="90"/>
      <c r="HSX129" s="90"/>
      <c r="HSY129" s="90"/>
      <c r="HSZ129" s="90"/>
      <c r="HTA129" s="90"/>
      <c r="HTB129" s="90"/>
      <c r="HTC129" s="90"/>
      <c r="HTD129" s="90"/>
      <c r="HTE129" s="90"/>
      <c r="HTF129" s="90"/>
      <c r="HTG129" s="90"/>
      <c r="HTH129" s="90"/>
      <c r="HTI129" s="90"/>
      <c r="HTJ129" s="90"/>
      <c r="HTK129" s="90"/>
      <c r="HTL129" s="90"/>
      <c r="HTM129" s="89"/>
      <c r="HTN129" s="90"/>
      <c r="HTO129" s="90"/>
      <c r="HTP129" s="90"/>
      <c r="HTQ129" s="90"/>
      <c r="HTR129" s="90"/>
      <c r="HTS129" s="90"/>
      <c r="HTT129" s="90"/>
      <c r="HTU129" s="90"/>
      <c r="HTV129" s="90"/>
      <c r="HTW129" s="90"/>
      <c r="HTX129" s="90"/>
      <c r="HTY129" s="90"/>
      <c r="HTZ129" s="90"/>
      <c r="HUA129" s="90"/>
      <c r="HUB129" s="90"/>
      <c r="HUC129" s="90"/>
      <c r="HUD129" s="90"/>
      <c r="HUE129" s="89"/>
      <c r="HUF129" s="90"/>
      <c r="HUG129" s="90"/>
      <c r="HUH129" s="90"/>
      <c r="HUI129" s="90"/>
      <c r="HUJ129" s="90"/>
      <c r="HUK129" s="90"/>
      <c r="HUL129" s="90"/>
      <c r="HUM129" s="90"/>
      <c r="HUN129" s="90"/>
      <c r="HUO129" s="90"/>
      <c r="HUP129" s="90"/>
      <c r="HUQ129" s="90"/>
      <c r="HUR129" s="90"/>
      <c r="HUS129" s="90"/>
      <c r="HUT129" s="90"/>
      <c r="HUU129" s="90"/>
      <c r="HUV129" s="90"/>
      <c r="HUW129" s="89"/>
      <c r="HUX129" s="90"/>
      <c r="HUY129" s="90"/>
      <c r="HUZ129" s="90"/>
      <c r="HVA129" s="90"/>
      <c r="HVB129" s="90"/>
      <c r="HVC129" s="90"/>
      <c r="HVD129" s="90"/>
      <c r="HVE129" s="90"/>
      <c r="HVF129" s="90"/>
      <c r="HVG129" s="90"/>
      <c r="HVH129" s="90"/>
      <c r="HVI129" s="90"/>
      <c r="HVJ129" s="90"/>
      <c r="HVK129" s="90"/>
      <c r="HVL129" s="90"/>
      <c r="HVM129" s="90"/>
      <c r="HVN129" s="90"/>
      <c r="HVO129" s="89"/>
      <c r="HVP129" s="90"/>
      <c r="HVQ129" s="90"/>
      <c r="HVR129" s="90"/>
      <c r="HVS129" s="90"/>
      <c r="HVT129" s="90"/>
      <c r="HVU129" s="90"/>
      <c r="HVV129" s="90"/>
      <c r="HVW129" s="90"/>
      <c r="HVX129" s="90"/>
      <c r="HVY129" s="90"/>
      <c r="HVZ129" s="90"/>
      <c r="HWA129" s="90"/>
      <c r="HWB129" s="90"/>
      <c r="HWC129" s="90"/>
      <c r="HWD129" s="90"/>
      <c r="HWE129" s="90"/>
      <c r="HWF129" s="90"/>
      <c r="HWG129" s="89"/>
      <c r="HWH129" s="90"/>
      <c r="HWI129" s="90"/>
      <c r="HWJ129" s="90"/>
      <c r="HWK129" s="90"/>
      <c r="HWL129" s="90"/>
      <c r="HWM129" s="90"/>
      <c r="HWN129" s="90"/>
      <c r="HWO129" s="90"/>
      <c r="HWP129" s="90"/>
      <c r="HWQ129" s="90"/>
      <c r="HWR129" s="90"/>
      <c r="HWS129" s="90"/>
      <c r="HWT129" s="90"/>
      <c r="HWU129" s="90"/>
      <c r="HWV129" s="90"/>
      <c r="HWW129" s="90"/>
      <c r="HWX129" s="90"/>
      <c r="HWY129" s="89"/>
      <c r="HWZ129" s="90"/>
      <c r="HXA129" s="90"/>
      <c r="HXB129" s="90"/>
      <c r="HXC129" s="90"/>
      <c r="HXD129" s="90"/>
      <c r="HXE129" s="90"/>
      <c r="HXF129" s="90"/>
      <c r="HXG129" s="90"/>
      <c r="HXH129" s="90"/>
      <c r="HXI129" s="90"/>
      <c r="HXJ129" s="90"/>
      <c r="HXK129" s="90"/>
      <c r="HXL129" s="90"/>
      <c r="HXM129" s="90"/>
      <c r="HXN129" s="90"/>
      <c r="HXO129" s="90"/>
      <c r="HXP129" s="90"/>
      <c r="HXQ129" s="89"/>
      <c r="HXR129" s="90"/>
      <c r="HXS129" s="90"/>
      <c r="HXT129" s="90"/>
      <c r="HXU129" s="90"/>
      <c r="HXV129" s="90"/>
      <c r="HXW129" s="90"/>
      <c r="HXX129" s="90"/>
      <c r="HXY129" s="90"/>
      <c r="HXZ129" s="90"/>
      <c r="HYA129" s="90"/>
      <c r="HYB129" s="90"/>
      <c r="HYC129" s="90"/>
      <c r="HYD129" s="90"/>
      <c r="HYE129" s="90"/>
      <c r="HYF129" s="90"/>
      <c r="HYG129" s="90"/>
      <c r="HYH129" s="90"/>
      <c r="HYI129" s="89"/>
      <c r="HYJ129" s="90"/>
      <c r="HYK129" s="90"/>
      <c r="HYL129" s="90"/>
      <c r="HYM129" s="90"/>
      <c r="HYN129" s="90"/>
      <c r="HYO129" s="90"/>
      <c r="HYP129" s="90"/>
      <c r="HYQ129" s="90"/>
      <c r="HYR129" s="90"/>
      <c r="HYS129" s="90"/>
      <c r="HYT129" s="90"/>
      <c r="HYU129" s="90"/>
      <c r="HYV129" s="90"/>
      <c r="HYW129" s="90"/>
      <c r="HYX129" s="90"/>
      <c r="HYY129" s="90"/>
      <c r="HYZ129" s="90"/>
      <c r="HZA129" s="89"/>
      <c r="HZB129" s="90"/>
      <c r="HZC129" s="90"/>
      <c r="HZD129" s="90"/>
      <c r="HZE129" s="90"/>
      <c r="HZF129" s="90"/>
      <c r="HZG129" s="90"/>
      <c r="HZH129" s="90"/>
      <c r="HZI129" s="90"/>
      <c r="HZJ129" s="90"/>
      <c r="HZK129" s="90"/>
      <c r="HZL129" s="90"/>
      <c r="HZM129" s="90"/>
      <c r="HZN129" s="90"/>
      <c r="HZO129" s="90"/>
      <c r="HZP129" s="90"/>
      <c r="HZQ129" s="90"/>
      <c r="HZR129" s="90"/>
      <c r="HZS129" s="89"/>
      <c r="HZT129" s="90"/>
      <c r="HZU129" s="90"/>
      <c r="HZV129" s="90"/>
      <c r="HZW129" s="90"/>
      <c r="HZX129" s="90"/>
      <c r="HZY129" s="90"/>
      <c r="HZZ129" s="90"/>
      <c r="IAA129" s="90"/>
      <c r="IAB129" s="90"/>
      <c r="IAC129" s="90"/>
      <c r="IAD129" s="90"/>
      <c r="IAE129" s="90"/>
      <c r="IAF129" s="90"/>
      <c r="IAG129" s="90"/>
      <c r="IAH129" s="90"/>
      <c r="IAI129" s="90"/>
      <c r="IAJ129" s="90"/>
      <c r="IAK129" s="89"/>
      <c r="IAL129" s="90"/>
      <c r="IAM129" s="90"/>
      <c r="IAN129" s="90"/>
      <c r="IAO129" s="90"/>
      <c r="IAP129" s="90"/>
      <c r="IAQ129" s="90"/>
      <c r="IAR129" s="90"/>
      <c r="IAS129" s="90"/>
      <c r="IAT129" s="90"/>
      <c r="IAU129" s="90"/>
      <c r="IAV129" s="90"/>
      <c r="IAW129" s="90"/>
      <c r="IAX129" s="90"/>
      <c r="IAY129" s="90"/>
      <c r="IAZ129" s="90"/>
      <c r="IBA129" s="90"/>
      <c r="IBB129" s="90"/>
      <c r="IBC129" s="89"/>
      <c r="IBD129" s="90"/>
      <c r="IBE129" s="90"/>
      <c r="IBF129" s="90"/>
      <c r="IBG129" s="90"/>
      <c r="IBH129" s="90"/>
      <c r="IBI129" s="90"/>
      <c r="IBJ129" s="90"/>
      <c r="IBK129" s="90"/>
      <c r="IBL129" s="90"/>
      <c r="IBM129" s="90"/>
      <c r="IBN129" s="90"/>
      <c r="IBO129" s="90"/>
      <c r="IBP129" s="90"/>
      <c r="IBQ129" s="90"/>
      <c r="IBR129" s="90"/>
      <c r="IBS129" s="90"/>
      <c r="IBT129" s="90"/>
      <c r="IBU129" s="89"/>
      <c r="IBV129" s="90"/>
      <c r="IBW129" s="90"/>
      <c r="IBX129" s="90"/>
      <c r="IBY129" s="90"/>
      <c r="IBZ129" s="90"/>
      <c r="ICA129" s="90"/>
      <c r="ICB129" s="90"/>
      <c r="ICC129" s="90"/>
      <c r="ICD129" s="90"/>
      <c r="ICE129" s="90"/>
      <c r="ICF129" s="90"/>
      <c r="ICG129" s="90"/>
      <c r="ICH129" s="90"/>
      <c r="ICI129" s="90"/>
      <c r="ICJ129" s="90"/>
      <c r="ICK129" s="90"/>
      <c r="ICL129" s="90"/>
      <c r="ICM129" s="89"/>
      <c r="ICN129" s="90"/>
      <c r="ICO129" s="90"/>
      <c r="ICP129" s="90"/>
      <c r="ICQ129" s="90"/>
      <c r="ICR129" s="90"/>
      <c r="ICS129" s="90"/>
      <c r="ICT129" s="90"/>
      <c r="ICU129" s="90"/>
      <c r="ICV129" s="90"/>
      <c r="ICW129" s="90"/>
      <c r="ICX129" s="90"/>
      <c r="ICY129" s="90"/>
      <c r="ICZ129" s="90"/>
      <c r="IDA129" s="90"/>
      <c r="IDB129" s="90"/>
      <c r="IDC129" s="90"/>
      <c r="IDD129" s="90"/>
      <c r="IDE129" s="89"/>
      <c r="IDF129" s="90"/>
      <c r="IDG129" s="90"/>
      <c r="IDH129" s="90"/>
      <c r="IDI129" s="90"/>
      <c r="IDJ129" s="90"/>
      <c r="IDK129" s="90"/>
      <c r="IDL129" s="90"/>
      <c r="IDM129" s="90"/>
      <c r="IDN129" s="90"/>
      <c r="IDO129" s="90"/>
      <c r="IDP129" s="90"/>
      <c r="IDQ129" s="90"/>
      <c r="IDR129" s="90"/>
      <c r="IDS129" s="90"/>
      <c r="IDT129" s="90"/>
      <c r="IDU129" s="90"/>
      <c r="IDV129" s="90"/>
      <c r="IDW129" s="89"/>
      <c r="IDX129" s="90"/>
      <c r="IDY129" s="90"/>
      <c r="IDZ129" s="90"/>
      <c r="IEA129" s="90"/>
      <c r="IEB129" s="90"/>
      <c r="IEC129" s="90"/>
      <c r="IED129" s="90"/>
      <c r="IEE129" s="90"/>
      <c r="IEF129" s="90"/>
      <c r="IEG129" s="90"/>
      <c r="IEH129" s="90"/>
      <c r="IEI129" s="90"/>
      <c r="IEJ129" s="90"/>
      <c r="IEK129" s="90"/>
      <c r="IEL129" s="90"/>
      <c r="IEM129" s="90"/>
      <c r="IEN129" s="90"/>
      <c r="IEO129" s="89"/>
      <c r="IEP129" s="90"/>
      <c r="IEQ129" s="90"/>
      <c r="IER129" s="90"/>
      <c r="IES129" s="90"/>
      <c r="IET129" s="90"/>
      <c r="IEU129" s="90"/>
      <c r="IEV129" s="90"/>
      <c r="IEW129" s="90"/>
      <c r="IEX129" s="90"/>
      <c r="IEY129" s="90"/>
      <c r="IEZ129" s="90"/>
      <c r="IFA129" s="90"/>
      <c r="IFB129" s="90"/>
      <c r="IFC129" s="90"/>
      <c r="IFD129" s="90"/>
      <c r="IFE129" s="90"/>
      <c r="IFF129" s="90"/>
      <c r="IFG129" s="89"/>
      <c r="IFH129" s="90"/>
      <c r="IFI129" s="90"/>
      <c r="IFJ129" s="90"/>
      <c r="IFK129" s="90"/>
      <c r="IFL129" s="90"/>
      <c r="IFM129" s="90"/>
      <c r="IFN129" s="90"/>
      <c r="IFO129" s="90"/>
      <c r="IFP129" s="90"/>
      <c r="IFQ129" s="90"/>
      <c r="IFR129" s="90"/>
      <c r="IFS129" s="90"/>
      <c r="IFT129" s="90"/>
      <c r="IFU129" s="90"/>
      <c r="IFV129" s="90"/>
      <c r="IFW129" s="90"/>
      <c r="IFX129" s="90"/>
      <c r="IFY129" s="89"/>
      <c r="IFZ129" s="90"/>
      <c r="IGA129" s="90"/>
      <c r="IGB129" s="90"/>
      <c r="IGC129" s="90"/>
      <c r="IGD129" s="90"/>
      <c r="IGE129" s="90"/>
      <c r="IGF129" s="90"/>
      <c r="IGG129" s="90"/>
      <c r="IGH129" s="90"/>
      <c r="IGI129" s="90"/>
      <c r="IGJ129" s="90"/>
      <c r="IGK129" s="90"/>
      <c r="IGL129" s="90"/>
      <c r="IGM129" s="90"/>
      <c r="IGN129" s="90"/>
      <c r="IGO129" s="90"/>
      <c r="IGP129" s="90"/>
      <c r="IGQ129" s="89"/>
      <c r="IGR129" s="90"/>
      <c r="IGS129" s="90"/>
      <c r="IGT129" s="90"/>
      <c r="IGU129" s="90"/>
      <c r="IGV129" s="90"/>
      <c r="IGW129" s="90"/>
      <c r="IGX129" s="90"/>
      <c r="IGY129" s="90"/>
      <c r="IGZ129" s="90"/>
      <c r="IHA129" s="90"/>
      <c r="IHB129" s="90"/>
      <c r="IHC129" s="90"/>
      <c r="IHD129" s="90"/>
      <c r="IHE129" s="90"/>
      <c r="IHF129" s="90"/>
      <c r="IHG129" s="90"/>
      <c r="IHH129" s="90"/>
      <c r="IHI129" s="89"/>
      <c r="IHJ129" s="90"/>
      <c r="IHK129" s="90"/>
      <c r="IHL129" s="90"/>
      <c r="IHM129" s="90"/>
      <c r="IHN129" s="90"/>
      <c r="IHO129" s="90"/>
      <c r="IHP129" s="90"/>
      <c r="IHQ129" s="90"/>
      <c r="IHR129" s="90"/>
      <c r="IHS129" s="90"/>
      <c r="IHT129" s="90"/>
      <c r="IHU129" s="90"/>
      <c r="IHV129" s="90"/>
      <c r="IHW129" s="90"/>
      <c r="IHX129" s="90"/>
      <c r="IHY129" s="90"/>
      <c r="IHZ129" s="90"/>
      <c r="IIA129" s="89"/>
      <c r="IIB129" s="90"/>
      <c r="IIC129" s="90"/>
      <c r="IID129" s="90"/>
      <c r="IIE129" s="90"/>
      <c r="IIF129" s="90"/>
      <c r="IIG129" s="90"/>
      <c r="IIH129" s="90"/>
      <c r="III129" s="90"/>
      <c r="IIJ129" s="90"/>
      <c r="IIK129" s="90"/>
      <c r="IIL129" s="90"/>
      <c r="IIM129" s="90"/>
      <c r="IIN129" s="90"/>
      <c r="IIO129" s="90"/>
      <c r="IIP129" s="90"/>
      <c r="IIQ129" s="90"/>
      <c r="IIR129" s="90"/>
      <c r="IIS129" s="89"/>
      <c r="IIT129" s="90"/>
      <c r="IIU129" s="90"/>
      <c r="IIV129" s="90"/>
      <c r="IIW129" s="90"/>
      <c r="IIX129" s="90"/>
      <c r="IIY129" s="90"/>
      <c r="IIZ129" s="90"/>
      <c r="IJA129" s="90"/>
      <c r="IJB129" s="90"/>
      <c r="IJC129" s="90"/>
      <c r="IJD129" s="90"/>
      <c r="IJE129" s="90"/>
      <c r="IJF129" s="90"/>
      <c r="IJG129" s="90"/>
      <c r="IJH129" s="90"/>
      <c r="IJI129" s="90"/>
      <c r="IJJ129" s="90"/>
      <c r="IJK129" s="89"/>
      <c r="IJL129" s="90"/>
      <c r="IJM129" s="90"/>
      <c r="IJN129" s="90"/>
      <c r="IJO129" s="90"/>
      <c r="IJP129" s="90"/>
      <c r="IJQ129" s="90"/>
      <c r="IJR129" s="90"/>
      <c r="IJS129" s="90"/>
      <c r="IJT129" s="90"/>
      <c r="IJU129" s="90"/>
      <c r="IJV129" s="90"/>
      <c r="IJW129" s="90"/>
      <c r="IJX129" s="90"/>
      <c r="IJY129" s="90"/>
      <c r="IJZ129" s="90"/>
      <c r="IKA129" s="90"/>
      <c r="IKB129" s="90"/>
      <c r="IKC129" s="89"/>
      <c r="IKD129" s="90"/>
      <c r="IKE129" s="90"/>
      <c r="IKF129" s="90"/>
      <c r="IKG129" s="90"/>
      <c r="IKH129" s="90"/>
      <c r="IKI129" s="90"/>
      <c r="IKJ129" s="90"/>
      <c r="IKK129" s="90"/>
      <c r="IKL129" s="90"/>
      <c r="IKM129" s="90"/>
      <c r="IKN129" s="90"/>
      <c r="IKO129" s="90"/>
      <c r="IKP129" s="90"/>
      <c r="IKQ129" s="90"/>
      <c r="IKR129" s="90"/>
      <c r="IKS129" s="90"/>
      <c r="IKT129" s="90"/>
      <c r="IKU129" s="89"/>
      <c r="IKV129" s="90"/>
      <c r="IKW129" s="90"/>
      <c r="IKX129" s="90"/>
      <c r="IKY129" s="90"/>
      <c r="IKZ129" s="90"/>
      <c r="ILA129" s="90"/>
      <c r="ILB129" s="90"/>
      <c r="ILC129" s="90"/>
      <c r="ILD129" s="90"/>
      <c r="ILE129" s="90"/>
      <c r="ILF129" s="90"/>
      <c r="ILG129" s="90"/>
      <c r="ILH129" s="90"/>
      <c r="ILI129" s="90"/>
      <c r="ILJ129" s="90"/>
      <c r="ILK129" s="90"/>
      <c r="ILL129" s="90"/>
      <c r="ILM129" s="89"/>
      <c r="ILN129" s="90"/>
      <c r="ILO129" s="90"/>
      <c r="ILP129" s="90"/>
      <c r="ILQ129" s="90"/>
      <c r="ILR129" s="90"/>
      <c r="ILS129" s="90"/>
      <c r="ILT129" s="90"/>
      <c r="ILU129" s="90"/>
      <c r="ILV129" s="90"/>
      <c r="ILW129" s="90"/>
      <c r="ILX129" s="90"/>
      <c r="ILY129" s="90"/>
      <c r="ILZ129" s="90"/>
      <c r="IMA129" s="90"/>
      <c r="IMB129" s="90"/>
      <c r="IMC129" s="90"/>
      <c r="IMD129" s="90"/>
      <c r="IME129" s="89"/>
      <c r="IMF129" s="90"/>
      <c r="IMG129" s="90"/>
      <c r="IMH129" s="90"/>
      <c r="IMI129" s="90"/>
      <c r="IMJ129" s="90"/>
      <c r="IMK129" s="90"/>
      <c r="IML129" s="90"/>
      <c r="IMM129" s="90"/>
      <c r="IMN129" s="90"/>
      <c r="IMO129" s="90"/>
      <c r="IMP129" s="90"/>
      <c r="IMQ129" s="90"/>
      <c r="IMR129" s="90"/>
      <c r="IMS129" s="90"/>
      <c r="IMT129" s="90"/>
      <c r="IMU129" s="90"/>
      <c r="IMV129" s="90"/>
      <c r="IMW129" s="89"/>
      <c r="IMX129" s="90"/>
      <c r="IMY129" s="90"/>
      <c r="IMZ129" s="90"/>
      <c r="INA129" s="90"/>
      <c r="INB129" s="90"/>
      <c r="INC129" s="90"/>
      <c r="IND129" s="90"/>
      <c r="INE129" s="90"/>
      <c r="INF129" s="90"/>
      <c r="ING129" s="90"/>
      <c r="INH129" s="90"/>
      <c r="INI129" s="90"/>
      <c r="INJ129" s="90"/>
      <c r="INK129" s="90"/>
      <c r="INL129" s="90"/>
      <c r="INM129" s="90"/>
      <c r="INN129" s="90"/>
      <c r="INO129" s="89"/>
      <c r="INP129" s="90"/>
      <c r="INQ129" s="90"/>
      <c r="INR129" s="90"/>
      <c r="INS129" s="90"/>
      <c r="INT129" s="90"/>
      <c r="INU129" s="90"/>
      <c r="INV129" s="90"/>
      <c r="INW129" s="90"/>
      <c r="INX129" s="90"/>
      <c r="INY129" s="90"/>
      <c r="INZ129" s="90"/>
      <c r="IOA129" s="90"/>
      <c r="IOB129" s="90"/>
      <c r="IOC129" s="90"/>
      <c r="IOD129" s="90"/>
      <c r="IOE129" s="90"/>
      <c r="IOF129" s="90"/>
      <c r="IOG129" s="89"/>
      <c r="IOH129" s="90"/>
      <c r="IOI129" s="90"/>
      <c r="IOJ129" s="90"/>
      <c r="IOK129" s="90"/>
      <c r="IOL129" s="90"/>
      <c r="IOM129" s="90"/>
      <c r="ION129" s="90"/>
      <c r="IOO129" s="90"/>
      <c r="IOP129" s="90"/>
      <c r="IOQ129" s="90"/>
      <c r="IOR129" s="90"/>
      <c r="IOS129" s="90"/>
      <c r="IOT129" s="90"/>
      <c r="IOU129" s="90"/>
      <c r="IOV129" s="90"/>
      <c r="IOW129" s="90"/>
      <c r="IOX129" s="90"/>
      <c r="IOY129" s="89"/>
      <c r="IOZ129" s="90"/>
      <c r="IPA129" s="90"/>
      <c r="IPB129" s="90"/>
      <c r="IPC129" s="90"/>
      <c r="IPD129" s="90"/>
      <c r="IPE129" s="90"/>
      <c r="IPF129" s="90"/>
      <c r="IPG129" s="90"/>
      <c r="IPH129" s="90"/>
      <c r="IPI129" s="90"/>
      <c r="IPJ129" s="90"/>
      <c r="IPK129" s="90"/>
      <c r="IPL129" s="90"/>
      <c r="IPM129" s="90"/>
      <c r="IPN129" s="90"/>
      <c r="IPO129" s="90"/>
      <c r="IPP129" s="90"/>
      <c r="IPQ129" s="89"/>
      <c r="IPR129" s="90"/>
      <c r="IPS129" s="90"/>
      <c r="IPT129" s="90"/>
      <c r="IPU129" s="90"/>
      <c r="IPV129" s="90"/>
      <c r="IPW129" s="90"/>
      <c r="IPX129" s="90"/>
      <c r="IPY129" s="90"/>
      <c r="IPZ129" s="90"/>
      <c r="IQA129" s="90"/>
      <c r="IQB129" s="90"/>
      <c r="IQC129" s="90"/>
      <c r="IQD129" s="90"/>
      <c r="IQE129" s="90"/>
      <c r="IQF129" s="90"/>
      <c r="IQG129" s="90"/>
      <c r="IQH129" s="90"/>
      <c r="IQI129" s="89"/>
      <c r="IQJ129" s="90"/>
      <c r="IQK129" s="90"/>
      <c r="IQL129" s="90"/>
      <c r="IQM129" s="90"/>
      <c r="IQN129" s="90"/>
      <c r="IQO129" s="90"/>
      <c r="IQP129" s="90"/>
      <c r="IQQ129" s="90"/>
      <c r="IQR129" s="90"/>
      <c r="IQS129" s="90"/>
      <c r="IQT129" s="90"/>
      <c r="IQU129" s="90"/>
      <c r="IQV129" s="90"/>
      <c r="IQW129" s="90"/>
      <c r="IQX129" s="90"/>
      <c r="IQY129" s="90"/>
      <c r="IQZ129" s="90"/>
      <c r="IRA129" s="89"/>
      <c r="IRB129" s="90"/>
      <c r="IRC129" s="90"/>
      <c r="IRD129" s="90"/>
      <c r="IRE129" s="90"/>
      <c r="IRF129" s="90"/>
      <c r="IRG129" s="90"/>
      <c r="IRH129" s="90"/>
      <c r="IRI129" s="90"/>
      <c r="IRJ129" s="90"/>
      <c r="IRK129" s="90"/>
      <c r="IRL129" s="90"/>
      <c r="IRM129" s="90"/>
      <c r="IRN129" s="90"/>
      <c r="IRO129" s="90"/>
      <c r="IRP129" s="90"/>
      <c r="IRQ129" s="90"/>
      <c r="IRR129" s="90"/>
      <c r="IRS129" s="89"/>
      <c r="IRT129" s="90"/>
      <c r="IRU129" s="90"/>
      <c r="IRV129" s="90"/>
      <c r="IRW129" s="90"/>
      <c r="IRX129" s="90"/>
      <c r="IRY129" s="90"/>
      <c r="IRZ129" s="90"/>
      <c r="ISA129" s="90"/>
      <c r="ISB129" s="90"/>
      <c r="ISC129" s="90"/>
      <c r="ISD129" s="90"/>
      <c r="ISE129" s="90"/>
      <c r="ISF129" s="90"/>
      <c r="ISG129" s="90"/>
      <c r="ISH129" s="90"/>
      <c r="ISI129" s="90"/>
      <c r="ISJ129" s="90"/>
      <c r="ISK129" s="89"/>
      <c r="ISL129" s="90"/>
      <c r="ISM129" s="90"/>
      <c r="ISN129" s="90"/>
      <c r="ISO129" s="90"/>
      <c r="ISP129" s="90"/>
      <c r="ISQ129" s="90"/>
      <c r="ISR129" s="90"/>
      <c r="ISS129" s="90"/>
      <c r="IST129" s="90"/>
      <c r="ISU129" s="90"/>
      <c r="ISV129" s="90"/>
      <c r="ISW129" s="90"/>
      <c r="ISX129" s="90"/>
      <c r="ISY129" s="90"/>
      <c r="ISZ129" s="90"/>
      <c r="ITA129" s="90"/>
      <c r="ITB129" s="90"/>
      <c r="ITC129" s="89"/>
      <c r="ITD129" s="90"/>
      <c r="ITE129" s="90"/>
      <c r="ITF129" s="90"/>
      <c r="ITG129" s="90"/>
      <c r="ITH129" s="90"/>
      <c r="ITI129" s="90"/>
      <c r="ITJ129" s="90"/>
      <c r="ITK129" s="90"/>
      <c r="ITL129" s="90"/>
      <c r="ITM129" s="90"/>
      <c r="ITN129" s="90"/>
      <c r="ITO129" s="90"/>
      <c r="ITP129" s="90"/>
      <c r="ITQ129" s="90"/>
      <c r="ITR129" s="90"/>
      <c r="ITS129" s="90"/>
      <c r="ITT129" s="90"/>
      <c r="ITU129" s="89"/>
      <c r="ITV129" s="90"/>
      <c r="ITW129" s="90"/>
      <c r="ITX129" s="90"/>
      <c r="ITY129" s="90"/>
      <c r="ITZ129" s="90"/>
      <c r="IUA129" s="90"/>
      <c r="IUB129" s="90"/>
      <c r="IUC129" s="90"/>
      <c r="IUD129" s="90"/>
      <c r="IUE129" s="90"/>
      <c r="IUF129" s="90"/>
      <c r="IUG129" s="90"/>
      <c r="IUH129" s="90"/>
      <c r="IUI129" s="90"/>
      <c r="IUJ129" s="90"/>
      <c r="IUK129" s="90"/>
      <c r="IUL129" s="90"/>
      <c r="IUM129" s="89"/>
      <c r="IUN129" s="90"/>
      <c r="IUO129" s="90"/>
      <c r="IUP129" s="90"/>
      <c r="IUQ129" s="90"/>
      <c r="IUR129" s="90"/>
      <c r="IUS129" s="90"/>
      <c r="IUT129" s="90"/>
      <c r="IUU129" s="90"/>
      <c r="IUV129" s="90"/>
      <c r="IUW129" s="90"/>
      <c r="IUX129" s="90"/>
      <c r="IUY129" s="90"/>
      <c r="IUZ129" s="90"/>
      <c r="IVA129" s="90"/>
      <c r="IVB129" s="90"/>
      <c r="IVC129" s="90"/>
      <c r="IVD129" s="90"/>
      <c r="IVE129" s="89"/>
      <c r="IVF129" s="90"/>
      <c r="IVG129" s="90"/>
      <c r="IVH129" s="90"/>
      <c r="IVI129" s="90"/>
      <c r="IVJ129" s="90"/>
      <c r="IVK129" s="90"/>
      <c r="IVL129" s="90"/>
      <c r="IVM129" s="90"/>
      <c r="IVN129" s="90"/>
      <c r="IVO129" s="90"/>
      <c r="IVP129" s="90"/>
      <c r="IVQ129" s="90"/>
      <c r="IVR129" s="90"/>
      <c r="IVS129" s="90"/>
      <c r="IVT129" s="90"/>
      <c r="IVU129" s="90"/>
      <c r="IVV129" s="90"/>
      <c r="IVW129" s="89"/>
      <c r="IVX129" s="90"/>
      <c r="IVY129" s="90"/>
      <c r="IVZ129" s="90"/>
      <c r="IWA129" s="90"/>
      <c r="IWB129" s="90"/>
      <c r="IWC129" s="90"/>
      <c r="IWD129" s="90"/>
      <c r="IWE129" s="90"/>
      <c r="IWF129" s="90"/>
      <c r="IWG129" s="90"/>
      <c r="IWH129" s="90"/>
      <c r="IWI129" s="90"/>
      <c r="IWJ129" s="90"/>
      <c r="IWK129" s="90"/>
      <c r="IWL129" s="90"/>
      <c r="IWM129" s="90"/>
      <c r="IWN129" s="90"/>
      <c r="IWO129" s="89"/>
      <c r="IWP129" s="90"/>
      <c r="IWQ129" s="90"/>
      <c r="IWR129" s="90"/>
      <c r="IWS129" s="90"/>
      <c r="IWT129" s="90"/>
      <c r="IWU129" s="90"/>
      <c r="IWV129" s="90"/>
      <c r="IWW129" s="90"/>
      <c r="IWX129" s="90"/>
      <c r="IWY129" s="90"/>
      <c r="IWZ129" s="90"/>
      <c r="IXA129" s="90"/>
      <c r="IXB129" s="90"/>
      <c r="IXC129" s="90"/>
      <c r="IXD129" s="90"/>
      <c r="IXE129" s="90"/>
      <c r="IXF129" s="90"/>
      <c r="IXG129" s="89"/>
      <c r="IXH129" s="90"/>
      <c r="IXI129" s="90"/>
      <c r="IXJ129" s="90"/>
      <c r="IXK129" s="90"/>
      <c r="IXL129" s="90"/>
      <c r="IXM129" s="90"/>
      <c r="IXN129" s="90"/>
      <c r="IXO129" s="90"/>
      <c r="IXP129" s="90"/>
      <c r="IXQ129" s="90"/>
      <c r="IXR129" s="90"/>
      <c r="IXS129" s="90"/>
      <c r="IXT129" s="90"/>
      <c r="IXU129" s="90"/>
      <c r="IXV129" s="90"/>
      <c r="IXW129" s="90"/>
      <c r="IXX129" s="90"/>
      <c r="IXY129" s="89"/>
      <c r="IXZ129" s="90"/>
      <c r="IYA129" s="90"/>
      <c r="IYB129" s="90"/>
      <c r="IYC129" s="90"/>
      <c r="IYD129" s="90"/>
      <c r="IYE129" s="90"/>
      <c r="IYF129" s="90"/>
      <c r="IYG129" s="90"/>
      <c r="IYH129" s="90"/>
      <c r="IYI129" s="90"/>
      <c r="IYJ129" s="90"/>
      <c r="IYK129" s="90"/>
      <c r="IYL129" s="90"/>
      <c r="IYM129" s="90"/>
      <c r="IYN129" s="90"/>
      <c r="IYO129" s="90"/>
      <c r="IYP129" s="90"/>
      <c r="IYQ129" s="89"/>
      <c r="IYR129" s="90"/>
      <c r="IYS129" s="90"/>
      <c r="IYT129" s="90"/>
      <c r="IYU129" s="90"/>
      <c r="IYV129" s="90"/>
      <c r="IYW129" s="90"/>
      <c r="IYX129" s="90"/>
      <c r="IYY129" s="90"/>
      <c r="IYZ129" s="90"/>
      <c r="IZA129" s="90"/>
      <c r="IZB129" s="90"/>
      <c r="IZC129" s="90"/>
      <c r="IZD129" s="90"/>
      <c r="IZE129" s="90"/>
      <c r="IZF129" s="90"/>
      <c r="IZG129" s="90"/>
      <c r="IZH129" s="90"/>
      <c r="IZI129" s="89"/>
      <c r="IZJ129" s="90"/>
      <c r="IZK129" s="90"/>
      <c r="IZL129" s="90"/>
      <c r="IZM129" s="90"/>
      <c r="IZN129" s="90"/>
      <c r="IZO129" s="90"/>
      <c r="IZP129" s="90"/>
      <c r="IZQ129" s="90"/>
      <c r="IZR129" s="90"/>
      <c r="IZS129" s="90"/>
      <c r="IZT129" s="90"/>
      <c r="IZU129" s="90"/>
      <c r="IZV129" s="90"/>
      <c r="IZW129" s="90"/>
      <c r="IZX129" s="90"/>
      <c r="IZY129" s="90"/>
      <c r="IZZ129" s="90"/>
      <c r="JAA129" s="89"/>
      <c r="JAB129" s="90"/>
      <c r="JAC129" s="90"/>
      <c r="JAD129" s="90"/>
      <c r="JAE129" s="90"/>
      <c r="JAF129" s="90"/>
      <c r="JAG129" s="90"/>
      <c r="JAH129" s="90"/>
      <c r="JAI129" s="90"/>
      <c r="JAJ129" s="90"/>
      <c r="JAK129" s="90"/>
      <c r="JAL129" s="90"/>
      <c r="JAM129" s="90"/>
      <c r="JAN129" s="90"/>
      <c r="JAO129" s="90"/>
      <c r="JAP129" s="90"/>
      <c r="JAQ129" s="90"/>
      <c r="JAR129" s="90"/>
      <c r="JAS129" s="89"/>
      <c r="JAT129" s="90"/>
      <c r="JAU129" s="90"/>
      <c r="JAV129" s="90"/>
      <c r="JAW129" s="90"/>
      <c r="JAX129" s="90"/>
      <c r="JAY129" s="90"/>
      <c r="JAZ129" s="90"/>
      <c r="JBA129" s="90"/>
      <c r="JBB129" s="90"/>
      <c r="JBC129" s="90"/>
      <c r="JBD129" s="90"/>
      <c r="JBE129" s="90"/>
      <c r="JBF129" s="90"/>
      <c r="JBG129" s="90"/>
      <c r="JBH129" s="90"/>
      <c r="JBI129" s="90"/>
      <c r="JBJ129" s="90"/>
      <c r="JBK129" s="89"/>
      <c r="JBL129" s="90"/>
      <c r="JBM129" s="90"/>
      <c r="JBN129" s="90"/>
      <c r="JBO129" s="90"/>
      <c r="JBP129" s="90"/>
      <c r="JBQ129" s="90"/>
      <c r="JBR129" s="90"/>
      <c r="JBS129" s="90"/>
      <c r="JBT129" s="90"/>
      <c r="JBU129" s="90"/>
      <c r="JBV129" s="90"/>
      <c r="JBW129" s="90"/>
      <c r="JBX129" s="90"/>
      <c r="JBY129" s="90"/>
      <c r="JBZ129" s="90"/>
      <c r="JCA129" s="90"/>
      <c r="JCB129" s="90"/>
      <c r="JCC129" s="89"/>
      <c r="JCD129" s="90"/>
      <c r="JCE129" s="90"/>
      <c r="JCF129" s="90"/>
      <c r="JCG129" s="90"/>
      <c r="JCH129" s="90"/>
      <c r="JCI129" s="90"/>
      <c r="JCJ129" s="90"/>
      <c r="JCK129" s="90"/>
      <c r="JCL129" s="90"/>
      <c r="JCM129" s="90"/>
      <c r="JCN129" s="90"/>
      <c r="JCO129" s="90"/>
      <c r="JCP129" s="90"/>
      <c r="JCQ129" s="90"/>
      <c r="JCR129" s="90"/>
      <c r="JCS129" s="90"/>
      <c r="JCT129" s="90"/>
      <c r="JCU129" s="89"/>
      <c r="JCV129" s="90"/>
      <c r="JCW129" s="90"/>
      <c r="JCX129" s="90"/>
      <c r="JCY129" s="90"/>
      <c r="JCZ129" s="90"/>
      <c r="JDA129" s="90"/>
      <c r="JDB129" s="90"/>
      <c r="JDC129" s="90"/>
      <c r="JDD129" s="90"/>
      <c r="JDE129" s="90"/>
      <c r="JDF129" s="90"/>
      <c r="JDG129" s="90"/>
      <c r="JDH129" s="90"/>
      <c r="JDI129" s="90"/>
      <c r="JDJ129" s="90"/>
      <c r="JDK129" s="90"/>
      <c r="JDL129" s="90"/>
      <c r="JDM129" s="89"/>
      <c r="JDN129" s="90"/>
      <c r="JDO129" s="90"/>
      <c r="JDP129" s="90"/>
      <c r="JDQ129" s="90"/>
      <c r="JDR129" s="90"/>
      <c r="JDS129" s="90"/>
      <c r="JDT129" s="90"/>
      <c r="JDU129" s="90"/>
      <c r="JDV129" s="90"/>
      <c r="JDW129" s="90"/>
      <c r="JDX129" s="90"/>
      <c r="JDY129" s="90"/>
      <c r="JDZ129" s="90"/>
      <c r="JEA129" s="90"/>
      <c r="JEB129" s="90"/>
      <c r="JEC129" s="90"/>
      <c r="JED129" s="90"/>
      <c r="JEE129" s="89"/>
      <c r="JEF129" s="90"/>
      <c r="JEG129" s="90"/>
      <c r="JEH129" s="90"/>
      <c r="JEI129" s="90"/>
      <c r="JEJ129" s="90"/>
      <c r="JEK129" s="90"/>
      <c r="JEL129" s="90"/>
      <c r="JEM129" s="90"/>
      <c r="JEN129" s="90"/>
      <c r="JEO129" s="90"/>
      <c r="JEP129" s="90"/>
      <c r="JEQ129" s="90"/>
      <c r="JER129" s="90"/>
      <c r="JES129" s="90"/>
      <c r="JET129" s="90"/>
      <c r="JEU129" s="90"/>
      <c r="JEV129" s="90"/>
      <c r="JEW129" s="89"/>
      <c r="JEX129" s="90"/>
      <c r="JEY129" s="90"/>
      <c r="JEZ129" s="90"/>
      <c r="JFA129" s="90"/>
      <c r="JFB129" s="90"/>
      <c r="JFC129" s="90"/>
      <c r="JFD129" s="90"/>
      <c r="JFE129" s="90"/>
      <c r="JFF129" s="90"/>
      <c r="JFG129" s="90"/>
      <c r="JFH129" s="90"/>
      <c r="JFI129" s="90"/>
      <c r="JFJ129" s="90"/>
      <c r="JFK129" s="90"/>
      <c r="JFL129" s="90"/>
      <c r="JFM129" s="90"/>
      <c r="JFN129" s="90"/>
      <c r="JFO129" s="89"/>
      <c r="JFP129" s="90"/>
      <c r="JFQ129" s="90"/>
      <c r="JFR129" s="90"/>
      <c r="JFS129" s="90"/>
      <c r="JFT129" s="90"/>
      <c r="JFU129" s="90"/>
      <c r="JFV129" s="90"/>
      <c r="JFW129" s="90"/>
      <c r="JFX129" s="90"/>
      <c r="JFY129" s="90"/>
      <c r="JFZ129" s="90"/>
      <c r="JGA129" s="90"/>
      <c r="JGB129" s="90"/>
      <c r="JGC129" s="90"/>
      <c r="JGD129" s="90"/>
      <c r="JGE129" s="90"/>
      <c r="JGF129" s="90"/>
      <c r="JGG129" s="89"/>
      <c r="JGH129" s="90"/>
      <c r="JGI129" s="90"/>
      <c r="JGJ129" s="90"/>
      <c r="JGK129" s="90"/>
      <c r="JGL129" s="90"/>
      <c r="JGM129" s="90"/>
      <c r="JGN129" s="90"/>
      <c r="JGO129" s="90"/>
      <c r="JGP129" s="90"/>
      <c r="JGQ129" s="90"/>
      <c r="JGR129" s="90"/>
      <c r="JGS129" s="90"/>
      <c r="JGT129" s="90"/>
      <c r="JGU129" s="90"/>
      <c r="JGV129" s="90"/>
      <c r="JGW129" s="90"/>
      <c r="JGX129" s="90"/>
      <c r="JGY129" s="89"/>
      <c r="JGZ129" s="90"/>
      <c r="JHA129" s="90"/>
      <c r="JHB129" s="90"/>
      <c r="JHC129" s="90"/>
      <c r="JHD129" s="90"/>
      <c r="JHE129" s="90"/>
      <c r="JHF129" s="90"/>
      <c r="JHG129" s="90"/>
      <c r="JHH129" s="90"/>
      <c r="JHI129" s="90"/>
      <c r="JHJ129" s="90"/>
      <c r="JHK129" s="90"/>
      <c r="JHL129" s="90"/>
      <c r="JHM129" s="90"/>
      <c r="JHN129" s="90"/>
      <c r="JHO129" s="90"/>
      <c r="JHP129" s="90"/>
      <c r="JHQ129" s="89"/>
      <c r="JHR129" s="90"/>
      <c r="JHS129" s="90"/>
      <c r="JHT129" s="90"/>
      <c r="JHU129" s="90"/>
      <c r="JHV129" s="90"/>
      <c r="JHW129" s="90"/>
      <c r="JHX129" s="90"/>
      <c r="JHY129" s="90"/>
      <c r="JHZ129" s="90"/>
      <c r="JIA129" s="90"/>
      <c r="JIB129" s="90"/>
      <c r="JIC129" s="90"/>
      <c r="JID129" s="90"/>
      <c r="JIE129" s="90"/>
      <c r="JIF129" s="90"/>
      <c r="JIG129" s="90"/>
      <c r="JIH129" s="90"/>
      <c r="JII129" s="89"/>
      <c r="JIJ129" s="90"/>
      <c r="JIK129" s="90"/>
      <c r="JIL129" s="90"/>
      <c r="JIM129" s="90"/>
      <c r="JIN129" s="90"/>
      <c r="JIO129" s="90"/>
      <c r="JIP129" s="90"/>
      <c r="JIQ129" s="90"/>
      <c r="JIR129" s="90"/>
      <c r="JIS129" s="90"/>
      <c r="JIT129" s="90"/>
      <c r="JIU129" s="90"/>
      <c r="JIV129" s="90"/>
      <c r="JIW129" s="90"/>
      <c r="JIX129" s="90"/>
      <c r="JIY129" s="90"/>
      <c r="JIZ129" s="90"/>
      <c r="JJA129" s="89"/>
      <c r="JJB129" s="90"/>
      <c r="JJC129" s="90"/>
      <c r="JJD129" s="90"/>
      <c r="JJE129" s="90"/>
      <c r="JJF129" s="90"/>
      <c r="JJG129" s="90"/>
      <c r="JJH129" s="90"/>
      <c r="JJI129" s="90"/>
      <c r="JJJ129" s="90"/>
      <c r="JJK129" s="90"/>
      <c r="JJL129" s="90"/>
      <c r="JJM129" s="90"/>
      <c r="JJN129" s="90"/>
      <c r="JJO129" s="90"/>
      <c r="JJP129" s="90"/>
      <c r="JJQ129" s="90"/>
      <c r="JJR129" s="90"/>
      <c r="JJS129" s="89"/>
      <c r="JJT129" s="90"/>
      <c r="JJU129" s="90"/>
      <c r="JJV129" s="90"/>
      <c r="JJW129" s="90"/>
      <c r="JJX129" s="90"/>
      <c r="JJY129" s="90"/>
      <c r="JJZ129" s="90"/>
      <c r="JKA129" s="90"/>
      <c r="JKB129" s="90"/>
      <c r="JKC129" s="90"/>
      <c r="JKD129" s="90"/>
      <c r="JKE129" s="90"/>
      <c r="JKF129" s="90"/>
      <c r="JKG129" s="90"/>
      <c r="JKH129" s="90"/>
      <c r="JKI129" s="90"/>
      <c r="JKJ129" s="90"/>
      <c r="JKK129" s="89"/>
      <c r="JKL129" s="90"/>
      <c r="JKM129" s="90"/>
      <c r="JKN129" s="90"/>
      <c r="JKO129" s="90"/>
      <c r="JKP129" s="90"/>
      <c r="JKQ129" s="90"/>
      <c r="JKR129" s="90"/>
      <c r="JKS129" s="90"/>
      <c r="JKT129" s="90"/>
      <c r="JKU129" s="90"/>
      <c r="JKV129" s="90"/>
      <c r="JKW129" s="90"/>
      <c r="JKX129" s="90"/>
      <c r="JKY129" s="90"/>
      <c r="JKZ129" s="90"/>
      <c r="JLA129" s="90"/>
      <c r="JLB129" s="90"/>
      <c r="JLC129" s="89"/>
      <c r="JLD129" s="90"/>
      <c r="JLE129" s="90"/>
      <c r="JLF129" s="90"/>
      <c r="JLG129" s="90"/>
      <c r="JLH129" s="90"/>
      <c r="JLI129" s="90"/>
      <c r="JLJ129" s="90"/>
      <c r="JLK129" s="90"/>
      <c r="JLL129" s="90"/>
      <c r="JLM129" s="90"/>
      <c r="JLN129" s="90"/>
      <c r="JLO129" s="90"/>
      <c r="JLP129" s="90"/>
      <c r="JLQ129" s="90"/>
      <c r="JLR129" s="90"/>
      <c r="JLS129" s="90"/>
      <c r="JLT129" s="90"/>
      <c r="JLU129" s="89"/>
      <c r="JLV129" s="90"/>
      <c r="JLW129" s="90"/>
      <c r="JLX129" s="90"/>
      <c r="JLY129" s="90"/>
      <c r="JLZ129" s="90"/>
      <c r="JMA129" s="90"/>
      <c r="JMB129" s="90"/>
      <c r="JMC129" s="90"/>
      <c r="JMD129" s="90"/>
      <c r="JME129" s="90"/>
      <c r="JMF129" s="90"/>
      <c r="JMG129" s="90"/>
      <c r="JMH129" s="90"/>
      <c r="JMI129" s="90"/>
      <c r="JMJ129" s="90"/>
      <c r="JMK129" s="90"/>
      <c r="JML129" s="90"/>
      <c r="JMM129" s="89"/>
      <c r="JMN129" s="90"/>
      <c r="JMO129" s="90"/>
      <c r="JMP129" s="90"/>
      <c r="JMQ129" s="90"/>
      <c r="JMR129" s="90"/>
      <c r="JMS129" s="90"/>
      <c r="JMT129" s="90"/>
      <c r="JMU129" s="90"/>
      <c r="JMV129" s="90"/>
      <c r="JMW129" s="90"/>
      <c r="JMX129" s="90"/>
      <c r="JMY129" s="90"/>
      <c r="JMZ129" s="90"/>
      <c r="JNA129" s="90"/>
      <c r="JNB129" s="90"/>
      <c r="JNC129" s="90"/>
      <c r="JND129" s="90"/>
      <c r="JNE129" s="89"/>
      <c r="JNF129" s="90"/>
      <c r="JNG129" s="90"/>
      <c r="JNH129" s="90"/>
      <c r="JNI129" s="90"/>
      <c r="JNJ129" s="90"/>
      <c r="JNK129" s="90"/>
      <c r="JNL129" s="90"/>
      <c r="JNM129" s="90"/>
      <c r="JNN129" s="90"/>
      <c r="JNO129" s="90"/>
      <c r="JNP129" s="90"/>
      <c r="JNQ129" s="90"/>
      <c r="JNR129" s="90"/>
      <c r="JNS129" s="90"/>
      <c r="JNT129" s="90"/>
      <c r="JNU129" s="90"/>
      <c r="JNV129" s="90"/>
      <c r="JNW129" s="89"/>
      <c r="JNX129" s="90"/>
      <c r="JNY129" s="90"/>
      <c r="JNZ129" s="90"/>
      <c r="JOA129" s="90"/>
      <c r="JOB129" s="90"/>
      <c r="JOC129" s="90"/>
      <c r="JOD129" s="90"/>
      <c r="JOE129" s="90"/>
      <c r="JOF129" s="90"/>
      <c r="JOG129" s="90"/>
      <c r="JOH129" s="90"/>
      <c r="JOI129" s="90"/>
      <c r="JOJ129" s="90"/>
      <c r="JOK129" s="90"/>
      <c r="JOL129" s="90"/>
      <c r="JOM129" s="90"/>
      <c r="JON129" s="90"/>
      <c r="JOO129" s="89"/>
      <c r="JOP129" s="90"/>
      <c r="JOQ129" s="90"/>
      <c r="JOR129" s="90"/>
      <c r="JOS129" s="90"/>
      <c r="JOT129" s="90"/>
      <c r="JOU129" s="90"/>
      <c r="JOV129" s="90"/>
      <c r="JOW129" s="90"/>
      <c r="JOX129" s="90"/>
      <c r="JOY129" s="90"/>
      <c r="JOZ129" s="90"/>
      <c r="JPA129" s="90"/>
      <c r="JPB129" s="90"/>
      <c r="JPC129" s="90"/>
      <c r="JPD129" s="90"/>
      <c r="JPE129" s="90"/>
      <c r="JPF129" s="90"/>
      <c r="JPG129" s="89"/>
      <c r="JPH129" s="90"/>
      <c r="JPI129" s="90"/>
      <c r="JPJ129" s="90"/>
      <c r="JPK129" s="90"/>
      <c r="JPL129" s="90"/>
      <c r="JPM129" s="90"/>
      <c r="JPN129" s="90"/>
      <c r="JPO129" s="90"/>
      <c r="JPP129" s="90"/>
      <c r="JPQ129" s="90"/>
      <c r="JPR129" s="90"/>
      <c r="JPS129" s="90"/>
      <c r="JPT129" s="90"/>
      <c r="JPU129" s="90"/>
      <c r="JPV129" s="90"/>
      <c r="JPW129" s="90"/>
      <c r="JPX129" s="90"/>
      <c r="JPY129" s="89"/>
      <c r="JPZ129" s="90"/>
      <c r="JQA129" s="90"/>
      <c r="JQB129" s="90"/>
      <c r="JQC129" s="90"/>
      <c r="JQD129" s="90"/>
      <c r="JQE129" s="90"/>
      <c r="JQF129" s="90"/>
      <c r="JQG129" s="90"/>
      <c r="JQH129" s="90"/>
      <c r="JQI129" s="90"/>
      <c r="JQJ129" s="90"/>
      <c r="JQK129" s="90"/>
      <c r="JQL129" s="90"/>
      <c r="JQM129" s="90"/>
      <c r="JQN129" s="90"/>
      <c r="JQO129" s="90"/>
      <c r="JQP129" s="90"/>
      <c r="JQQ129" s="89"/>
      <c r="JQR129" s="90"/>
      <c r="JQS129" s="90"/>
      <c r="JQT129" s="90"/>
      <c r="JQU129" s="90"/>
      <c r="JQV129" s="90"/>
      <c r="JQW129" s="90"/>
      <c r="JQX129" s="90"/>
      <c r="JQY129" s="90"/>
      <c r="JQZ129" s="90"/>
      <c r="JRA129" s="90"/>
      <c r="JRB129" s="90"/>
      <c r="JRC129" s="90"/>
      <c r="JRD129" s="90"/>
      <c r="JRE129" s="90"/>
      <c r="JRF129" s="90"/>
      <c r="JRG129" s="90"/>
      <c r="JRH129" s="90"/>
      <c r="JRI129" s="89"/>
      <c r="JRJ129" s="90"/>
      <c r="JRK129" s="90"/>
      <c r="JRL129" s="90"/>
      <c r="JRM129" s="90"/>
      <c r="JRN129" s="90"/>
      <c r="JRO129" s="90"/>
      <c r="JRP129" s="90"/>
      <c r="JRQ129" s="90"/>
      <c r="JRR129" s="90"/>
      <c r="JRS129" s="90"/>
      <c r="JRT129" s="90"/>
      <c r="JRU129" s="90"/>
      <c r="JRV129" s="90"/>
      <c r="JRW129" s="90"/>
      <c r="JRX129" s="90"/>
      <c r="JRY129" s="90"/>
      <c r="JRZ129" s="90"/>
      <c r="JSA129" s="89"/>
      <c r="JSB129" s="90"/>
      <c r="JSC129" s="90"/>
      <c r="JSD129" s="90"/>
      <c r="JSE129" s="90"/>
      <c r="JSF129" s="90"/>
      <c r="JSG129" s="90"/>
      <c r="JSH129" s="90"/>
      <c r="JSI129" s="90"/>
      <c r="JSJ129" s="90"/>
      <c r="JSK129" s="90"/>
      <c r="JSL129" s="90"/>
      <c r="JSM129" s="90"/>
      <c r="JSN129" s="90"/>
      <c r="JSO129" s="90"/>
      <c r="JSP129" s="90"/>
      <c r="JSQ129" s="90"/>
      <c r="JSR129" s="90"/>
      <c r="JSS129" s="89"/>
      <c r="JST129" s="90"/>
      <c r="JSU129" s="90"/>
      <c r="JSV129" s="90"/>
      <c r="JSW129" s="90"/>
      <c r="JSX129" s="90"/>
      <c r="JSY129" s="90"/>
      <c r="JSZ129" s="90"/>
      <c r="JTA129" s="90"/>
      <c r="JTB129" s="90"/>
      <c r="JTC129" s="90"/>
      <c r="JTD129" s="90"/>
      <c r="JTE129" s="90"/>
      <c r="JTF129" s="90"/>
      <c r="JTG129" s="90"/>
      <c r="JTH129" s="90"/>
      <c r="JTI129" s="90"/>
      <c r="JTJ129" s="90"/>
      <c r="JTK129" s="89"/>
      <c r="JTL129" s="90"/>
      <c r="JTM129" s="90"/>
      <c r="JTN129" s="90"/>
      <c r="JTO129" s="90"/>
      <c r="JTP129" s="90"/>
      <c r="JTQ129" s="90"/>
      <c r="JTR129" s="90"/>
      <c r="JTS129" s="90"/>
      <c r="JTT129" s="90"/>
      <c r="JTU129" s="90"/>
      <c r="JTV129" s="90"/>
      <c r="JTW129" s="90"/>
      <c r="JTX129" s="90"/>
      <c r="JTY129" s="90"/>
      <c r="JTZ129" s="90"/>
      <c r="JUA129" s="90"/>
      <c r="JUB129" s="90"/>
      <c r="JUC129" s="89"/>
      <c r="JUD129" s="90"/>
      <c r="JUE129" s="90"/>
      <c r="JUF129" s="90"/>
      <c r="JUG129" s="90"/>
      <c r="JUH129" s="90"/>
      <c r="JUI129" s="90"/>
      <c r="JUJ129" s="90"/>
      <c r="JUK129" s="90"/>
      <c r="JUL129" s="90"/>
      <c r="JUM129" s="90"/>
      <c r="JUN129" s="90"/>
      <c r="JUO129" s="90"/>
      <c r="JUP129" s="90"/>
      <c r="JUQ129" s="90"/>
      <c r="JUR129" s="90"/>
      <c r="JUS129" s="90"/>
      <c r="JUT129" s="90"/>
      <c r="JUU129" s="89"/>
      <c r="JUV129" s="90"/>
      <c r="JUW129" s="90"/>
      <c r="JUX129" s="90"/>
      <c r="JUY129" s="90"/>
      <c r="JUZ129" s="90"/>
      <c r="JVA129" s="90"/>
      <c r="JVB129" s="90"/>
      <c r="JVC129" s="90"/>
      <c r="JVD129" s="90"/>
      <c r="JVE129" s="90"/>
      <c r="JVF129" s="90"/>
      <c r="JVG129" s="90"/>
      <c r="JVH129" s="90"/>
      <c r="JVI129" s="90"/>
      <c r="JVJ129" s="90"/>
      <c r="JVK129" s="90"/>
      <c r="JVL129" s="90"/>
      <c r="JVM129" s="89"/>
      <c r="JVN129" s="90"/>
      <c r="JVO129" s="90"/>
      <c r="JVP129" s="90"/>
      <c r="JVQ129" s="90"/>
      <c r="JVR129" s="90"/>
      <c r="JVS129" s="90"/>
      <c r="JVT129" s="90"/>
      <c r="JVU129" s="90"/>
      <c r="JVV129" s="90"/>
      <c r="JVW129" s="90"/>
      <c r="JVX129" s="90"/>
      <c r="JVY129" s="90"/>
      <c r="JVZ129" s="90"/>
      <c r="JWA129" s="90"/>
      <c r="JWB129" s="90"/>
      <c r="JWC129" s="90"/>
      <c r="JWD129" s="90"/>
      <c r="JWE129" s="89"/>
      <c r="JWF129" s="90"/>
      <c r="JWG129" s="90"/>
      <c r="JWH129" s="90"/>
      <c r="JWI129" s="90"/>
      <c r="JWJ129" s="90"/>
      <c r="JWK129" s="90"/>
      <c r="JWL129" s="90"/>
      <c r="JWM129" s="90"/>
      <c r="JWN129" s="90"/>
      <c r="JWO129" s="90"/>
      <c r="JWP129" s="90"/>
      <c r="JWQ129" s="90"/>
      <c r="JWR129" s="90"/>
      <c r="JWS129" s="90"/>
      <c r="JWT129" s="90"/>
      <c r="JWU129" s="90"/>
      <c r="JWV129" s="90"/>
      <c r="JWW129" s="89"/>
      <c r="JWX129" s="90"/>
      <c r="JWY129" s="90"/>
      <c r="JWZ129" s="90"/>
      <c r="JXA129" s="90"/>
      <c r="JXB129" s="90"/>
      <c r="JXC129" s="90"/>
      <c r="JXD129" s="90"/>
      <c r="JXE129" s="90"/>
      <c r="JXF129" s="90"/>
      <c r="JXG129" s="90"/>
      <c r="JXH129" s="90"/>
      <c r="JXI129" s="90"/>
      <c r="JXJ129" s="90"/>
      <c r="JXK129" s="90"/>
      <c r="JXL129" s="90"/>
      <c r="JXM129" s="90"/>
      <c r="JXN129" s="90"/>
      <c r="JXO129" s="89"/>
      <c r="JXP129" s="90"/>
      <c r="JXQ129" s="90"/>
      <c r="JXR129" s="90"/>
      <c r="JXS129" s="90"/>
      <c r="JXT129" s="90"/>
      <c r="JXU129" s="90"/>
      <c r="JXV129" s="90"/>
      <c r="JXW129" s="90"/>
      <c r="JXX129" s="90"/>
      <c r="JXY129" s="90"/>
      <c r="JXZ129" s="90"/>
      <c r="JYA129" s="90"/>
      <c r="JYB129" s="90"/>
      <c r="JYC129" s="90"/>
      <c r="JYD129" s="90"/>
      <c r="JYE129" s="90"/>
      <c r="JYF129" s="90"/>
      <c r="JYG129" s="89"/>
      <c r="JYH129" s="90"/>
      <c r="JYI129" s="90"/>
      <c r="JYJ129" s="90"/>
      <c r="JYK129" s="90"/>
      <c r="JYL129" s="90"/>
      <c r="JYM129" s="90"/>
      <c r="JYN129" s="90"/>
      <c r="JYO129" s="90"/>
      <c r="JYP129" s="90"/>
      <c r="JYQ129" s="90"/>
      <c r="JYR129" s="90"/>
      <c r="JYS129" s="90"/>
      <c r="JYT129" s="90"/>
      <c r="JYU129" s="90"/>
      <c r="JYV129" s="90"/>
      <c r="JYW129" s="90"/>
      <c r="JYX129" s="90"/>
      <c r="JYY129" s="89"/>
      <c r="JYZ129" s="90"/>
      <c r="JZA129" s="90"/>
      <c r="JZB129" s="90"/>
      <c r="JZC129" s="90"/>
      <c r="JZD129" s="90"/>
      <c r="JZE129" s="90"/>
      <c r="JZF129" s="90"/>
      <c r="JZG129" s="90"/>
      <c r="JZH129" s="90"/>
      <c r="JZI129" s="90"/>
      <c r="JZJ129" s="90"/>
      <c r="JZK129" s="90"/>
      <c r="JZL129" s="90"/>
      <c r="JZM129" s="90"/>
      <c r="JZN129" s="90"/>
      <c r="JZO129" s="90"/>
      <c r="JZP129" s="90"/>
      <c r="JZQ129" s="89"/>
      <c r="JZR129" s="90"/>
      <c r="JZS129" s="90"/>
      <c r="JZT129" s="90"/>
      <c r="JZU129" s="90"/>
      <c r="JZV129" s="90"/>
      <c r="JZW129" s="90"/>
      <c r="JZX129" s="90"/>
      <c r="JZY129" s="90"/>
      <c r="JZZ129" s="90"/>
      <c r="KAA129" s="90"/>
      <c r="KAB129" s="90"/>
      <c r="KAC129" s="90"/>
      <c r="KAD129" s="90"/>
      <c r="KAE129" s="90"/>
      <c r="KAF129" s="90"/>
      <c r="KAG129" s="90"/>
      <c r="KAH129" s="90"/>
      <c r="KAI129" s="89"/>
      <c r="KAJ129" s="90"/>
      <c r="KAK129" s="90"/>
      <c r="KAL129" s="90"/>
      <c r="KAM129" s="90"/>
      <c r="KAN129" s="90"/>
      <c r="KAO129" s="90"/>
      <c r="KAP129" s="90"/>
      <c r="KAQ129" s="90"/>
      <c r="KAR129" s="90"/>
      <c r="KAS129" s="90"/>
      <c r="KAT129" s="90"/>
      <c r="KAU129" s="90"/>
      <c r="KAV129" s="90"/>
      <c r="KAW129" s="90"/>
      <c r="KAX129" s="90"/>
      <c r="KAY129" s="90"/>
      <c r="KAZ129" s="90"/>
      <c r="KBA129" s="89"/>
      <c r="KBB129" s="90"/>
      <c r="KBC129" s="90"/>
      <c r="KBD129" s="90"/>
      <c r="KBE129" s="90"/>
      <c r="KBF129" s="90"/>
      <c r="KBG129" s="90"/>
      <c r="KBH129" s="90"/>
      <c r="KBI129" s="90"/>
      <c r="KBJ129" s="90"/>
      <c r="KBK129" s="90"/>
      <c r="KBL129" s="90"/>
      <c r="KBM129" s="90"/>
      <c r="KBN129" s="90"/>
      <c r="KBO129" s="90"/>
      <c r="KBP129" s="90"/>
      <c r="KBQ129" s="90"/>
      <c r="KBR129" s="90"/>
      <c r="KBS129" s="89"/>
      <c r="KBT129" s="90"/>
      <c r="KBU129" s="90"/>
      <c r="KBV129" s="90"/>
      <c r="KBW129" s="90"/>
      <c r="KBX129" s="90"/>
      <c r="KBY129" s="90"/>
      <c r="KBZ129" s="90"/>
      <c r="KCA129" s="90"/>
      <c r="KCB129" s="90"/>
      <c r="KCC129" s="90"/>
      <c r="KCD129" s="90"/>
      <c r="KCE129" s="90"/>
      <c r="KCF129" s="90"/>
      <c r="KCG129" s="90"/>
      <c r="KCH129" s="90"/>
      <c r="KCI129" s="90"/>
      <c r="KCJ129" s="90"/>
      <c r="KCK129" s="89"/>
      <c r="KCL129" s="90"/>
      <c r="KCM129" s="90"/>
      <c r="KCN129" s="90"/>
      <c r="KCO129" s="90"/>
      <c r="KCP129" s="90"/>
      <c r="KCQ129" s="90"/>
      <c r="KCR129" s="90"/>
      <c r="KCS129" s="90"/>
      <c r="KCT129" s="90"/>
      <c r="KCU129" s="90"/>
      <c r="KCV129" s="90"/>
      <c r="KCW129" s="90"/>
      <c r="KCX129" s="90"/>
      <c r="KCY129" s="90"/>
      <c r="KCZ129" s="90"/>
      <c r="KDA129" s="90"/>
      <c r="KDB129" s="90"/>
      <c r="KDC129" s="89"/>
      <c r="KDD129" s="90"/>
      <c r="KDE129" s="90"/>
      <c r="KDF129" s="90"/>
      <c r="KDG129" s="90"/>
      <c r="KDH129" s="90"/>
      <c r="KDI129" s="90"/>
      <c r="KDJ129" s="90"/>
      <c r="KDK129" s="90"/>
      <c r="KDL129" s="90"/>
      <c r="KDM129" s="90"/>
      <c r="KDN129" s="90"/>
      <c r="KDO129" s="90"/>
      <c r="KDP129" s="90"/>
      <c r="KDQ129" s="90"/>
      <c r="KDR129" s="90"/>
      <c r="KDS129" s="90"/>
      <c r="KDT129" s="90"/>
      <c r="KDU129" s="89"/>
      <c r="KDV129" s="90"/>
      <c r="KDW129" s="90"/>
      <c r="KDX129" s="90"/>
      <c r="KDY129" s="90"/>
      <c r="KDZ129" s="90"/>
      <c r="KEA129" s="90"/>
      <c r="KEB129" s="90"/>
      <c r="KEC129" s="90"/>
      <c r="KED129" s="90"/>
      <c r="KEE129" s="90"/>
      <c r="KEF129" s="90"/>
      <c r="KEG129" s="90"/>
      <c r="KEH129" s="90"/>
      <c r="KEI129" s="90"/>
      <c r="KEJ129" s="90"/>
      <c r="KEK129" s="90"/>
      <c r="KEL129" s="90"/>
      <c r="KEM129" s="89"/>
      <c r="KEN129" s="90"/>
      <c r="KEO129" s="90"/>
      <c r="KEP129" s="90"/>
      <c r="KEQ129" s="90"/>
      <c r="KER129" s="90"/>
      <c r="KES129" s="90"/>
      <c r="KET129" s="90"/>
      <c r="KEU129" s="90"/>
      <c r="KEV129" s="90"/>
      <c r="KEW129" s="90"/>
      <c r="KEX129" s="90"/>
      <c r="KEY129" s="90"/>
      <c r="KEZ129" s="90"/>
      <c r="KFA129" s="90"/>
      <c r="KFB129" s="90"/>
      <c r="KFC129" s="90"/>
      <c r="KFD129" s="90"/>
      <c r="KFE129" s="89"/>
      <c r="KFF129" s="90"/>
      <c r="KFG129" s="90"/>
      <c r="KFH129" s="90"/>
      <c r="KFI129" s="90"/>
      <c r="KFJ129" s="90"/>
      <c r="KFK129" s="90"/>
      <c r="KFL129" s="90"/>
      <c r="KFM129" s="90"/>
      <c r="KFN129" s="90"/>
      <c r="KFO129" s="90"/>
      <c r="KFP129" s="90"/>
      <c r="KFQ129" s="90"/>
      <c r="KFR129" s="90"/>
      <c r="KFS129" s="90"/>
      <c r="KFT129" s="90"/>
      <c r="KFU129" s="90"/>
      <c r="KFV129" s="90"/>
      <c r="KFW129" s="89"/>
      <c r="KFX129" s="90"/>
      <c r="KFY129" s="90"/>
      <c r="KFZ129" s="90"/>
      <c r="KGA129" s="90"/>
      <c r="KGB129" s="90"/>
      <c r="KGC129" s="90"/>
      <c r="KGD129" s="90"/>
      <c r="KGE129" s="90"/>
      <c r="KGF129" s="90"/>
      <c r="KGG129" s="90"/>
      <c r="KGH129" s="90"/>
      <c r="KGI129" s="90"/>
      <c r="KGJ129" s="90"/>
      <c r="KGK129" s="90"/>
      <c r="KGL129" s="90"/>
      <c r="KGM129" s="90"/>
      <c r="KGN129" s="90"/>
      <c r="KGO129" s="89"/>
      <c r="KGP129" s="90"/>
      <c r="KGQ129" s="90"/>
      <c r="KGR129" s="90"/>
      <c r="KGS129" s="90"/>
      <c r="KGT129" s="90"/>
      <c r="KGU129" s="90"/>
      <c r="KGV129" s="90"/>
      <c r="KGW129" s="90"/>
      <c r="KGX129" s="90"/>
      <c r="KGY129" s="90"/>
      <c r="KGZ129" s="90"/>
      <c r="KHA129" s="90"/>
      <c r="KHB129" s="90"/>
      <c r="KHC129" s="90"/>
      <c r="KHD129" s="90"/>
      <c r="KHE129" s="90"/>
      <c r="KHF129" s="90"/>
      <c r="KHG129" s="89"/>
      <c r="KHH129" s="90"/>
      <c r="KHI129" s="90"/>
      <c r="KHJ129" s="90"/>
      <c r="KHK129" s="90"/>
      <c r="KHL129" s="90"/>
      <c r="KHM129" s="90"/>
      <c r="KHN129" s="90"/>
      <c r="KHO129" s="90"/>
      <c r="KHP129" s="90"/>
      <c r="KHQ129" s="90"/>
      <c r="KHR129" s="90"/>
      <c r="KHS129" s="90"/>
      <c r="KHT129" s="90"/>
      <c r="KHU129" s="90"/>
      <c r="KHV129" s="90"/>
      <c r="KHW129" s="90"/>
      <c r="KHX129" s="90"/>
      <c r="KHY129" s="89"/>
      <c r="KHZ129" s="90"/>
      <c r="KIA129" s="90"/>
      <c r="KIB129" s="90"/>
      <c r="KIC129" s="90"/>
      <c r="KID129" s="90"/>
      <c r="KIE129" s="90"/>
      <c r="KIF129" s="90"/>
      <c r="KIG129" s="90"/>
      <c r="KIH129" s="90"/>
      <c r="KII129" s="90"/>
      <c r="KIJ129" s="90"/>
      <c r="KIK129" s="90"/>
      <c r="KIL129" s="90"/>
      <c r="KIM129" s="90"/>
      <c r="KIN129" s="90"/>
      <c r="KIO129" s="90"/>
      <c r="KIP129" s="90"/>
      <c r="KIQ129" s="89"/>
      <c r="KIR129" s="90"/>
      <c r="KIS129" s="90"/>
      <c r="KIT129" s="90"/>
      <c r="KIU129" s="90"/>
      <c r="KIV129" s="90"/>
      <c r="KIW129" s="90"/>
      <c r="KIX129" s="90"/>
      <c r="KIY129" s="90"/>
      <c r="KIZ129" s="90"/>
      <c r="KJA129" s="90"/>
      <c r="KJB129" s="90"/>
      <c r="KJC129" s="90"/>
      <c r="KJD129" s="90"/>
      <c r="KJE129" s="90"/>
      <c r="KJF129" s="90"/>
      <c r="KJG129" s="90"/>
      <c r="KJH129" s="90"/>
      <c r="KJI129" s="89"/>
      <c r="KJJ129" s="90"/>
      <c r="KJK129" s="90"/>
      <c r="KJL129" s="90"/>
      <c r="KJM129" s="90"/>
      <c r="KJN129" s="90"/>
      <c r="KJO129" s="90"/>
      <c r="KJP129" s="90"/>
      <c r="KJQ129" s="90"/>
      <c r="KJR129" s="90"/>
      <c r="KJS129" s="90"/>
      <c r="KJT129" s="90"/>
      <c r="KJU129" s="90"/>
      <c r="KJV129" s="90"/>
      <c r="KJW129" s="90"/>
      <c r="KJX129" s="90"/>
      <c r="KJY129" s="90"/>
      <c r="KJZ129" s="90"/>
      <c r="KKA129" s="89"/>
      <c r="KKB129" s="90"/>
      <c r="KKC129" s="90"/>
      <c r="KKD129" s="90"/>
      <c r="KKE129" s="90"/>
      <c r="KKF129" s="90"/>
      <c r="KKG129" s="90"/>
      <c r="KKH129" s="90"/>
      <c r="KKI129" s="90"/>
      <c r="KKJ129" s="90"/>
      <c r="KKK129" s="90"/>
      <c r="KKL129" s="90"/>
      <c r="KKM129" s="90"/>
      <c r="KKN129" s="90"/>
      <c r="KKO129" s="90"/>
      <c r="KKP129" s="90"/>
      <c r="KKQ129" s="90"/>
      <c r="KKR129" s="90"/>
      <c r="KKS129" s="89"/>
      <c r="KKT129" s="90"/>
      <c r="KKU129" s="90"/>
      <c r="KKV129" s="90"/>
      <c r="KKW129" s="90"/>
      <c r="KKX129" s="90"/>
      <c r="KKY129" s="90"/>
      <c r="KKZ129" s="90"/>
      <c r="KLA129" s="90"/>
      <c r="KLB129" s="90"/>
      <c r="KLC129" s="90"/>
      <c r="KLD129" s="90"/>
      <c r="KLE129" s="90"/>
      <c r="KLF129" s="90"/>
      <c r="KLG129" s="90"/>
      <c r="KLH129" s="90"/>
      <c r="KLI129" s="90"/>
      <c r="KLJ129" s="90"/>
      <c r="KLK129" s="89"/>
      <c r="KLL129" s="90"/>
      <c r="KLM129" s="90"/>
      <c r="KLN129" s="90"/>
      <c r="KLO129" s="90"/>
      <c r="KLP129" s="90"/>
      <c r="KLQ129" s="90"/>
      <c r="KLR129" s="90"/>
      <c r="KLS129" s="90"/>
      <c r="KLT129" s="90"/>
      <c r="KLU129" s="90"/>
      <c r="KLV129" s="90"/>
      <c r="KLW129" s="90"/>
      <c r="KLX129" s="90"/>
      <c r="KLY129" s="90"/>
      <c r="KLZ129" s="90"/>
      <c r="KMA129" s="90"/>
      <c r="KMB129" s="90"/>
      <c r="KMC129" s="89"/>
      <c r="KMD129" s="90"/>
      <c r="KME129" s="90"/>
      <c r="KMF129" s="90"/>
      <c r="KMG129" s="90"/>
      <c r="KMH129" s="90"/>
      <c r="KMI129" s="90"/>
      <c r="KMJ129" s="90"/>
      <c r="KMK129" s="90"/>
      <c r="KML129" s="90"/>
      <c r="KMM129" s="90"/>
      <c r="KMN129" s="90"/>
      <c r="KMO129" s="90"/>
      <c r="KMP129" s="90"/>
      <c r="KMQ129" s="90"/>
      <c r="KMR129" s="90"/>
      <c r="KMS129" s="90"/>
      <c r="KMT129" s="90"/>
      <c r="KMU129" s="89"/>
      <c r="KMV129" s="90"/>
      <c r="KMW129" s="90"/>
      <c r="KMX129" s="90"/>
      <c r="KMY129" s="90"/>
      <c r="KMZ129" s="90"/>
      <c r="KNA129" s="90"/>
      <c r="KNB129" s="90"/>
      <c r="KNC129" s="90"/>
      <c r="KND129" s="90"/>
      <c r="KNE129" s="90"/>
      <c r="KNF129" s="90"/>
      <c r="KNG129" s="90"/>
      <c r="KNH129" s="90"/>
      <c r="KNI129" s="90"/>
      <c r="KNJ129" s="90"/>
      <c r="KNK129" s="90"/>
      <c r="KNL129" s="90"/>
      <c r="KNM129" s="89"/>
      <c r="KNN129" s="90"/>
      <c r="KNO129" s="90"/>
      <c r="KNP129" s="90"/>
      <c r="KNQ129" s="90"/>
      <c r="KNR129" s="90"/>
      <c r="KNS129" s="90"/>
      <c r="KNT129" s="90"/>
      <c r="KNU129" s="90"/>
      <c r="KNV129" s="90"/>
      <c r="KNW129" s="90"/>
      <c r="KNX129" s="90"/>
      <c r="KNY129" s="90"/>
      <c r="KNZ129" s="90"/>
      <c r="KOA129" s="90"/>
      <c r="KOB129" s="90"/>
      <c r="KOC129" s="90"/>
      <c r="KOD129" s="90"/>
      <c r="KOE129" s="89"/>
      <c r="KOF129" s="90"/>
      <c r="KOG129" s="90"/>
      <c r="KOH129" s="90"/>
      <c r="KOI129" s="90"/>
      <c r="KOJ129" s="90"/>
      <c r="KOK129" s="90"/>
      <c r="KOL129" s="90"/>
      <c r="KOM129" s="90"/>
      <c r="KON129" s="90"/>
      <c r="KOO129" s="90"/>
      <c r="KOP129" s="90"/>
      <c r="KOQ129" s="90"/>
      <c r="KOR129" s="90"/>
      <c r="KOS129" s="90"/>
      <c r="KOT129" s="90"/>
      <c r="KOU129" s="90"/>
      <c r="KOV129" s="90"/>
      <c r="KOW129" s="89"/>
      <c r="KOX129" s="90"/>
      <c r="KOY129" s="90"/>
      <c r="KOZ129" s="90"/>
      <c r="KPA129" s="90"/>
      <c r="KPB129" s="90"/>
      <c r="KPC129" s="90"/>
      <c r="KPD129" s="90"/>
      <c r="KPE129" s="90"/>
      <c r="KPF129" s="90"/>
      <c r="KPG129" s="90"/>
      <c r="KPH129" s="90"/>
      <c r="KPI129" s="90"/>
      <c r="KPJ129" s="90"/>
      <c r="KPK129" s="90"/>
      <c r="KPL129" s="90"/>
      <c r="KPM129" s="90"/>
      <c r="KPN129" s="90"/>
      <c r="KPO129" s="89"/>
      <c r="KPP129" s="90"/>
      <c r="KPQ129" s="90"/>
      <c r="KPR129" s="90"/>
      <c r="KPS129" s="90"/>
      <c r="KPT129" s="90"/>
      <c r="KPU129" s="90"/>
      <c r="KPV129" s="90"/>
      <c r="KPW129" s="90"/>
      <c r="KPX129" s="90"/>
      <c r="KPY129" s="90"/>
      <c r="KPZ129" s="90"/>
      <c r="KQA129" s="90"/>
      <c r="KQB129" s="90"/>
      <c r="KQC129" s="90"/>
      <c r="KQD129" s="90"/>
      <c r="KQE129" s="90"/>
      <c r="KQF129" s="90"/>
      <c r="KQG129" s="89"/>
      <c r="KQH129" s="90"/>
      <c r="KQI129" s="90"/>
      <c r="KQJ129" s="90"/>
      <c r="KQK129" s="90"/>
      <c r="KQL129" s="90"/>
      <c r="KQM129" s="90"/>
      <c r="KQN129" s="90"/>
      <c r="KQO129" s="90"/>
      <c r="KQP129" s="90"/>
      <c r="KQQ129" s="90"/>
      <c r="KQR129" s="90"/>
      <c r="KQS129" s="90"/>
      <c r="KQT129" s="90"/>
      <c r="KQU129" s="90"/>
      <c r="KQV129" s="90"/>
      <c r="KQW129" s="90"/>
      <c r="KQX129" s="90"/>
      <c r="KQY129" s="89"/>
      <c r="KQZ129" s="90"/>
      <c r="KRA129" s="90"/>
      <c r="KRB129" s="90"/>
      <c r="KRC129" s="90"/>
      <c r="KRD129" s="90"/>
      <c r="KRE129" s="90"/>
      <c r="KRF129" s="90"/>
      <c r="KRG129" s="90"/>
      <c r="KRH129" s="90"/>
      <c r="KRI129" s="90"/>
      <c r="KRJ129" s="90"/>
      <c r="KRK129" s="90"/>
      <c r="KRL129" s="90"/>
      <c r="KRM129" s="90"/>
      <c r="KRN129" s="90"/>
      <c r="KRO129" s="90"/>
      <c r="KRP129" s="90"/>
      <c r="KRQ129" s="89"/>
      <c r="KRR129" s="90"/>
      <c r="KRS129" s="90"/>
      <c r="KRT129" s="90"/>
      <c r="KRU129" s="90"/>
      <c r="KRV129" s="90"/>
      <c r="KRW129" s="90"/>
      <c r="KRX129" s="90"/>
      <c r="KRY129" s="90"/>
      <c r="KRZ129" s="90"/>
      <c r="KSA129" s="90"/>
      <c r="KSB129" s="90"/>
      <c r="KSC129" s="90"/>
      <c r="KSD129" s="90"/>
      <c r="KSE129" s="90"/>
      <c r="KSF129" s="90"/>
      <c r="KSG129" s="90"/>
      <c r="KSH129" s="90"/>
      <c r="KSI129" s="89"/>
      <c r="KSJ129" s="90"/>
      <c r="KSK129" s="90"/>
      <c r="KSL129" s="90"/>
      <c r="KSM129" s="90"/>
      <c r="KSN129" s="90"/>
      <c r="KSO129" s="90"/>
      <c r="KSP129" s="90"/>
      <c r="KSQ129" s="90"/>
      <c r="KSR129" s="90"/>
      <c r="KSS129" s="90"/>
      <c r="KST129" s="90"/>
      <c r="KSU129" s="90"/>
      <c r="KSV129" s="90"/>
      <c r="KSW129" s="90"/>
      <c r="KSX129" s="90"/>
      <c r="KSY129" s="90"/>
      <c r="KSZ129" s="90"/>
      <c r="KTA129" s="89"/>
      <c r="KTB129" s="90"/>
      <c r="KTC129" s="90"/>
      <c r="KTD129" s="90"/>
      <c r="KTE129" s="90"/>
      <c r="KTF129" s="90"/>
      <c r="KTG129" s="90"/>
      <c r="KTH129" s="90"/>
      <c r="KTI129" s="90"/>
      <c r="KTJ129" s="90"/>
      <c r="KTK129" s="90"/>
      <c r="KTL129" s="90"/>
      <c r="KTM129" s="90"/>
      <c r="KTN129" s="90"/>
      <c r="KTO129" s="90"/>
      <c r="KTP129" s="90"/>
      <c r="KTQ129" s="90"/>
      <c r="KTR129" s="90"/>
      <c r="KTS129" s="89"/>
      <c r="KTT129" s="90"/>
      <c r="KTU129" s="90"/>
      <c r="KTV129" s="90"/>
      <c r="KTW129" s="90"/>
      <c r="KTX129" s="90"/>
      <c r="KTY129" s="90"/>
      <c r="KTZ129" s="90"/>
      <c r="KUA129" s="90"/>
      <c r="KUB129" s="90"/>
      <c r="KUC129" s="90"/>
      <c r="KUD129" s="90"/>
      <c r="KUE129" s="90"/>
      <c r="KUF129" s="90"/>
      <c r="KUG129" s="90"/>
      <c r="KUH129" s="90"/>
      <c r="KUI129" s="90"/>
      <c r="KUJ129" s="90"/>
      <c r="KUK129" s="89"/>
      <c r="KUL129" s="90"/>
      <c r="KUM129" s="90"/>
      <c r="KUN129" s="90"/>
      <c r="KUO129" s="90"/>
      <c r="KUP129" s="90"/>
      <c r="KUQ129" s="90"/>
      <c r="KUR129" s="90"/>
      <c r="KUS129" s="90"/>
      <c r="KUT129" s="90"/>
      <c r="KUU129" s="90"/>
      <c r="KUV129" s="90"/>
      <c r="KUW129" s="90"/>
      <c r="KUX129" s="90"/>
      <c r="KUY129" s="90"/>
      <c r="KUZ129" s="90"/>
      <c r="KVA129" s="90"/>
      <c r="KVB129" s="90"/>
      <c r="KVC129" s="89"/>
      <c r="KVD129" s="90"/>
      <c r="KVE129" s="90"/>
      <c r="KVF129" s="90"/>
      <c r="KVG129" s="90"/>
      <c r="KVH129" s="90"/>
      <c r="KVI129" s="90"/>
      <c r="KVJ129" s="90"/>
      <c r="KVK129" s="90"/>
      <c r="KVL129" s="90"/>
      <c r="KVM129" s="90"/>
      <c r="KVN129" s="90"/>
      <c r="KVO129" s="90"/>
      <c r="KVP129" s="90"/>
      <c r="KVQ129" s="90"/>
      <c r="KVR129" s="90"/>
      <c r="KVS129" s="90"/>
      <c r="KVT129" s="90"/>
      <c r="KVU129" s="89"/>
      <c r="KVV129" s="90"/>
      <c r="KVW129" s="90"/>
      <c r="KVX129" s="90"/>
      <c r="KVY129" s="90"/>
      <c r="KVZ129" s="90"/>
      <c r="KWA129" s="90"/>
      <c r="KWB129" s="90"/>
      <c r="KWC129" s="90"/>
      <c r="KWD129" s="90"/>
      <c r="KWE129" s="90"/>
      <c r="KWF129" s="90"/>
      <c r="KWG129" s="90"/>
      <c r="KWH129" s="90"/>
      <c r="KWI129" s="90"/>
      <c r="KWJ129" s="90"/>
      <c r="KWK129" s="90"/>
      <c r="KWL129" s="90"/>
      <c r="KWM129" s="89"/>
      <c r="KWN129" s="90"/>
      <c r="KWO129" s="90"/>
      <c r="KWP129" s="90"/>
      <c r="KWQ129" s="90"/>
      <c r="KWR129" s="90"/>
      <c r="KWS129" s="90"/>
      <c r="KWT129" s="90"/>
      <c r="KWU129" s="90"/>
      <c r="KWV129" s="90"/>
      <c r="KWW129" s="90"/>
      <c r="KWX129" s="90"/>
      <c r="KWY129" s="90"/>
      <c r="KWZ129" s="90"/>
      <c r="KXA129" s="90"/>
      <c r="KXB129" s="90"/>
      <c r="KXC129" s="90"/>
      <c r="KXD129" s="90"/>
      <c r="KXE129" s="89"/>
      <c r="KXF129" s="90"/>
      <c r="KXG129" s="90"/>
      <c r="KXH129" s="90"/>
      <c r="KXI129" s="90"/>
      <c r="KXJ129" s="90"/>
      <c r="KXK129" s="90"/>
      <c r="KXL129" s="90"/>
      <c r="KXM129" s="90"/>
      <c r="KXN129" s="90"/>
      <c r="KXO129" s="90"/>
      <c r="KXP129" s="90"/>
      <c r="KXQ129" s="90"/>
      <c r="KXR129" s="90"/>
      <c r="KXS129" s="90"/>
      <c r="KXT129" s="90"/>
      <c r="KXU129" s="90"/>
      <c r="KXV129" s="90"/>
      <c r="KXW129" s="89"/>
      <c r="KXX129" s="90"/>
      <c r="KXY129" s="90"/>
      <c r="KXZ129" s="90"/>
      <c r="KYA129" s="90"/>
      <c r="KYB129" s="90"/>
      <c r="KYC129" s="90"/>
      <c r="KYD129" s="90"/>
      <c r="KYE129" s="90"/>
      <c r="KYF129" s="90"/>
      <c r="KYG129" s="90"/>
      <c r="KYH129" s="90"/>
      <c r="KYI129" s="90"/>
      <c r="KYJ129" s="90"/>
      <c r="KYK129" s="90"/>
      <c r="KYL129" s="90"/>
      <c r="KYM129" s="90"/>
      <c r="KYN129" s="90"/>
      <c r="KYO129" s="89"/>
      <c r="KYP129" s="90"/>
      <c r="KYQ129" s="90"/>
      <c r="KYR129" s="90"/>
      <c r="KYS129" s="90"/>
      <c r="KYT129" s="90"/>
      <c r="KYU129" s="90"/>
      <c r="KYV129" s="90"/>
      <c r="KYW129" s="90"/>
      <c r="KYX129" s="90"/>
      <c r="KYY129" s="90"/>
      <c r="KYZ129" s="90"/>
      <c r="KZA129" s="90"/>
      <c r="KZB129" s="90"/>
      <c r="KZC129" s="90"/>
      <c r="KZD129" s="90"/>
      <c r="KZE129" s="90"/>
      <c r="KZF129" s="90"/>
      <c r="KZG129" s="89"/>
      <c r="KZH129" s="90"/>
      <c r="KZI129" s="90"/>
      <c r="KZJ129" s="90"/>
      <c r="KZK129" s="90"/>
      <c r="KZL129" s="90"/>
      <c r="KZM129" s="90"/>
      <c r="KZN129" s="90"/>
      <c r="KZO129" s="90"/>
      <c r="KZP129" s="90"/>
      <c r="KZQ129" s="90"/>
      <c r="KZR129" s="90"/>
      <c r="KZS129" s="90"/>
      <c r="KZT129" s="90"/>
      <c r="KZU129" s="90"/>
      <c r="KZV129" s="90"/>
      <c r="KZW129" s="90"/>
      <c r="KZX129" s="90"/>
      <c r="KZY129" s="89"/>
      <c r="KZZ129" s="90"/>
      <c r="LAA129" s="90"/>
      <c r="LAB129" s="90"/>
      <c r="LAC129" s="90"/>
      <c r="LAD129" s="90"/>
      <c r="LAE129" s="90"/>
      <c r="LAF129" s="90"/>
      <c r="LAG129" s="90"/>
      <c r="LAH129" s="90"/>
      <c r="LAI129" s="90"/>
      <c r="LAJ129" s="90"/>
      <c r="LAK129" s="90"/>
      <c r="LAL129" s="90"/>
      <c r="LAM129" s="90"/>
      <c r="LAN129" s="90"/>
      <c r="LAO129" s="90"/>
      <c r="LAP129" s="90"/>
      <c r="LAQ129" s="89"/>
      <c r="LAR129" s="90"/>
      <c r="LAS129" s="90"/>
      <c r="LAT129" s="90"/>
      <c r="LAU129" s="90"/>
      <c r="LAV129" s="90"/>
      <c r="LAW129" s="90"/>
      <c r="LAX129" s="90"/>
      <c r="LAY129" s="90"/>
      <c r="LAZ129" s="90"/>
      <c r="LBA129" s="90"/>
      <c r="LBB129" s="90"/>
      <c r="LBC129" s="90"/>
      <c r="LBD129" s="90"/>
      <c r="LBE129" s="90"/>
      <c r="LBF129" s="90"/>
      <c r="LBG129" s="90"/>
      <c r="LBH129" s="90"/>
      <c r="LBI129" s="89"/>
      <c r="LBJ129" s="90"/>
      <c r="LBK129" s="90"/>
      <c r="LBL129" s="90"/>
      <c r="LBM129" s="90"/>
      <c r="LBN129" s="90"/>
      <c r="LBO129" s="90"/>
      <c r="LBP129" s="90"/>
      <c r="LBQ129" s="90"/>
      <c r="LBR129" s="90"/>
      <c r="LBS129" s="90"/>
      <c r="LBT129" s="90"/>
      <c r="LBU129" s="90"/>
      <c r="LBV129" s="90"/>
      <c r="LBW129" s="90"/>
      <c r="LBX129" s="90"/>
      <c r="LBY129" s="90"/>
      <c r="LBZ129" s="90"/>
      <c r="LCA129" s="89"/>
      <c r="LCB129" s="90"/>
      <c r="LCC129" s="90"/>
      <c r="LCD129" s="90"/>
      <c r="LCE129" s="90"/>
      <c r="LCF129" s="90"/>
      <c r="LCG129" s="90"/>
      <c r="LCH129" s="90"/>
      <c r="LCI129" s="90"/>
      <c r="LCJ129" s="90"/>
      <c r="LCK129" s="90"/>
      <c r="LCL129" s="90"/>
      <c r="LCM129" s="90"/>
      <c r="LCN129" s="90"/>
      <c r="LCO129" s="90"/>
      <c r="LCP129" s="90"/>
      <c r="LCQ129" s="90"/>
      <c r="LCR129" s="90"/>
      <c r="LCS129" s="89"/>
      <c r="LCT129" s="90"/>
      <c r="LCU129" s="90"/>
      <c r="LCV129" s="90"/>
      <c r="LCW129" s="90"/>
      <c r="LCX129" s="90"/>
      <c r="LCY129" s="90"/>
      <c r="LCZ129" s="90"/>
      <c r="LDA129" s="90"/>
      <c r="LDB129" s="90"/>
      <c r="LDC129" s="90"/>
      <c r="LDD129" s="90"/>
      <c r="LDE129" s="90"/>
      <c r="LDF129" s="90"/>
      <c r="LDG129" s="90"/>
      <c r="LDH129" s="90"/>
      <c r="LDI129" s="90"/>
      <c r="LDJ129" s="90"/>
      <c r="LDK129" s="89"/>
      <c r="LDL129" s="90"/>
      <c r="LDM129" s="90"/>
      <c r="LDN129" s="90"/>
      <c r="LDO129" s="90"/>
      <c r="LDP129" s="90"/>
      <c r="LDQ129" s="90"/>
      <c r="LDR129" s="90"/>
      <c r="LDS129" s="90"/>
      <c r="LDT129" s="90"/>
      <c r="LDU129" s="90"/>
      <c r="LDV129" s="90"/>
      <c r="LDW129" s="90"/>
      <c r="LDX129" s="90"/>
      <c r="LDY129" s="90"/>
      <c r="LDZ129" s="90"/>
      <c r="LEA129" s="90"/>
      <c r="LEB129" s="90"/>
      <c r="LEC129" s="89"/>
      <c r="LED129" s="90"/>
      <c r="LEE129" s="90"/>
      <c r="LEF129" s="90"/>
      <c r="LEG129" s="90"/>
      <c r="LEH129" s="90"/>
      <c r="LEI129" s="90"/>
      <c r="LEJ129" s="90"/>
      <c r="LEK129" s="90"/>
      <c r="LEL129" s="90"/>
      <c r="LEM129" s="90"/>
      <c r="LEN129" s="90"/>
      <c r="LEO129" s="90"/>
      <c r="LEP129" s="90"/>
      <c r="LEQ129" s="90"/>
      <c r="LER129" s="90"/>
      <c r="LES129" s="90"/>
      <c r="LET129" s="90"/>
      <c r="LEU129" s="89"/>
      <c r="LEV129" s="90"/>
      <c r="LEW129" s="90"/>
      <c r="LEX129" s="90"/>
      <c r="LEY129" s="90"/>
      <c r="LEZ129" s="90"/>
      <c r="LFA129" s="90"/>
      <c r="LFB129" s="90"/>
      <c r="LFC129" s="90"/>
      <c r="LFD129" s="90"/>
      <c r="LFE129" s="90"/>
      <c r="LFF129" s="90"/>
      <c r="LFG129" s="90"/>
      <c r="LFH129" s="90"/>
      <c r="LFI129" s="90"/>
      <c r="LFJ129" s="90"/>
      <c r="LFK129" s="90"/>
      <c r="LFL129" s="90"/>
      <c r="LFM129" s="89"/>
      <c r="LFN129" s="90"/>
      <c r="LFO129" s="90"/>
      <c r="LFP129" s="90"/>
      <c r="LFQ129" s="90"/>
      <c r="LFR129" s="90"/>
      <c r="LFS129" s="90"/>
      <c r="LFT129" s="90"/>
      <c r="LFU129" s="90"/>
      <c r="LFV129" s="90"/>
      <c r="LFW129" s="90"/>
      <c r="LFX129" s="90"/>
      <c r="LFY129" s="90"/>
      <c r="LFZ129" s="90"/>
      <c r="LGA129" s="90"/>
      <c r="LGB129" s="90"/>
      <c r="LGC129" s="90"/>
      <c r="LGD129" s="90"/>
      <c r="LGE129" s="89"/>
      <c r="LGF129" s="90"/>
      <c r="LGG129" s="90"/>
      <c r="LGH129" s="90"/>
      <c r="LGI129" s="90"/>
      <c r="LGJ129" s="90"/>
      <c r="LGK129" s="90"/>
      <c r="LGL129" s="90"/>
      <c r="LGM129" s="90"/>
      <c r="LGN129" s="90"/>
      <c r="LGO129" s="90"/>
      <c r="LGP129" s="90"/>
      <c r="LGQ129" s="90"/>
      <c r="LGR129" s="90"/>
      <c r="LGS129" s="90"/>
      <c r="LGT129" s="90"/>
      <c r="LGU129" s="90"/>
      <c r="LGV129" s="90"/>
      <c r="LGW129" s="89"/>
      <c r="LGX129" s="90"/>
      <c r="LGY129" s="90"/>
      <c r="LGZ129" s="90"/>
      <c r="LHA129" s="90"/>
      <c r="LHB129" s="90"/>
      <c r="LHC129" s="90"/>
      <c r="LHD129" s="90"/>
      <c r="LHE129" s="90"/>
      <c r="LHF129" s="90"/>
      <c r="LHG129" s="90"/>
      <c r="LHH129" s="90"/>
      <c r="LHI129" s="90"/>
      <c r="LHJ129" s="90"/>
      <c r="LHK129" s="90"/>
      <c r="LHL129" s="90"/>
      <c r="LHM129" s="90"/>
      <c r="LHN129" s="90"/>
      <c r="LHO129" s="89"/>
      <c r="LHP129" s="90"/>
      <c r="LHQ129" s="90"/>
      <c r="LHR129" s="90"/>
      <c r="LHS129" s="90"/>
      <c r="LHT129" s="90"/>
      <c r="LHU129" s="90"/>
      <c r="LHV129" s="90"/>
      <c r="LHW129" s="90"/>
      <c r="LHX129" s="90"/>
      <c r="LHY129" s="90"/>
      <c r="LHZ129" s="90"/>
      <c r="LIA129" s="90"/>
      <c r="LIB129" s="90"/>
      <c r="LIC129" s="90"/>
      <c r="LID129" s="90"/>
      <c r="LIE129" s="90"/>
      <c r="LIF129" s="90"/>
      <c r="LIG129" s="89"/>
      <c r="LIH129" s="90"/>
      <c r="LII129" s="90"/>
      <c r="LIJ129" s="90"/>
      <c r="LIK129" s="90"/>
      <c r="LIL129" s="90"/>
      <c r="LIM129" s="90"/>
      <c r="LIN129" s="90"/>
      <c r="LIO129" s="90"/>
      <c r="LIP129" s="90"/>
      <c r="LIQ129" s="90"/>
      <c r="LIR129" s="90"/>
      <c r="LIS129" s="90"/>
      <c r="LIT129" s="90"/>
      <c r="LIU129" s="90"/>
      <c r="LIV129" s="90"/>
      <c r="LIW129" s="90"/>
      <c r="LIX129" s="90"/>
      <c r="LIY129" s="89"/>
      <c r="LIZ129" s="90"/>
      <c r="LJA129" s="90"/>
      <c r="LJB129" s="90"/>
      <c r="LJC129" s="90"/>
      <c r="LJD129" s="90"/>
      <c r="LJE129" s="90"/>
      <c r="LJF129" s="90"/>
      <c r="LJG129" s="90"/>
      <c r="LJH129" s="90"/>
      <c r="LJI129" s="90"/>
      <c r="LJJ129" s="90"/>
      <c r="LJK129" s="90"/>
      <c r="LJL129" s="90"/>
      <c r="LJM129" s="90"/>
      <c r="LJN129" s="90"/>
      <c r="LJO129" s="90"/>
      <c r="LJP129" s="90"/>
      <c r="LJQ129" s="89"/>
      <c r="LJR129" s="90"/>
      <c r="LJS129" s="90"/>
      <c r="LJT129" s="90"/>
      <c r="LJU129" s="90"/>
      <c r="LJV129" s="90"/>
      <c r="LJW129" s="90"/>
      <c r="LJX129" s="90"/>
      <c r="LJY129" s="90"/>
      <c r="LJZ129" s="90"/>
      <c r="LKA129" s="90"/>
      <c r="LKB129" s="90"/>
      <c r="LKC129" s="90"/>
      <c r="LKD129" s="90"/>
      <c r="LKE129" s="90"/>
      <c r="LKF129" s="90"/>
      <c r="LKG129" s="90"/>
      <c r="LKH129" s="90"/>
      <c r="LKI129" s="89"/>
      <c r="LKJ129" s="90"/>
      <c r="LKK129" s="90"/>
      <c r="LKL129" s="90"/>
      <c r="LKM129" s="90"/>
      <c r="LKN129" s="90"/>
      <c r="LKO129" s="90"/>
      <c r="LKP129" s="90"/>
      <c r="LKQ129" s="90"/>
      <c r="LKR129" s="90"/>
      <c r="LKS129" s="90"/>
      <c r="LKT129" s="90"/>
      <c r="LKU129" s="90"/>
      <c r="LKV129" s="90"/>
      <c r="LKW129" s="90"/>
      <c r="LKX129" s="90"/>
      <c r="LKY129" s="90"/>
      <c r="LKZ129" s="90"/>
      <c r="LLA129" s="89"/>
      <c r="LLB129" s="90"/>
      <c r="LLC129" s="90"/>
      <c r="LLD129" s="90"/>
      <c r="LLE129" s="90"/>
      <c r="LLF129" s="90"/>
      <c r="LLG129" s="90"/>
      <c r="LLH129" s="90"/>
      <c r="LLI129" s="90"/>
      <c r="LLJ129" s="90"/>
      <c r="LLK129" s="90"/>
      <c r="LLL129" s="90"/>
      <c r="LLM129" s="90"/>
      <c r="LLN129" s="90"/>
      <c r="LLO129" s="90"/>
      <c r="LLP129" s="90"/>
      <c r="LLQ129" s="90"/>
      <c r="LLR129" s="90"/>
      <c r="LLS129" s="89"/>
      <c r="LLT129" s="90"/>
      <c r="LLU129" s="90"/>
      <c r="LLV129" s="90"/>
      <c r="LLW129" s="90"/>
      <c r="LLX129" s="90"/>
      <c r="LLY129" s="90"/>
      <c r="LLZ129" s="90"/>
      <c r="LMA129" s="90"/>
      <c r="LMB129" s="90"/>
      <c r="LMC129" s="90"/>
      <c r="LMD129" s="90"/>
      <c r="LME129" s="90"/>
      <c r="LMF129" s="90"/>
      <c r="LMG129" s="90"/>
      <c r="LMH129" s="90"/>
      <c r="LMI129" s="90"/>
      <c r="LMJ129" s="90"/>
      <c r="LMK129" s="89"/>
      <c r="LML129" s="90"/>
      <c r="LMM129" s="90"/>
      <c r="LMN129" s="90"/>
      <c r="LMO129" s="90"/>
      <c r="LMP129" s="90"/>
      <c r="LMQ129" s="90"/>
      <c r="LMR129" s="90"/>
      <c r="LMS129" s="90"/>
      <c r="LMT129" s="90"/>
      <c r="LMU129" s="90"/>
      <c r="LMV129" s="90"/>
      <c r="LMW129" s="90"/>
      <c r="LMX129" s="90"/>
      <c r="LMY129" s="90"/>
      <c r="LMZ129" s="90"/>
      <c r="LNA129" s="90"/>
      <c r="LNB129" s="90"/>
      <c r="LNC129" s="89"/>
      <c r="LND129" s="90"/>
      <c r="LNE129" s="90"/>
      <c r="LNF129" s="90"/>
      <c r="LNG129" s="90"/>
      <c r="LNH129" s="90"/>
      <c r="LNI129" s="90"/>
      <c r="LNJ129" s="90"/>
      <c r="LNK129" s="90"/>
      <c r="LNL129" s="90"/>
      <c r="LNM129" s="90"/>
      <c r="LNN129" s="90"/>
      <c r="LNO129" s="90"/>
      <c r="LNP129" s="90"/>
      <c r="LNQ129" s="90"/>
      <c r="LNR129" s="90"/>
      <c r="LNS129" s="90"/>
      <c r="LNT129" s="90"/>
      <c r="LNU129" s="89"/>
      <c r="LNV129" s="90"/>
      <c r="LNW129" s="90"/>
      <c r="LNX129" s="90"/>
      <c r="LNY129" s="90"/>
      <c r="LNZ129" s="90"/>
      <c r="LOA129" s="90"/>
      <c r="LOB129" s="90"/>
      <c r="LOC129" s="90"/>
      <c r="LOD129" s="90"/>
      <c r="LOE129" s="90"/>
      <c r="LOF129" s="90"/>
      <c r="LOG129" s="90"/>
      <c r="LOH129" s="90"/>
      <c r="LOI129" s="90"/>
      <c r="LOJ129" s="90"/>
      <c r="LOK129" s="90"/>
      <c r="LOL129" s="90"/>
      <c r="LOM129" s="89"/>
      <c r="LON129" s="90"/>
      <c r="LOO129" s="90"/>
      <c r="LOP129" s="90"/>
      <c r="LOQ129" s="90"/>
      <c r="LOR129" s="90"/>
      <c r="LOS129" s="90"/>
      <c r="LOT129" s="90"/>
      <c r="LOU129" s="90"/>
      <c r="LOV129" s="90"/>
      <c r="LOW129" s="90"/>
      <c r="LOX129" s="90"/>
      <c r="LOY129" s="90"/>
      <c r="LOZ129" s="90"/>
      <c r="LPA129" s="90"/>
      <c r="LPB129" s="90"/>
      <c r="LPC129" s="90"/>
      <c r="LPD129" s="90"/>
      <c r="LPE129" s="89"/>
      <c r="LPF129" s="90"/>
      <c r="LPG129" s="90"/>
      <c r="LPH129" s="90"/>
      <c r="LPI129" s="90"/>
      <c r="LPJ129" s="90"/>
      <c r="LPK129" s="90"/>
      <c r="LPL129" s="90"/>
      <c r="LPM129" s="90"/>
      <c r="LPN129" s="90"/>
      <c r="LPO129" s="90"/>
      <c r="LPP129" s="90"/>
      <c r="LPQ129" s="90"/>
      <c r="LPR129" s="90"/>
      <c r="LPS129" s="90"/>
      <c r="LPT129" s="90"/>
      <c r="LPU129" s="90"/>
      <c r="LPV129" s="90"/>
      <c r="LPW129" s="89"/>
      <c r="LPX129" s="90"/>
      <c r="LPY129" s="90"/>
      <c r="LPZ129" s="90"/>
      <c r="LQA129" s="90"/>
      <c r="LQB129" s="90"/>
      <c r="LQC129" s="90"/>
      <c r="LQD129" s="90"/>
      <c r="LQE129" s="90"/>
      <c r="LQF129" s="90"/>
      <c r="LQG129" s="90"/>
      <c r="LQH129" s="90"/>
      <c r="LQI129" s="90"/>
      <c r="LQJ129" s="90"/>
      <c r="LQK129" s="90"/>
      <c r="LQL129" s="90"/>
      <c r="LQM129" s="90"/>
      <c r="LQN129" s="90"/>
      <c r="LQO129" s="89"/>
      <c r="LQP129" s="90"/>
      <c r="LQQ129" s="90"/>
      <c r="LQR129" s="90"/>
      <c r="LQS129" s="90"/>
      <c r="LQT129" s="90"/>
      <c r="LQU129" s="90"/>
      <c r="LQV129" s="90"/>
      <c r="LQW129" s="90"/>
      <c r="LQX129" s="90"/>
      <c r="LQY129" s="90"/>
      <c r="LQZ129" s="90"/>
      <c r="LRA129" s="90"/>
      <c r="LRB129" s="90"/>
      <c r="LRC129" s="90"/>
      <c r="LRD129" s="90"/>
      <c r="LRE129" s="90"/>
      <c r="LRF129" s="90"/>
      <c r="LRG129" s="89"/>
      <c r="LRH129" s="90"/>
      <c r="LRI129" s="90"/>
      <c r="LRJ129" s="90"/>
      <c r="LRK129" s="90"/>
      <c r="LRL129" s="90"/>
      <c r="LRM129" s="90"/>
      <c r="LRN129" s="90"/>
      <c r="LRO129" s="90"/>
      <c r="LRP129" s="90"/>
      <c r="LRQ129" s="90"/>
      <c r="LRR129" s="90"/>
      <c r="LRS129" s="90"/>
      <c r="LRT129" s="90"/>
      <c r="LRU129" s="90"/>
      <c r="LRV129" s="90"/>
      <c r="LRW129" s="90"/>
      <c r="LRX129" s="90"/>
      <c r="LRY129" s="89"/>
      <c r="LRZ129" s="90"/>
      <c r="LSA129" s="90"/>
      <c r="LSB129" s="90"/>
      <c r="LSC129" s="90"/>
      <c r="LSD129" s="90"/>
      <c r="LSE129" s="90"/>
      <c r="LSF129" s="90"/>
      <c r="LSG129" s="90"/>
      <c r="LSH129" s="90"/>
      <c r="LSI129" s="90"/>
      <c r="LSJ129" s="90"/>
      <c r="LSK129" s="90"/>
      <c r="LSL129" s="90"/>
      <c r="LSM129" s="90"/>
      <c r="LSN129" s="90"/>
      <c r="LSO129" s="90"/>
      <c r="LSP129" s="90"/>
      <c r="LSQ129" s="89"/>
      <c r="LSR129" s="90"/>
      <c r="LSS129" s="90"/>
      <c r="LST129" s="90"/>
      <c r="LSU129" s="90"/>
      <c r="LSV129" s="90"/>
      <c r="LSW129" s="90"/>
      <c r="LSX129" s="90"/>
      <c r="LSY129" s="90"/>
      <c r="LSZ129" s="90"/>
      <c r="LTA129" s="90"/>
      <c r="LTB129" s="90"/>
      <c r="LTC129" s="90"/>
      <c r="LTD129" s="90"/>
      <c r="LTE129" s="90"/>
      <c r="LTF129" s="90"/>
      <c r="LTG129" s="90"/>
      <c r="LTH129" s="90"/>
      <c r="LTI129" s="89"/>
      <c r="LTJ129" s="90"/>
      <c r="LTK129" s="90"/>
      <c r="LTL129" s="90"/>
      <c r="LTM129" s="90"/>
      <c r="LTN129" s="90"/>
      <c r="LTO129" s="90"/>
      <c r="LTP129" s="90"/>
      <c r="LTQ129" s="90"/>
      <c r="LTR129" s="90"/>
      <c r="LTS129" s="90"/>
      <c r="LTT129" s="90"/>
      <c r="LTU129" s="90"/>
      <c r="LTV129" s="90"/>
      <c r="LTW129" s="90"/>
      <c r="LTX129" s="90"/>
      <c r="LTY129" s="90"/>
      <c r="LTZ129" s="90"/>
      <c r="LUA129" s="89"/>
      <c r="LUB129" s="90"/>
      <c r="LUC129" s="90"/>
      <c r="LUD129" s="90"/>
      <c r="LUE129" s="90"/>
      <c r="LUF129" s="90"/>
      <c r="LUG129" s="90"/>
      <c r="LUH129" s="90"/>
      <c r="LUI129" s="90"/>
      <c r="LUJ129" s="90"/>
      <c r="LUK129" s="90"/>
      <c r="LUL129" s="90"/>
      <c r="LUM129" s="90"/>
      <c r="LUN129" s="90"/>
      <c r="LUO129" s="90"/>
      <c r="LUP129" s="90"/>
      <c r="LUQ129" s="90"/>
      <c r="LUR129" s="90"/>
      <c r="LUS129" s="89"/>
      <c r="LUT129" s="90"/>
      <c r="LUU129" s="90"/>
      <c r="LUV129" s="90"/>
      <c r="LUW129" s="90"/>
      <c r="LUX129" s="90"/>
      <c r="LUY129" s="90"/>
      <c r="LUZ129" s="90"/>
      <c r="LVA129" s="90"/>
      <c r="LVB129" s="90"/>
      <c r="LVC129" s="90"/>
      <c r="LVD129" s="90"/>
      <c r="LVE129" s="90"/>
      <c r="LVF129" s="90"/>
      <c r="LVG129" s="90"/>
      <c r="LVH129" s="90"/>
      <c r="LVI129" s="90"/>
      <c r="LVJ129" s="90"/>
      <c r="LVK129" s="89"/>
      <c r="LVL129" s="90"/>
      <c r="LVM129" s="90"/>
      <c r="LVN129" s="90"/>
      <c r="LVO129" s="90"/>
      <c r="LVP129" s="90"/>
      <c r="LVQ129" s="90"/>
      <c r="LVR129" s="90"/>
      <c r="LVS129" s="90"/>
      <c r="LVT129" s="90"/>
      <c r="LVU129" s="90"/>
      <c r="LVV129" s="90"/>
      <c r="LVW129" s="90"/>
      <c r="LVX129" s="90"/>
      <c r="LVY129" s="90"/>
      <c r="LVZ129" s="90"/>
      <c r="LWA129" s="90"/>
      <c r="LWB129" s="90"/>
      <c r="LWC129" s="89"/>
      <c r="LWD129" s="90"/>
      <c r="LWE129" s="90"/>
      <c r="LWF129" s="90"/>
      <c r="LWG129" s="90"/>
      <c r="LWH129" s="90"/>
      <c r="LWI129" s="90"/>
      <c r="LWJ129" s="90"/>
      <c r="LWK129" s="90"/>
      <c r="LWL129" s="90"/>
      <c r="LWM129" s="90"/>
      <c r="LWN129" s="90"/>
      <c r="LWO129" s="90"/>
      <c r="LWP129" s="90"/>
      <c r="LWQ129" s="90"/>
      <c r="LWR129" s="90"/>
      <c r="LWS129" s="90"/>
      <c r="LWT129" s="90"/>
      <c r="LWU129" s="89"/>
      <c r="LWV129" s="90"/>
      <c r="LWW129" s="90"/>
      <c r="LWX129" s="90"/>
      <c r="LWY129" s="90"/>
      <c r="LWZ129" s="90"/>
      <c r="LXA129" s="90"/>
      <c r="LXB129" s="90"/>
      <c r="LXC129" s="90"/>
      <c r="LXD129" s="90"/>
      <c r="LXE129" s="90"/>
      <c r="LXF129" s="90"/>
      <c r="LXG129" s="90"/>
      <c r="LXH129" s="90"/>
      <c r="LXI129" s="90"/>
      <c r="LXJ129" s="90"/>
      <c r="LXK129" s="90"/>
      <c r="LXL129" s="90"/>
      <c r="LXM129" s="89"/>
      <c r="LXN129" s="90"/>
      <c r="LXO129" s="90"/>
      <c r="LXP129" s="90"/>
      <c r="LXQ129" s="90"/>
      <c r="LXR129" s="90"/>
      <c r="LXS129" s="90"/>
      <c r="LXT129" s="90"/>
      <c r="LXU129" s="90"/>
      <c r="LXV129" s="90"/>
      <c r="LXW129" s="90"/>
      <c r="LXX129" s="90"/>
      <c r="LXY129" s="90"/>
      <c r="LXZ129" s="90"/>
      <c r="LYA129" s="90"/>
      <c r="LYB129" s="90"/>
      <c r="LYC129" s="90"/>
      <c r="LYD129" s="90"/>
      <c r="LYE129" s="89"/>
      <c r="LYF129" s="90"/>
      <c r="LYG129" s="90"/>
      <c r="LYH129" s="90"/>
      <c r="LYI129" s="90"/>
      <c r="LYJ129" s="90"/>
      <c r="LYK129" s="90"/>
      <c r="LYL129" s="90"/>
      <c r="LYM129" s="90"/>
      <c r="LYN129" s="90"/>
      <c r="LYO129" s="90"/>
      <c r="LYP129" s="90"/>
      <c r="LYQ129" s="90"/>
      <c r="LYR129" s="90"/>
      <c r="LYS129" s="90"/>
      <c r="LYT129" s="90"/>
      <c r="LYU129" s="90"/>
      <c r="LYV129" s="90"/>
      <c r="LYW129" s="89"/>
      <c r="LYX129" s="90"/>
      <c r="LYY129" s="90"/>
      <c r="LYZ129" s="90"/>
      <c r="LZA129" s="90"/>
      <c r="LZB129" s="90"/>
      <c r="LZC129" s="90"/>
      <c r="LZD129" s="90"/>
      <c r="LZE129" s="90"/>
      <c r="LZF129" s="90"/>
      <c r="LZG129" s="90"/>
      <c r="LZH129" s="90"/>
      <c r="LZI129" s="90"/>
      <c r="LZJ129" s="90"/>
      <c r="LZK129" s="90"/>
      <c r="LZL129" s="90"/>
      <c r="LZM129" s="90"/>
      <c r="LZN129" s="90"/>
      <c r="LZO129" s="89"/>
      <c r="LZP129" s="90"/>
      <c r="LZQ129" s="90"/>
      <c r="LZR129" s="90"/>
      <c r="LZS129" s="90"/>
      <c r="LZT129" s="90"/>
      <c r="LZU129" s="90"/>
      <c r="LZV129" s="90"/>
      <c r="LZW129" s="90"/>
      <c r="LZX129" s="90"/>
      <c r="LZY129" s="90"/>
      <c r="LZZ129" s="90"/>
      <c r="MAA129" s="90"/>
      <c r="MAB129" s="90"/>
      <c r="MAC129" s="90"/>
      <c r="MAD129" s="90"/>
      <c r="MAE129" s="90"/>
      <c r="MAF129" s="90"/>
      <c r="MAG129" s="89"/>
      <c r="MAH129" s="90"/>
      <c r="MAI129" s="90"/>
      <c r="MAJ129" s="90"/>
      <c r="MAK129" s="90"/>
      <c r="MAL129" s="90"/>
      <c r="MAM129" s="90"/>
      <c r="MAN129" s="90"/>
      <c r="MAO129" s="90"/>
      <c r="MAP129" s="90"/>
      <c r="MAQ129" s="90"/>
      <c r="MAR129" s="90"/>
      <c r="MAS129" s="90"/>
      <c r="MAT129" s="90"/>
      <c r="MAU129" s="90"/>
      <c r="MAV129" s="90"/>
      <c r="MAW129" s="90"/>
      <c r="MAX129" s="90"/>
      <c r="MAY129" s="89"/>
      <c r="MAZ129" s="90"/>
      <c r="MBA129" s="90"/>
      <c r="MBB129" s="90"/>
      <c r="MBC129" s="90"/>
      <c r="MBD129" s="90"/>
      <c r="MBE129" s="90"/>
      <c r="MBF129" s="90"/>
      <c r="MBG129" s="90"/>
      <c r="MBH129" s="90"/>
      <c r="MBI129" s="90"/>
      <c r="MBJ129" s="90"/>
      <c r="MBK129" s="90"/>
      <c r="MBL129" s="90"/>
      <c r="MBM129" s="90"/>
      <c r="MBN129" s="90"/>
      <c r="MBO129" s="90"/>
      <c r="MBP129" s="90"/>
      <c r="MBQ129" s="89"/>
      <c r="MBR129" s="90"/>
      <c r="MBS129" s="90"/>
      <c r="MBT129" s="90"/>
      <c r="MBU129" s="90"/>
      <c r="MBV129" s="90"/>
      <c r="MBW129" s="90"/>
      <c r="MBX129" s="90"/>
      <c r="MBY129" s="90"/>
      <c r="MBZ129" s="90"/>
      <c r="MCA129" s="90"/>
      <c r="MCB129" s="90"/>
      <c r="MCC129" s="90"/>
      <c r="MCD129" s="90"/>
      <c r="MCE129" s="90"/>
      <c r="MCF129" s="90"/>
      <c r="MCG129" s="90"/>
      <c r="MCH129" s="90"/>
      <c r="MCI129" s="89"/>
      <c r="MCJ129" s="90"/>
      <c r="MCK129" s="90"/>
      <c r="MCL129" s="90"/>
      <c r="MCM129" s="90"/>
      <c r="MCN129" s="90"/>
      <c r="MCO129" s="90"/>
      <c r="MCP129" s="90"/>
      <c r="MCQ129" s="90"/>
      <c r="MCR129" s="90"/>
      <c r="MCS129" s="90"/>
      <c r="MCT129" s="90"/>
      <c r="MCU129" s="90"/>
      <c r="MCV129" s="90"/>
      <c r="MCW129" s="90"/>
      <c r="MCX129" s="90"/>
      <c r="MCY129" s="90"/>
      <c r="MCZ129" s="90"/>
      <c r="MDA129" s="89"/>
      <c r="MDB129" s="90"/>
      <c r="MDC129" s="90"/>
      <c r="MDD129" s="90"/>
      <c r="MDE129" s="90"/>
      <c r="MDF129" s="90"/>
      <c r="MDG129" s="90"/>
      <c r="MDH129" s="90"/>
      <c r="MDI129" s="90"/>
      <c r="MDJ129" s="90"/>
      <c r="MDK129" s="90"/>
      <c r="MDL129" s="90"/>
      <c r="MDM129" s="90"/>
      <c r="MDN129" s="90"/>
      <c r="MDO129" s="90"/>
      <c r="MDP129" s="90"/>
      <c r="MDQ129" s="90"/>
      <c r="MDR129" s="90"/>
      <c r="MDS129" s="89"/>
      <c r="MDT129" s="90"/>
      <c r="MDU129" s="90"/>
      <c r="MDV129" s="90"/>
      <c r="MDW129" s="90"/>
      <c r="MDX129" s="90"/>
      <c r="MDY129" s="90"/>
      <c r="MDZ129" s="90"/>
      <c r="MEA129" s="90"/>
      <c r="MEB129" s="90"/>
      <c r="MEC129" s="90"/>
      <c r="MED129" s="90"/>
      <c r="MEE129" s="90"/>
      <c r="MEF129" s="90"/>
      <c r="MEG129" s="90"/>
      <c r="MEH129" s="90"/>
      <c r="MEI129" s="90"/>
      <c r="MEJ129" s="90"/>
      <c r="MEK129" s="89"/>
      <c r="MEL129" s="90"/>
      <c r="MEM129" s="90"/>
      <c r="MEN129" s="90"/>
      <c r="MEO129" s="90"/>
      <c r="MEP129" s="90"/>
      <c r="MEQ129" s="90"/>
      <c r="MER129" s="90"/>
      <c r="MES129" s="90"/>
      <c r="MET129" s="90"/>
      <c r="MEU129" s="90"/>
      <c r="MEV129" s="90"/>
      <c r="MEW129" s="90"/>
      <c r="MEX129" s="90"/>
      <c r="MEY129" s="90"/>
      <c r="MEZ129" s="90"/>
      <c r="MFA129" s="90"/>
      <c r="MFB129" s="90"/>
      <c r="MFC129" s="89"/>
      <c r="MFD129" s="90"/>
      <c r="MFE129" s="90"/>
      <c r="MFF129" s="90"/>
      <c r="MFG129" s="90"/>
      <c r="MFH129" s="90"/>
      <c r="MFI129" s="90"/>
      <c r="MFJ129" s="90"/>
      <c r="MFK129" s="90"/>
      <c r="MFL129" s="90"/>
      <c r="MFM129" s="90"/>
      <c r="MFN129" s="90"/>
      <c r="MFO129" s="90"/>
      <c r="MFP129" s="90"/>
      <c r="MFQ129" s="90"/>
      <c r="MFR129" s="90"/>
      <c r="MFS129" s="90"/>
      <c r="MFT129" s="90"/>
      <c r="MFU129" s="89"/>
      <c r="MFV129" s="90"/>
      <c r="MFW129" s="90"/>
      <c r="MFX129" s="90"/>
      <c r="MFY129" s="90"/>
      <c r="MFZ129" s="90"/>
      <c r="MGA129" s="90"/>
      <c r="MGB129" s="90"/>
      <c r="MGC129" s="90"/>
      <c r="MGD129" s="90"/>
      <c r="MGE129" s="90"/>
      <c r="MGF129" s="90"/>
      <c r="MGG129" s="90"/>
      <c r="MGH129" s="90"/>
      <c r="MGI129" s="90"/>
      <c r="MGJ129" s="90"/>
      <c r="MGK129" s="90"/>
      <c r="MGL129" s="90"/>
      <c r="MGM129" s="89"/>
      <c r="MGN129" s="90"/>
      <c r="MGO129" s="90"/>
      <c r="MGP129" s="90"/>
      <c r="MGQ129" s="90"/>
      <c r="MGR129" s="90"/>
      <c r="MGS129" s="90"/>
      <c r="MGT129" s="90"/>
      <c r="MGU129" s="90"/>
      <c r="MGV129" s="90"/>
      <c r="MGW129" s="90"/>
      <c r="MGX129" s="90"/>
      <c r="MGY129" s="90"/>
      <c r="MGZ129" s="90"/>
      <c r="MHA129" s="90"/>
      <c r="MHB129" s="90"/>
      <c r="MHC129" s="90"/>
      <c r="MHD129" s="90"/>
      <c r="MHE129" s="89"/>
      <c r="MHF129" s="90"/>
      <c r="MHG129" s="90"/>
      <c r="MHH129" s="90"/>
      <c r="MHI129" s="90"/>
      <c r="MHJ129" s="90"/>
      <c r="MHK129" s="90"/>
      <c r="MHL129" s="90"/>
      <c r="MHM129" s="90"/>
      <c r="MHN129" s="90"/>
      <c r="MHO129" s="90"/>
      <c r="MHP129" s="90"/>
      <c r="MHQ129" s="90"/>
      <c r="MHR129" s="90"/>
      <c r="MHS129" s="90"/>
      <c r="MHT129" s="90"/>
      <c r="MHU129" s="90"/>
      <c r="MHV129" s="90"/>
      <c r="MHW129" s="89"/>
      <c r="MHX129" s="90"/>
      <c r="MHY129" s="90"/>
      <c r="MHZ129" s="90"/>
      <c r="MIA129" s="90"/>
      <c r="MIB129" s="90"/>
      <c r="MIC129" s="90"/>
      <c r="MID129" s="90"/>
      <c r="MIE129" s="90"/>
      <c r="MIF129" s="90"/>
      <c r="MIG129" s="90"/>
      <c r="MIH129" s="90"/>
      <c r="MII129" s="90"/>
      <c r="MIJ129" s="90"/>
      <c r="MIK129" s="90"/>
      <c r="MIL129" s="90"/>
      <c r="MIM129" s="90"/>
      <c r="MIN129" s="90"/>
      <c r="MIO129" s="89"/>
      <c r="MIP129" s="90"/>
      <c r="MIQ129" s="90"/>
      <c r="MIR129" s="90"/>
      <c r="MIS129" s="90"/>
      <c r="MIT129" s="90"/>
      <c r="MIU129" s="90"/>
      <c r="MIV129" s="90"/>
      <c r="MIW129" s="90"/>
      <c r="MIX129" s="90"/>
      <c r="MIY129" s="90"/>
      <c r="MIZ129" s="90"/>
      <c r="MJA129" s="90"/>
      <c r="MJB129" s="90"/>
      <c r="MJC129" s="90"/>
      <c r="MJD129" s="90"/>
      <c r="MJE129" s="90"/>
      <c r="MJF129" s="90"/>
      <c r="MJG129" s="89"/>
      <c r="MJH129" s="90"/>
      <c r="MJI129" s="90"/>
      <c r="MJJ129" s="90"/>
      <c r="MJK129" s="90"/>
      <c r="MJL129" s="90"/>
      <c r="MJM129" s="90"/>
      <c r="MJN129" s="90"/>
      <c r="MJO129" s="90"/>
      <c r="MJP129" s="90"/>
      <c r="MJQ129" s="90"/>
      <c r="MJR129" s="90"/>
      <c r="MJS129" s="90"/>
      <c r="MJT129" s="90"/>
      <c r="MJU129" s="90"/>
      <c r="MJV129" s="90"/>
      <c r="MJW129" s="90"/>
      <c r="MJX129" s="90"/>
      <c r="MJY129" s="89"/>
      <c r="MJZ129" s="90"/>
      <c r="MKA129" s="90"/>
      <c r="MKB129" s="90"/>
      <c r="MKC129" s="90"/>
      <c r="MKD129" s="90"/>
      <c r="MKE129" s="90"/>
      <c r="MKF129" s="90"/>
      <c r="MKG129" s="90"/>
      <c r="MKH129" s="90"/>
      <c r="MKI129" s="90"/>
      <c r="MKJ129" s="90"/>
      <c r="MKK129" s="90"/>
      <c r="MKL129" s="90"/>
      <c r="MKM129" s="90"/>
      <c r="MKN129" s="90"/>
      <c r="MKO129" s="90"/>
      <c r="MKP129" s="90"/>
      <c r="MKQ129" s="89"/>
      <c r="MKR129" s="90"/>
      <c r="MKS129" s="90"/>
      <c r="MKT129" s="90"/>
      <c r="MKU129" s="90"/>
      <c r="MKV129" s="90"/>
      <c r="MKW129" s="90"/>
      <c r="MKX129" s="90"/>
      <c r="MKY129" s="90"/>
      <c r="MKZ129" s="90"/>
      <c r="MLA129" s="90"/>
      <c r="MLB129" s="90"/>
      <c r="MLC129" s="90"/>
      <c r="MLD129" s="90"/>
      <c r="MLE129" s="90"/>
      <c r="MLF129" s="90"/>
      <c r="MLG129" s="90"/>
      <c r="MLH129" s="90"/>
      <c r="MLI129" s="89"/>
      <c r="MLJ129" s="90"/>
      <c r="MLK129" s="90"/>
      <c r="MLL129" s="90"/>
      <c r="MLM129" s="90"/>
      <c r="MLN129" s="90"/>
      <c r="MLO129" s="90"/>
      <c r="MLP129" s="90"/>
      <c r="MLQ129" s="90"/>
      <c r="MLR129" s="90"/>
      <c r="MLS129" s="90"/>
      <c r="MLT129" s="90"/>
      <c r="MLU129" s="90"/>
      <c r="MLV129" s="90"/>
      <c r="MLW129" s="90"/>
      <c r="MLX129" s="90"/>
      <c r="MLY129" s="90"/>
      <c r="MLZ129" s="90"/>
      <c r="MMA129" s="89"/>
      <c r="MMB129" s="90"/>
      <c r="MMC129" s="90"/>
      <c r="MMD129" s="90"/>
      <c r="MME129" s="90"/>
      <c r="MMF129" s="90"/>
      <c r="MMG129" s="90"/>
      <c r="MMH129" s="90"/>
      <c r="MMI129" s="90"/>
      <c r="MMJ129" s="90"/>
      <c r="MMK129" s="90"/>
      <c r="MML129" s="90"/>
      <c r="MMM129" s="90"/>
      <c r="MMN129" s="90"/>
      <c r="MMO129" s="90"/>
      <c r="MMP129" s="90"/>
      <c r="MMQ129" s="90"/>
      <c r="MMR129" s="90"/>
      <c r="MMS129" s="89"/>
      <c r="MMT129" s="90"/>
      <c r="MMU129" s="90"/>
      <c r="MMV129" s="90"/>
      <c r="MMW129" s="90"/>
      <c r="MMX129" s="90"/>
      <c r="MMY129" s="90"/>
      <c r="MMZ129" s="90"/>
      <c r="MNA129" s="90"/>
      <c r="MNB129" s="90"/>
      <c r="MNC129" s="90"/>
      <c r="MND129" s="90"/>
      <c r="MNE129" s="90"/>
      <c r="MNF129" s="90"/>
      <c r="MNG129" s="90"/>
      <c r="MNH129" s="90"/>
      <c r="MNI129" s="90"/>
      <c r="MNJ129" s="90"/>
      <c r="MNK129" s="89"/>
      <c r="MNL129" s="90"/>
      <c r="MNM129" s="90"/>
      <c r="MNN129" s="90"/>
      <c r="MNO129" s="90"/>
      <c r="MNP129" s="90"/>
      <c r="MNQ129" s="90"/>
      <c r="MNR129" s="90"/>
      <c r="MNS129" s="90"/>
      <c r="MNT129" s="90"/>
      <c r="MNU129" s="90"/>
      <c r="MNV129" s="90"/>
      <c r="MNW129" s="90"/>
      <c r="MNX129" s="90"/>
      <c r="MNY129" s="90"/>
      <c r="MNZ129" s="90"/>
      <c r="MOA129" s="90"/>
      <c r="MOB129" s="90"/>
      <c r="MOC129" s="89"/>
      <c r="MOD129" s="90"/>
      <c r="MOE129" s="90"/>
      <c r="MOF129" s="90"/>
      <c r="MOG129" s="90"/>
      <c r="MOH129" s="90"/>
      <c r="MOI129" s="90"/>
      <c r="MOJ129" s="90"/>
      <c r="MOK129" s="90"/>
      <c r="MOL129" s="90"/>
      <c r="MOM129" s="90"/>
      <c r="MON129" s="90"/>
      <c r="MOO129" s="90"/>
      <c r="MOP129" s="90"/>
      <c r="MOQ129" s="90"/>
      <c r="MOR129" s="90"/>
      <c r="MOS129" s="90"/>
      <c r="MOT129" s="90"/>
      <c r="MOU129" s="89"/>
      <c r="MOV129" s="90"/>
      <c r="MOW129" s="90"/>
      <c r="MOX129" s="90"/>
      <c r="MOY129" s="90"/>
      <c r="MOZ129" s="90"/>
      <c r="MPA129" s="90"/>
      <c r="MPB129" s="90"/>
      <c r="MPC129" s="90"/>
      <c r="MPD129" s="90"/>
      <c r="MPE129" s="90"/>
      <c r="MPF129" s="90"/>
      <c r="MPG129" s="90"/>
      <c r="MPH129" s="90"/>
      <c r="MPI129" s="90"/>
      <c r="MPJ129" s="90"/>
      <c r="MPK129" s="90"/>
      <c r="MPL129" s="90"/>
      <c r="MPM129" s="89"/>
      <c r="MPN129" s="90"/>
      <c r="MPO129" s="90"/>
      <c r="MPP129" s="90"/>
      <c r="MPQ129" s="90"/>
      <c r="MPR129" s="90"/>
      <c r="MPS129" s="90"/>
      <c r="MPT129" s="90"/>
      <c r="MPU129" s="90"/>
      <c r="MPV129" s="90"/>
      <c r="MPW129" s="90"/>
      <c r="MPX129" s="90"/>
      <c r="MPY129" s="90"/>
      <c r="MPZ129" s="90"/>
      <c r="MQA129" s="90"/>
      <c r="MQB129" s="90"/>
      <c r="MQC129" s="90"/>
      <c r="MQD129" s="90"/>
      <c r="MQE129" s="89"/>
      <c r="MQF129" s="90"/>
      <c r="MQG129" s="90"/>
      <c r="MQH129" s="90"/>
      <c r="MQI129" s="90"/>
      <c r="MQJ129" s="90"/>
      <c r="MQK129" s="90"/>
      <c r="MQL129" s="90"/>
      <c r="MQM129" s="90"/>
      <c r="MQN129" s="90"/>
      <c r="MQO129" s="90"/>
      <c r="MQP129" s="90"/>
      <c r="MQQ129" s="90"/>
      <c r="MQR129" s="90"/>
      <c r="MQS129" s="90"/>
      <c r="MQT129" s="90"/>
      <c r="MQU129" s="90"/>
      <c r="MQV129" s="90"/>
      <c r="MQW129" s="89"/>
      <c r="MQX129" s="90"/>
      <c r="MQY129" s="90"/>
      <c r="MQZ129" s="90"/>
      <c r="MRA129" s="90"/>
      <c r="MRB129" s="90"/>
      <c r="MRC129" s="90"/>
      <c r="MRD129" s="90"/>
      <c r="MRE129" s="90"/>
      <c r="MRF129" s="90"/>
      <c r="MRG129" s="90"/>
      <c r="MRH129" s="90"/>
      <c r="MRI129" s="90"/>
      <c r="MRJ129" s="90"/>
      <c r="MRK129" s="90"/>
      <c r="MRL129" s="90"/>
      <c r="MRM129" s="90"/>
      <c r="MRN129" s="90"/>
      <c r="MRO129" s="89"/>
      <c r="MRP129" s="90"/>
      <c r="MRQ129" s="90"/>
      <c r="MRR129" s="90"/>
      <c r="MRS129" s="90"/>
      <c r="MRT129" s="90"/>
      <c r="MRU129" s="90"/>
      <c r="MRV129" s="90"/>
      <c r="MRW129" s="90"/>
      <c r="MRX129" s="90"/>
      <c r="MRY129" s="90"/>
      <c r="MRZ129" s="90"/>
      <c r="MSA129" s="90"/>
      <c r="MSB129" s="90"/>
      <c r="MSC129" s="90"/>
      <c r="MSD129" s="90"/>
      <c r="MSE129" s="90"/>
      <c r="MSF129" s="90"/>
      <c r="MSG129" s="89"/>
      <c r="MSH129" s="90"/>
      <c r="MSI129" s="90"/>
      <c r="MSJ129" s="90"/>
      <c r="MSK129" s="90"/>
      <c r="MSL129" s="90"/>
      <c r="MSM129" s="90"/>
      <c r="MSN129" s="90"/>
      <c r="MSO129" s="90"/>
      <c r="MSP129" s="90"/>
      <c r="MSQ129" s="90"/>
      <c r="MSR129" s="90"/>
      <c r="MSS129" s="90"/>
      <c r="MST129" s="90"/>
      <c r="MSU129" s="90"/>
      <c r="MSV129" s="90"/>
      <c r="MSW129" s="90"/>
      <c r="MSX129" s="90"/>
      <c r="MSY129" s="89"/>
      <c r="MSZ129" s="90"/>
      <c r="MTA129" s="90"/>
      <c r="MTB129" s="90"/>
      <c r="MTC129" s="90"/>
      <c r="MTD129" s="90"/>
      <c r="MTE129" s="90"/>
      <c r="MTF129" s="90"/>
      <c r="MTG129" s="90"/>
      <c r="MTH129" s="90"/>
      <c r="MTI129" s="90"/>
      <c r="MTJ129" s="90"/>
      <c r="MTK129" s="90"/>
      <c r="MTL129" s="90"/>
      <c r="MTM129" s="90"/>
      <c r="MTN129" s="90"/>
      <c r="MTO129" s="90"/>
      <c r="MTP129" s="90"/>
      <c r="MTQ129" s="89"/>
      <c r="MTR129" s="90"/>
      <c r="MTS129" s="90"/>
      <c r="MTT129" s="90"/>
      <c r="MTU129" s="90"/>
      <c r="MTV129" s="90"/>
      <c r="MTW129" s="90"/>
      <c r="MTX129" s="90"/>
      <c r="MTY129" s="90"/>
      <c r="MTZ129" s="90"/>
      <c r="MUA129" s="90"/>
      <c r="MUB129" s="90"/>
      <c r="MUC129" s="90"/>
      <c r="MUD129" s="90"/>
      <c r="MUE129" s="90"/>
      <c r="MUF129" s="90"/>
      <c r="MUG129" s="90"/>
      <c r="MUH129" s="90"/>
      <c r="MUI129" s="89"/>
      <c r="MUJ129" s="90"/>
      <c r="MUK129" s="90"/>
      <c r="MUL129" s="90"/>
      <c r="MUM129" s="90"/>
      <c r="MUN129" s="90"/>
      <c r="MUO129" s="90"/>
      <c r="MUP129" s="90"/>
      <c r="MUQ129" s="90"/>
      <c r="MUR129" s="90"/>
      <c r="MUS129" s="90"/>
      <c r="MUT129" s="90"/>
      <c r="MUU129" s="90"/>
      <c r="MUV129" s="90"/>
      <c r="MUW129" s="90"/>
      <c r="MUX129" s="90"/>
      <c r="MUY129" s="90"/>
      <c r="MUZ129" s="90"/>
      <c r="MVA129" s="89"/>
      <c r="MVB129" s="90"/>
      <c r="MVC129" s="90"/>
      <c r="MVD129" s="90"/>
      <c r="MVE129" s="90"/>
      <c r="MVF129" s="90"/>
      <c r="MVG129" s="90"/>
      <c r="MVH129" s="90"/>
      <c r="MVI129" s="90"/>
      <c r="MVJ129" s="90"/>
      <c r="MVK129" s="90"/>
      <c r="MVL129" s="90"/>
      <c r="MVM129" s="90"/>
      <c r="MVN129" s="90"/>
      <c r="MVO129" s="90"/>
      <c r="MVP129" s="90"/>
      <c r="MVQ129" s="90"/>
      <c r="MVR129" s="90"/>
      <c r="MVS129" s="89"/>
      <c r="MVT129" s="90"/>
      <c r="MVU129" s="90"/>
      <c r="MVV129" s="90"/>
      <c r="MVW129" s="90"/>
      <c r="MVX129" s="90"/>
      <c r="MVY129" s="90"/>
      <c r="MVZ129" s="90"/>
      <c r="MWA129" s="90"/>
      <c r="MWB129" s="90"/>
      <c r="MWC129" s="90"/>
      <c r="MWD129" s="90"/>
      <c r="MWE129" s="90"/>
      <c r="MWF129" s="90"/>
      <c r="MWG129" s="90"/>
      <c r="MWH129" s="90"/>
      <c r="MWI129" s="90"/>
      <c r="MWJ129" s="90"/>
      <c r="MWK129" s="89"/>
      <c r="MWL129" s="90"/>
      <c r="MWM129" s="90"/>
      <c r="MWN129" s="90"/>
      <c r="MWO129" s="90"/>
      <c r="MWP129" s="90"/>
      <c r="MWQ129" s="90"/>
      <c r="MWR129" s="90"/>
      <c r="MWS129" s="90"/>
      <c r="MWT129" s="90"/>
      <c r="MWU129" s="90"/>
      <c r="MWV129" s="90"/>
      <c r="MWW129" s="90"/>
      <c r="MWX129" s="90"/>
      <c r="MWY129" s="90"/>
      <c r="MWZ129" s="90"/>
      <c r="MXA129" s="90"/>
      <c r="MXB129" s="90"/>
      <c r="MXC129" s="89"/>
      <c r="MXD129" s="90"/>
      <c r="MXE129" s="90"/>
      <c r="MXF129" s="90"/>
      <c r="MXG129" s="90"/>
      <c r="MXH129" s="90"/>
      <c r="MXI129" s="90"/>
      <c r="MXJ129" s="90"/>
      <c r="MXK129" s="90"/>
      <c r="MXL129" s="90"/>
      <c r="MXM129" s="90"/>
      <c r="MXN129" s="90"/>
      <c r="MXO129" s="90"/>
      <c r="MXP129" s="90"/>
      <c r="MXQ129" s="90"/>
      <c r="MXR129" s="90"/>
      <c r="MXS129" s="90"/>
      <c r="MXT129" s="90"/>
      <c r="MXU129" s="89"/>
      <c r="MXV129" s="90"/>
      <c r="MXW129" s="90"/>
      <c r="MXX129" s="90"/>
      <c r="MXY129" s="90"/>
      <c r="MXZ129" s="90"/>
      <c r="MYA129" s="90"/>
      <c r="MYB129" s="90"/>
      <c r="MYC129" s="90"/>
      <c r="MYD129" s="90"/>
      <c r="MYE129" s="90"/>
      <c r="MYF129" s="90"/>
      <c r="MYG129" s="90"/>
      <c r="MYH129" s="90"/>
      <c r="MYI129" s="90"/>
      <c r="MYJ129" s="90"/>
      <c r="MYK129" s="90"/>
      <c r="MYL129" s="90"/>
      <c r="MYM129" s="89"/>
      <c r="MYN129" s="90"/>
      <c r="MYO129" s="90"/>
      <c r="MYP129" s="90"/>
      <c r="MYQ129" s="90"/>
      <c r="MYR129" s="90"/>
      <c r="MYS129" s="90"/>
      <c r="MYT129" s="90"/>
      <c r="MYU129" s="90"/>
      <c r="MYV129" s="90"/>
      <c r="MYW129" s="90"/>
      <c r="MYX129" s="90"/>
      <c r="MYY129" s="90"/>
      <c r="MYZ129" s="90"/>
      <c r="MZA129" s="90"/>
      <c r="MZB129" s="90"/>
      <c r="MZC129" s="90"/>
      <c r="MZD129" s="90"/>
      <c r="MZE129" s="89"/>
      <c r="MZF129" s="90"/>
      <c r="MZG129" s="90"/>
      <c r="MZH129" s="90"/>
      <c r="MZI129" s="90"/>
      <c r="MZJ129" s="90"/>
      <c r="MZK129" s="90"/>
      <c r="MZL129" s="90"/>
      <c r="MZM129" s="90"/>
      <c r="MZN129" s="90"/>
      <c r="MZO129" s="90"/>
      <c r="MZP129" s="90"/>
      <c r="MZQ129" s="90"/>
      <c r="MZR129" s="90"/>
      <c r="MZS129" s="90"/>
      <c r="MZT129" s="90"/>
      <c r="MZU129" s="90"/>
      <c r="MZV129" s="90"/>
      <c r="MZW129" s="89"/>
      <c r="MZX129" s="90"/>
      <c r="MZY129" s="90"/>
      <c r="MZZ129" s="90"/>
      <c r="NAA129" s="90"/>
      <c r="NAB129" s="90"/>
      <c r="NAC129" s="90"/>
      <c r="NAD129" s="90"/>
      <c r="NAE129" s="90"/>
      <c r="NAF129" s="90"/>
      <c r="NAG129" s="90"/>
      <c r="NAH129" s="90"/>
      <c r="NAI129" s="90"/>
      <c r="NAJ129" s="90"/>
      <c r="NAK129" s="90"/>
      <c r="NAL129" s="90"/>
      <c r="NAM129" s="90"/>
      <c r="NAN129" s="90"/>
      <c r="NAO129" s="89"/>
      <c r="NAP129" s="90"/>
      <c r="NAQ129" s="90"/>
      <c r="NAR129" s="90"/>
      <c r="NAS129" s="90"/>
      <c r="NAT129" s="90"/>
      <c r="NAU129" s="90"/>
      <c r="NAV129" s="90"/>
      <c r="NAW129" s="90"/>
      <c r="NAX129" s="90"/>
      <c r="NAY129" s="90"/>
      <c r="NAZ129" s="90"/>
      <c r="NBA129" s="90"/>
      <c r="NBB129" s="90"/>
      <c r="NBC129" s="90"/>
      <c r="NBD129" s="90"/>
      <c r="NBE129" s="90"/>
      <c r="NBF129" s="90"/>
      <c r="NBG129" s="89"/>
      <c r="NBH129" s="90"/>
      <c r="NBI129" s="90"/>
      <c r="NBJ129" s="90"/>
      <c r="NBK129" s="90"/>
      <c r="NBL129" s="90"/>
      <c r="NBM129" s="90"/>
      <c r="NBN129" s="90"/>
      <c r="NBO129" s="90"/>
      <c r="NBP129" s="90"/>
      <c r="NBQ129" s="90"/>
      <c r="NBR129" s="90"/>
      <c r="NBS129" s="90"/>
      <c r="NBT129" s="90"/>
      <c r="NBU129" s="90"/>
      <c r="NBV129" s="90"/>
      <c r="NBW129" s="90"/>
      <c r="NBX129" s="90"/>
      <c r="NBY129" s="89"/>
      <c r="NBZ129" s="90"/>
      <c r="NCA129" s="90"/>
      <c r="NCB129" s="90"/>
      <c r="NCC129" s="90"/>
      <c r="NCD129" s="90"/>
      <c r="NCE129" s="90"/>
      <c r="NCF129" s="90"/>
      <c r="NCG129" s="90"/>
      <c r="NCH129" s="90"/>
      <c r="NCI129" s="90"/>
      <c r="NCJ129" s="90"/>
      <c r="NCK129" s="90"/>
      <c r="NCL129" s="90"/>
      <c r="NCM129" s="90"/>
      <c r="NCN129" s="90"/>
      <c r="NCO129" s="90"/>
      <c r="NCP129" s="90"/>
      <c r="NCQ129" s="89"/>
      <c r="NCR129" s="90"/>
      <c r="NCS129" s="90"/>
      <c r="NCT129" s="90"/>
      <c r="NCU129" s="90"/>
      <c r="NCV129" s="90"/>
      <c r="NCW129" s="90"/>
      <c r="NCX129" s="90"/>
      <c r="NCY129" s="90"/>
      <c r="NCZ129" s="90"/>
      <c r="NDA129" s="90"/>
      <c r="NDB129" s="90"/>
      <c r="NDC129" s="90"/>
      <c r="NDD129" s="90"/>
      <c r="NDE129" s="90"/>
      <c r="NDF129" s="90"/>
      <c r="NDG129" s="90"/>
      <c r="NDH129" s="90"/>
      <c r="NDI129" s="89"/>
      <c r="NDJ129" s="90"/>
      <c r="NDK129" s="90"/>
      <c r="NDL129" s="90"/>
      <c r="NDM129" s="90"/>
      <c r="NDN129" s="90"/>
      <c r="NDO129" s="90"/>
      <c r="NDP129" s="90"/>
      <c r="NDQ129" s="90"/>
      <c r="NDR129" s="90"/>
      <c r="NDS129" s="90"/>
      <c r="NDT129" s="90"/>
      <c r="NDU129" s="90"/>
      <c r="NDV129" s="90"/>
      <c r="NDW129" s="90"/>
      <c r="NDX129" s="90"/>
      <c r="NDY129" s="90"/>
      <c r="NDZ129" s="90"/>
      <c r="NEA129" s="89"/>
      <c r="NEB129" s="90"/>
      <c r="NEC129" s="90"/>
      <c r="NED129" s="90"/>
      <c r="NEE129" s="90"/>
      <c r="NEF129" s="90"/>
      <c r="NEG129" s="90"/>
      <c r="NEH129" s="90"/>
      <c r="NEI129" s="90"/>
      <c r="NEJ129" s="90"/>
      <c r="NEK129" s="90"/>
      <c r="NEL129" s="90"/>
      <c r="NEM129" s="90"/>
      <c r="NEN129" s="90"/>
      <c r="NEO129" s="90"/>
      <c r="NEP129" s="90"/>
      <c r="NEQ129" s="90"/>
      <c r="NER129" s="90"/>
      <c r="NES129" s="89"/>
      <c r="NET129" s="90"/>
      <c r="NEU129" s="90"/>
      <c r="NEV129" s="90"/>
      <c r="NEW129" s="90"/>
      <c r="NEX129" s="90"/>
      <c r="NEY129" s="90"/>
      <c r="NEZ129" s="90"/>
      <c r="NFA129" s="90"/>
      <c r="NFB129" s="90"/>
      <c r="NFC129" s="90"/>
      <c r="NFD129" s="90"/>
      <c r="NFE129" s="90"/>
      <c r="NFF129" s="90"/>
      <c r="NFG129" s="90"/>
      <c r="NFH129" s="90"/>
      <c r="NFI129" s="90"/>
      <c r="NFJ129" s="90"/>
      <c r="NFK129" s="89"/>
      <c r="NFL129" s="90"/>
      <c r="NFM129" s="90"/>
      <c r="NFN129" s="90"/>
      <c r="NFO129" s="90"/>
      <c r="NFP129" s="90"/>
      <c r="NFQ129" s="90"/>
      <c r="NFR129" s="90"/>
      <c r="NFS129" s="90"/>
      <c r="NFT129" s="90"/>
      <c r="NFU129" s="90"/>
      <c r="NFV129" s="90"/>
      <c r="NFW129" s="90"/>
      <c r="NFX129" s="90"/>
      <c r="NFY129" s="90"/>
      <c r="NFZ129" s="90"/>
      <c r="NGA129" s="90"/>
      <c r="NGB129" s="90"/>
      <c r="NGC129" s="89"/>
      <c r="NGD129" s="90"/>
      <c r="NGE129" s="90"/>
      <c r="NGF129" s="90"/>
      <c r="NGG129" s="90"/>
      <c r="NGH129" s="90"/>
      <c r="NGI129" s="90"/>
      <c r="NGJ129" s="90"/>
      <c r="NGK129" s="90"/>
      <c r="NGL129" s="90"/>
      <c r="NGM129" s="90"/>
      <c r="NGN129" s="90"/>
      <c r="NGO129" s="90"/>
      <c r="NGP129" s="90"/>
      <c r="NGQ129" s="90"/>
      <c r="NGR129" s="90"/>
      <c r="NGS129" s="90"/>
      <c r="NGT129" s="90"/>
      <c r="NGU129" s="89"/>
      <c r="NGV129" s="90"/>
      <c r="NGW129" s="90"/>
      <c r="NGX129" s="90"/>
      <c r="NGY129" s="90"/>
      <c r="NGZ129" s="90"/>
      <c r="NHA129" s="90"/>
      <c r="NHB129" s="90"/>
      <c r="NHC129" s="90"/>
      <c r="NHD129" s="90"/>
      <c r="NHE129" s="90"/>
      <c r="NHF129" s="90"/>
      <c r="NHG129" s="90"/>
      <c r="NHH129" s="90"/>
      <c r="NHI129" s="90"/>
      <c r="NHJ129" s="90"/>
      <c r="NHK129" s="90"/>
      <c r="NHL129" s="90"/>
      <c r="NHM129" s="89"/>
      <c r="NHN129" s="90"/>
      <c r="NHO129" s="90"/>
      <c r="NHP129" s="90"/>
      <c r="NHQ129" s="90"/>
      <c r="NHR129" s="90"/>
      <c r="NHS129" s="90"/>
      <c r="NHT129" s="90"/>
      <c r="NHU129" s="90"/>
      <c r="NHV129" s="90"/>
      <c r="NHW129" s="90"/>
      <c r="NHX129" s="90"/>
      <c r="NHY129" s="90"/>
      <c r="NHZ129" s="90"/>
      <c r="NIA129" s="90"/>
      <c r="NIB129" s="90"/>
      <c r="NIC129" s="90"/>
      <c r="NID129" s="90"/>
      <c r="NIE129" s="89"/>
      <c r="NIF129" s="90"/>
      <c r="NIG129" s="90"/>
      <c r="NIH129" s="90"/>
      <c r="NII129" s="90"/>
      <c r="NIJ129" s="90"/>
      <c r="NIK129" s="90"/>
      <c r="NIL129" s="90"/>
      <c r="NIM129" s="90"/>
      <c r="NIN129" s="90"/>
      <c r="NIO129" s="90"/>
      <c r="NIP129" s="90"/>
      <c r="NIQ129" s="90"/>
      <c r="NIR129" s="90"/>
      <c r="NIS129" s="90"/>
      <c r="NIT129" s="90"/>
      <c r="NIU129" s="90"/>
      <c r="NIV129" s="90"/>
      <c r="NIW129" s="89"/>
      <c r="NIX129" s="90"/>
      <c r="NIY129" s="90"/>
      <c r="NIZ129" s="90"/>
      <c r="NJA129" s="90"/>
      <c r="NJB129" s="90"/>
      <c r="NJC129" s="90"/>
      <c r="NJD129" s="90"/>
      <c r="NJE129" s="90"/>
      <c r="NJF129" s="90"/>
      <c r="NJG129" s="90"/>
      <c r="NJH129" s="90"/>
      <c r="NJI129" s="90"/>
      <c r="NJJ129" s="90"/>
      <c r="NJK129" s="90"/>
      <c r="NJL129" s="90"/>
      <c r="NJM129" s="90"/>
      <c r="NJN129" s="90"/>
      <c r="NJO129" s="89"/>
      <c r="NJP129" s="90"/>
      <c r="NJQ129" s="90"/>
      <c r="NJR129" s="90"/>
      <c r="NJS129" s="90"/>
      <c r="NJT129" s="90"/>
      <c r="NJU129" s="90"/>
      <c r="NJV129" s="90"/>
      <c r="NJW129" s="90"/>
      <c r="NJX129" s="90"/>
      <c r="NJY129" s="90"/>
      <c r="NJZ129" s="90"/>
      <c r="NKA129" s="90"/>
      <c r="NKB129" s="90"/>
      <c r="NKC129" s="90"/>
      <c r="NKD129" s="90"/>
      <c r="NKE129" s="90"/>
      <c r="NKF129" s="90"/>
      <c r="NKG129" s="89"/>
      <c r="NKH129" s="90"/>
      <c r="NKI129" s="90"/>
      <c r="NKJ129" s="90"/>
      <c r="NKK129" s="90"/>
      <c r="NKL129" s="90"/>
      <c r="NKM129" s="90"/>
      <c r="NKN129" s="90"/>
      <c r="NKO129" s="90"/>
      <c r="NKP129" s="90"/>
      <c r="NKQ129" s="90"/>
      <c r="NKR129" s="90"/>
      <c r="NKS129" s="90"/>
      <c r="NKT129" s="90"/>
      <c r="NKU129" s="90"/>
      <c r="NKV129" s="90"/>
      <c r="NKW129" s="90"/>
      <c r="NKX129" s="90"/>
      <c r="NKY129" s="89"/>
      <c r="NKZ129" s="90"/>
      <c r="NLA129" s="90"/>
      <c r="NLB129" s="90"/>
      <c r="NLC129" s="90"/>
      <c r="NLD129" s="90"/>
      <c r="NLE129" s="90"/>
      <c r="NLF129" s="90"/>
      <c r="NLG129" s="90"/>
      <c r="NLH129" s="90"/>
      <c r="NLI129" s="90"/>
      <c r="NLJ129" s="90"/>
      <c r="NLK129" s="90"/>
      <c r="NLL129" s="90"/>
      <c r="NLM129" s="90"/>
      <c r="NLN129" s="90"/>
      <c r="NLO129" s="90"/>
      <c r="NLP129" s="90"/>
      <c r="NLQ129" s="89"/>
      <c r="NLR129" s="90"/>
      <c r="NLS129" s="90"/>
      <c r="NLT129" s="90"/>
      <c r="NLU129" s="90"/>
      <c r="NLV129" s="90"/>
      <c r="NLW129" s="90"/>
      <c r="NLX129" s="90"/>
      <c r="NLY129" s="90"/>
      <c r="NLZ129" s="90"/>
      <c r="NMA129" s="90"/>
      <c r="NMB129" s="90"/>
      <c r="NMC129" s="90"/>
      <c r="NMD129" s="90"/>
      <c r="NME129" s="90"/>
      <c r="NMF129" s="90"/>
      <c r="NMG129" s="90"/>
      <c r="NMH129" s="90"/>
      <c r="NMI129" s="89"/>
      <c r="NMJ129" s="90"/>
      <c r="NMK129" s="90"/>
      <c r="NML129" s="90"/>
      <c r="NMM129" s="90"/>
      <c r="NMN129" s="90"/>
      <c r="NMO129" s="90"/>
      <c r="NMP129" s="90"/>
      <c r="NMQ129" s="90"/>
      <c r="NMR129" s="90"/>
      <c r="NMS129" s="90"/>
      <c r="NMT129" s="90"/>
      <c r="NMU129" s="90"/>
      <c r="NMV129" s="90"/>
      <c r="NMW129" s="90"/>
      <c r="NMX129" s="90"/>
      <c r="NMY129" s="90"/>
      <c r="NMZ129" s="90"/>
      <c r="NNA129" s="89"/>
      <c r="NNB129" s="90"/>
      <c r="NNC129" s="90"/>
      <c r="NND129" s="90"/>
      <c r="NNE129" s="90"/>
      <c r="NNF129" s="90"/>
      <c r="NNG129" s="90"/>
      <c r="NNH129" s="90"/>
      <c r="NNI129" s="90"/>
      <c r="NNJ129" s="90"/>
      <c r="NNK129" s="90"/>
      <c r="NNL129" s="90"/>
      <c r="NNM129" s="90"/>
      <c r="NNN129" s="90"/>
      <c r="NNO129" s="90"/>
      <c r="NNP129" s="90"/>
      <c r="NNQ129" s="90"/>
      <c r="NNR129" s="90"/>
      <c r="NNS129" s="89"/>
      <c r="NNT129" s="90"/>
      <c r="NNU129" s="90"/>
      <c r="NNV129" s="90"/>
      <c r="NNW129" s="90"/>
      <c r="NNX129" s="90"/>
      <c r="NNY129" s="90"/>
      <c r="NNZ129" s="90"/>
      <c r="NOA129" s="90"/>
      <c r="NOB129" s="90"/>
      <c r="NOC129" s="90"/>
      <c r="NOD129" s="90"/>
      <c r="NOE129" s="90"/>
      <c r="NOF129" s="90"/>
      <c r="NOG129" s="90"/>
      <c r="NOH129" s="90"/>
      <c r="NOI129" s="90"/>
      <c r="NOJ129" s="90"/>
      <c r="NOK129" s="89"/>
      <c r="NOL129" s="90"/>
      <c r="NOM129" s="90"/>
      <c r="NON129" s="90"/>
      <c r="NOO129" s="90"/>
      <c r="NOP129" s="90"/>
      <c r="NOQ129" s="90"/>
      <c r="NOR129" s="90"/>
      <c r="NOS129" s="90"/>
      <c r="NOT129" s="90"/>
      <c r="NOU129" s="90"/>
      <c r="NOV129" s="90"/>
      <c r="NOW129" s="90"/>
      <c r="NOX129" s="90"/>
      <c r="NOY129" s="90"/>
      <c r="NOZ129" s="90"/>
      <c r="NPA129" s="90"/>
      <c r="NPB129" s="90"/>
      <c r="NPC129" s="89"/>
      <c r="NPD129" s="90"/>
      <c r="NPE129" s="90"/>
      <c r="NPF129" s="90"/>
      <c r="NPG129" s="90"/>
      <c r="NPH129" s="90"/>
      <c r="NPI129" s="90"/>
      <c r="NPJ129" s="90"/>
      <c r="NPK129" s="90"/>
      <c r="NPL129" s="90"/>
      <c r="NPM129" s="90"/>
      <c r="NPN129" s="90"/>
      <c r="NPO129" s="90"/>
      <c r="NPP129" s="90"/>
      <c r="NPQ129" s="90"/>
      <c r="NPR129" s="90"/>
      <c r="NPS129" s="90"/>
      <c r="NPT129" s="90"/>
      <c r="NPU129" s="89"/>
      <c r="NPV129" s="90"/>
      <c r="NPW129" s="90"/>
      <c r="NPX129" s="90"/>
      <c r="NPY129" s="90"/>
      <c r="NPZ129" s="90"/>
      <c r="NQA129" s="90"/>
      <c r="NQB129" s="90"/>
      <c r="NQC129" s="90"/>
      <c r="NQD129" s="90"/>
      <c r="NQE129" s="90"/>
      <c r="NQF129" s="90"/>
      <c r="NQG129" s="90"/>
      <c r="NQH129" s="90"/>
      <c r="NQI129" s="90"/>
      <c r="NQJ129" s="90"/>
      <c r="NQK129" s="90"/>
      <c r="NQL129" s="90"/>
      <c r="NQM129" s="89"/>
      <c r="NQN129" s="90"/>
      <c r="NQO129" s="90"/>
      <c r="NQP129" s="90"/>
      <c r="NQQ129" s="90"/>
      <c r="NQR129" s="90"/>
      <c r="NQS129" s="90"/>
      <c r="NQT129" s="90"/>
      <c r="NQU129" s="90"/>
      <c r="NQV129" s="90"/>
      <c r="NQW129" s="90"/>
      <c r="NQX129" s="90"/>
      <c r="NQY129" s="90"/>
      <c r="NQZ129" s="90"/>
      <c r="NRA129" s="90"/>
      <c r="NRB129" s="90"/>
      <c r="NRC129" s="90"/>
      <c r="NRD129" s="90"/>
      <c r="NRE129" s="89"/>
      <c r="NRF129" s="90"/>
      <c r="NRG129" s="90"/>
      <c r="NRH129" s="90"/>
      <c r="NRI129" s="90"/>
      <c r="NRJ129" s="90"/>
      <c r="NRK129" s="90"/>
      <c r="NRL129" s="90"/>
      <c r="NRM129" s="90"/>
      <c r="NRN129" s="90"/>
      <c r="NRO129" s="90"/>
      <c r="NRP129" s="90"/>
      <c r="NRQ129" s="90"/>
      <c r="NRR129" s="90"/>
      <c r="NRS129" s="90"/>
      <c r="NRT129" s="90"/>
      <c r="NRU129" s="90"/>
      <c r="NRV129" s="90"/>
      <c r="NRW129" s="89"/>
      <c r="NRX129" s="90"/>
      <c r="NRY129" s="90"/>
      <c r="NRZ129" s="90"/>
      <c r="NSA129" s="90"/>
      <c r="NSB129" s="90"/>
      <c r="NSC129" s="90"/>
      <c r="NSD129" s="90"/>
      <c r="NSE129" s="90"/>
      <c r="NSF129" s="90"/>
      <c r="NSG129" s="90"/>
      <c r="NSH129" s="90"/>
      <c r="NSI129" s="90"/>
      <c r="NSJ129" s="90"/>
      <c r="NSK129" s="90"/>
      <c r="NSL129" s="90"/>
      <c r="NSM129" s="90"/>
      <c r="NSN129" s="90"/>
      <c r="NSO129" s="89"/>
      <c r="NSP129" s="90"/>
      <c r="NSQ129" s="90"/>
      <c r="NSR129" s="90"/>
      <c r="NSS129" s="90"/>
      <c r="NST129" s="90"/>
      <c r="NSU129" s="90"/>
      <c r="NSV129" s="90"/>
      <c r="NSW129" s="90"/>
      <c r="NSX129" s="90"/>
      <c r="NSY129" s="90"/>
      <c r="NSZ129" s="90"/>
      <c r="NTA129" s="90"/>
      <c r="NTB129" s="90"/>
      <c r="NTC129" s="90"/>
      <c r="NTD129" s="90"/>
      <c r="NTE129" s="90"/>
      <c r="NTF129" s="90"/>
      <c r="NTG129" s="89"/>
      <c r="NTH129" s="90"/>
      <c r="NTI129" s="90"/>
      <c r="NTJ129" s="90"/>
      <c r="NTK129" s="90"/>
      <c r="NTL129" s="90"/>
      <c r="NTM129" s="90"/>
      <c r="NTN129" s="90"/>
      <c r="NTO129" s="90"/>
      <c r="NTP129" s="90"/>
      <c r="NTQ129" s="90"/>
      <c r="NTR129" s="90"/>
      <c r="NTS129" s="90"/>
      <c r="NTT129" s="90"/>
      <c r="NTU129" s="90"/>
      <c r="NTV129" s="90"/>
      <c r="NTW129" s="90"/>
      <c r="NTX129" s="90"/>
      <c r="NTY129" s="89"/>
      <c r="NTZ129" s="90"/>
      <c r="NUA129" s="90"/>
      <c r="NUB129" s="90"/>
      <c r="NUC129" s="90"/>
      <c r="NUD129" s="90"/>
      <c r="NUE129" s="90"/>
      <c r="NUF129" s="90"/>
      <c r="NUG129" s="90"/>
      <c r="NUH129" s="90"/>
      <c r="NUI129" s="90"/>
      <c r="NUJ129" s="90"/>
      <c r="NUK129" s="90"/>
      <c r="NUL129" s="90"/>
      <c r="NUM129" s="90"/>
      <c r="NUN129" s="90"/>
      <c r="NUO129" s="90"/>
      <c r="NUP129" s="90"/>
      <c r="NUQ129" s="89"/>
      <c r="NUR129" s="90"/>
      <c r="NUS129" s="90"/>
      <c r="NUT129" s="90"/>
      <c r="NUU129" s="90"/>
      <c r="NUV129" s="90"/>
      <c r="NUW129" s="90"/>
      <c r="NUX129" s="90"/>
      <c r="NUY129" s="90"/>
      <c r="NUZ129" s="90"/>
      <c r="NVA129" s="90"/>
      <c r="NVB129" s="90"/>
      <c r="NVC129" s="90"/>
      <c r="NVD129" s="90"/>
      <c r="NVE129" s="90"/>
      <c r="NVF129" s="90"/>
      <c r="NVG129" s="90"/>
      <c r="NVH129" s="90"/>
      <c r="NVI129" s="89"/>
      <c r="NVJ129" s="90"/>
      <c r="NVK129" s="90"/>
      <c r="NVL129" s="90"/>
      <c r="NVM129" s="90"/>
      <c r="NVN129" s="90"/>
      <c r="NVO129" s="90"/>
      <c r="NVP129" s="90"/>
      <c r="NVQ129" s="90"/>
      <c r="NVR129" s="90"/>
      <c r="NVS129" s="90"/>
      <c r="NVT129" s="90"/>
      <c r="NVU129" s="90"/>
      <c r="NVV129" s="90"/>
      <c r="NVW129" s="90"/>
      <c r="NVX129" s="90"/>
      <c r="NVY129" s="90"/>
      <c r="NVZ129" s="90"/>
      <c r="NWA129" s="89"/>
      <c r="NWB129" s="90"/>
      <c r="NWC129" s="90"/>
      <c r="NWD129" s="90"/>
      <c r="NWE129" s="90"/>
      <c r="NWF129" s="90"/>
      <c r="NWG129" s="90"/>
      <c r="NWH129" s="90"/>
      <c r="NWI129" s="90"/>
      <c r="NWJ129" s="90"/>
      <c r="NWK129" s="90"/>
      <c r="NWL129" s="90"/>
      <c r="NWM129" s="90"/>
      <c r="NWN129" s="90"/>
      <c r="NWO129" s="90"/>
      <c r="NWP129" s="90"/>
      <c r="NWQ129" s="90"/>
      <c r="NWR129" s="90"/>
      <c r="NWS129" s="89"/>
      <c r="NWT129" s="90"/>
      <c r="NWU129" s="90"/>
      <c r="NWV129" s="90"/>
      <c r="NWW129" s="90"/>
      <c r="NWX129" s="90"/>
      <c r="NWY129" s="90"/>
      <c r="NWZ129" s="90"/>
      <c r="NXA129" s="90"/>
      <c r="NXB129" s="90"/>
      <c r="NXC129" s="90"/>
      <c r="NXD129" s="90"/>
      <c r="NXE129" s="90"/>
      <c r="NXF129" s="90"/>
      <c r="NXG129" s="90"/>
      <c r="NXH129" s="90"/>
      <c r="NXI129" s="90"/>
      <c r="NXJ129" s="90"/>
      <c r="NXK129" s="89"/>
      <c r="NXL129" s="90"/>
      <c r="NXM129" s="90"/>
      <c r="NXN129" s="90"/>
      <c r="NXO129" s="90"/>
      <c r="NXP129" s="90"/>
      <c r="NXQ129" s="90"/>
      <c r="NXR129" s="90"/>
      <c r="NXS129" s="90"/>
      <c r="NXT129" s="90"/>
      <c r="NXU129" s="90"/>
      <c r="NXV129" s="90"/>
      <c r="NXW129" s="90"/>
      <c r="NXX129" s="90"/>
      <c r="NXY129" s="90"/>
      <c r="NXZ129" s="90"/>
      <c r="NYA129" s="90"/>
      <c r="NYB129" s="90"/>
      <c r="NYC129" s="89"/>
      <c r="NYD129" s="90"/>
      <c r="NYE129" s="90"/>
      <c r="NYF129" s="90"/>
      <c r="NYG129" s="90"/>
      <c r="NYH129" s="90"/>
      <c r="NYI129" s="90"/>
      <c r="NYJ129" s="90"/>
      <c r="NYK129" s="90"/>
      <c r="NYL129" s="90"/>
      <c r="NYM129" s="90"/>
      <c r="NYN129" s="90"/>
      <c r="NYO129" s="90"/>
      <c r="NYP129" s="90"/>
      <c r="NYQ129" s="90"/>
      <c r="NYR129" s="90"/>
      <c r="NYS129" s="90"/>
      <c r="NYT129" s="90"/>
      <c r="NYU129" s="89"/>
      <c r="NYV129" s="90"/>
      <c r="NYW129" s="90"/>
      <c r="NYX129" s="90"/>
      <c r="NYY129" s="90"/>
      <c r="NYZ129" s="90"/>
      <c r="NZA129" s="90"/>
      <c r="NZB129" s="90"/>
      <c r="NZC129" s="90"/>
      <c r="NZD129" s="90"/>
      <c r="NZE129" s="90"/>
      <c r="NZF129" s="90"/>
      <c r="NZG129" s="90"/>
      <c r="NZH129" s="90"/>
      <c r="NZI129" s="90"/>
      <c r="NZJ129" s="90"/>
      <c r="NZK129" s="90"/>
      <c r="NZL129" s="90"/>
      <c r="NZM129" s="89"/>
      <c r="NZN129" s="90"/>
      <c r="NZO129" s="90"/>
      <c r="NZP129" s="90"/>
      <c r="NZQ129" s="90"/>
      <c r="NZR129" s="90"/>
      <c r="NZS129" s="90"/>
      <c r="NZT129" s="90"/>
      <c r="NZU129" s="90"/>
      <c r="NZV129" s="90"/>
      <c r="NZW129" s="90"/>
      <c r="NZX129" s="90"/>
      <c r="NZY129" s="90"/>
      <c r="NZZ129" s="90"/>
      <c r="OAA129" s="90"/>
      <c r="OAB129" s="90"/>
      <c r="OAC129" s="90"/>
      <c r="OAD129" s="90"/>
      <c r="OAE129" s="89"/>
      <c r="OAF129" s="90"/>
      <c r="OAG129" s="90"/>
      <c r="OAH129" s="90"/>
      <c r="OAI129" s="90"/>
      <c r="OAJ129" s="90"/>
      <c r="OAK129" s="90"/>
      <c r="OAL129" s="90"/>
      <c r="OAM129" s="90"/>
      <c r="OAN129" s="90"/>
      <c r="OAO129" s="90"/>
      <c r="OAP129" s="90"/>
      <c r="OAQ129" s="90"/>
      <c r="OAR129" s="90"/>
      <c r="OAS129" s="90"/>
      <c r="OAT129" s="90"/>
      <c r="OAU129" s="90"/>
      <c r="OAV129" s="90"/>
      <c r="OAW129" s="89"/>
      <c r="OAX129" s="90"/>
      <c r="OAY129" s="90"/>
      <c r="OAZ129" s="90"/>
      <c r="OBA129" s="90"/>
      <c r="OBB129" s="90"/>
      <c r="OBC129" s="90"/>
      <c r="OBD129" s="90"/>
      <c r="OBE129" s="90"/>
      <c r="OBF129" s="90"/>
      <c r="OBG129" s="90"/>
      <c r="OBH129" s="90"/>
      <c r="OBI129" s="90"/>
      <c r="OBJ129" s="90"/>
      <c r="OBK129" s="90"/>
      <c r="OBL129" s="90"/>
      <c r="OBM129" s="90"/>
      <c r="OBN129" s="90"/>
      <c r="OBO129" s="89"/>
      <c r="OBP129" s="90"/>
      <c r="OBQ129" s="90"/>
      <c r="OBR129" s="90"/>
      <c r="OBS129" s="90"/>
      <c r="OBT129" s="90"/>
      <c r="OBU129" s="90"/>
      <c r="OBV129" s="90"/>
      <c r="OBW129" s="90"/>
      <c r="OBX129" s="90"/>
      <c r="OBY129" s="90"/>
      <c r="OBZ129" s="90"/>
      <c r="OCA129" s="90"/>
      <c r="OCB129" s="90"/>
      <c r="OCC129" s="90"/>
      <c r="OCD129" s="90"/>
      <c r="OCE129" s="90"/>
      <c r="OCF129" s="90"/>
      <c r="OCG129" s="89"/>
      <c r="OCH129" s="90"/>
      <c r="OCI129" s="90"/>
      <c r="OCJ129" s="90"/>
      <c r="OCK129" s="90"/>
      <c r="OCL129" s="90"/>
      <c r="OCM129" s="90"/>
      <c r="OCN129" s="90"/>
      <c r="OCO129" s="90"/>
      <c r="OCP129" s="90"/>
      <c r="OCQ129" s="90"/>
      <c r="OCR129" s="90"/>
      <c r="OCS129" s="90"/>
      <c r="OCT129" s="90"/>
      <c r="OCU129" s="90"/>
      <c r="OCV129" s="90"/>
      <c r="OCW129" s="90"/>
      <c r="OCX129" s="90"/>
      <c r="OCY129" s="89"/>
      <c r="OCZ129" s="90"/>
      <c r="ODA129" s="90"/>
      <c r="ODB129" s="90"/>
      <c r="ODC129" s="90"/>
      <c r="ODD129" s="90"/>
      <c r="ODE129" s="90"/>
      <c r="ODF129" s="90"/>
      <c r="ODG129" s="90"/>
      <c r="ODH129" s="90"/>
      <c r="ODI129" s="90"/>
      <c r="ODJ129" s="90"/>
      <c r="ODK129" s="90"/>
      <c r="ODL129" s="90"/>
      <c r="ODM129" s="90"/>
      <c r="ODN129" s="90"/>
      <c r="ODO129" s="90"/>
      <c r="ODP129" s="90"/>
      <c r="ODQ129" s="89"/>
      <c r="ODR129" s="90"/>
      <c r="ODS129" s="90"/>
      <c r="ODT129" s="90"/>
      <c r="ODU129" s="90"/>
      <c r="ODV129" s="90"/>
      <c r="ODW129" s="90"/>
      <c r="ODX129" s="90"/>
      <c r="ODY129" s="90"/>
      <c r="ODZ129" s="90"/>
      <c r="OEA129" s="90"/>
      <c r="OEB129" s="90"/>
      <c r="OEC129" s="90"/>
      <c r="OED129" s="90"/>
      <c r="OEE129" s="90"/>
      <c r="OEF129" s="90"/>
      <c r="OEG129" s="90"/>
      <c r="OEH129" s="90"/>
      <c r="OEI129" s="89"/>
      <c r="OEJ129" s="90"/>
      <c r="OEK129" s="90"/>
      <c r="OEL129" s="90"/>
      <c r="OEM129" s="90"/>
      <c r="OEN129" s="90"/>
      <c r="OEO129" s="90"/>
      <c r="OEP129" s="90"/>
      <c r="OEQ129" s="90"/>
      <c r="OER129" s="90"/>
      <c r="OES129" s="90"/>
      <c r="OET129" s="90"/>
      <c r="OEU129" s="90"/>
      <c r="OEV129" s="90"/>
      <c r="OEW129" s="90"/>
      <c r="OEX129" s="90"/>
      <c r="OEY129" s="90"/>
      <c r="OEZ129" s="90"/>
      <c r="OFA129" s="89"/>
      <c r="OFB129" s="90"/>
      <c r="OFC129" s="90"/>
      <c r="OFD129" s="90"/>
      <c r="OFE129" s="90"/>
      <c r="OFF129" s="90"/>
      <c r="OFG129" s="90"/>
      <c r="OFH129" s="90"/>
      <c r="OFI129" s="90"/>
      <c r="OFJ129" s="90"/>
      <c r="OFK129" s="90"/>
      <c r="OFL129" s="90"/>
      <c r="OFM129" s="90"/>
      <c r="OFN129" s="90"/>
      <c r="OFO129" s="90"/>
      <c r="OFP129" s="90"/>
      <c r="OFQ129" s="90"/>
      <c r="OFR129" s="90"/>
      <c r="OFS129" s="89"/>
      <c r="OFT129" s="90"/>
      <c r="OFU129" s="90"/>
      <c r="OFV129" s="90"/>
      <c r="OFW129" s="90"/>
      <c r="OFX129" s="90"/>
      <c r="OFY129" s="90"/>
      <c r="OFZ129" s="90"/>
      <c r="OGA129" s="90"/>
      <c r="OGB129" s="90"/>
      <c r="OGC129" s="90"/>
      <c r="OGD129" s="90"/>
      <c r="OGE129" s="90"/>
      <c r="OGF129" s="90"/>
      <c r="OGG129" s="90"/>
      <c r="OGH129" s="90"/>
      <c r="OGI129" s="90"/>
      <c r="OGJ129" s="90"/>
      <c r="OGK129" s="89"/>
      <c r="OGL129" s="90"/>
      <c r="OGM129" s="90"/>
      <c r="OGN129" s="90"/>
      <c r="OGO129" s="90"/>
      <c r="OGP129" s="90"/>
      <c r="OGQ129" s="90"/>
      <c r="OGR129" s="90"/>
      <c r="OGS129" s="90"/>
      <c r="OGT129" s="90"/>
      <c r="OGU129" s="90"/>
      <c r="OGV129" s="90"/>
      <c r="OGW129" s="90"/>
      <c r="OGX129" s="90"/>
      <c r="OGY129" s="90"/>
      <c r="OGZ129" s="90"/>
      <c r="OHA129" s="90"/>
      <c r="OHB129" s="90"/>
      <c r="OHC129" s="89"/>
      <c r="OHD129" s="90"/>
      <c r="OHE129" s="90"/>
      <c r="OHF129" s="90"/>
      <c r="OHG129" s="90"/>
      <c r="OHH129" s="90"/>
      <c r="OHI129" s="90"/>
      <c r="OHJ129" s="90"/>
      <c r="OHK129" s="90"/>
      <c r="OHL129" s="90"/>
      <c r="OHM129" s="90"/>
      <c r="OHN129" s="90"/>
      <c r="OHO129" s="90"/>
      <c r="OHP129" s="90"/>
      <c r="OHQ129" s="90"/>
      <c r="OHR129" s="90"/>
      <c r="OHS129" s="90"/>
      <c r="OHT129" s="90"/>
      <c r="OHU129" s="89"/>
      <c r="OHV129" s="90"/>
      <c r="OHW129" s="90"/>
      <c r="OHX129" s="90"/>
      <c r="OHY129" s="90"/>
      <c r="OHZ129" s="90"/>
      <c r="OIA129" s="90"/>
      <c r="OIB129" s="90"/>
      <c r="OIC129" s="90"/>
      <c r="OID129" s="90"/>
      <c r="OIE129" s="90"/>
      <c r="OIF129" s="90"/>
      <c r="OIG129" s="90"/>
      <c r="OIH129" s="90"/>
      <c r="OII129" s="90"/>
      <c r="OIJ129" s="90"/>
      <c r="OIK129" s="90"/>
      <c r="OIL129" s="90"/>
      <c r="OIM129" s="89"/>
      <c r="OIN129" s="90"/>
      <c r="OIO129" s="90"/>
      <c r="OIP129" s="90"/>
      <c r="OIQ129" s="90"/>
      <c r="OIR129" s="90"/>
      <c r="OIS129" s="90"/>
      <c r="OIT129" s="90"/>
      <c r="OIU129" s="90"/>
      <c r="OIV129" s="90"/>
      <c r="OIW129" s="90"/>
      <c r="OIX129" s="90"/>
      <c r="OIY129" s="90"/>
      <c r="OIZ129" s="90"/>
      <c r="OJA129" s="90"/>
      <c r="OJB129" s="90"/>
      <c r="OJC129" s="90"/>
      <c r="OJD129" s="90"/>
      <c r="OJE129" s="89"/>
      <c r="OJF129" s="90"/>
      <c r="OJG129" s="90"/>
      <c r="OJH129" s="90"/>
      <c r="OJI129" s="90"/>
      <c r="OJJ129" s="90"/>
      <c r="OJK129" s="90"/>
      <c r="OJL129" s="90"/>
      <c r="OJM129" s="90"/>
      <c r="OJN129" s="90"/>
      <c r="OJO129" s="90"/>
      <c r="OJP129" s="90"/>
      <c r="OJQ129" s="90"/>
      <c r="OJR129" s="90"/>
      <c r="OJS129" s="90"/>
      <c r="OJT129" s="90"/>
      <c r="OJU129" s="90"/>
      <c r="OJV129" s="90"/>
      <c r="OJW129" s="89"/>
      <c r="OJX129" s="90"/>
      <c r="OJY129" s="90"/>
      <c r="OJZ129" s="90"/>
      <c r="OKA129" s="90"/>
      <c r="OKB129" s="90"/>
      <c r="OKC129" s="90"/>
      <c r="OKD129" s="90"/>
      <c r="OKE129" s="90"/>
      <c r="OKF129" s="90"/>
      <c r="OKG129" s="90"/>
      <c r="OKH129" s="90"/>
      <c r="OKI129" s="90"/>
      <c r="OKJ129" s="90"/>
      <c r="OKK129" s="90"/>
      <c r="OKL129" s="90"/>
      <c r="OKM129" s="90"/>
      <c r="OKN129" s="90"/>
      <c r="OKO129" s="89"/>
      <c r="OKP129" s="90"/>
      <c r="OKQ129" s="90"/>
      <c r="OKR129" s="90"/>
      <c r="OKS129" s="90"/>
      <c r="OKT129" s="90"/>
      <c r="OKU129" s="90"/>
      <c r="OKV129" s="90"/>
      <c r="OKW129" s="90"/>
      <c r="OKX129" s="90"/>
      <c r="OKY129" s="90"/>
      <c r="OKZ129" s="90"/>
      <c r="OLA129" s="90"/>
      <c r="OLB129" s="90"/>
      <c r="OLC129" s="90"/>
      <c r="OLD129" s="90"/>
      <c r="OLE129" s="90"/>
      <c r="OLF129" s="90"/>
      <c r="OLG129" s="89"/>
      <c r="OLH129" s="90"/>
      <c r="OLI129" s="90"/>
      <c r="OLJ129" s="90"/>
      <c r="OLK129" s="90"/>
      <c r="OLL129" s="90"/>
      <c r="OLM129" s="90"/>
      <c r="OLN129" s="90"/>
      <c r="OLO129" s="90"/>
      <c r="OLP129" s="90"/>
      <c r="OLQ129" s="90"/>
      <c r="OLR129" s="90"/>
      <c r="OLS129" s="90"/>
      <c r="OLT129" s="90"/>
      <c r="OLU129" s="90"/>
      <c r="OLV129" s="90"/>
      <c r="OLW129" s="90"/>
      <c r="OLX129" s="90"/>
      <c r="OLY129" s="89"/>
      <c r="OLZ129" s="90"/>
      <c r="OMA129" s="90"/>
      <c r="OMB129" s="90"/>
      <c r="OMC129" s="90"/>
      <c r="OMD129" s="90"/>
      <c r="OME129" s="90"/>
      <c r="OMF129" s="90"/>
      <c r="OMG129" s="90"/>
      <c r="OMH129" s="90"/>
      <c r="OMI129" s="90"/>
      <c r="OMJ129" s="90"/>
      <c r="OMK129" s="90"/>
      <c r="OML129" s="90"/>
      <c r="OMM129" s="90"/>
      <c r="OMN129" s="90"/>
      <c r="OMO129" s="90"/>
      <c r="OMP129" s="90"/>
      <c r="OMQ129" s="89"/>
      <c r="OMR129" s="90"/>
      <c r="OMS129" s="90"/>
      <c r="OMT129" s="90"/>
      <c r="OMU129" s="90"/>
      <c r="OMV129" s="90"/>
      <c r="OMW129" s="90"/>
      <c r="OMX129" s="90"/>
      <c r="OMY129" s="90"/>
      <c r="OMZ129" s="90"/>
      <c r="ONA129" s="90"/>
      <c r="ONB129" s="90"/>
      <c r="ONC129" s="90"/>
      <c r="OND129" s="90"/>
      <c r="ONE129" s="90"/>
      <c r="ONF129" s="90"/>
      <c r="ONG129" s="90"/>
      <c r="ONH129" s="90"/>
      <c r="ONI129" s="89"/>
      <c r="ONJ129" s="90"/>
      <c r="ONK129" s="90"/>
      <c r="ONL129" s="90"/>
      <c r="ONM129" s="90"/>
      <c r="ONN129" s="90"/>
      <c r="ONO129" s="90"/>
      <c r="ONP129" s="90"/>
      <c r="ONQ129" s="90"/>
      <c r="ONR129" s="90"/>
      <c r="ONS129" s="90"/>
      <c r="ONT129" s="90"/>
      <c r="ONU129" s="90"/>
      <c r="ONV129" s="90"/>
      <c r="ONW129" s="90"/>
      <c r="ONX129" s="90"/>
      <c r="ONY129" s="90"/>
      <c r="ONZ129" s="90"/>
      <c r="OOA129" s="89"/>
      <c r="OOB129" s="90"/>
      <c r="OOC129" s="90"/>
      <c r="OOD129" s="90"/>
      <c r="OOE129" s="90"/>
      <c r="OOF129" s="90"/>
      <c r="OOG129" s="90"/>
      <c r="OOH129" s="90"/>
      <c r="OOI129" s="90"/>
      <c r="OOJ129" s="90"/>
      <c r="OOK129" s="90"/>
      <c r="OOL129" s="90"/>
      <c r="OOM129" s="90"/>
      <c r="OON129" s="90"/>
      <c r="OOO129" s="90"/>
      <c r="OOP129" s="90"/>
      <c r="OOQ129" s="90"/>
      <c r="OOR129" s="90"/>
      <c r="OOS129" s="89"/>
      <c r="OOT129" s="90"/>
      <c r="OOU129" s="90"/>
      <c r="OOV129" s="90"/>
      <c r="OOW129" s="90"/>
      <c r="OOX129" s="90"/>
      <c r="OOY129" s="90"/>
      <c r="OOZ129" s="90"/>
      <c r="OPA129" s="90"/>
      <c r="OPB129" s="90"/>
      <c r="OPC129" s="90"/>
      <c r="OPD129" s="90"/>
      <c r="OPE129" s="90"/>
      <c r="OPF129" s="90"/>
      <c r="OPG129" s="90"/>
      <c r="OPH129" s="90"/>
      <c r="OPI129" s="90"/>
      <c r="OPJ129" s="90"/>
      <c r="OPK129" s="89"/>
      <c r="OPL129" s="90"/>
      <c r="OPM129" s="90"/>
      <c r="OPN129" s="90"/>
      <c r="OPO129" s="90"/>
      <c r="OPP129" s="90"/>
      <c r="OPQ129" s="90"/>
      <c r="OPR129" s="90"/>
      <c r="OPS129" s="90"/>
      <c r="OPT129" s="90"/>
      <c r="OPU129" s="90"/>
      <c r="OPV129" s="90"/>
      <c r="OPW129" s="90"/>
      <c r="OPX129" s="90"/>
      <c r="OPY129" s="90"/>
      <c r="OPZ129" s="90"/>
      <c r="OQA129" s="90"/>
      <c r="OQB129" s="90"/>
      <c r="OQC129" s="89"/>
      <c r="OQD129" s="90"/>
      <c r="OQE129" s="90"/>
      <c r="OQF129" s="90"/>
      <c r="OQG129" s="90"/>
      <c r="OQH129" s="90"/>
      <c r="OQI129" s="90"/>
      <c r="OQJ129" s="90"/>
      <c r="OQK129" s="90"/>
      <c r="OQL129" s="90"/>
      <c r="OQM129" s="90"/>
      <c r="OQN129" s="90"/>
      <c r="OQO129" s="90"/>
      <c r="OQP129" s="90"/>
      <c r="OQQ129" s="90"/>
      <c r="OQR129" s="90"/>
      <c r="OQS129" s="90"/>
      <c r="OQT129" s="90"/>
      <c r="OQU129" s="89"/>
      <c r="OQV129" s="90"/>
      <c r="OQW129" s="90"/>
      <c r="OQX129" s="90"/>
      <c r="OQY129" s="90"/>
      <c r="OQZ129" s="90"/>
      <c r="ORA129" s="90"/>
      <c r="ORB129" s="90"/>
      <c r="ORC129" s="90"/>
      <c r="ORD129" s="90"/>
      <c r="ORE129" s="90"/>
      <c r="ORF129" s="90"/>
      <c r="ORG129" s="90"/>
      <c r="ORH129" s="90"/>
      <c r="ORI129" s="90"/>
      <c r="ORJ129" s="90"/>
      <c r="ORK129" s="90"/>
      <c r="ORL129" s="90"/>
      <c r="ORM129" s="89"/>
      <c r="ORN129" s="90"/>
      <c r="ORO129" s="90"/>
      <c r="ORP129" s="90"/>
      <c r="ORQ129" s="90"/>
      <c r="ORR129" s="90"/>
      <c r="ORS129" s="90"/>
      <c r="ORT129" s="90"/>
      <c r="ORU129" s="90"/>
      <c r="ORV129" s="90"/>
      <c r="ORW129" s="90"/>
      <c r="ORX129" s="90"/>
      <c r="ORY129" s="90"/>
      <c r="ORZ129" s="90"/>
      <c r="OSA129" s="90"/>
      <c r="OSB129" s="90"/>
      <c r="OSC129" s="90"/>
      <c r="OSD129" s="90"/>
      <c r="OSE129" s="89"/>
      <c r="OSF129" s="90"/>
      <c r="OSG129" s="90"/>
      <c r="OSH129" s="90"/>
      <c r="OSI129" s="90"/>
      <c r="OSJ129" s="90"/>
      <c r="OSK129" s="90"/>
      <c r="OSL129" s="90"/>
      <c r="OSM129" s="90"/>
      <c r="OSN129" s="90"/>
      <c r="OSO129" s="90"/>
      <c r="OSP129" s="90"/>
      <c r="OSQ129" s="90"/>
      <c r="OSR129" s="90"/>
      <c r="OSS129" s="90"/>
      <c r="OST129" s="90"/>
      <c r="OSU129" s="90"/>
      <c r="OSV129" s="90"/>
      <c r="OSW129" s="89"/>
      <c r="OSX129" s="90"/>
      <c r="OSY129" s="90"/>
      <c r="OSZ129" s="90"/>
      <c r="OTA129" s="90"/>
      <c r="OTB129" s="90"/>
      <c r="OTC129" s="90"/>
      <c r="OTD129" s="90"/>
      <c r="OTE129" s="90"/>
      <c r="OTF129" s="90"/>
      <c r="OTG129" s="90"/>
      <c r="OTH129" s="90"/>
      <c r="OTI129" s="90"/>
      <c r="OTJ129" s="90"/>
      <c r="OTK129" s="90"/>
      <c r="OTL129" s="90"/>
      <c r="OTM129" s="90"/>
      <c r="OTN129" s="90"/>
      <c r="OTO129" s="89"/>
      <c r="OTP129" s="90"/>
      <c r="OTQ129" s="90"/>
      <c r="OTR129" s="90"/>
      <c r="OTS129" s="90"/>
      <c r="OTT129" s="90"/>
      <c r="OTU129" s="90"/>
      <c r="OTV129" s="90"/>
      <c r="OTW129" s="90"/>
      <c r="OTX129" s="90"/>
      <c r="OTY129" s="90"/>
      <c r="OTZ129" s="90"/>
      <c r="OUA129" s="90"/>
      <c r="OUB129" s="90"/>
      <c r="OUC129" s="90"/>
      <c r="OUD129" s="90"/>
      <c r="OUE129" s="90"/>
      <c r="OUF129" s="90"/>
      <c r="OUG129" s="89"/>
      <c r="OUH129" s="90"/>
      <c r="OUI129" s="90"/>
      <c r="OUJ129" s="90"/>
      <c r="OUK129" s="90"/>
      <c r="OUL129" s="90"/>
      <c r="OUM129" s="90"/>
      <c r="OUN129" s="90"/>
      <c r="OUO129" s="90"/>
      <c r="OUP129" s="90"/>
      <c r="OUQ129" s="90"/>
      <c r="OUR129" s="90"/>
      <c r="OUS129" s="90"/>
      <c r="OUT129" s="90"/>
      <c r="OUU129" s="90"/>
      <c r="OUV129" s="90"/>
      <c r="OUW129" s="90"/>
      <c r="OUX129" s="90"/>
      <c r="OUY129" s="89"/>
      <c r="OUZ129" s="90"/>
      <c r="OVA129" s="90"/>
      <c r="OVB129" s="90"/>
      <c r="OVC129" s="90"/>
      <c r="OVD129" s="90"/>
      <c r="OVE129" s="90"/>
      <c r="OVF129" s="90"/>
      <c r="OVG129" s="90"/>
      <c r="OVH129" s="90"/>
      <c r="OVI129" s="90"/>
      <c r="OVJ129" s="90"/>
      <c r="OVK129" s="90"/>
      <c r="OVL129" s="90"/>
      <c r="OVM129" s="90"/>
      <c r="OVN129" s="90"/>
      <c r="OVO129" s="90"/>
      <c r="OVP129" s="90"/>
      <c r="OVQ129" s="89"/>
      <c r="OVR129" s="90"/>
      <c r="OVS129" s="90"/>
      <c r="OVT129" s="90"/>
      <c r="OVU129" s="90"/>
      <c r="OVV129" s="90"/>
      <c r="OVW129" s="90"/>
      <c r="OVX129" s="90"/>
      <c r="OVY129" s="90"/>
      <c r="OVZ129" s="90"/>
      <c r="OWA129" s="90"/>
      <c r="OWB129" s="90"/>
      <c r="OWC129" s="90"/>
      <c r="OWD129" s="90"/>
      <c r="OWE129" s="90"/>
      <c r="OWF129" s="90"/>
      <c r="OWG129" s="90"/>
      <c r="OWH129" s="90"/>
      <c r="OWI129" s="89"/>
      <c r="OWJ129" s="90"/>
      <c r="OWK129" s="90"/>
      <c r="OWL129" s="90"/>
      <c r="OWM129" s="90"/>
      <c r="OWN129" s="90"/>
      <c r="OWO129" s="90"/>
      <c r="OWP129" s="90"/>
      <c r="OWQ129" s="90"/>
      <c r="OWR129" s="90"/>
      <c r="OWS129" s="90"/>
      <c r="OWT129" s="90"/>
      <c r="OWU129" s="90"/>
      <c r="OWV129" s="90"/>
      <c r="OWW129" s="90"/>
      <c r="OWX129" s="90"/>
      <c r="OWY129" s="90"/>
      <c r="OWZ129" s="90"/>
      <c r="OXA129" s="89"/>
      <c r="OXB129" s="90"/>
      <c r="OXC129" s="90"/>
      <c r="OXD129" s="90"/>
      <c r="OXE129" s="90"/>
      <c r="OXF129" s="90"/>
      <c r="OXG129" s="90"/>
      <c r="OXH129" s="90"/>
      <c r="OXI129" s="90"/>
      <c r="OXJ129" s="90"/>
      <c r="OXK129" s="90"/>
      <c r="OXL129" s="90"/>
      <c r="OXM129" s="90"/>
      <c r="OXN129" s="90"/>
      <c r="OXO129" s="90"/>
      <c r="OXP129" s="90"/>
      <c r="OXQ129" s="90"/>
      <c r="OXR129" s="90"/>
      <c r="OXS129" s="89"/>
      <c r="OXT129" s="90"/>
      <c r="OXU129" s="90"/>
      <c r="OXV129" s="90"/>
      <c r="OXW129" s="90"/>
      <c r="OXX129" s="90"/>
      <c r="OXY129" s="90"/>
      <c r="OXZ129" s="90"/>
      <c r="OYA129" s="90"/>
      <c r="OYB129" s="90"/>
      <c r="OYC129" s="90"/>
      <c r="OYD129" s="90"/>
      <c r="OYE129" s="90"/>
      <c r="OYF129" s="90"/>
      <c r="OYG129" s="90"/>
      <c r="OYH129" s="90"/>
      <c r="OYI129" s="90"/>
      <c r="OYJ129" s="90"/>
      <c r="OYK129" s="89"/>
      <c r="OYL129" s="90"/>
      <c r="OYM129" s="90"/>
      <c r="OYN129" s="90"/>
      <c r="OYO129" s="90"/>
      <c r="OYP129" s="90"/>
      <c r="OYQ129" s="90"/>
      <c r="OYR129" s="90"/>
      <c r="OYS129" s="90"/>
      <c r="OYT129" s="90"/>
      <c r="OYU129" s="90"/>
      <c r="OYV129" s="90"/>
      <c r="OYW129" s="90"/>
      <c r="OYX129" s="90"/>
      <c r="OYY129" s="90"/>
      <c r="OYZ129" s="90"/>
      <c r="OZA129" s="90"/>
      <c r="OZB129" s="90"/>
      <c r="OZC129" s="89"/>
      <c r="OZD129" s="90"/>
      <c r="OZE129" s="90"/>
      <c r="OZF129" s="90"/>
      <c r="OZG129" s="90"/>
      <c r="OZH129" s="90"/>
      <c r="OZI129" s="90"/>
      <c r="OZJ129" s="90"/>
      <c r="OZK129" s="90"/>
      <c r="OZL129" s="90"/>
      <c r="OZM129" s="90"/>
      <c r="OZN129" s="90"/>
      <c r="OZO129" s="90"/>
      <c r="OZP129" s="90"/>
      <c r="OZQ129" s="90"/>
      <c r="OZR129" s="90"/>
      <c r="OZS129" s="90"/>
      <c r="OZT129" s="90"/>
      <c r="OZU129" s="89"/>
      <c r="OZV129" s="90"/>
      <c r="OZW129" s="90"/>
      <c r="OZX129" s="90"/>
      <c r="OZY129" s="90"/>
      <c r="OZZ129" s="90"/>
      <c r="PAA129" s="90"/>
      <c r="PAB129" s="90"/>
      <c r="PAC129" s="90"/>
      <c r="PAD129" s="90"/>
      <c r="PAE129" s="90"/>
      <c r="PAF129" s="90"/>
      <c r="PAG129" s="90"/>
      <c r="PAH129" s="90"/>
      <c r="PAI129" s="90"/>
      <c r="PAJ129" s="90"/>
      <c r="PAK129" s="90"/>
      <c r="PAL129" s="90"/>
      <c r="PAM129" s="89"/>
      <c r="PAN129" s="90"/>
      <c r="PAO129" s="90"/>
      <c r="PAP129" s="90"/>
      <c r="PAQ129" s="90"/>
      <c r="PAR129" s="90"/>
      <c r="PAS129" s="90"/>
      <c r="PAT129" s="90"/>
      <c r="PAU129" s="90"/>
      <c r="PAV129" s="90"/>
      <c r="PAW129" s="90"/>
      <c r="PAX129" s="90"/>
      <c r="PAY129" s="90"/>
      <c r="PAZ129" s="90"/>
      <c r="PBA129" s="90"/>
      <c r="PBB129" s="90"/>
      <c r="PBC129" s="90"/>
      <c r="PBD129" s="90"/>
      <c r="PBE129" s="89"/>
      <c r="PBF129" s="90"/>
      <c r="PBG129" s="90"/>
      <c r="PBH129" s="90"/>
      <c r="PBI129" s="90"/>
      <c r="PBJ129" s="90"/>
      <c r="PBK129" s="90"/>
      <c r="PBL129" s="90"/>
      <c r="PBM129" s="90"/>
      <c r="PBN129" s="90"/>
      <c r="PBO129" s="90"/>
      <c r="PBP129" s="90"/>
      <c r="PBQ129" s="90"/>
      <c r="PBR129" s="90"/>
      <c r="PBS129" s="90"/>
      <c r="PBT129" s="90"/>
      <c r="PBU129" s="90"/>
      <c r="PBV129" s="90"/>
      <c r="PBW129" s="89"/>
      <c r="PBX129" s="90"/>
      <c r="PBY129" s="90"/>
      <c r="PBZ129" s="90"/>
      <c r="PCA129" s="90"/>
      <c r="PCB129" s="90"/>
      <c r="PCC129" s="90"/>
      <c r="PCD129" s="90"/>
      <c r="PCE129" s="90"/>
      <c r="PCF129" s="90"/>
      <c r="PCG129" s="90"/>
      <c r="PCH129" s="90"/>
      <c r="PCI129" s="90"/>
      <c r="PCJ129" s="90"/>
      <c r="PCK129" s="90"/>
      <c r="PCL129" s="90"/>
      <c r="PCM129" s="90"/>
      <c r="PCN129" s="90"/>
      <c r="PCO129" s="89"/>
      <c r="PCP129" s="90"/>
      <c r="PCQ129" s="90"/>
      <c r="PCR129" s="90"/>
      <c r="PCS129" s="90"/>
      <c r="PCT129" s="90"/>
      <c r="PCU129" s="90"/>
      <c r="PCV129" s="90"/>
      <c r="PCW129" s="90"/>
      <c r="PCX129" s="90"/>
      <c r="PCY129" s="90"/>
      <c r="PCZ129" s="90"/>
      <c r="PDA129" s="90"/>
      <c r="PDB129" s="90"/>
      <c r="PDC129" s="90"/>
      <c r="PDD129" s="90"/>
      <c r="PDE129" s="90"/>
      <c r="PDF129" s="90"/>
      <c r="PDG129" s="89"/>
      <c r="PDH129" s="90"/>
      <c r="PDI129" s="90"/>
      <c r="PDJ129" s="90"/>
      <c r="PDK129" s="90"/>
      <c r="PDL129" s="90"/>
      <c r="PDM129" s="90"/>
      <c r="PDN129" s="90"/>
      <c r="PDO129" s="90"/>
      <c r="PDP129" s="90"/>
      <c r="PDQ129" s="90"/>
      <c r="PDR129" s="90"/>
      <c r="PDS129" s="90"/>
      <c r="PDT129" s="90"/>
      <c r="PDU129" s="90"/>
      <c r="PDV129" s="90"/>
      <c r="PDW129" s="90"/>
      <c r="PDX129" s="90"/>
      <c r="PDY129" s="89"/>
      <c r="PDZ129" s="90"/>
      <c r="PEA129" s="90"/>
      <c r="PEB129" s="90"/>
      <c r="PEC129" s="90"/>
      <c r="PED129" s="90"/>
      <c r="PEE129" s="90"/>
      <c r="PEF129" s="90"/>
      <c r="PEG129" s="90"/>
      <c r="PEH129" s="90"/>
      <c r="PEI129" s="90"/>
      <c r="PEJ129" s="90"/>
      <c r="PEK129" s="90"/>
      <c r="PEL129" s="90"/>
      <c r="PEM129" s="90"/>
      <c r="PEN129" s="90"/>
      <c r="PEO129" s="90"/>
      <c r="PEP129" s="90"/>
      <c r="PEQ129" s="89"/>
      <c r="PER129" s="90"/>
      <c r="PES129" s="90"/>
      <c r="PET129" s="90"/>
      <c r="PEU129" s="90"/>
      <c r="PEV129" s="90"/>
      <c r="PEW129" s="90"/>
      <c r="PEX129" s="90"/>
      <c r="PEY129" s="90"/>
      <c r="PEZ129" s="90"/>
      <c r="PFA129" s="90"/>
      <c r="PFB129" s="90"/>
      <c r="PFC129" s="90"/>
      <c r="PFD129" s="90"/>
      <c r="PFE129" s="90"/>
      <c r="PFF129" s="90"/>
      <c r="PFG129" s="90"/>
      <c r="PFH129" s="90"/>
      <c r="PFI129" s="89"/>
      <c r="PFJ129" s="90"/>
      <c r="PFK129" s="90"/>
      <c r="PFL129" s="90"/>
      <c r="PFM129" s="90"/>
      <c r="PFN129" s="90"/>
      <c r="PFO129" s="90"/>
      <c r="PFP129" s="90"/>
      <c r="PFQ129" s="90"/>
      <c r="PFR129" s="90"/>
      <c r="PFS129" s="90"/>
      <c r="PFT129" s="90"/>
      <c r="PFU129" s="90"/>
      <c r="PFV129" s="90"/>
      <c r="PFW129" s="90"/>
      <c r="PFX129" s="90"/>
      <c r="PFY129" s="90"/>
      <c r="PFZ129" s="90"/>
      <c r="PGA129" s="89"/>
      <c r="PGB129" s="90"/>
      <c r="PGC129" s="90"/>
      <c r="PGD129" s="90"/>
      <c r="PGE129" s="90"/>
      <c r="PGF129" s="90"/>
      <c r="PGG129" s="90"/>
      <c r="PGH129" s="90"/>
      <c r="PGI129" s="90"/>
      <c r="PGJ129" s="90"/>
      <c r="PGK129" s="90"/>
      <c r="PGL129" s="90"/>
      <c r="PGM129" s="90"/>
      <c r="PGN129" s="90"/>
      <c r="PGO129" s="90"/>
      <c r="PGP129" s="90"/>
      <c r="PGQ129" s="90"/>
      <c r="PGR129" s="90"/>
      <c r="PGS129" s="89"/>
      <c r="PGT129" s="90"/>
      <c r="PGU129" s="90"/>
      <c r="PGV129" s="90"/>
      <c r="PGW129" s="90"/>
      <c r="PGX129" s="90"/>
      <c r="PGY129" s="90"/>
      <c r="PGZ129" s="90"/>
      <c r="PHA129" s="90"/>
      <c r="PHB129" s="90"/>
      <c r="PHC129" s="90"/>
      <c r="PHD129" s="90"/>
      <c r="PHE129" s="90"/>
      <c r="PHF129" s="90"/>
      <c r="PHG129" s="90"/>
      <c r="PHH129" s="90"/>
      <c r="PHI129" s="90"/>
      <c r="PHJ129" s="90"/>
      <c r="PHK129" s="89"/>
      <c r="PHL129" s="90"/>
      <c r="PHM129" s="90"/>
      <c r="PHN129" s="90"/>
      <c r="PHO129" s="90"/>
      <c r="PHP129" s="90"/>
      <c r="PHQ129" s="90"/>
      <c r="PHR129" s="90"/>
      <c r="PHS129" s="90"/>
      <c r="PHT129" s="90"/>
      <c r="PHU129" s="90"/>
      <c r="PHV129" s="90"/>
      <c r="PHW129" s="90"/>
      <c r="PHX129" s="90"/>
      <c r="PHY129" s="90"/>
      <c r="PHZ129" s="90"/>
      <c r="PIA129" s="90"/>
      <c r="PIB129" s="90"/>
      <c r="PIC129" s="89"/>
      <c r="PID129" s="90"/>
      <c r="PIE129" s="90"/>
      <c r="PIF129" s="90"/>
      <c r="PIG129" s="90"/>
      <c r="PIH129" s="90"/>
      <c r="PII129" s="90"/>
      <c r="PIJ129" s="90"/>
      <c r="PIK129" s="90"/>
      <c r="PIL129" s="90"/>
      <c r="PIM129" s="90"/>
      <c r="PIN129" s="90"/>
      <c r="PIO129" s="90"/>
      <c r="PIP129" s="90"/>
      <c r="PIQ129" s="90"/>
      <c r="PIR129" s="90"/>
      <c r="PIS129" s="90"/>
      <c r="PIT129" s="90"/>
      <c r="PIU129" s="89"/>
      <c r="PIV129" s="90"/>
      <c r="PIW129" s="90"/>
      <c r="PIX129" s="90"/>
      <c r="PIY129" s="90"/>
      <c r="PIZ129" s="90"/>
      <c r="PJA129" s="90"/>
      <c r="PJB129" s="90"/>
      <c r="PJC129" s="90"/>
      <c r="PJD129" s="90"/>
      <c r="PJE129" s="90"/>
      <c r="PJF129" s="90"/>
      <c r="PJG129" s="90"/>
      <c r="PJH129" s="90"/>
      <c r="PJI129" s="90"/>
      <c r="PJJ129" s="90"/>
      <c r="PJK129" s="90"/>
      <c r="PJL129" s="90"/>
      <c r="PJM129" s="89"/>
      <c r="PJN129" s="90"/>
      <c r="PJO129" s="90"/>
      <c r="PJP129" s="90"/>
      <c r="PJQ129" s="90"/>
      <c r="PJR129" s="90"/>
      <c r="PJS129" s="90"/>
      <c r="PJT129" s="90"/>
      <c r="PJU129" s="90"/>
      <c r="PJV129" s="90"/>
      <c r="PJW129" s="90"/>
      <c r="PJX129" s="90"/>
      <c r="PJY129" s="90"/>
      <c r="PJZ129" s="90"/>
      <c r="PKA129" s="90"/>
      <c r="PKB129" s="90"/>
      <c r="PKC129" s="90"/>
      <c r="PKD129" s="90"/>
      <c r="PKE129" s="89"/>
      <c r="PKF129" s="90"/>
      <c r="PKG129" s="90"/>
      <c r="PKH129" s="90"/>
      <c r="PKI129" s="90"/>
      <c r="PKJ129" s="90"/>
      <c r="PKK129" s="90"/>
      <c r="PKL129" s="90"/>
      <c r="PKM129" s="90"/>
      <c r="PKN129" s="90"/>
      <c r="PKO129" s="90"/>
      <c r="PKP129" s="90"/>
      <c r="PKQ129" s="90"/>
      <c r="PKR129" s="90"/>
      <c r="PKS129" s="90"/>
      <c r="PKT129" s="90"/>
      <c r="PKU129" s="90"/>
      <c r="PKV129" s="90"/>
      <c r="PKW129" s="89"/>
      <c r="PKX129" s="90"/>
      <c r="PKY129" s="90"/>
      <c r="PKZ129" s="90"/>
      <c r="PLA129" s="90"/>
      <c r="PLB129" s="90"/>
      <c r="PLC129" s="90"/>
      <c r="PLD129" s="90"/>
      <c r="PLE129" s="90"/>
      <c r="PLF129" s="90"/>
      <c r="PLG129" s="90"/>
      <c r="PLH129" s="90"/>
      <c r="PLI129" s="90"/>
      <c r="PLJ129" s="90"/>
      <c r="PLK129" s="90"/>
      <c r="PLL129" s="90"/>
      <c r="PLM129" s="90"/>
      <c r="PLN129" s="90"/>
      <c r="PLO129" s="89"/>
      <c r="PLP129" s="90"/>
      <c r="PLQ129" s="90"/>
      <c r="PLR129" s="90"/>
      <c r="PLS129" s="90"/>
      <c r="PLT129" s="90"/>
      <c r="PLU129" s="90"/>
      <c r="PLV129" s="90"/>
      <c r="PLW129" s="90"/>
      <c r="PLX129" s="90"/>
      <c r="PLY129" s="90"/>
      <c r="PLZ129" s="90"/>
      <c r="PMA129" s="90"/>
      <c r="PMB129" s="90"/>
      <c r="PMC129" s="90"/>
      <c r="PMD129" s="90"/>
      <c r="PME129" s="90"/>
      <c r="PMF129" s="90"/>
      <c r="PMG129" s="89"/>
      <c r="PMH129" s="90"/>
      <c r="PMI129" s="90"/>
      <c r="PMJ129" s="90"/>
      <c r="PMK129" s="90"/>
      <c r="PML129" s="90"/>
      <c r="PMM129" s="90"/>
      <c r="PMN129" s="90"/>
      <c r="PMO129" s="90"/>
      <c r="PMP129" s="90"/>
      <c r="PMQ129" s="90"/>
      <c r="PMR129" s="90"/>
      <c r="PMS129" s="90"/>
      <c r="PMT129" s="90"/>
      <c r="PMU129" s="90"/>
      <c r="PMV129" s="90"/>
      <c r="PMW129" s="90"/>
      <c r="PMX129" s="90"/>
      <c r="PMY129" s="89"/>
      <c r="PMZ129" s="90"/>
      <c r="PNA129" s="90"/>
      <c r="PNB129" s="90"/>
      <c r="PNC129" s="90"/>
      <c r="PND129" s="90"/>
      <c r="PNE129" s="90"/>
      <c r="PNF129" s="90"/>
      <c r="PNG129" s="90"/>
      <c r="PNH129" s="90"/>
      <c r="PNI129" s="90"/>
      <c r="PNJ129" s="90"/>
      <c r="PNK129" s="90"/>
      <c r="PNL129" s="90"/>
      <c r="PNM129" s="90"/>
      <c r="PNN129" s="90"/>
      <c r="PNO129" s="90"/>
      <c r="PNP129" s="90"/>
      <c r="PNQ129" s="89"/>
      <c r="PNR129" s="90"/>
      <c r="PNS129" s="90"/>
      <c r="PNT129" s="90"/>
      <c r="PNU129" s="90"/>
      <c r="PNV129" s="90"/>
      <c r="PNW129" s="90"/>
      <c r="PNX129" s="90"/>
      <c r="PNY129" s="90"/>
      <c r="PNZ129" s="90"/>
      <c r="POA129" s="90"/>
      <c r="POB129" s="90"/>
      <c r="POC129" s="90"/>
      <c r="POD129" s="90"/>
      <c r="POE129" s="90"/>
      <c r="POF129" s="90"/>
      <c r="POG129" s="90"/>
      <c r="POH129" s="90"/>
      <c r="POI129" s="89"/>
      <c r="POJ129" s="90"/>
      <c r="POK129" s="90"/>
      <c r="POL129" s="90"/>
      <c r="POM129" s="90"/>
      <c r="PON129" s="90"/>
      <c r="POO129" s="90"/>
      <c r="POP129" s="90"/>
      <c r="POQ129" s="90"/>
      <c r="POR129" s="90"/>
      <c r="POS129" s="90"/>
      <c r="POT129" s="90"/>
      <c r="POU129" s="90"/>
      <c r="POV129" s="90"/>
      <c r="POW129" s="90"/>
      <c r="POX129" s="90"/>
      <c r="POY129" s="90"/>
      <c r="POZ129" s="90"/>
      <c r="PPA129" s="89"/>
      <c r="PPB129" s="90"/>
      <c r="PPC129" s="90"/>
      <c r="PPD129" s="90"/>
      <c r="PPE129" s="90"/>
      <c r="PPF129" s="90"/>
      <c r="PPG129" s="90"/>
      <c r="PPH129" s="90"/>
      <c r="PPI129" s="90"/>
      <c r="PPJ129" s="90"/>
      <c r="PPK129" s="90"/>
      <c r="PPL129" s="90"/>
      <c r="PPM129" s="90"/>
      <c r="PPN129" s="90"/>
      <c r="PPO129" s="90"/>
      <c r="PPP129" s="90"/>
      <c r="PPQ129" s="90"/>
      <c r="PPR129" s="90"/>
      <c r="PPS129" s="89"/>
      <c r="PPT129" s="90"/>
      <c r="PPU129" s="90"/>
      <c r="PPV129" s="90"/>
      <c r="PPW129" s="90"/>
      <c r="PPX129" s="90"/>
      <c r="PPY129" s="90"/>
      <c r="PPZ129" s="90"/>
      <c r="PQA129" s="90"/>
      <c r="PQB129" s="90"/>
      <c r="PQC129" s="90"/>
      <c r="PQD129" s="90"/>
      <c r="PQE129" s="90"/>
      <c r="PQF129" s="90"/>
      <c r="PQG129" s="90"/>
      <c r="PQH129" s="90"/>
      <c r="PQI129" s="90"/>
      <c r="PQJ129" s="90"/>
      <c r="PQK129" s="89"/>
      <c r="PQL129" s="90"/>
      <c r="PQM129" s="90"/>
      <c r="PQN129" s="90"/>
      <c r="PQO129" s="90"/>
      <c r="PQP129" s="90"/>
      <c r="PQQ129" s="90"/>
      <c r="PQR129" s="90"/>
      <c r="PQS129" s="90"/>
      <c r="PQT129" s="90"/>
      <c r="PQU129" s="90"/>
      <c r="PQV129" s="90"/>
      <c r="PQW129" s="90"/>
      <c r="PQX129" s="90"/>
      <c r="PQY129" s="90"/>
      <c r="PQZ129" s="90"/>
      <c r="PRA129" s="90"/>
      <c r="PRB129" s="90"/>
      <c r="PRC129" s="89"/>
      <c r="PRD129" s="90"/>
      <c r="PRE129" s="90"/>
      <c r="PRF129" s="90"/>
      <c r="PRG129" s="90"/>
      <c r="PRH129" s="90"/>
      <c r="PRI129" s="90"/>
      <c r="PRJ129" s="90"/>
      <c r="PRK129" s="90"/>
      <c r="PRL129" s="90"/>
      <c r="PRM129" s="90"/>
      <c r="PRN129" s="90"/>
      <c r="PRO129" s="90"/>
      <c r="PRP129" s="90"/>
      <c r="PRQ129" s="90"/>
      <c r="PRR129" s="90"/>
      <c r="PRS129" s="90"/>
      <c r="PRT129" s="90"/>
      <c r="PRU129" s="89"/>
      <c r="PRV129" s="90"/>
      <c r="PRW129" s="90"/>
      <c r="PRX129" s="90"/>
      <c r="PRY129" s="90"/>
      <c r="PRZ129" s="90"/>
      <c r="PSA129" s="90"/>
      <c r="PSB129" s="90"/>
      <c r="PSC129" s="90"/>
      <c r="PSD129" s="90"/>
      <c r="PSE129" s="90"/>
      <c r="PSF129" s="90"/>
      <c r="PSG129" s="90"/>
      <c r="PSH129" s="90"/>
      <c r="PSI129" s="90"/>
      <c r="PSJ129" s="90"/>
      <c r="PSK129" s="90"/>
      <c r="PSL129" s="90"/>
      <c r="PSM129" s="89"/>
      <c r="PSN129" s="90"/>
      <c r="PSO129" s="90"/>
      <c r="PSP129" s="90"/>
      <c r="PSQ129" s="90"/>
      <c r="PSR129" s="90"/>
      <c r="PSS129" s="90"/>
      <c r="PST129" s="90"/>
      <c r="PSU129" s="90"/>
      <c r="PSV129" s="90"/>
      <c r="PSW129" s="90"/>
      <c r="PSX129" s="90"/>
      <c r="PSY129" s="90"/>
      <c r="PSZ129" s="90"/>
      <c r="PTA129" s="90"/>
      <c r="PTB129" s="90"/>
      <c r="PTC129" s="90"/>
      <c r="PTD129" s="90"/>
      <c r="PTE129" s="89"/>
      <c r="PTF129" s="90"/>
      <c r="PTG129" s="90"/>
      <c r="PTH129" s="90"/>
      <c r="PTI129" s="90"/>
      <c r="PTJ129" s="90"/>
      <c r="PTK129" s="90"/>
      <c r="PTL129" s="90"/>
      <c r="PTM129" s="90"/>
      <c r="PTN129" s="90"/>
      <c r="PTO129" s="90"/>
      <c r="PTP129" s="90"/>
      <c r="PTQ129" s="90"/>
      <c r="PTR129" s="90"/>
      <c r="PTS129" s="90"/>
      <c r="PTT129" s="90"/>
      <c r="PTU129" s="90"/>
      <c r="PTV129" s="90"/>
      <c r="PTW129" s="89"/>
      <c r="PTX129" s="90"/>
      <c r="PTY129" s="90"/>
      <c r="PTZ129" s="90"/>
      <c r="PUA129" s="90"/>
      <c r="PUB129" s="90"/>
      <c r="PUC129" s="90"/>
      <c r="PUD129" s="90"/>
      <c r="PUE129" s="90"/>
      <c r="PUF129" s="90"/>
      <c r="PUG129" s="90"/>
      <c r="PUH129" s="90"/>
      <c r="PUI129" s="90"/>
      <c r="PUJ129" s="90"/>
      <c r="PUK129" s="90"/>
      <c r="PUL129" s="90"/>
      <c r="PUM129" s="90"/>
      <c r="PUN129" s="90"/>
      <c r="PUO129" s="89"/>
      <c r="PUP129" s="90"/>
      <c r="PUQ129" s="90"/>
      <c r="PUR129" s="90"/>
      <c r="PUS129" s="90"/>
      <c r="PUT129" s="90"/>
      <c r="PUU129" s="90"/>
      <c r="PUV129" s="90"/>
      <c r="PUW129" s="90"/>
      <c r="PUX129" s="90"/>
      <c r="PUY129" s="90"/>
      <c r="PUZ129" s="90"/>
      <c r="PVA129" s="90"/>
      <c r="PVB129" s="90"/>
      <c r="PVC129" s="90"/>
      <c r="PVD129" s="90"/>
      <c r="PVE129" s="90"/>
      <c r="PVF129" s="90"/>
      <c r="PVG129" s="89"/>
      <c r="PVH129" s="90"/>
      <c r="PVI129" s="90"/>
      <c r="PVJ129" s="90"/>
      <c r="PVK129" s="90"/>
      <c r="PVL129" s="90"/>
      <c r="PVM129" s="90"/>
      <c r="PVN129" s="90"/>
      <c r="PVO129" s="90"/>
      <c r="PVP129" s="90"/>
      <c r="PVQ129" s="90"/>
      <c r="PVR129" s="90"/>
      <c r="PVS129" s="90"/>
      <c r="PVT129" s="90"/>
      <c r="PVU129" s="90"/>
      <c r="PVV129" s="90"/>
      <c r="PVW129" s="90"/>
      <c r="PVX129" s="90"/>
      <c r="PVY129" s="89"/>
      <c r="PVZ129" s="90"/>
      <c r="PWA129" s="90"/>
      <c r="PWB129" s="90"/>
      <c r="PWC129" s="90"/>
      <c r="PWD129" s="90"/>
      <c r="PWE129" s="90"/>
      <c r="PWF129" s="90"/>
      <c r="PWG129" s="90"/>
      <c r="PWH129" s="90"/>
      <c r="PWI129" s="90"/>
      <c r="PWJ129" s="90"/>
      <c r="PWK129" s="90"/>
      <c r="PWL129" s="90"/>
      <c r="PWM129" s="90"/>
      <c r="PWN129" s="90"/>
      <c r="PWO129" s="90"/>
      <c r="PWP129" s="90"/>
      <c r="PWQ129" s="89"/>
      <c r="PWR129" s="90"/>
      <c r="PWS129" s="90"/>
      <c r="PWT129" s="90"/>
      <c r="PWU129" s="90"/>
      <c r="PWV129" s="90"/>
      <c r="PWW129" s="90"/>
      <c r="PWX129" s="90"/>
      <c r="PWY129" s="90"/>
      <c r="PWZ129" s="90"/>
      <c r="PXA129" s="90"/>
      <c r="PXB129" s="90"/>
      <c r="PXC129" s="90"/>
      <c r="PXD129" s="90"/>
      <c r="PXE129" s="90"/>
      <c r="PXF129" s="90"/>
      <c r="PXG129" s="90"/>
      <c r="PXH129" s="90"/>
      <c r="PXI129" s="89"/>
      <c r="PXJ129" s="90"/>
      <c r="PXK129" s="90"/>
      <c r="PXL129" s="90"/>
      <c r="PXM129" s="90"/>
      <c r="PXN129" s="90"/>
      <c r="PXO129" s="90"/>
      <c r="PXP129" s="90"/>
      <c r="PXQ129" s="90"/>
      <c r="PXR129" s="90"/>
      <c r="PXS129" s="90"/>
      <c r="PXT129" s="90"/>
      <c r="PXU129" s="90"/>
      <c r="PXV129" s="90"/>
      <c r="PXW129" s="90"/>
      <c r="PXX129" s="90"/>
      <c r="PXY129" s="90"/>
      <c r="PXZ129" s="90"/>
      <c r="PYA129" s="89"/>
      <c r="PYB129" s="90"/>
      <c r="PYC129" s="90"/>
      <c r="PYD129" s="90"/>
      <c r="PYE129" s="90"/>
      <c r="PYF129" s="90"/>
      <c r="PYG129" s="90"/>
      <c r="PYH129" s="90"/>
      <c r="PYI129" s="90"/>
      <c r="PYJ129" s="90"/>
      <c r="PYK129" s="90"/>
      <c r="PYL129" s="90"/>
      <c r="PYM129" s="90"/>
      <c r="PYN129" s="90"/>
      <c r="PYO129" s="90"/>
      <c r="PYP129" s="90"/>
      <c r="PYQ129" s="90"/>
      <c r="PYR129" s="90"/>
      <c r="PYS129" s="89"/>
      <c r="PYT129" s="90"/>
      <c r="PYU129" s="90"/>
      <c r="PYV129" s="90"/>
      <c r="PYW129" s="90"/>
      <c r="PYX129" s="90"/>
      <c r="PYY129" s="90"/>
      <c r="PYZ129" s="90"/>
      <c r="PZA129" s="90"/>
      <c r="PZB129" s="90"/>
      <c r="PZC129" s="90"/>
      <c r="PZD129" s="90"/>
      <c r="PZE129" s="90"/>
      <c r="PZF129" s="90"/>
      <c r="PZG129" s="90"/>
      <c r="PZH129" s="90"/>
      <c r="PZI129" s="90"/>
      <c r="PZJ129" s="90"/>
      <c r="PZK129" s="89"/>
      <c r="PZL129" s="90"/>
      <c r="PZM129" s="90"/>
      <c r="PZN129" s="90"/>
      <c r="PZO129" s="90"/>
      <c r="PZP129" s="90"/>
      <c r="PZQ129" s="90"/>
      <c r="PZR129" s="90"/>
      <c r="PZS129" s="90"/>
      <c r="PZT129" s="90"/>
      <c r="PZU129" s="90"/>
      <c r="PZV129" s="90"/>
      <c r="PZW129" s="90"/>
      <c r="PZX129" s="90"/>
      <c r="PZY129" s="90"/>
      <c r="PZZ129" s="90"/>
      <c r="QAA129" s="90"/>
      <c r="QAB129" s="90"/>
      <c r="QAC129" s="89"/>
      <c r="QAD129" s="90"/>
      <c r="QAE129" s="90"/>
      <c r="QAF129" s="90"/>
      <c r="QAG129" s="90"/>
      <c r="QAH129" s="90"/>
      <c r="QAI129" s="90"/>
      <c r="QAJ129" s="90"/>
      <c r="QAK129" s="90"/>
      <c r="QAL129" s="90"/>
      <c r="QAM129" s="90"/>
      <c r="QAN129" s="90"/>
      <c r="QAO129" s="90"/>
      <c r="QAP129" s="90"/>
      <c r="QAQ129" s="90"/>
      <c r="QAR129" s="90"/>
      <c r="QAS129" s="90"/>
      <c r="QAT129" s="90"/>
      <c r="QAU129" s="89"/>
      <c r="QAV129" s="90"/>
      <c r="QAW129" s="90"/>
      <c r="QAX129" s="90"/>
      <c r="QAY129" s="90"/>
      <c r="QAZ129" s="90"/>
      <c r="QBA129" s="90"/>
      <c r="QBB129" s="90"/>
      <c r="QBC129" s="90"/>
      <c r="QBD129" s="90"/>
      <c r="QBE129" s="90"/>
      <c r="QBF129" s="90"/>
      <c r="QBG129" s="90"/>
      <c r="QBH129" s="90"/>
      <c r="QBI129" s="90"/>
      <c r="QBJ129" s="90"/>
      <c r="QBK129" s="90"/>
      <c r="QBL129" s="90"/>
      <c r="QBM129" s="89"/>
      <c r="QBN129" s="90"/>
      <c r="QBO129" s="90"/>
      <c r="QBP129" s="90"/>
      <c r="QBQ129" s="90"/>
      <c r="QBR129" s="90"/>
      <c r="QBS129" s="90"/>
      <c r="QBT129" s="90"/>
      <c r="QBU129" s="90"/>
      <c r="QBV129" s="90"/>
      <c r="QBW129" s="90"/>
      <c r="QBX129" s="90"/>
      <c r="QBY129" s="90"/>
      <c r="QBZ129" s="90"/>
      <c r="QCA129" s="90"/>
      <c r="QCB129" s="90"/>
      <c r="QCC129" s="90"/>
      <c r="QCD129" s="90"/>
      <c r="QCE129" s="89"/>
      <c r="QCF129" s="90"/>
      <c r="QCG129" s="90"/>
      <c r="QCH129" s="90"/>
      <c r="QCI129" s="90"/>
      <c r="QCJ129" s="90"/>
      <c r="QCK129" s="90"/>
      <c r="QCL129" s="90"/>
      <c r="QCM129" s="90"/>
      <c r="QCN129" s="90"/>
      <c r="QCO129" s="90"/>
      <c r="QCP129" s="90"/>
      <c r="QCQ129" s="90"/>
      <c r="QCR129" s="90"/>
      <c r="QCS129" s="90"/>
      <c r="QCT129" s="90"/>
      <c r="QCU129" s="90"/>
      <c r="QCV129" s="90"/>
      <c r="QCW129" s="89"/>
      <c r="QCX129" s="90"/>
      <c r="QCY129" s="90"/>
      <c r="QCZ129" s="90"/>
      <c r="QDA129" s="90"/>
      <c r="QDB129" s="90"/>
      <c r="QDC129" s="90"/>
      <c r="QDD129" s="90"/>
      <c r="QDE129" s="90"/>
      <c r="QDF129" s="90"/>
      <c r="QDG129" s="90"/>
      <c r="QDH129" s="90"/>
      <c r="QDI129" s="90"/>
      <c r="QDJ129" s="90"/>
      <c r="QDK129" s="90"/>
      <c r="QDL129" s="90"/>
      <c r="QDM129" s="90"/>
      <c r="QDN129" s="90"/>
      <c r="QDO129" s="89"/>
      <c r="QDP129" s="90"/>
      <c r="QDQ129" s="90"/>
      <c r="QDR129" s="90"/>
      <c r="QDS129" s="90"/>
      <c r="QDT129" s="90"/>
      <c r="QDU129" s="90"/>
      <c r="QDV129" s="90"/>
      <c r="QDW129" s="90"/>
      <c r="QDX129" s="90"/>
      <c r="QDY129" s="90"/>
      <c r="QDZ129" s="90"/>
      <c r="QEA129" s="90"/>
      <c r="QEB129" s="90"/>
      <c r="QEC129" s="90"/>
      <c r="QED129" s="90"/>
      <c r="QEE129" s="90"/>
      <c r="QEF129" s="90"/>
      <c r="QEG129" s="89"/>
      <c r="QEH129" s="90"/>
      <c r="QEI129" s="90"/>
      <c r="QEJ129" s="90"/>
      <c r="QEK129" s="90"/>
      <c r="QEL129" s="90"/>
      <c r="QEM129" s="90"/>
      <c r="QEN129" s="90"/>
      <c r="QEO129" s="90"/>
      <c r="QEP129" s="90"/>
      <c r="QEQ129" s="90"/>
      <c r="QER129" s="90"/>
      <c r="QES129" s="90"/>
      <c r="QET129" s="90"/>
      <c r="QEU129" s="90"/>
      <c r="QEV129" s="90"/>
      <c r="QEW129" s="90"/>
      <c r="QEX129" s="90"/>
      <c r="QEY129" s="89"/>
      <c r="QEZ129" s="90"/>
      <c r="QFA129" s="90"/>
      <c r="QFB129" s="90"/>
      <c r="QFC129" s="90"/>
      <c r="QFD129" s="90"/>
      <c r="QFE129" s="90"/>
      <c r="QFF129" s="90"/>
      <c r="QFG129" s="90"/>
      <c r="QFH129" s="90"/>
      <c r="QFI129" s="90"/>
      <c r="QFJ129" s="90"/>
      <c r="QFK129" s="90"/>
      <c r="QFL129" s="90"/>
      <c r="QFM129" s="90"/>
      <c r="QFN129" s="90"/>
      <c r="QFO129" s="90"/>
      <c r="QFP129" s="90"/>
      <c r="QFQ129" s="89"/>
      <c r="QFR129" s="90"/>
      <c r="QFS129" s="90"/>
      <c r="QFT129" s="90"/>
      <c r="QFU129" s="90"/>
      <c r="QFV129" s="90"/>
      <c r="QFW129" s="90"/>
      <c r="QFX129" s="90"/>
      <c r="QFY129" s="90"/>
      <c r="QFZ129" s="90"/>
      <c r="QGA129" s="90"/>
      <c r="QGB129" s="90"/>
      <c r="QGC129" s="90"/>
      <c r="QGD129" s="90"/>
      <c r="QGE129" s="90"/>
      <c r="QGF129" s="90"/>
      <c r="QGG129" s="90"/>
      <c r="QGH129" s="90"/>
      <c r="QGI129" s="89"/>
      <c r="QGJ129" s="90"/>
      <c r="QGK129" s="90"/>
      <c r="QGL129" s="90"/>
      <c r="QGM129" s="90"/>
      <c r="QGN129" s="90"/>
      <c r="QGO129" s="90"/>
      <c r="QGP129" s="90"/>
      <c r="QGQ129" s="90"/>
      <c r="QGR129" s="90"/>
      <c r="QGS129" s="90"/>
      <c r="QGT129" s="90"/>
      <c r="QGU129" s="90"/>
      <c r="QGV129" s="90"/>
      <c r="QGW129" s="90"/>
      <c r="QGX129" s="90"/>
      <c r="QGY129" s="90"/>
      <c r="QGZ129" s="90"/>
      <c r="QHA129" s="89"/>
      <c r="QHB129" s="90"/>
      <c r="QHC129" s="90"/>
      <c r="QHD129" s="90"/>
      <c r="QHE129" s="90"/>
      <c r="QHF129" s="90"/>
      <c r="QHG129" s="90"/>
      <c r="QHH129" s="90"/>
      <c r="QHI129" s="90"/>
      <c r="QHJ129" s="90"/>
      <c r="QHK129" s="90"/>
      <c r="QHL129" s="90"/>
      <c r="QHM129" s="90"/>
      <c r="QHN129" s="90"/>
      <c r="QHO129" s="90"/>
      <c r="QHP129" s="90"/>
      <c r="QHQ129" s="90"/>
      <c r="QHR129" s="90"/>
      <c r="QHS129" s="89"/>
      <c r="QHT129" s="90"/>
      <c r="QHU129" s="90"/>
      <c r="QHV129" s="90"/>
      <c r="QHW129" s="90"/>
      <c r="QHX129" s="90"/>
      <c r="QHY129" s="90"/>
      <c r="QHZ129" s="90"/>
      <c r="QIA129" s="90"/>
      <c r="QIB129" s="90"/>
      <c r="QIC129" s="90"/>
      <c r="QID129" s="90"/>
      <c r="QIE129" s="90"/>
      <c r="QIF129" s="90"/>
      <c r="QIG129" s="90"/>
      <c r="QIH129" s="90"/>
      <c r="QII129" s="90"/>
      <c r="QIJ129" s="90"/>
      <c r="QIK129" s="89"/>
      <c r="QIL129" s="90"/>
      <c r="QIM129" s="90"/>
      <c r="QIN129" s="90"/>
      <c r="QIO129" s="90"/>
      <c r="QIP129" s="90"/>
      <c r="QIQ129" s="90"/>
      <c r="QIR129" s="90"/>
      <c r="QIS129" s="90"/>
      <c r="QIT129" s="90"/>
      <c r="QIU129" s="90"/>
      <c r="QIV129" s="90"/>
      <c r="QIW129" s="90"/>
      <c r="QIX129" s="90"/>
      <c r="QIY129" s="90"/>
      <c r="QIZ129" s="90"/>
      <c r="QJA129" s="90"/>
      <c r="QJB129" s="90"/>
      <c r="QJC129" s="89"/>
      <c r="QJD129" s="90"/>
      <c r="QJE129" s="90"/>
      <c r="QJF129" s="90"/>
      <c r="QJG129" s="90"/>
      <c r="QJH129" s="90"/>
      <c r="QJI129" s="90"/>
      <c r="QJJ129" s="90"/>
      <c r="QJK129" s="90"/>
      <c r="QJL129" s="90"/>
      <c r="QJM129" s="90"/>
      <c r="QJN129" s="90"/>
      <c r="QJO129" s="90"/>
      <c r="QJP129" s="90"/>
      <c r="QJQ129" s="90"/>
      <c r="QJR129" s="90"/>
      <c r="QJS129" s="90"/>
      <c r="QJT129" s="90"/>
      <c r="QJU129" s="89"/>
      <c r="QJV129" s="90"/>
      <c r="QJW129" s="90"/>
      <c r="QJX129" s="90"/>
      <c r="QJY129" s="90"/>
      <c r="QJZ129" s="90"/>
      <c r="QKA129" s="90"/>
      <c r="QKB129" s="90"/>
      <c r="QKC129" s="90"/>
      <c r="QKD129" s="90"/>
      <c r="QKE129" s="90"/>
      <c r="QKF129" s="90"/>
      <c r="QKG129" s="90"/>
      <c r="QKH129" s="90"/>
      <c r="QKI129" s="90"/>
      <c r="QKJ129" s="90"/>
      <c r="QKK129" s="90"/>
      <c r="QKL129" s="90"/>
      <c r="QKM129" s="89"/>
      <c r="QKN129" s="90"/>
      <c r="QKO129" s="90"/>
      <c r="QKP129" s="90"/>
      <c r="QKQ129" s="90"/>
      <c r="QKR129" s="90"/>
      <c r="QKS129" s="90"/>
      <c r="QKT129" s="90"/>
      <c r="QKU129" s="90"/>
      <c r="QKV129" s="90"/>
      <c r="QKW129" s="90"/>
      <c r="QKX129" s="90"/>
      <c r="QKY129" s="90"/>
      <c r="QKZ129" s="90"/>
      <c r="QLA129" s="90"/>
      <c r="QLB129" s="90"/>
      <c r="QLC129" s="90"/>
      <c r="QLD129" s="90"/>
      <c r="QLE129" s="89"/>
      <c r="QLF129" s="90"/>
      <c r="QLG129" s="90"/>
      <c r="QLH129" s="90"/>
      <c r="QLI129" s="90"/>
      <c r="QLJ129" s="90"/>
      <c r="QLK129" s="90"/>
      <c r="QLL129" s="90"/>
      <c r="QLM129" s="90"/>
      <c r="QLN129" s="90"/>
      <c r="QLO129" s="90"/>
      <c r="QLP129" s="90"/>
      <c r="QLQ129" s="90"/>
      <c r="QLR129" s="90"/>
      <c r="QLS129" s="90"/>
      <c r="QLT129" s="90"/>
      <c r="QLU129" s="90"/>
      <c r="QLV129" s="90"/>
      <c r="QLW129" s="89"/>
      <c r="QLX129" s="90"/>
      <c r="QLY129" s="90"/>
      <c r="QLZ129" s="90"/>
      <c r="QMA129" s="90"/>
      <c r="QMB129" s="90"/>
      <c r="QMC129" s="90"/>
      <c r="QMD129" s="90"/>
      <c r="QME129" s="90"/>
      <c r="QMF129" s="90"/>
      <c r="QMG129" s="90"/>
      <c r="QMH129" s="90"/>
      <c r="QMI129" s="90"/>
      <c r="QMJ129" s="90"/>
      <c r="QMK129" s="90"/>
      <c r="QML129" s="90"/>
      <c r="QMM129" s="90"/>
      <c r="QMN129" s="90"/>
      <c r="QMO129" s="89"/>
      <c r="QMP129" s="90"/>
      <c r="QMQ129" s="90"/>
      <c r="QMR129" s="90"/>
      <c r="QMS129" s="90"/>
      <c r="QMT129" s="90"/>
      <c r="QMU129" s="90"/>
      <c r="QMV129" s="90"/>
      <c r="QMW129" s="90"/>
      <c r="QMX129" s="90"/>
      <c r="QMY129" s="90"/>
      <c r="QMZ129" s="90"/>
      <c r="QNA129" s="90"/>
      <c r="QNB129" s="90"/>
      <c r="QNC129" s="90"/>
      <c r="QND129" s="90"/>
      <c r="QNE129" s="90"/>
      <c r="QNF129" s="90"/>
      <c r="QNG129" s="89"/>
      <c r="QNH129" s="90"/>
      <c r="QNI129" s="90"/>
      <c r="QNJ129" s="90"/>
      <c r="QNK129" s="90"/>
      <c r="QNL129" s="90"/>
      <c r="QNM129" s="90"/>
      <c r="QNN129" s="90"/>
      <c r="QNO129" s="90"/>
      <c r="QNP129" s="90"/>
      <c r="QNQ129" s="90"/>
      <c r="QNR129" s="90"/>
      <c r="QNS129" s="90"/>
      <c r="QNT129" s="90"/>
      <c r="QNU129" s="90"/>
      <c r="QNV129" s="90"/>
      <c r="QNW129" s="90"/>
      <c r="QNX129" s="90"/>
      <c r="QNY129" s="89"/>
      <c r="QNZ129" s="90"/>
      <c r="QOA129" s="90"/>
      <c r="QOB129" s="90"/>
      <c r="QOC129" s="90"/>
      <c r="QOD129" s="90"/>
      <c r="QOE129" s="90"/>
      <c r="QOF129" s="90"/>
      <c r="QOG129" s="90"/>
      <c r="QOH129" s="90"/>
      <c r="QOI129" s="90"/>
      <c r="QOJ129" s="90"/>
      <c r="QOK129" s="90"/>
      <c r="QOL129" s="90"/>
      <c r="QOM129" s="90"/>
      <c r="QON129" s="90"/>
      <c r="QOO129" s="90"/>
      <c r="QOP129" s="90"/>
      <c r="QOQ129" s="89"/>
      <c r="QOR129" s="90"/>
      <c r="QOS129" s="90"/>
      <c r="QOT129" s="90"/>
      <c r="QOU129" s="90"/>
      <c r="QOV129" s="90"/>
      <c r="QOW129" s="90"/>
      <c r="QOX129" s="90"/>
      <c r="QOY129" s="90"/>
      <c r="QOZ129" s="90"/>
      <c r="QPA129" s="90"/>
      <c r="QPB129" s="90"/>
      <c r="QPC129" s="90"/>
      <c r="QPD129" s="90"/>
      <c r="QPE129" s="90"/>
      <c r="QPF129" s="90"/>
      <c r="QPG129" s="90"/>
      <c r="QPH129" s="90"/>
      <c r="QPI129" s="89"/>
      <c r="QPJ129" s="90"/>
      <c r="QPK129" s="90"/>
      <c r="QPL129" s="90"/>
      <c r="QPM129" s="90"/>
      <c r="QPN129" s="90"/>
      <c r="QPO129" s="90"/>
      <c r="QPP129" s="90"/>
      <c r="QPQ129" s="90"/>
      <c r="QPR129" s="90"/>
      <c r="QPS129" s="90"/>
      <c r="QPT129" s="90"/>
      <c r="QPU129" s="90"/>
      <c r="QPV129" s="90"/>
      <c r="QPW129" s="90"/>
      <c r="QPX129" s="90"/>
      <c r="QPY129" s="90"/>
      <c r="QPZ129" s="90"/>
      <c r="QQA129" s="89"/>
      <c r="QQB129" s="90"/>
      <c r="QQC129" s="90"/>
      <c r="QQD129" s="90"/>
      <c r="QQE129" s="90"/>
      <c r="QQF129" s="90"/>
      <c r="QQG129" s="90"/>
      <c r="QQH129" s="90"/>
      <c r="QQI129" s="90"/>
      <c r="QQJ129" s="90"/>
      <c r="QQK129" s="90"/>
      <c r="QQL129" s="90"/>
      <c r="QQM129" s="90"/>
      <c r="QQN129" s="90"/>
      <c r="QQO129" s="90"/>
      <c r="QQP129" s="90"/>
      <c r="QQQ129" s="90"/>
      <c r="QQR129" s="90"/>
      <c r="QQS129" s="89"/>
      <c r="QQT129" s="90"/>
      <c r="QQU129" s="90"/>
      <c r="QQV129" s="90"/>
      <c r="QQW129" s="90"/>
      <c r="QQX129" s="90"/>
      <c r="QQY129" s="90"/>
      <c r="QQZ129" s="90"/>
      <c r="QRA129" s="90"/>
      <c r="QRB129" s="90"/>
      <c r="QRC129" s="90"/>
      <c r="QRD129" s="90"/>
      <c r="QRE129" s="90"/>
      <c r="QRF129" s="90"/>
      <c r="QRG129" s="90"/>
      <c r="QRH129" s="90"/>
      <c r="QRI129" s="90"/>
      <c r="QRJ129" s="90"/>
      <c r="QRK129" s="89"/>
      <c r="QRL129" s="90"/>
      <c r="QRM129" s="90"/>
      <c r="QRN129" s="90"/>
      <c r="QRO129" s="90"/>
      <c r="QRP129" s="90"/>
      <c r="QRQ129" s="90"/>
      <c r="QRR129" s="90"/>
      <c r="QRS129" s="90"/>
      <c r="QRT129" s="90"/>
      <c r="QRU129" s="90"/>
      <c r="QRV129" s="90"/>
      <c r="QRW129" s="90"/>
      <c r="QRX129" s="90"/>
      <c r="QRY129" s="90"/>
      <c r="QRZ129" s="90"/>
      <c r="QSA129" s="90"/>
      <c r="QSB129" s="90"/>
      <c r="QSC129" s="89"/>
      <c r="QSD129" s="90"/>
      <c r="QSE129" s="90"/>
      <c r="QSF129" s="90"/>
      <c r="QSG129" s="90"/>
      <c r="QSH129" s="90"/>
      <c r="QSI129" s="90"/>
      <c r="QSJ129" s="90"/>
      <c r="QSK129" s="90"/>
      <c r="QSL129" s="90"/>
      <c r="QSM129" s="90"/>
      <c r="QSN129" s="90"/>
      <c r="QSO129" s="90"/>
      <c r="QSP129" s="90"/>
      <c r="QSQ129" s="90"/>
      <c r="QSR129" s="90"/>
      <c r="QSS129" s="90"/>
      <c r="QST129" s="90"/>
      <c r="QSU129" s="89"/>
      <c r="QSV129" s="90"/>
      <c r="QSW129" s="90"/>
      <c r="QSX129" s="90"/>
      <c r="QSY129" s="90"/>
      <c r="QSZ129" s="90"/>
      <c r="QTA129" s="90"/>
      <c r="QTB129" s="90"/>
      <c r="QTC129" s="90"/>
      <c r="QTD129" s="90"/>
      <c r="QTE129" s="90"/>
      <c r="QTF129" s="90"/>
      <c r="QTG129" s="90"/>
      <c r="QTH129" s="90"/>
      <c r="QTI129" s="90"/>
      <c r="QTJ129" s="90"/>
      <c r="QTK129" s="90"/>
      <c r="QTL129" s="90"/>
      <c r="QTM129" s="89"/>
      <c r="QTN129" s="90"/>
      <c r="QTO129" s="90"/>
      <c r="QTP129" s="90"/>
      <c r="QTQ129" s="90"/>
      <c r="QTR129" s="90"/>
      <c r="QTS129" s="90"/>
      <c r="QTT129" s="90"/>
      <c r="QTU129" s="90"/>
      <c r="QTV129" s="90"/>
      <c r="QTW129" s="90"/>
      <c r="QTX129" s="90"/>
      <c r="QTY129" s="90"/>
      <c r="QTZ129" s="90"/>
      <c r="QUA129" s="90"/>
      <c r="QUB129" s="90"/>
      <c r="QUC129" s="90"/>
      <c r="QUD129" s="90"/>
      <c r="QUE129" s="89"/>
      <c r="QUF129" s="90"/>
      <c r="QUG129" s="90"/>
      <c r="QUH129" s="90"/>
      <c r="QUI129" s="90"/>
      <c r="QUJ129" s="90"/>
      <c r="QUK129" s="90"/>
      <c r="QUL129" s="90"/>
      <c r="QUM129" s="90"/>
      <c r="QUN129" s="90"/>
      <c r="QUO129" s="90"/>
      <c r="QUP129" s="90"/>
      <c r="QUQ129" s="90"/>
      <c r="QUR129" s="90"/>
      <c r="QUS129" s="90"/>
      <c r="QUT129" s="90"/>
      <c r="QUU129" s="90"/>
      <c r="QUV129" s="90"/>
      <c r="QUW129" s="89"/>
      <c r="QUX129" s="90"/>
      <c r="QUY129" s="90"/>
      <c r="QUZ129" s="90"/>
      <c r="QVA129" s="90"/>
      <c r="QVB129" s="90"/>
      <c r="QVC129" s="90"/>
      <c r="QVD129" s="90"/>
      <c r="QVE129" s="90"/>
      <c r="QVF129" s="90"/>
      <c r="QVG129" s="90"/>
      <c r="QVH129" s="90"/>
      <c r="QVI129" s="90"/>
      <c r="QVJ129" s="90"/>
      <c r="QVK129" s="90"/>
      <c r="QVL129" s="90"/>
      <c r="QVM129" s="90"/>
      <c r="QVN129" s="90"/>
      <c r="QVO129" s="89"/>
      <c r="QVP129" s="90"/>
      <c r="QVQ129" s="90"/>
      <c r="QVR129" s="90"/>
      <c r="QVS129" s="90"/>
      <c r="QVT129" s="90"/>
      <c r="QVU129" s="90"/>
      <c r="QVV129" s="90"/>
      <c r="QVW129" s="90"/>
      <c r="QVX129" s="90"/>
      <c r="QVY129" s="90"/>
      <c r="QVZ129" s="90"/>
      <c r="QWA129" s="90"/>
      <c r="QWB129" s="90"/>
      <c r="QWC129" s="90"/>
      <c r="QWD129" s="90"/>
      <c r="QWE129" s="90"/>
      <c r="QWF129" s="90"/>
      <c r="QWG129" s="89"/>
      <c r="QWH129" s="90"/>
      <c r="QWI129" s="90"/>
      <c r="QWJ129" s="90"/>
      <c r="QWK129" s="90"/>
      <c r="QWL129" s="90"/>
      <c r="QWM129" s="90"/>
      <c r="QWN129" s="90"/>
      <c r="QWO129" s="90"/>
      <c r="QWP129" s="90"/>
      <c r="QWQ129" s="90"/>
      <c r="QWR129" s="90"/>
      <c r="QWS129" s="90"/>
      <c r="QWT129" s="90"/>
      <c r="QWU129" s="90"/>
      <c r="QWV129" s="90"/>
      <c r="QWW129" s="90"/>
      <c r="QWX129" s="90"/>
      <c r="QWY129" s="89"/>
      <c r="QWZ129" s="90"/>
      <c r="QXA129" s="90"/>
      <c r="QXB129" s="90"/>
      <c r="QXC129" s="90"/>
      <c r="QXD129" s="90"/>
      <c r="QXE129" s="90"/>
      <c r="QXF129" s="90"/>
      <c r="QXG129" s="90"/>
      <c r="QXH129" s="90"/>
      <c r="QXI129" s="90"/>
      <c r="QXJ129" s="90"/>
      <c r="QXK129" s="90"/>
      <c r="QXL129" s="90"/>
      <c r="QXM129" s="90"/>
      <c r="QXN129" s="90"/>
      <c r="QXO129" s="90"/>
      <c r="QXP129" s="90"/>
      <c r="QXQ129" s="89"/>
      <c r="QXR129" s="90"/>
      <c r="QXS129" s="90"/>
      <c r="QXT129" s="90"/>
      <c r="QXU129" s="90"/>
      <c r="QXV129" s="90"/>
      <c r="QXW129" s="90"/>
      <c r="QXX129" s="90"/>
      <c r="QXY129" s="90"/>
      <c r="QXZ129" s="90"/>
      <c r="QYA129" s="90"/>
      <c r="QYB129" s="90"/>
      <c r="QYC129" s="90"/>
      <c r="QYD129" s="90"/>
      <c r="QYE129" s="90"/>
      <c r="QYF129" s="90"/>
      <c r="QYG129" s="90"/>
      <c r="QYH129" s="90"/>
      <c r="QYI129" s="89"/>
      <c r="QYJ129" s="90"/>
      <c r="QYK129" s="90"/>
      <c r="QYL129" s="90"/>
      <c r="QYM129" s="90"/>
      <c r="QYN129" s="90"/>
      <c r="QYO129" s="90"/>
      <c r="QYP129" s="90"/>
      <c r="QYQ129" s="90"/>
      <c r="QYR129" s="90"/>
      <c r="QYS129" s="90"/>
      <c r="QYT129" s="90"/>
      <c r="QYU129" s="90"/>
      <c r="QYV129" s="90"/>
      <c r="QYW129" s="90"/>
      <c r="QYX129" s="90"/>
      <c r="QYY129" s="90"/>
      <c r="QYZ129" s="90"/>
      <c r="QZA129" s="89"/>
      <c r="QZB129" s="90"/>
      <c r="QZC129" s="90"/>
      <c r="QZD129" s="90"/>
      <c r="QZE129" s="90"/>
      <c r="QZF129" s="90"/>
      <c r="QZG129" s="90"/>
      <c r="QZH129" s="90"/>
      <c r="QZI129" s="90"/>
      <c r="QZJ129" s="90"/>
      <c r="QZK129" s="90"/>
      <c r="QZL129" s="90"/>
      <c r="QZM129" s="90"/>
      <c r="QZN129" s="90"/>
      <c r="QZO129" s="90"/>
      <c r="QZP129" s="90"/>
      <c r="QZQ129" s="90"/>
      <c r="QZR129" s="90"/>
      <c r="QZS129" s="89"/>
      <c r="QZT129" s="90"/>
      <c r="QZU129" s="90"/>
      <c r="QZV129" s="90"/>
      <c r="QZW129" s="90"/>
      <c r="QZX129" s="90"/>
      <c r="QZY129" s="90"/>
      <c r="QZZ129" s="90"/>
      <c r="RAA129" s="90"/>
      <c r="RAB129" s="90"/>
      <c r="RAC129" s="90"/>
      <c r="RAD129" s="90"/>
      <c r="RAE129" s="90"/>
      <c r="RAF129" s="90"/>
      <c r="RAG129" s="90"/>
      <c r="RAH129" s="90"/>
      <c r="RAI129" s="90"/>
      <c r="RAJ129" s="90"/>
      <c r="RAK129" s="89"/>
      <c r="RAL129" s="90"/>
      <c r="RAM129" s="90"/>
      <c r="RAN129" s="90"/>
      <c r="RAO129" s="90"/>
      <c r="RAP129" s="90"/>
      <c r="RAQ129" s="90"/>
      <c r="RAR129" s="90"/>
      <c r="RAS129" s="90"/>
      <c r="RAT129" s="90"/>
      <c r="RAU129" s="90"/>
      <c r="RAV129" s="90"/>
      <c r="RAW129" s="90"/>
      <c r="RAX129" s="90"/>
      <c r="RAY129" s="90"/>
      <c r="RAZ129" s="90"/>
      <c r="RBA129" s="90"/>
      <c r="RBB129" s="90"/>
      <c r="RBC129" s="89"/>
      <c r="RBD129" s="90"/>
      <c r="RBE129" s="90"/>
      <c r="RBF129" s="90"/>
      <c r="RBG129" s="90"/>
      <c r="RBH129" s="90"/>
      <c r="RBI129" s="90"/>
      <c r="RBJ129" s="90"/>
      <c r="RBK129" s="90"/>
      <c r="RBL129" s="90"/>
      <c r="RBM129" s="90"/>
      <c r="RBN129" s="90"/>
      <c r="RBO129" s="90"/>
      <c r="RBP129" s="90"/>
      <c r="RBQ129" s="90"/>
      <c r="RBR129" s="90"/>
      <c r="RBS129" s="90"/>
      <c r="RBT129" s="90"/>
      <c r="RBU129" s="89"/>
      <c r="RBV129" s="90"/>
      <c r="RBW129" s="90"/>
      <c r="RBX129" s="90"/>
      <c r="RBY129" s="90"/>
      <c r="RBZ129" s="90"/>
      <c r="RCA129" s="90"/>
      <c r="RCB129" s="90"/>
      <c r="RCC129" s="90"/>
      <c r="RCD129" s="90"/>
      <c r="RCE129" s="90"/>
      <c r="RCF129" s="90"/>
      <c r="RCG129" s="90"/>
      <c r="RCH129" s="90"/>
      <c r="RCI129" s="90"/>
      <c r="RCJ129" s="90"/>
      <c r="RCK129" s="90"/>
      <c r="RCL129" s="90"/>
      <c r="RCM129" s="89"/>
      <c r="RCN129" s="90"/>
      <c r="RCO129" s="90"/>
      <c r="RCP129" s="90"/>
      <c r="RCQ129" s="90"/>
      <c r="RCR129" s="90"/>
      <c r="RCS129" s="90"/>
      <c r="RCT129" s="90"/>
      <c r="RCU129" s="90"/>
      <c r="RCV129" s="90"/>
      <c r="RCW129" s="90"/>
      <c r="RCX129" s="90"/>
      <c r="RCY129" s="90"/>
      <c r="RCZ129" s="90"/>
      <c r="RDA129" s="90"/>
      <c r="RDB129" s="90"/>
      <c r="RDC129" s="90"/>
      <c r="RDD129" s="90"/>
      <c r="RDE129" s="89"/>
      <c r="RDF129" s="90"/>
      <c r="RDG129" s="90"/>
      <c r="RDH129" s="90"/>
      <c r="RDI129" s="90"/>
      <c r="RDJ129" s="90"/>
      <c r="RDK129" s="90"/>
      <c r="RDL129" s="90"/>
      <c r="RDM129" s="90"/>
      <c r="RDN129" s="90"/>
      <c r="RDO129" s="90"/>
      <c r="RDP129" s="90"/>
      <c r="RDQ129" s="90"/>
      <c r="RDR129" s="90"/>
      <c r="RDS129" s="90"/>
      <c r="RDT129" s="90"/>
      <c r="RDU129" s="90"/>
      <c r="RDV129" s="90"/>
      <c r="RDW129" s="89"/>
      <c r="RDX129" s="90"/>
      <c r="RDY129" s="90"/>
      <c r="RDZ129" s="90"/>
      <c r="REA129" s="90"/>
      <c r="REB129" s="90"/>
      <c r="REC129" s="90"/>
      <c r="RED129" s="90"/>
      <c r="REE129" s="90"/>
      <c r="REF129" s="90"/>
      <c r="REG129" s="90"/>
      <c r="REH129" s="90"/>
      <c r="REI129" s="90"/>
      <c r="REJ129" s="90"/>
      <c r="REK129" s="90"/>
      <c r="REL129" s="90"/>
      <c r="REM129" s="90"/>
      <c r="REN129" s="90"/>
      <c r="REO129" s="89"/>
      <c r="REP129" s="90"/>
      <c r="REQ129" s="90"/>
      <c r="RER129" s="90"/>
      <c r="RES129" s="90"/>
      <c r="RET129" s="90"/>
      <c r="REU129" s="90"/>
      <c r="REV129" s="90"/>
      <c r="REW129" s="90"/>
      <c r="REX129" s="90"/>
      <c r="REY129" s="90"/>
      <c r="REZ129" s="90"/>
      <c r="RFA129" s="90"/>
      <c r="RFB129" s="90"/>
      <c r="RFC129" s="90"/>
      <c r="RFD129" s="90"/>
      <c r="RFE129" s="90"/>
      <c r="RFF129" s="90"/>
      <c r="RFG129" s="89"/>
      <c r="RFH129" s="90"/>
      <c r="RFI129" s="90"/>
      <c r="RFJ129" s="90"/>
      <c r="RFK129" s="90"/>
      <c r="RFL129" s="90"/>
      <c r="RFM129" s="90"/>
      <c r="RFN129" s="90"/>
      <c r="RFO129" s="90"/>
      <c r="RFP129" s="90"/>
      <c r="RFQ129" s="90"/>
      <c r="RFR129" s="90"/>
      <c r="RFS129" s="90"/>
      <c r="RFT129" s="90"/>
      <c r="RFU129" s="90"/>
      <c r="RFV129" s="90"/>
      <c r="RFW129" s="90"/>
      <c r="RFX129" s="90"/>
      <c r="RFY129" s="89"/>
      <c r="RFZ129" s="90"/>
      <c r="RGA129" s="90"/>
      <c r="RGB129" s="90"/>
      <c r="RGC129" s="90"/>
      <c r="RGD129" s="90"/>
      <c r="RGE129" s="90"/>
      <c r="RGF129" s="90"/>
      <c r="RGG129" s="90"/>
      <c r="RGH129" s="90"/>
      <c r="RGI129" s="90"/>
      <c r="RGJ129" s="90"/>
      <c r="RGK129" s="90"/>
      <c r="RGL129" s="90"/>
      <c r="RGM129" s="90"/>
      <c r="RGN129" s="90"/>
      <c r="RGO129" s="90"/>
      <c r="RGP129" s="90"/>
      <c r="RGQ129" s="89"/>
      <c r="RGR129" s="90"/>
      <c r="RGS129" s="90"/>
      <c r="RGT129" s="90"/>
      <c r="RGU129" s="90"/>
      <c r="RGV129" s="90"/>
      <c r="RGW129" s="90"/>
      <c r="RGX129" s="90"/>
      <c r="RGY129" s="90"/>
      <c r="RGZ129" s="90"/>
      <c r="RHA129" s="90"/>
      <c r="RHB129" s="90"/>
      <c r="RHC129" s="90"/>
      <c r="RHD129" s="90"/>
      <c r="RHE129" s="90"/>
      <c r="RHF129" s="90"/>
      <c r="RHG129" s="90"/>
      <c r="RHH129" s="90"/>
      <c r="RHI129" s="89"/>
      <c r="RHJ129" s="90"/>
      <c r="RHK129" s="90"/>
      <c r="RHL129" s="90"/>
      <c r="RHM129" s="90"/>
      <c r="RHN129" s="90"/>
      <c r="RHO129" s="90"/>
      <c r="RHP129" s="90"/>
      <c r="RHQ129" s="90"/>
      <c r="RHR129" s="90"/>
      <c r="RHS129" s="90"/>
      <c r="RHT129" s="90"/>
      <c r="RHU129" s="90"/>
      <c r="RHV129" s="90"/>
      <c r="RHW129" s="90"/>
      <c r="RHX129" s="90"/>
      <c r="RHY129" s="90"/>
      <c r="RHZ129" s="90"/>
      <c r="RIA129" s="89"/>
      <c r="RIB129" s="90"/>
      <c r="RIC129" s="90"/>
      <c r="RID129" s="90"/>
      <c r="RIE129" s="90"/>
      <c r="RIF129" s="90"/>
      <c r="RIG129" s="90"/>
      <c r="RIH129" s="90"/>
      <c r="RII129" s="90"/>
      <c r="RIJ129" s="90"/>
      <c r="RIK129" s="90"/>
      <c r="RIL129" s="90"/>
      <c r="RIM129" s="90"/>
      <c r="RIN129" s="90"/>
      <c r="RIO129" s="90"/>
      <c r="RIP129" s="90"/>
      <c r="RIQ129" s="90"/>
      <c r="RIR129" s="90"/>
      <c r="RIS129" s="89"/>
      <c r="RIT129" s="90"/>
      <c r="RIU129" s="90"/>
      <c r="RIV129" s="90"/>
      <c r="RIW129" s="90"/>
      <c r="RIX129" s="90"/>
      <c r="RIY129" s="90"/>
      <c r="RIZ129" s="90"/>
      <c r="RJA129" s="90"/>
      <c r="RJB129" s="90"/>
      <c r="RJC129" s="90"/>
      <c r="RJD129" s="90"/>
      <c r="RJE129" s="90"/>
      <c r="RJF129" s="90"/>
      <c r="RJG129" s="90"/>
      <c r="RJH129" s="90"/>
      <c r="RJI129" s="90"/>
      <c r="RJJ129" s="90"/>
      <c r="RJK129" s="89"/>
      <c r="RJL129" s="90"/>
      <c r="RJM129" s="90"/>
      <c r="RJN129" s="90"/>
      <c r="RJO129" s="90"/>
      <c r="RJP129" s="90"/>
      <c r="RJQ129" s="90"/>
      <c r="RJR129" s="90"/>
      <c r="RJS129" s="90"/>
      <c r="RJT129" s="90"/>
      <c r="RJU129" s="90"/>
      <c r="RJV129" s="90"/>
      <c r="RJW129" s="90"/>
      <c r="RJX129" s="90"/>
      <c r="RJY129" s="90"/>
      <c r="RJZ129" s="90"/>
      <c r="RKA129" s="90"/>
      <c r="RKB129" s="90"/>
      <c r="RKC129" s="89"/>
      <c r="RKD129" s="90"/>
      <c r="RKE129" s="90"/>
      <c r="RKF129" s="90"/>
      <c r="RKG129" s="90"/>
      <c r="RKH129" s="90"/>
      <c r="RKI129" s="90"/>
      <c r="RKJ129" s="90"/>
      <c r="RKK129" s="90"/>
      <c r="RKL129" s="90"/>
      <c r="RKM129" s="90"/>
      <c r="RKN129" s="90"/>
      <c r="RKO129" s="90"/>
      <c r="RKP129" s="90"/>
      <c r="RKQ129" s="90"/>
      <c r="RKR129" s="90"/>
      <c r="RKS129" s="90"/>
      <c r="RKT129" s="90"/>
      <c r="RKU129" s="89"/>
      <c r="RKV129" s="90"/>
      <c r="RKW129" s="90"/>
      <c r="RKX129" s="90"/>
      <c r="RKY129" s="90"/>
      <c r="RKZ129" s="90"/>
      <c r="RLA129" s="90"/>
      <c r="RLB129" s="90"/>
      <c r="RLC129" s="90"/>
      <c r="RLD129" s="90"/>
      <c r="RLE129" s="90"/>
      <c r="RLF129" s="90"/>
      <c r="RLG129" s="90"/>
      <c r="RLH129" s="90"/>
      <c r="RLI129" s="90"/>
      <c r="RLJ129" s="90"/>
      <c r="RLK129" s="90"/>
      <c r="RLL129" s="90"/>
      <c r="RLM129" s="89"/>
      <c r="RLN129" s="90"/>
      <c r="RLO129" s="90"/>
      <c r="RLP129" s="90"/>
      <c r="RLQ129" s="90"/>
      <c r="RLR129" s="90"/>
      <c r="RLS129" s="90"/>
      <c r="RLT129" s="90"/>
      <c r="RLU129" s="90"/>
      <c r="RLV129" s="90"/>
      <c r="RLW129" s="90"/>
      <c r="RLX129" s="90"/>
      <c r="RLY129" s="90"/>
      <c r="RLZ129" s="90"/>
      <c r="RMA129" s="90"/>
      <c r="RMB129" s="90"/>
      <c r="RMC129" s="90"/>
      <c r="RMD129" s="90"/>
      <c r="RME129" s="89"/>
      <c r="RMF129" s="90"/>
      <c r="RMG129" s="90"/>
      <c r="RMH129" s="90"/>
      <c r="RMI129" s="90"/>
      <c r="RMJ129" s="90"/>
      <c r="RMK129" s="90"/>
      <c r="RML129" s="90"/>
      <c r="RMM129" s="90"/>
      <c r="RMN129" s="90"/>
      <c r="RMO129" s="90"/>
      <c r="RMP129" s="90"/>
      <c r="RMQ129" s="90"/>
      <c r="RMR129" s="90"/>
      <c r="RMS129" s="90"/>
      <c r="RMT129" s="90"/>
      <c r="RMU129" s="90"/>
      <c r="RMV129" s="90"/>
      <c r="RMW129" s="89"/>
      <c r="RMX129" s="90"/>
      <c r="RMY129" s="90"/>
      <c r="RMZ129" s="90"/>
      <c r="RNA129" s="90"/>
      <c r="RNB129" s="90"/>
      <c r="RNC129" s="90"/>
      <c r="RND129" s="90"/>
      <c r="RNE129" s="90"/>
      <c r="RNF129" s="90"/>
      <c r="RNG129" s="90"/>
      <c r="RNH129" s="90"/>
      <c r="RNI129" s="90"/>
      <c r="RNJ129" s="90"/>
      <c r="RNK129" s="90"/>
      <c r="RNL129" s="90"/>
      <c r="RNM129" s="90"/>
      <c r="RNN129" s="90"/>
      <c r="RNO129" s="89"/>
      <c r="RNP129" s="90"/>
      <c r="RNQ129" s="90"/>
      <c r="RNR129" s="90"/>
      <c r="RNS129" s="90"/>
      <c r="RNT129" s="90"/>
      <c r="RNU129" s="90"/>
      <c r="RNV129" s="90"/>
      <c r="RNW129" s="90"/>
      <c r="RNX129" s="90"/>
      <c r="RNY129" s="90"/>
      <c r="RNZ129" s="90"/>
      <c r="ROA129" s="90"/>
      <c r="ROB129" s="90"/>
      <c r="ROC129" s="90"/>
      <c r="ROD129" s="90"/>
      <c r="ROE129" s="90"/>
      <c r="ROF129" s="90"/>
      <c r="ROG129" s="89"/>
      <c r="ROH129" s="90"/>
      <c r="ROI129" s="90"/>
      <c r="ROJ129" s="90"/>
      <c r="ROK129" s="90"/>
      <c r="ROL129" s="90"/>
      <c r="ROM129" s="90"/>
      <c r="RON129" s="90"/>
      <c r="ROO129" s="90"/>
      <c r="ROP129" s="90"/>
      <c r="ROQ129" s="90"/>
      <c r="ROR129" s="90"/>
      <c r="ROS129" s="90"/>
      <c r="ROT129" s="90"/>
      <c r="ROU129" s="90"/>
      <c r="ROV129" s="90"/>
      <c r="ROW129" s="90"/>
      <c r="ROX129" s="90"/>
      <c r="ROY129" s="89"/>
      <c r="ROZ129" s="90"/>
      <c r="RPA129" s="90"/>
      <c r="RPB129" s="90"/>
      <c r="RPC129" s="90"/>
      <c r="RPD129" s="90"/>
      <c r="RPE129" s="90"/>
      <c r="RPF129" s="90"/>
      <c r="RPG129" s="90"/>
      <c r="RPH129" s="90"/>
      <c r="RPI129" s="90"/>
      <c r="RPJ129" s="90"/>
      <c r="RPK129" s="90"/>
      <c r="RPL129" s="90"/>
      <c r="RPM129" s="90"/>
      <c r="RPN129" s="90"/>
      <c r="RPO129" s="90"/>
      <c r="RPP129" s="90"/>
      <c r="RPQ129" s="89"/>
      <c r="RPR129" s="90"/>
      <c r="RPS129" s="90"/>
      <c r="RPT129" s="90"/>
      <c r="RPU129" s="90"/>
      <c r="RPV129" s="90"/>
      <c r="RPW129" s="90"/>
      <c r="RPX129" s="90"/>
      <c r="RPY129" s="90"/>
      <c r="RPZ129" s="90"/>
      <c r="RQA129" s="90"/>
      <c r="RQB129" s="90"/>
      <c r="RQC129" s="90"/>
      <c r="RQD129" s="90"/>
      <c r="RQE129" s="90"/>
      <c r="RQF129" s="90"/>
      <c r="RQG129" s="90"/>
      <c r="RQH129" s="90"/>
      <c r="RQI129" s="89"/>
      <c r="RQJ129" s="90"/>
      <c r="RQK129" s="90"/>
      <c r="RQL129" s="90"/>
      <c r="RQM129" s="90"/>
      <c r="RQN129" s="90"/>
      <c r="RQO129" s="90"/>
      <c r="RQP129" s="90"/>
      <c r="RQQ129" s="90"/>
      <c r="RQR129" s="90"/>
      <c r="RQS129" s="90"/>
      <c r="RQT129" s="90"/>
      <c r="RQU129" s="90"/>
      <c r="RQV129" s="90"/>
      <c r="RQW129" s="90"/>
      <c r="RQX129" s="90"/>
      <c r="RQY129" s="90"/>
      <c r="RQZ129" s="90"/>
      <c r="RRA129" s="89"/>
      <c r="RRB129" s="90"/>
      <c r="RRC129" s="90"/>
      <c r="RRD129" s="90"/>
      <c r="RRE129" s="90"/>
      <c r="RRF129" s="90"/>
      <c r="RRG129" s="90"/>
      <c r="RRH129" s="90"/>
      <c r="RRI129" s="90"/>
      <c r="RRJ129" s="90"/>
      <c r="RRK129" s="90"/>
      <c r="RRL129" s="90"/>
      <c r="RRM129" s="90"/>
      <c r="RRN129" s="90"/>
      <c r="RRO129" s="90"/>
      <c r="RRP129" s="90"/>
      <c r="RRQ129" s="90"/>
      <c r="RRR129" s="90"/>
      <c r="RRS129" s="89"/>
      <c r="RRT129" s="90"/>
      <c r="RRU129" s="90"/>
      <c r="RRV129" s="90"/>
      <c r="RRW129" s="90"/>
      <c r="RRX129" s="90"/>
      <c r="RRY129" s="90"/>
      <c r="RRZ129" s="90"/>
      <c r="RSA129" s="90"/>
      <c r="RSB129" s="90"/>
      <c r="RSC129" s="90"/>
      <c r="RSD129" s="90"/>
      <c r="RSE129" s="90"/>
      <c r="RSF129" s="90"/>
      <c r="RSG129" s="90"/>
      <c r="RSH129" s="90"/>
      <c r="RSI129" s="90"/>
      <c r="RSJ129" s="90"/>
      <c r="RSK129" s="89"/>
      <c r="RSL129" s="90"/>
      <c r="RSM129" s="90"/>
      <c r="RSN129" s="90"/>
      <c r="RSO129" s="90"/>
      <c r="RSP129" s="90"/>
      <c r="RSQ129" s="90"/>
      <c r="RSR129" s="90"/>
      <c r="RSS129" s="90"/>
      <c r="RST129" s="90"/>
      <c r="RSU129" s="90"/>
      <c r="RSV129" s="90"/>
      <c r="RSW129" s="90"/>
      <c r="RSX129" s="90"/>
      <c r="RSY129" s="90"/>
      <c r="RSZ129" s="90"/>
      <c r="RTA129" s="90"/>
      <c r="RTB129" s="90"/>
      <c r="RTC129" s="89"/>
      <c r="RTD129" s="90"/>
      <c r="RTE129" s="90"/>
      <c r="RTF129" s="90"/>
      <c r="RTG129" s="90"/>
      <c r="RTH129" s="90"/>
      <c r="RTI129" s="90"/>
      <c r="RTJ129" s="90"/>
      <c r="RTK129" s="90"/>
      <c r="RTL129" s="90"/>
      <c r="RTM129" s="90"/>
      <c r="RTN129" s="90"/>
      <c r="RTO129" s="90"/>
      <c r="RTP129" s="90"/>
      <c r="RTQ129" s="90"/>
      <c r="RTR129" s="90"/>
      <c r="RTS129" s="90"/>
      <c r="RTT129" s="90"/>
      <c r="RTU129" s="89"/>
      <c r="RTV129" s="90"/>
      <c r="RTW129" s="90"/>
      <c r="RTX129" s="90"/>
      <c r="RTY129" s="90"/>
      <c r="RTZ129" s="90"/>
      <c r="RUA129" s="90"/>
      <c r="RUB129" s="90"/>
      <c r="RUC129" s="90"/>
      <c r="RUD129" s="90"/>
      <c r="RUE129" s="90"/>
      <c r="RUF129" s="90"/>
      <c r="RUG129" s="90"/>
      <c r="RUH129" s="90"/>
      <c r="RUI129" s="90"/>
      <c r="RUJ129" s="90"/>
      <c r="RUK129" s="90"/>
      <c r="RUL129" s="90"/>
      <c r="RUM129" s="89"/>
      <c r="RUN129" s="90"/>
      <c r="RUO129" s="90"/>
      <c r="RUP129" s="90"/>
      <c r="RUQ129" s="90"/>
      <c r="RUR129" s="90"/>
      <c r="RUS129" s="90"/>
      <c r="RUT129" s="90"/>
      <c r="RUU129" s="90"/>
      <c r="RUV129" s="90"/>
      <c r="RUW129" s="90"/>
      <c r="RUX129" s="90"/>
      <c r="RUY129" s="90"/>
      <c r="RUZ129" s="90"/>
      <c r="RVA129" s="90"/>
      <c r="RVB129" s="90"/>
      <c r="RVC129" s="90"/>
      <c r="RVD129" s="90"/>
      <c r="RVE129" s="89"/>
      <c r="RVF129" s="90"/>
      <c r="RVG129" s="90"/>
      <c r="RVH129" s="90"/>
      <c r="RVI129" s="90"/>
      <c r="RVJ129" s="90"/>
      <c r="RVK129" s="90"/>
      <c r="RVL129" s="90"/>
      <c r="RVM129" s="90"/>
      <c r="RVN129" s="90"/>
      <c r="RVO129" s="90"/>
      <c r="RVP129" s="90"/>
      <c r="RVQ129" s="90"/>
      <c r="RVR129" s="90"/>
      <c r="RVS129" s="90"/>
      <c r="RVT129" s="90"/>
      <c r="RVU129" s="90"/>
      <c r="RVV129" s="90"/>
      <c r="RVW129" s="89"/>
      <c r="RVX129" s="90"/>
      <c r="RVY129" s="90"/>
      <c r="RVZ129" s="90"/>
      <c r="RWA129" s="90"/>
      <c r="RWB129" s="90"/>
      <c r="RWC129" s="90"/>
      <c r="RWD129" s="90"/>
      <c r="RWE129" s="90"/>
      <c r="RWF129" s="90"/>
      <c r="RWG129" s="90"/>
      <c r="RWH129" s="90"/>
      <c r="RWI129" s="90"/>
      <c r="RWJ129" s="90"/>
      <c r="RWK129" s="90"/>
      <c r="RWL129" s="90"/>
      <c r="RWM129" s="90"/>
      <c r="RWN129" s="90"/>
      <c r="RWO129" s="89"/>
      <c r="RWP129" s="90"/>
      <c r="RWQ129" s="90"/>
      <c r="RWR129" s="90"/>
      <c r="RWS129" s="90"/>
      <c r="RWT129" s="90"/>
      <c r="RWU129" s="90"/>
      <c r="RWV129" s="90"/>
      <c r="RWW129" s="90"/>
      <c r="RWX129" s="90"/>
      <c r="RWY129" s="90"/>
      <c r="RWZ129" s="90"/>
      <c r="RXA129" s="90"/>
      <c r="RXB129" s="90"/>
      <c r="RXC129" s="90"/>
      <c r="RXD129" s="90"/>
      <c r="RXE129" s="90"/>
      <c r="RXF129" s="90"/>
      <c r="RXG129" s="89"/>
      <c r="RXH129" s="90"/>
      <c r="RXI129" s="90"/>
      <c r="RXJ129" s="90"/>
      <c r="RXK129" s="90"/>
      <c r="RXL129" s="90"/>
      <c r="RXM129" s="90"/>
      <c r="RXN129" s="90"/>
      <c r="RXO129" s="90"/>
      <c r="RXP129" s="90"/>
      <c r="RXQ129" s="90"/>
      <c r="RXR129" s="90"/>
      <c r="RXS129" s="90"/>
      <c r="RXT129" s="90"/>
      <c r="RXU129" s="90"/>
      <c r="RXV129" s="90"/>
      <c r="RXW129" s="90"/>
      <c r="RXX129" s="90"/>
      <c r="RXY129" s="89"/>
      <c r="RXZ129" s="90"/>
      <c r="RYA129" s="90"/>
      <c r="RYB129" s="90"/>
      <c r="RYC129" s="90"/>
      <c r="RYD129" s="90"/>
      <c r="RYE129" s="90"/>
      <c r="RYF129" s="90"/>
      <c r="RYG129" s="90"/>
      <c r="RYH129" s="90"/>
      <c r="RYI129" s="90"/>
      <c r="RYJ129" s="90"/>
      <c r="RYK129" s="90"/>
      <c r="RYL129" s="90"/>
      <c r="RYM129" s="90"/>
      <c r="RYN129" s="90"/>
      <c r="RYO129" s="90"/>
      <c r="RYP129" s="90"/>
      <c r="RYQ129" s="89"/>
      <c r="RYR129" s="90"/>
      <c r="RYS129" s="90"/>
      <c r="RYT129" s="90"/>
      <c r="RYU129" s="90"/>
      <c r="RYV129" s="90"/>
      <c r="RYW129" s="90"/>
      <c r="RYX129" s="90"/>
      <c r="RYY129" s="90"/>
      <c r="RYZ129" s="90"/>
      <c r="RZA129" s="90"/>
      <c r="RZB129" s="90"/>
      <c r="RZC129" s="90"/>
      <c r="RZD129" s="90"/>
      <c r="RZE129" s="90"/>
      <c r="RZF129" s="90"/>
      <c r="RZG129" s="90"/>
      <c r="RZH129" s="90"/>
      <c r="RZI129" s="89"/>
      <c r="RZJ129" s="90"/>
      <c r="RZK129" s="90"/>
      <c r="RZL129" s="90"/>
      <c r="RZM129" s="90"/>
      <c r="RZN129" s="90"/>
      <c r="RZO129" s="90"/>
      <c r="RZP129" s="90"/>
      <c r="RZQ129" s="90"/>
      <c r="RZR129" s="90"/>
      <c r="RZS129" s="90"/>
      <c r="RZT129" s="90"/>
      <c r="RZU129" s="90"/>
      <c r="RZV129" s="90"/>
      <c r="RZW129" s="90"/>
      <c r="RZX129" s="90"/>
      <c r="RZY129" s="90"/>
      <c r="RZZ129" s="90"/>
      <c r="SAA129" s="89"/>
      <c r="SAB129" s="90"/>
      <c r="SAC129" s="90"/>
      <c r="SAD129" s="90"/>
      <c r="SAE129" s="90"/>
      <c r="SAF129" s="90"/>
      <c r="SAG129" s="90"/>
      <c r="SAH129" s="90"/>
      <c r="SAI129" s="90"/>
      <c r="SAJ129" s="90"/>
      <c r="SAK129" s="90"/>
      <c r="SAL129" s="90"/>
      <c r="SAM129" s="90"/>
      <c r="SAN129" s="90"/>
      <c r="SAO129" s="90"/>
      <c r="SAP129" s="90"/>
      <c r="SAQ129" s="90"/>
      <c r="SAR129" s="90"/>
      <c r="SAS129" s="89"/>
      <c r="SAT129" s="90"/>
      <c r="SAU129" s="90"/>
      <c r="SAV129" s="90"/>
      <c r="SAW129" s="90"/>
      <c r="SAX129" s="90"/>
      <c r="SAY129" s="90"/>
      <c r="SAZ129" s="90"/>
      <c r="SBA129" s="90"/>
      <c r="SBB129" s="90"/>
      <c r="SBC129" s="90"/>
      <c r="SBD129" s="90"/>
      <c r="SBE129" s="90"/>
      <c r="SBF129" s="90"/>
      <c r="SBG129" s="90"/>
      <c r="SBH129" s="90"/>
      <c r="SBI129" s="90"/>
      <c r="SBJ129" s="90"/>
      <c r="SBK129" s="89"/>
      <c r="SBL129" s="90"/>
      <c r="SBM129" s="90"/>
      <c r="SBN129" s="90"/>
      <c r="SBO129" s="90"/>
      <c r="SBP129" s="90"/>
      <c r="SBQ129" s="90"/>
      <c r="SBR129" s="90"/>
      <c r="SBS129" s="90"/>
      <c r="SBT129" s="90"/>
      <c r="SBU129" s="90"/>
      <c r="SBV129" s="90"/>
      <c r="SBW129" s="90"/>
      <c r="SBX129" s="90"/>
      <c r="SBY129" s="90"/>
      <c r="SBZ129" s="90"/>
      <c r="SCA129" s="90"/>
      <c r="SCB129" s="90"/>
      <c r="SCC129" s="89"/>
      <c r="SCD129" s="90"/>
      <c r="SCE129" s="90"/>
      <c r="SCF129" s="90"/>
      <c r="SCG129" s="90"/>
      <c r="SCH129" s="90"/>
      <c r="SCI129" s="90"/>
      <c r="SCJ129" s="90"/>
      <c r="SCK129" s="90"/>
      <c r="SCL129" s="90"/>
      <c r="SCM129" s="90"/>
      <c r="SCN129" s="90"/>
      <c r="SCO129" s="90"/>
      <c r="SCP129" s="90"/>
      <c r="SCQ129" s="90"/>
      <c r="SCR129" s="90"/>
      <c r="SCS129" s="90"/>
      <c r="SCT129" s="90"/>
      <c r="SCU129" s="89"/>
      <c r="SCV129" s="90"/>
      <c r="SCW129" s="90"/>
      <c r="SCX129" s="90"/>
      <c r="SCY129" s="90"/>
      <c r="SCZ129" s="90"/>
      <c r="SDA129" s="90"/>
      <c r="SDB129" s="90"/>
      <c r="SDC129" s="90"/>
      <c r="SDD129" s="90"/>
      <c r="SDE129" s="90"/>
      <c r="SDF129" s="90"/>
      <c r="SDG129" s="90"/>
      <c r="SDH129" s="90"/>
      <c r="SDI129" s="90"/>
      <c r="SDJ129" s="90"/>
      <c r="SDK129" s="90"/>
      <c r="SDL129" s="90"/>
      <c r="SDM129" s="89"/>
      <c r="SDN129" s="90"/>
      <c r="SDO129" s="90"/>
      <c r="SDP129" s="90"/>
      <c r="SDQ129" s="90"/>
      <c r="SDR129" s="90"/>
      <c r="SDS129" s="90"/>
      <c r="SDT129" s="90"/>
      <c r="SDU129" s="90"/>
      <c r="SDV129" s="90"/>
      <c r="SDW129" s="90"/>
      <c r="SDX129" s="90"/>
      <c r="SDY129" s="90"/>
      <c r="SDZ129" s="90"/>
      <c r="SEA129" s="90"/>
      <c r="SEB129" s="90"/>
      <c r="SEC129" s="90"/>
      <c r="SED129" s="90"/>
      <c r="SEE129" s="89"/>
      <c r="SEF129" s="90"/>
      <c r="SEG129" s="90"/>
      <c r="SEH129" s="90"/>
      <c r="SEI129" s="90"/>
      <c r="SEJ129" s="90"/>
      <c r="SEK129" s="90"/>
      <c r="SEL129" s="90"/>
      <c r="SEM129" s="90"/>
      <c r="SEN129" s="90"/>
      <c r="SEO129" s="90"/>
      <c r="SEP129" s="90"/>
      <c r="SEQ129" s="90"/>
      <c r="SER129" s="90"/>
      <c r="SES129" s="90"/>
      <c r="SET129" s="90"/>
      <c r="SEU129" s="90"/>
      <c r="SEV129" s="90"/>
      <c r="SEW129" s="89"/>
      <c r="SEX129" s="90"/>
      <c r="SEY129" s="90"/>
      <c r="SEZ129" s="90"/>
      <c r="SFA129" s="90"/>
      <c r="SFB129" s="90"/>
      <c r="SFC129" s="90"/>
      <c r="SFD129" s="90"/>
      <c r="SFE129" s="90"/>
      <c r="SFF129" s="90"/>
      <c r="SFG129" s="90"/>
      <c r="SFH129" s="90"/>
      <c r="SFI129" s="90"/>
      <c r="SFJ129" s="90"/>
      <c r="SFK129" s="90"/>
      <c r="SFL129" s="90"/>
      <c r="SFM129" s="90"/>
      <c r="SFN129" s="90"/>
      <c r="SFO129" s="89"/>
      <c r="SFP129" s="90"/>
      <c r="SFQ129" s="90"/>
      <c r="SFR129" s="90"/>
      <c r="SFS129" s="90"/>
      <c r="SFT129" s="90"/>
      <c r="SFU129" s="90"/>
      <c r="SFV129" s="90"/>
      <c r="SFW129" s="90"/>
      <c r="SFX129" s="90"/>
      <c r="SFY129" s="90"/>
      <c r="SFZ129" s="90"/>
      <c r="SGA129" s="90"/>
      <c r="SGB129" s="90"/>
      <c r="SGC129" s="90"/>
      <c r="SGD129" s="90"/>
      <c r="SGE129" s="90"/>
      <c r="SGF129" s="90"/>
      <c r="SGG129" s="89"/>
      <c r="SGH129" s="90"/>
      <c r="SGI129" s="90"/>
      <c r="SGJ129" s="90"/>
      <c r="SGK129" s="90"/>
      <c r="SGL129" s="90"/>
      <c r="SGM129" s="90"/>
      <c r="SGN129" s="90"/>
      <c r="SGO129" s="90"/>
      <c r="SGP129" s="90"/>
      <c r="SGQ129" s="90"/>
      <c r="SGR129" s="90"/>
      <c r="SGS129" s="90"/>
      <c r="SGT129" s="90"/>
      <c r="SGU129" s="90"/>
      <c r="SGV129" s="90"/>
      <c r="SGW129" s="90"/>
      <c r="SGX129" s="90"/>
      <c r="SGY129" s="89"/>
      <c r="SGZ129" s="90"/>
      <c r="SHA129" s="90"/>
      <c r="SHB129" s="90"/>
      <c r="SHC129" s="90"/>
      <c r="SHD129" s="90"/>
      <c r="SHE129" s="90"/>
      <c r="SHF129" s="90"/>
      <c r="SHG129" s="90"/>
      <c r="SHH129" s="90"/>
      <c r="SHI129" s="90"/>
      <c r="SHJ129" s="90"/>
      <c r="SHK129" s="90"/>
      <c r="SHL129" s="90"/>
      <c r="SHM129" s="90"/>
      <c r="SHN129" s="90"/>
      <c r="SHO129" s="90"/>
      <c r="SHP129" s="90"/>
      <c r="SHQ129" s="89"/>
      <c r="SHR129" s="90"/>
      <c r="SHS129" s="90"/>
      <c r="SHT129" s="90"/>
      <c r="SHU129" s="90"/>
      <c r="SHV129" s="90"/>
      <c r="SHW129" s="90"/>
      <c r="SHX129" s="90"/>
      <c r="SHY129" s="90"/>
      <c r="SHZ129" s="90"/>
      <c r="SIA129" s="90"/>
      <c r="SIB129" s="90"/>
      <c r="SIC129" s="90"/>
      <c r="SID129" s="90"/>
      <c r="SIE129" s="90"/>
      <c r="SIF129" s="90"/>
      <c r="SIG129" s="90"/>
      <c r="SIH129" s="90"/>
      <c r="SII129" s="89"/>
      <c r="SIJ129" s="90"/>
      <c r="SIK129" s="90"/>
      <c r="SIL129" s="90"/>
      <c r="SIM129" s="90"/>
      <c r="SIN129" s="90"/>
      <c r="SIO129" s="90"/>
      <c r="SIP129" s="90"/>
      <c r="SIQ129" s="90"/>
      <c r="SIR129" s="90"/>
      <c r="SIS129" s="90"/>
      <c r="SIT129" s="90"/>
      <c r="SIU129" s="90"/>
      <c r="SIV129" s="90"/>
      <c r="SIW129" s="90"/>
      <c r="SIX129" s="90"/>
      <c r="SIY129" s="90"/>
      <c r="SIZ129" s="90"/>
      <c r="SJA129" s="89"/>
      <c r="SJB129" s="90"/>
      <c r="SJC129" s="90"/>
      <c r="SJD129" s="90"/>
      <c r="SJE129" s="90"/>
      <c r="SJF129" s="90"/>
      <c r="SJG129" s="90"/>
      <c r="SJH129" s="90"/>
      <c r="SJI129" s="90"/>
      <c r="SJJ129" s="90"/>
      <c r="SJK129" s="90"/>
      <c r="SJL129" s="90"/>
      <c r="SJM129" s="90"/>
      <c r="SJN129" s="90"/>
      <c r="SJO129" s="90"/>
      <c r="SJP129" s="90"/>
      <c r="SJQ129" s="90"/>
      <c r="SJR129" s="90"/>
      <c r="SJS129" s="89"/>
      <c r="SJT129" s="90"/>
      <c r="SJU129" s="90"/>
      <c r="SJV129" s="90"/>
      <c r="SJW129" s="90"/>
      <c r="SJX129" s="90"/>
      <c r="SJY129" s="90"/>
      <c r="SJZ129" s="90"/>
      <c r="SKA129" s="90"/>
      <c r="SKB129" s="90"/>
      <c r="SKC129" s="90"/>
      <c r="SKD129" s="90"/>
      <c r="SKE129" s="90"/>
      <c r="SKF129" s="90"/>
      <c r="SKG129" s="90"/>
      <c r="SKH129" s="90"/>
      <c r="SKI129" s="90"/>
      <c r="SKJ129" s="90"/>
      <c r="SKK129" s="89"/>
      <c r="SKL129" s="90"/>
      <c r="SKM129" s="90"/>
      <c r="SKN129" s="90"/>
      <c r="SKO129" s="90"/>
      <c r="SKP129" s="90"/>
      <c r="SKQ129" s="90"/>
      <c r="SKR129" s="90"/>
      <c r="SKS129" s="90"/>
      <c r="SKT129" s="90"/>
      <c r="SKU129" s="90"/>
      <c r="SKV129" s="90"/>
      <c r="SKW129" s="90"/>
      <c r="SKX129" s="90"/>
      <c r="SKY129" s="90"/>
      <c r="SKZ129" s="90"/>
      <c r="SLA129" s="90"/>
      <c r="SLB129" s="90"/>
      <c r="SLC129" s="89"/>
      <c r="SLD129" s="90"/>
      <c r="SLE129" s="90"/>
      <c r="SLF129" s="90"/>
      <c r="SLG129" s="90"/>
      <c r="SLH129" s="90"/>
      <c r="SLI129" s="90"/>
      <c r="SLJ129" s="90"/>
      <c r="SLK129" s="90"/>
      <c r="SLL129" s="90"/>
      <c r="SLM129" s="90"/>
      <c r="SLN129" s="90"/>
      <c r="SLO129" s="90"/>
      <c r="SLP129" s="90"/>
      <c r="SLQ129" s="90"/>
      <c r="SLR129" s="90"/>
      <c r="SLS129" s="90"/>
      <c r="SLT129" s="90"/>
      <c r="SLU129" s="89"/>
      <c r="SLV129" s="90"/>
      <c r="SLW129" s="90"/>
      <c r="SLX129" s="90"/>
      <c r="SLY129" s="90"/>
      <c r="SLZ129" s="90"/>
      <c r="SMA129" s="90"/>
      <c r="SMB129" s="90"/>
      <c r="SMC129" s="90"/>
      <c r="SMD129" s="90"/>
      <c r="SME129" s="90"/>
      <c r="SMF129" s="90"/>
      <c r="SMG129" s="90"/>
      <c r="SMH129" s="90"/>
      <c r="SMI129" s="90"/>
      <c r="SMJ129" s="90"/>
      <c r="SMK129" s="90"/>
      <c r="SML129" s="90"/>
      <c r="SMM129" s="89"/>
      <c r="SMN129" s="90"/>
      <c r="SMO129" s="90"/>
      <c r="SMP129" s="90"/>
      <c r="SMQ129" s="90"/>
      <c r="SMR129" s="90"/>
      <c r="SMS129" s="90"/>
      <c r="SMT129" s="90"/>
      <c r="SMU129" s="90"/>
      <c r="SMV129" s="90"/>
      <c r="SMW129" s="90"/>
      <c r="SMX129" s="90"/>
      <c r="SMY129" s="90"/>
      <c r="SMZ129" s="90"/>
      <c r="SNA129" s="90"/>
      <c r="SNB129" s="90"/>
      <c r="SNC129" s="90"/>
      <c r="SND129" s="90"/>
      <c r="SNE129" s="89"/>
      <c r="SNF129" s="90"/>
      <c r="SNG129" s="90"/>
      <c r="SNH129" s="90"/>
      <c r="SNI129" s="90"/>
      <c r="SNJ129" s="90"/>
      <c r="SNK129" s="90"/>
      <c r="SNL129" s="90"/>
      <c r="SNM129" s="90"/>
      <c r="SNN129" s="90"/>
      <c r="SNO129" s="90"/>
      <c r="SNP129" s="90"/>
      <c r="SNQ129" s="90"/>
      <c r="SNR129" s="90"/>
      <c r="SNS129" s="90"/>
      <c r="SNT129" s="90"/>
      <c r="SNU129" s="90"/>
      <c r="SNV129" s="90"/>
      <c r="SNW129" s="89"/>
      <c r="SNX129" s="90"/>
      <c r="SNY129" s="90"/>
      <c r="SNZ129" s="90"/>
      <c r="SOA129" s="90"/>
      <c r="SOB129" s="90"/>
      <c r="SOC129" s="90"/>
      <c r="SOD129" s="90"/>
      <c r="SOE129" s="90"/>
      <c r="SOF129" s="90"/>
      <c r="SOG129" s="90"/>
      <c r="SOH129" s="90"/>
      <c r="SOI129" s="90"/>
      <c r="SOJ129" s="90"/>
      <c r="SOK129" s="90"/>
      <c r="SOL129" s="90"/>
      <c r="SOM129" s="90"/>
      <c r="SON129" s="90"/>
      <c r="SOO129" s="89"/>
      <c r="SOP129" s="90"/>
      <c r="SOQ129" s="90"/>
      <c r="SOR129" s="90"/>
      <c r="SOS129" s="90"/>
      <c r="SOT129" s="90"/>
      <c r="SOU129" s="90"/>
      <c r="SOV129" s="90"/>
      <c r="SOW129" s="90"/>
      <c r="SOX129" s="90"/>
      <c r="SOY129" s="90"/>
      <c r="SOZ129" s="90"/>
      <c r="SPA129" s="90"/>
      <c r="SPB129" s="90"/>
      <c r="SPC129" s="90"/>
      <c r="SPD129" s="90"/>
      <c r="SPE129" s="90"/>
      <c r="SPF129" s="90"/>
      <c r="SPG129" s="89"/>
      <c r="SPH129" s="90"/>
      <c r="SPI129" s="90"/>
      <c r="SPJ129" s="90"/>
      <c r="SPK129" s="90"/>
      <c r="SPL129" s="90"/>
      <c r="SPM129" s="90"/>
      <c r="SPN129" s="90"/>
      <c r="SPO129" s="90"/>
      <c r="SPP129" s="90"/>
      <c r="SPQ129" s="90"/>
      <c r="SPR129" s="90"/>
      <c r="SPS129" s="90"/>
      <c r="SPT129" s="90"/>
      <c r="SPU129" s="90"/>
      <c r="SPV129" s="90"/>
      <c r="SPW129" s="90"/>
      <c r="SPX129" s="90"/>
      <c r="SPY129" s="89"/>
      <c r="SPZ129" s="90"/>
      <c r="SQA129" s="90"/>
      <c r="SQB129" s="90"/>
      <c r="SQC129" s="90"/>
      <c r="SQD129" s="90"/>
      <c r="SQE129" s="90"/>
      <c r="SQF129" s="90"/>
      <c r="SQG129" s="90"/>
      <c r="SQH129" s="90"/>
      <c r="SQI129" s="90"/>
      <c r="SQJ129" s="90"/>
      <c r="SQK129" s="90"/>
      <c r="SQL129" s="90"/>
      <c r="SQM129" s="90"/>
      <c r="SQN129" s="90"/>
      <c r="SQO129" s="90"/>
      <c r="SQP129" s="90"/>
      <c r="SQQ129" s="89"/>
      <c r="SQR129" s="90"/>
      <c r="SQS129" s="90"/>
      <c r="SQT129" s="90"/>
      <c r="SQU129" s="90"/>
      <c r="SQV129" s="90"/>
      <c r="SQW129" s="90"/>
      <c r="SQX129" s="90"/>
      <c r="SQY129" s="90"/>
      <c r="SQZ129" s="90"/>
      <c r="SRA129" s="90"/>
      <c r="SRB129" s="90"/>
      <c r="SRC129" s="90"/>
      <c r="SRD129" s="90"/>
      <c r="SRE129" s="90"/>
      <c r="SRF129" s="90"/>
      <c r="SRG129" s="90"/>
      <c r="SRH129" s="90"/>
      <c r="SRI129" s="89"/>
      <c r="SRJ129" s="90"/>
      <c r="SRK129" s="90"/>
      <c r="SRL129" s="90"/>
      <c r="SRM129" s="90"/>
      <c r="SRN129" s="90"/>
      <c r="SRO129" s="90"/>
      <c r="SRP129" s="90"/>
      <c r="SRQ129" s="90"/>
      <c r="SRR129" s="90"/>
      <c r="SRS129" s="90"/>
      <c r="SRT129" s="90"/>
      <c r="SRU129" s="90"/>
      <c r="SRV129" s="90"/>
      <c r="SRW129" s="90"/>
      <c r="SRX129" s="90"/>
      <c r="SRY129" s="90"/>
      <c r="SRZ129" s="90"/>
      <c r="SSA129" s="89"/>
      <c r="SSB129" s="90"/>
      <c r="SSC129" s="90"/>
      <c r="SSD129" s="90"/>
      <c r="SSE129" s="90"/>
      <c r="SSF129" s="90"/>
      <c r="SSG129" s="90"/>
      <c r="SSH129" s="90"/>
      <c r="SSI129" s="90"/>
      <c r="SSJ129" s="90"/>
      <c r="SSK129" s="90"/>
      <c r="SSL129" s="90"/>
      <c r="SSM129" s="90"/>
      <c r="SSN129" s="90"/>
      <c r="SSO129" s="90"/>
      <c r="SSP129" s="90"/>
      <c r="SSQ129" s="90"/>
      <c r="SSR129" s="90"/>
      <c r="SSS129" s="89"/>
      <c r="SST129" s="90"/>
      <c r="SSU129" s="90"/>
      <c r="SSV129" s="90"/>
      <c r="SSW129" s="90"/>
      <c r="SSX129" s="90"/>
      <c r="SSY129" s="90"/>
      <c r="SSZ129" s="90"/>
      <c r="STA129" s="90"/>
      <c r="STB129" s="90"/>
      <c r="STC129" s="90"/>
      <c r="STD129" s="90"/>
      <c r="STE129" s="90"/>
      <c r="STF129" s="90"/>
      <c r="STG129" s="90"/>
      <c r="STH129" s="90"/>
      <c r="STI129" s="90"/>
      <c r="STJ129" s="90"/>
      <c r="STK129" s="89"/>
      <c r="STL129" s="90"/>
      <c r="STM129" s="90"/>
      <c r="STN129" s="90"/>
      <c r="STO129" s="90"/>
      <c r="STP129" s="90"/>
      <c r="STQ129" s="90"/>
      <c r="STR129" s="90"/>
      <c r="STS129" s="90"/>
      <c r="STT129" s="90"/>
      <c r="STU129" s="90"/>
      <c r="STV129" s="90"/>
      <c r="STW129" s="90"/>
      <c r="STX129" s="90"/>
      <c r="STY129" s="90"/>
      <c r="STZ129" s="90"/>
      <c r="SUA129" s="90"/>
      <c r="SUB129" s="90"/>
      <c r="SUC129" s="89"/>
      <c r="SUD129" s="90"/>
      <c r="SUE129" s="90"/>
      <c r="SUF129" s="90"/>
      <c r="SUG129" s="90"/>
      <c r="SUH129" s="90"/>
      <c r="SUI129" s="90"/>
      <c r="SUJ129" s="90"/>
      <c r="SUK129" s="90"/>
      <c r="SUL129" s="90"/>
      <c r="SUM129" s="90"/>
      <c r="SUN129" s="90"/>
      <c r="SUO129" s="90"/>
      <c r="SUP129" s="90"/>
      <c r="SUQ129" s="90"/>
      <c r="SUR129" s="90"/>
      <c r="SUS129" s="90"/>
      <c r="SUT129" s="90"/>
      <c r="SUU129" s="89"/>
      <c r="SUV129" s="90"/>
      <c r="SUW129" s="90"/>
      <c r="SUX129" s="90"/>
      <c r="SUY129" s="90"/>
      <c r="SUZ129" s="90"/>
      <c r="SVA129" s="90"/>
      <c r="SVB129" s="90"/>
      <c r="SVC129" s="90"/>
      <c r="SVD129" s="90"/>
      <c r="SVE129" s="90"/>
      <c r="SVF129" s="90"/>
      <c r="SVG129" s="90"/>
      <c r="SVH129" s="90"/>
      <c r="SVI129" s="90"/>
      <c r="SVJ129" s="90"/>
      <c r="SVK129" s="90"/>
      <c r="SVL129" s="90"/>
      <c r="SVM129" s="89"/>
      <c r="SVN129" s="90"/>
      <c r="SVO129" s="90"/>
      <c r="SVP129" s="90"/>
      <c r="SVQ129" s="90"/>
      <c r="SVR129" s="90"/>
      <c r="SVS129" s="90"/>
      <c r="SVT129" s="90"/>
      <c r="SVU129" s="90"/>
      <c r="SVV129" s="90"/>
      <c r="SVW129" s="90"/>
      <c r="SVX129" s="90"/>
      <c r="SVY129" s="90"/>
      <c r="SVZ129" s="90"/>
      <c r="SWA129" s="90"/>
      <c r="SWB129" s="90"/>
      <c r="SWC129" s="90"/>
      <c r="SWD129" s="90"/>
      <c r="SWE129" s="89"/>
      <c r="SWF129" s="90"/>
      <c r="SWG129" s="90"/>
      <c r="SWH129" s="90"/>
      <c r="SWI129" s="90"/>
      <c r="SWJ129" s="90"/>
      <c r="SWK129" s="90"/>
      <c r="SWL129" s="90"/>
      <c r="SWM129" s="90"/>
      <c r="SWN129" s="90"/>
      <c r="SWO129" s="90"/>
      <c r="SWP129" s="90"/>
      <c r="SWQ129" s="90"/>
      <c r="SWR129" s="90"/>
      <c r="SWS129" s="90"/>
      <c r="SWT129" s="90"/>
      <c r="SWU129" s="90"/>
      <c r="SWV129" s="90"/>
      <c r="SWW129" s="89"/>
      <c r="SWX129" s="90"/>
      <c r="SWY129" s="90"/>
      <c r="SWZ129" s="90"/>
      <c r="SXA129" s="90"/>
      <c r="SXB129" s="90"/>
      <c r="SXC129" s="90"/>
      <c r="SXD129" s="90"/>
      <c r="SXE129" s="90"/>
      <c r="SXF129" s="90"/>
      <c r="SXG129" s="90"/>
      <c r="SXH129" s="90"/>
      <c r="SXI129" s="90"/>
      <c r="SXJ129" s="90"/>
      <c r="SXK129" s="90"/>
      <c r="SXL129" s="90"/>
      <c r="SXM129" s="90"/>
      <c r="SXN129" s="90"/>
      <c r="SXO129" s="89"/>
      <c r="SXP129" s="90"/>
      <c r="SXQ129" s="90"/>
      <c r="SXR129" s="90"/>
      <c r="SXS129" s="90"/>
      <c r="SXT129" s="90"/>
      <c r="SXU129" s="90"/>
      <c r="SXV129" s="90"/>
      <c r="SXW129" s="90"/>
      <c r="SXX129" s="90"/>
      <c r="SXY129" s="90"/>
      <c r="SXZ129" s="90"/>
      <c r="SYA129" s="90"/>
      <c r="SYB129" s="90"/>
      <c r="SYC129" s="90"/>
      <c r="SYD129" s="90"/>
      <c r="SYE129" s="90"/>
      <c r="SYF129" s="90"/>
      <c r="SYG129" s="89"/>
      <c r="SYH129" s="90"/>
      <c r="SYI129" s="90"/>
      <c r="SYJ129" s="90"/>
      <c r="SYK129" s="90"/>
      <c r="SYL129" s="90"/>
      <c r="SYM129" s="90"/>
      <c r="SYN129" s="90"/>
      <c r="SYO129" s="90"/>
      <c r="SYP129" s="90"/>
      <c r="SYQ129" s="90"/>
      <c r="SYR129" s="90"/>
      <c r="SYS129" s="90"/>
      <c r="SYT129" s="90"/>
      <c r="SYU129" s="90"/>
      <c r="SYV129" s="90"/>
      <c r="SYW129" s="90"/>
      <c r="SYX129" s="90"/>
      <c r="SYY129" s="89"/>
      <c r="SYZ129" s="90"/>
      <c r="SZA129" s="90"/>
      <c r="SZB129" s="90"/>
      <c r="SZC129" s="90"/>
      <c r="SZD129" s="90"/>
      <c r="SZE129" s="90"/>
      <c r="SZF129" s="90"/>
      <c r="SZG129" s="90"/>
      <c r="SZH129" s="90"/>
      <c r="SZI129" s="90"/>
      <c r="SZJ129" s="90"/>
      <c r="SZK129" s="90"/>
      <c r="SZL129" s="90"/>
      <c r="SZM129" s="90"/>
      <c r="SZN129" s="90"/>
      <c r="SZO129" s="90"/>
      <c r="SZP129" s="90"/>
      <c r="SZQ129" s="89"/>
      <c r="SZR129" s="90"/>
      <c r="SZS129" s="90"/>
      <c r="SZT129" s="90"/>
      <c r="SZU129" s="90"/>
      <c r="SZV129" s="90"/>
      <c r="SZW129" s="90"/>
      <c r="SZX129" s="90"/>
      <c r="SZY129" s="90"/>
      <c r="SZZ129" s="90"/>
      <c r="TAA129" s="90"/>
      <c r="TAB129" s="90"/>
      <c r="TAC129" s="90"/>
      <c r="TAD129" s="90"/>
      <c r="TAE129" s="90"/>
      <c r="TAF129" s="90"/>
      <c r="TAG129" s="90"/>
      <c r="TAH129" s="90"/>
      <c r="TAI129" s="89"/>
      <c r="TAJ129" s="90"/>
      <c r="TAK129" s="90"/>
      <c r="TAL129" s="90"/>
      <c r="TAM129" s="90"/>
      <c r="TAN129" s="90"/>
      <c r="TAO129" s="90"/>
      <c r="TAP129" s="90"/>
      <c r="TAQ129" s="90"/>
      <c r="TAR129" s="90"/>
      <c r="TAS129" s="90"/>
      <c r="TAT129" s="90"/>
      <c r="TAU129" s="90"/>
      <c r="TAV129" s="90"/>
      <c r="TAW129" s="90"/>
      <c r="TAX129" s="90"/>
      <c r="TAY129" s="90"/>
      <c r="TAZ129" s="90"/>
      <c r="TBA129" s="89"/>
      <c r="TBB129" s="90"/>
      <c r="TBC129" s="90"/>
      <c r="TBD129" s="90"/>
      <c r="TBE129" s="90"/>
      <c r="TBF129" s="90"/>
      <c r="TBG129" s="90"/>
      <c r="TBH129" s="90"/>
      <c r="TBI129" s="90"/>
      <c r="TBJ129" s="90"/>
      <c r="TBK129" s="90"/>
      <c r="TBL129" s="90"/>
      <c r="TBM129" s="90"/>
      <c r="TBN129" s="90"/>
      <c r="TBO129" s="90"/>
      <c r="TBP129" s="90"/>
      <c r="TBQ129" s="90"/>
      <c r="TBR129" s="90"/>
      <c r="TBS129" s="89"/>
      <c r="TBT129" s="90"/>
      <c r="TBU129" s="90"/>
      <c r="TBV129" s="90"/>
      <c r="TBW129" s="90"/>
      <c r="TBX129" s="90"/>
      <c r="TBY129" s="90"/>
      <c r="TBZ129" s="90"/>
      <c r="TCA129" s="90"/>
      <c r="TCB129" s="90"/>
      <c r="TCC129" s="90"/>
      <c r="TCD129" s="90"/>
      <c r="TCE129" s="90"/>
      <c r="TCF129" s="90"/>
      <c r="TCG129" s="90"/>
      <c r="TCH129" s="90"/>
      <c r="TCI129" s="90"/>
      <c r="TCJ129" s="90"/>
      <c r="TCK129" s="89"/>
      <c r="TCL129" s="90"/>
      <c r="TCM129" s="90"/>
      <c r="TCN129" s="90"/>
      <c r="TCO129" s="90"/>
      <c r="TCP129" s="90"/>
      <c r="TCQ129" s="90"/>
      <c r="TCR129" s="90"/>
      <c r="TCS129" s="90"/>
      <c r="TCT129" s="90"/>
      <c r="TCU129" s="90"/>
      <c r="TCV129" s="90"/>
      <c r="TCW129" s="90"/>
      <c r="TCX129" s="90"/>
      <c r="TCY129" s="90"/>
      <c r="TCZ129" s="90"/>
      <c r="TDA129" s="90"/>
      <c r="TDB129" s="90"/>
      <c r="TDC129" s="89"/>
      <c r="TDD129" s="90"/>
      <c r="TDE129" s="90"/>
      <c r="TDF129" s="90"/>
      <c r="TDG129" s="90"/>
      <c r="TDH129" s="90"/>
      <c r="TDI129" s="90"/>
      <c r="TDJ129" s="90"/>
      <c r="TDK129" s="90"/>
      <c r="TDL129" s="90"/>
      <c r="TDM129" s="90"/>
      <c r="TDN129" s="90"/>
      <c r="TDO129" s="90"/>
      <c r="TDP129" s="90"/>
      <c r="TDQ129" s="90"/>
      <c r="TDR129" s="90"/>
      <c r="TDS129" s="90"/>
      <c r="TDT129" s="90"/>
      <c r="TDU129" s="89"/>
      <c r="TDV129" s="90"/>
      <c r="TDW129" s="90"/>
      <c r="TDX129" s="90"/>
      <c r="TDY129" s="90"/>
      <c r="TDZ129" s="90"/>
      <c r="TEA129" s="90"/>
      <c r="TEB129" s="90"/>
      <c r="TEC129" s="90"/>
      <c r="TED129" s="90"/>
      <c r="TEE129" s="90"/>
      <c r="TEF129" s="90"/>
      <c r="TEG129" s="90"/>
      <c r="TEH129" s="90"/>
      <c r="TEI129" s="90"/>
      <c r="TEJ129" s="90"/>
      <c r="TEK129" s="90"/>
      <c r="TEL129" s="90"/>
      <c r="TEM129" s="89"/>
      <c r="TEN129" s="90"/>
      <c r="TEO129" s="90"/>
      <c r="TEP129" s="90"/>
      <c r="TEQ129" s="90"/>
      <c r="TER129" s="90"/>
      <c r="TES129" s="90"/>
      <c r="TET129" s="90"/>
      <c r="TEU129" s="90"/>
      <c r="TEV129" s="90"/>
      <c r="TEW129" s="90"/>
      <c r="TEX129" s="90"/>
      <c r="TEY129" s="90"/>
      <c r="TEZ129" s="90"/>
      <c r="TFA129" s="90"/>
      <c r="TFB129" s="90"/>
      <c r="TFC129" s="90"/>
      <c r="TFD129" s="90"/>
      <c r="TFE129" s="89"/>
      <c r="TFF129" s="90"/>
      <c r="TFG129" s="90"/>
      <c r="TFH129" s="90"/>
      <c r="TFI129" s="90"/>
      <c r="TFJ129" s="90"/>
      <c r="TFK129" s="90"/>
      <c r="TFL129" s="90"/>
      <c r="TFM129" s="90"/>
      <c r="TFN129" s="90"/>
      <c r="TFO129" s="90"/>
      <c r="TFP129" s="90"/>
      <c r="TFQ129" s="90"/>
      <c r="TFR129" s="90"/>
      <c r="TFS129" s="90"/>
      <c r="TFT129" s="90"/>
      <c r="TFU129" s="90"/>
      <c r="TFV129" s="90"/>
      <c r="TFW129" s="89"/>
      <c r="TFX129" s="90"/>
      <c r="TFY129" s="90"/>
      <c r="TFZ129" s="90"/>
      <c r="TGA129" s="90"/>
      <c r="TGB129" s="90"/>
      <c r="TGC129" s="90"/>
      <c r="TGD129" s="90"/>
      <c r="TGE129" s="90"/>
      <c r="TGF129" s="90"/>
      <c r="TGG129" s="90"/>
      <c r="TGH129" s="90"/>
      <c r="TGI129" s="90"/>
      <c r="TGJ129" s="90"/>
      <c r="TGK129" s="90"/>
      <c r="TGL129" s="90"/>
      <c r="TGM129" s="90"/>
      <c r="TGN129" s="90"/>
      <c r="TGO129" s="89"/>
      <c r="TGP129" s="90"/>
      <c r="TGQ129" s="90"/>
      <c r="TGR129" s="90"/>
      <c r="TGS129" s="90"/>
      <c r="TGT129" s="90"/>
      <c r="TGU129" s="90"/>
      <c r="TGV129" s="90"/>
      <c r="TGW129" s="90"/>
      <c r="TGX129" s="90"/>
      <c r="TGY129" s="90"/>
      <c r="TGZ129" s="90"/>
      <c r="THA129" s="90"/>
      <c r="THB129" s="90"/>
      <c r="THC129" s="90"/>
      <c r="THD129" s="90"/>
      <c r="THE129" s="90"/>
      <c r="THF129" s="90"/>
      <c r="THG129" s="89"/>
      <c r="THH129" s="90"/>
      <c r="THI129" s="90"/>
      <c r="THJ129" s="90"/>
      <c r="THK129" s="90"/>
      <c r="THL129" s="90"/>
      <c r="THM129" s="90"/>
      <c r="THN129" s="90"/>
      <c r="THO129" s="90"/>
      <c r="THP129" s="90"/>
      <c r="THQ129" s="90"/>
      <c r="THR129" s="90"/>
      <c r="THS129" s="90"/>
      <c r="THT129" s="90"/>
      <c r="THU129" s="90"/>
      <c r="THV129" s="90"/>
      <c r="THW129" s="90"/>
      <c r="THX129" s="90"/>
      <c r="THY129" s="89"/>
      <c r="THZ129" s="90"/>
      <c r="TIA129" s="90"/>
      <c r="TIB129" s="90"/>
      <c r="TIC129" s="90"/>
      <c r="TID129" s="90"/>
      <c r="TIE129" s="90"/>
      <c r="TIF129" s="90"/>
      <c r="TIG129" s="90"/>
      <c r="TIH129" s="90"/>
      <c r="TII129" s="90"/>
      <c r="TIJ129" s="90"/>
      <c r="TIK129" s="90"/>
      <c r="TIL129" s="90"/>
      <c r="TIM129" s="90"/>
      <c r="TIN129" s="90"/>
      <c r="TIO129" s="90"/>
      <c r="TIP129" s="90"/>
      <c r="TIQ129" s="89"/>
      <c r="TIR129" s="90"/>
      <c r="TIS129" s="90"/>
      <c r="TIT129" s="90"/>
      <c r="TIU129" s="90"/>
      <c r="TIV129" s="90"/>
      <c r="TIW129" s="90"/>
      <c r="TIX129" s="90"/>
      <c r="TIY129" s="90"/>
      <c r="TIZ129" s="90"/>
      <c r="TJA129" s="90"/>
      <c r="TJB129" s="90"/>
      <c r="TJC129" s="90"/>
      <c r="TJD129" s="90"/>
      <c r="TJE129" s="90"/>
      <c r="TJF129" s="90"/>
      <c r="TJG129" s="90"/>
      <c r="TJH129" s="90"/>
      <c r="TJI129" s="89"/>
      <c r="TJJ129" s="90"/>
      <c r="TJK129" s="90"/>
      <c r="TJL129" s="90"/>
      <c r="TJM129" s="90"/>
      <c r="TJN129" s="90"/>
      <c r="TJO129" s="90"/>
      <c r="TJP129" s="90"/>
      <c r="TJQ129" s="90"/>
      <c r="TJR129" s="90"/>
      <c r="TJS129" s="90"/>
      <c r="TJT129" s="90"/>
      <c r="TJU129" s="90"/>
      <c r="TJV129" s="90"/>
      <c r="TJW129" s="90"/>
      <c r="TJX129" s="90"/>
      <c r="TJY129" s="90"/>
      <c r="TJZ129" s="90"/>
      <c r="TKA129" s="89"/>
      <c r="TKB129" s="90"/>
      <c r="TKC129" s="90"/>
      <c r="TKD129" s="90"/>
      <c r="TKE129" s="90"/>
      <c r="TKF129" s="90"/>
      <c r="TKG129" s="90"/>
      <c r="TKH129" s="90"/>
      <c r="TKI129" s="90"/>
      <c r="TKJ129" s="90"/>
      <c r="TKK129" s="90"/>
      <c r="TKL129" s="90"/>
      <c r="TKM129" s="90"/>
      <c r="TKN129" s="90"/>
      <c r="TKO129" s="90"/>
      <c r="TKP129" s="90"/>
      <c r="TKQ129" s="90"/>
      <c r="TKR129" s="90"/>
      <c r="TKS129" s="89"/>
      <c r="TKT129" s="90"/>
      <c r="TKU129" s="90"/>
      <c r="TKV129" s="90"/>
      <c r="TKW129" s="90"/>
      <c r="TKX129" s="90"/>
      <c r="TKY129" s="90"/>
      <c r="TKZ129" s="90"/>
      <c r="TLA129" s="90"/>
      <c r="TLB129" s="90"/>
      <c r="TLC129" s="90"/>
      <c r="TLD129" s="90"/>
      <c r="TLE129" s="90"/>
      <c r="TLF129" s="90"/>
      <c r="TLG129" s="90"/>
      <c r="TLH129" s="90"/>
      <c r="TLI129" s="90"/>
      <c r="TLJ129" s="90"/>
      <c r="TLK129" s="89"/>
      <c r="TLL129" s="90"/>
      <c r="TLM129" s="90"/>
      <c r="TLN129" s="90"/>
      <c r="TLO129" s="90"/>
      <c r="TLP129" s="90"/>
      <c r="TLQ129" s="90"/>
      <c r="TLR129" s="90"/>
      <c r="TLS129" s="90"/>
      <c r="TLT129" s="90"/>
      <c r="TLU129" s="90"/>
      <c r="TLV129" s="90"/>
      <c r="TLW129" s="90"/>
      <c r="TLX129" s="90"/>
      <c r="TLY129" s="90"/>
      <c r="TLZ129" s="90"/>
      <c r="TMA129" s="90"/>
      <c r="TMB129" s="90"/>
      <c r="TMC129" s="89"/>
      <c r="TMD129" s="90"/>
      <c r="TME129" s="90"/>
      <c r="TMF129" s="90"/>
      <c r="TMG129" s="90"/>
      <c r="TMH129" s="90"/>
      <c r="TMI129" s="90"/>
      <c r="TMJ129" s="90"/>
      <c r="TMK129" s="90"/>
      <c r="TML129" s="90"/>
      <c r="TMM129" s="90"/>
      <c r="TMN129" s="90"/>
      <c r="TMO129" s="90"/>
      <c r="TMP129" s="90"/>
      <c r="TMQ129" s="90"/>
      <c r="TMR129" s="90"/>
      <c r="TMS129" s="90"/>
      <c r="TMT129" s="90"/>
      <c r="TMU129" s="89"/>
      <c r="TMV129" s="90"/>
      <c r="TMW129" s="90"/>
      <c r="TMX129" s="90"/>
      <c r="TMY129" s="90"/>
      <c r="TMZ129" s="90"/>
      <c r="TNA129" s="90"/>
      <c r="TNB129" s="90"/>
      <c r="TNC129" s="90"/>
      <c r="TND129" s="90"/>
      <c r="TNE129" s="90"/>
      <c r="TNF129" s="90"/>
      <c r="TNG129" s="90"/>
      <c r="TNH129" s="90"/>
      <c r="TNI129" s="90"/>
      <c r="TNJ129" s="90"/>
      <c r="TNK129" s="90"/>
      <c r="TNL129" s="90"/>
      <c r="TNM129" s="89"/>
      <c r="TNN129" s="90"/>
      <c r="TNO129" s="90"/>
      <c r="TNP129" s="90"/>
      <c r="TNQ129" s="90"/>
      <c r="TNR129" s="90"/>
      <c r="TNS129" s="90"/>
      <c r="TNT129" s="90"/>
      <c r="TNU129" s="90"/>
      <c r="TNV129" s="90"/>
      <c r="TNW129" s="90"/>
      <c r="TNX129" s="90"/>
      <c r="TNY129" s="90"/>
      <c r="TNZ129" s="90"/>
      <c r="TOA129" s="90"/>
      <c r="TOB129" s="90"/>
      <c r="TOC129" s="90"/>
      <c r="TOD129" s="90"/>
      <c r="TOE129" s="89"/>
      <c r="TOF129" s="90"/>
      <c r="TOG129" s="90"/>
      <c r="TOH129" s="90"/>
      <c r="TOI129" s="90"/>
      <c r="TOJ129" s="90"/>
      <c r="TOK129" s="90"/>
      <c r="TOL129" s="90"/>
      <c r="TOM129" s="90"/>
      <c r="TON129" s="90"/>
      <c r="TOO129" s="90"/>
      <c r="TOP129" s="90"/>
      <c r="TOQ129" s="90"/>
      <c r="TOR129" s="90"/>
      <c r="TOS129" s="90"/>
      <c r="TOT129" s="90"/>
      <c r="TOU129" s="90"/>
      <c r="TOV129" s="90"/>
      <c r="TOW129" s="89"/>
      <c r="TOX129" s="90"/>
      <c r="TOY129" s="90"/>
      <c r="TOZ129" s="90"/>
      <c r="TPA129" s="90"/>
      <c r="TPB129" s="90"/>
      <c r="TPC129" s="90"/>
      <c r="TPD129" s="90"/>
      <c r="TPE129" s="90"/>
      <c r="TPF129" s="90"/>
      <c r="TPG129" s="90"/>
      <c r="TPH129" s="90"/>
      <c r="TPI129" s="90"/>
      <c r="TPJ129" s="90"/>
      <c r="TPK129" s="90"/>
      <c r="TPL129" s="90"/>
      <c r="TPM129" s="90"/>
      <c r="TPN129" s="90"/>
      <c r="TPO129" s="89"/>
      <c r="TPP129" s="90"/>
      <c r="TPQ129" s="90"/>
      <c r="TPR129" s="90"/>
      <c r="TPS129" s="90"/>
      <c r="TPT129" s="90"/>
      <c r="TPU129" s="90"/>
      <c r="TPV129" s="90"/>
      <c r="TPW129" s="90"/>
      <c r="TPX129" s="90"/>
      <c r="TPY129" s="90"/>
      <c r="TPZ129" s="90"/>
      <c r="TQA129" s="90"/>
      <c r="TQB129" s="90"/>
      <c r="TQC129" s="90"/>
      <c r="TQD129" s="90"/>
      <c r="TQE129" s="90"/>
      <c r="TQF129" s="90"/>
      <c r="TQG129" s="89"/>
      <c r="TQH129" s="90"/>
      <c r="TQI129" s="90"/>
      <c r="TQJ129" s="90"/>
      <c r="TQK129" s="90"/>
      <c r="TQL129" s="90"/>
      <c r="TQM129" s="90"/>
      <c r="TQN129" s="90"/>
      <c r="TQO129" s="90"/>
      <c r="TQP129" s="90"/>
      <c r="TQQ129" s="90"/>
      <c r="TQR129" s="90"/>
      <c r="TQS129" s="90"/>
      <c r="TQT129" s="90"/>
      <c r="TQU129" s="90"/>
      <c r="TQV129" s="90"/>
      <c r="TQW129" s="90"/>
      <c r="TQX129" s="90"/>
      <c r="TQY129" s="89"/>
      <c r="TQZ129" s="90"/>
      <c r="TRA129" s="90"/>
      <c r="TRB129" s="90"/>
      <c r="TRC129" s="90"/>
      <c r="TRD129" s="90"/>
      <c r="TRE129" s="90"/>
      <c r="TRF129" s="90"/>
      <c r="TRG129" s="90"/>
      <c r="TRH129" s="90"/>
      <c r="TRI129" s="90"/>
      <c r="TRJ129" s="90"/>
      <c r="TRK129" s="90"/>
      <c r="TRL129" s="90"/>
      <c r="TRM129" s="90"/>
      <c r="TRN129" s="90"/>
      <c r="TRO129" s="90"/>
      <c r="TRP129" s="90"/>
      <c r="TRQ129" s="89"/>
      <c r="TRR129" s="90"/>
      <c r="TRS129" s="90"/>
      <c r="TRT129" s="90"/>
      <c r="TRU129" s="90"/>
      <c r="TRV129" s="90"/>
      <c r="TRW129" s="90"/>
      <c r="TRX129" s="90"/>
      <c r="TRY129" s="90"/>
      <c r="TRZ129" s="90"/>
      <c r="TSA129" s="90"/>
      <c r="TSB129" s="90"/>
      <c r="TSC129" s="90"/>
      <c r="TSD129" s="90"/>
      <c r="TSE129" s="90"/>
      <c r="TSF129" s="90"/>
      <c r="TSG129" s="90"/>
      <c r="TSH129" s="90"/>
      <c r="TSI129" s="89"/>
      <c r="TSJ129" s="90"/>
      <c r="TSK129" s="90"/>
      <c r="TSL129" s="90"/>
      <c r="TSM129" s="90"/>
      <c r="TSN129" s="90"/>
      <c r="TSO129" s="90"/>
      <c r="TSP129" s="90"/>
      <c r="TSQ129" s="90"/>
      <c r="TSR129" s="90"/>
      <c r="TSS129" s="90"/>
      <c r="TST129" s="90"/>
      <c r="TSU129" s="90"/>
      <c r="TSV129" s="90"/>
      <c r="TSW129" s="90"/>
      <c r="TSX129" s="90"/>
      <c r="TSY129" s="90"/>
      <c r="TSZ129" s="90"/>
      <c r="TTA129" s="89"/>
      <c r="TTB129" s="90"/>
      <c r="TTC129" s="90"/>
      <c r="TTD129" s="90"/>
      <c r="TTE129" s="90"/>
      <c r="TTF129" s="90"/>
      <c r="TTG129" s="90"/>
      <c r="TTH129" s="90"/>
      <c r="TTI129" s="90"/>
      <c r="TTJ129" s="90"/>
      <c r="TTK129" s="90"/>
      <c r="TTL129" s="90"/>
      <c r="TTM129" s="90"/>
      <c r="TTN129" s="90"/>
      <c r="TTO129" s="90"/>
      <c r="TTP129" s="90"/>
      <c r="TTQ129" s="90"/>
      <c r="TTR129" s="90"/>
      <c r="TTS129" s="89"/>
      <c r="TTT129" s="90"/>
      <c r="TTU129" s="90"/>
      <c r="TTV129" s="90"/>
      <c r="TTW129" s="90"/>
      <c r="TTX129" s="90"/>
      <c r="TTY129" s="90"/>
      <c r="TTZ129" s="90"/>
      <c r="TUA129" s="90"/>
      <c r="TUB129" s="90"/>
      <c r="TUC129" s="90"/>
      <c r="TUD129" s="90"/>
      <c r="TUE129" s="90"/>
      <c r="TUF129" s="90"/>
      <c r="TUG129" s="90"/>
      <c r="TUH129" s="90"/>
      <c r="TUI129" s="90"/>
      <c r="TUJ129" s="90"/>
      <c r="TUK129" s="89"/>
      <c r="TUL129" s="90"/>
      <c r="TUM129" s="90"/>
      <c r="TUN129" s="90"/>
      <c r="TUO129" s="90"/>
      <c r="TUP129" s="90"/>
      <c r="TUQ129" s="90"/>
      <c r="TUR129" s="90"/>
      <c r="TUS129" s="90"/>
      <c r="TUT129" s="90"/>
      <c r="TUU129" s="90"/>
      <c r="TUV129" s="90"/>
      <c r="TUW129" s="90"/>
      <c r="TUX129" s="90"/>
      <c r="TUY129" s="90"/>
      <c r="TUZ129" s="90"/>
      <c r="TVA129" s="90"/>
      <c r="TVB129" s="90"/>
      <c r="TVC129" s="89"/>
      <c r="TVD129" s="90"/>
      <c r="TVE129" s="90"/>
      <c r="TVF129" s="90"/>
      <c r="TVG129" s="90"/>
      <c r="TVH129" s="90"/>
      <c r="TVI129" s="90"/>
      <c r="TVJ129" s="90"/>
      <c r="TVK129" s="90"/>
      <c r="TVL129" s="90"/>
      <c r="TVM129" s="90"/>
      <c r="TVN129" s="90"/>
      <c r="TVO129" s="90"/>
      <c r="TVP129" s="90"/>
      <c r="TVQ129" s="90"/>
      <c r="TVR129" s="90"/>
      <c r="TVS129" s="90"/>
      <c r="TVT129" s="90"/>
      <c r="TVU129" s="89"/>
      <c r="TVV129" s="90"/>
      <c r="TVW129" s="90"/>
      <c r="TVX129" s="90"/>
      <c r="TVY129" s="90"/>
      <c r="TVZ129" s="90"/>
      <c r="TWA129" s="90"/>
      <c r="TWB129" s="90"/>
      <c r="TWC129" s="90"/>
      <c r="TWD129" s="90"/>
      <c r="TWE129" s="90"/>
      <c r="TWF129" s="90"/>
      <c r="TWG129" s="90"/>
      <c r="TWH129" s="90"/>
      <c r="TWI129" s="90"/>
      <c r="TWJ129" s="90"/>
      <c r="TWK129" s="90"/>
      <c r="TWL129" s="90"/>
      <c r="TWM129" s="89"/>
      <c r="TWN129" s="90"/>
      <c r="TWO129" s="90"/>
      <c r="TWP129" s="90"/>
      <c r="TWQ129" s="90"/>
      <c r="TWR129" s="90"/>
      <c r="TWS129" s="90"/>
      <c r="TWT129" s="90"/>
      <c r="TWU129" s="90"/>
      <c r="TWV129" s="90"/>
      <c r="TWW129" s="90"/>
      <c r="TWX129" s="90"/>
      <c r="TWY129" s="90"/>
      <c r="TWZ129" s="90"/>
      <c r="TXA129" s="90"/>
      <c r="TXB129" s="90"/>
      <c r="TXC129" s="90"/>
      <c r="TXD129" s="90"/>
      <c r="TXE129" s="89"/>
      <c r="TXF129" s="90"/>
      <c r="TXG129" s="90"/>
      <c r="TXH129" s="90"/>
      <c r="TXI129" s="90"/>
      <c r="TXJ129" s="90"/>
      <c r="TXK129" s="90"/>
      <c r="TXL129" s="90"/>
      <c r="TXM129" s="90"/>
      <c r="TXN129" s="90"/>
      <c r="TXO129" s="90"/>
      <c r="TXP129" s="90"/>
      <c r="TXQ129" s="90"/>
      <c r="TXR129" s="90"/>
      <c r="TXS129" s="90"/>
      <c r="TXT129" s="90"/>
      <c r="TXU129" s="90"/>
      <c r="TXV129" s="90"/>
      <c r="TXW129" s="89"/>
      <c r="TXX129" s="90"/>
      <c r="TXY129" s="90"/>
      <c r="TXZ129" s="90"/>
      <c r="TYA129" s="90"/>
      <c r="TYB129" s="90"/>
      <c r="TYC129" s="90"/>
      <c r="TYD129" s="90"/>
      <c r="TYE129" s="90"/>
      <c r="TYF129" s="90"/>
      <c r="TYG129" s="90"/>
      <c r="TYH129" s="90"/>
      <c r="TYI129" s="90"/>
      <c r="TYJ129" s="90"/>
      <c r="TYK129" s="90"/>
      <c r="TYL129" s="90"/>
      <c r="TYM129" s="90"/>
      <c r="TYN129" s="90"/>
      <c r="TYO129" s="89"/>
      <c r="TYP129" s="90"/>
      <c r="TYQ129" s="90"/>
      <c r="TYR129" s="90"/>
      <c r="TYS129" s="90"/>
      <c r="TYT129" s="90"/>
      <c r="TYU129" s="90"/>
      <c r="TYV129" s="90"/>
      <c r="TYW129" s="90"/>
      <c r="TYX129" s="90"/>
      <c r="TYY129" s="90"/>
      <c r="TYZ129" s="90"/>
      <c r="TZA129" s="90"/>
      <c r="TZB129" s="90"/>
      <c r="TZC129" s="90"/>
      <c r="TZD129" s="90"/>
      <c r="TZE129" s="90"/>
      <c r="TZF129" s="90"/>
      <c r="TZG129" s="89"/>
      <c r="TZH129" s="90"/>
      <c r="TZI129" s="90"/>
      <c r="TZJ129" s="90"/>
      <c r="TZK129" s="90"/>
      <c r="TZL129" s="90"/>
      <c r="TZM129" s="90"/>
      <c r="TZN129" s="90"/>
      <c r="TZO129" s="90"/>
      <c r="TZP129" s="90"/>
      <c r="TZQ129" s="90"/>
      <c r="TZR129" s="90"/>
      <c r="TZS129" s="90"/>
      <c r="TZT129" s="90"/>
      <c r="TZU129" s="90"/>
      <c r="TZV129" s="90"/>
      <c r="TZW129" s="90"/>
      <c r="TZX129" s="90"/>
      <c r="TZY129" s="89"/>
      <c r="TZZ129" s="90"/>
      <c r="UAA129" s="90"/>
      <c r="UAB129" s="90"/>
      <c r="UAC129" s="90"/>
      <c r="UAD129" s="90"/>
      <c r="UAE129" s="90"/>
      <c r="UAF129" s="90"/>
      <c r="UAG129" s="90"/>
      <c r="UAH129" s="90"/>
      <c r="UAI129" s="90"/>
      <c r="UAJ129" s="90"/>
      <c r="UAK129" s="90"/>
      <c r="UAL129" s="90"/>
      <c r="UAM129" s="90"/>
      <c r="UAN129" s="90"/>
      <c r="UAO129" s="90"/>
      <c r="UAP129" s="90"/>
      <c r="UAQ129" s="89"/>
      <c r="UAR129" s="90"/>
      <c r="UAS129" s="90"/>
      <c r="UAT129" s="90"/>
      <c r="UAU129" s="90"/>
      <c r="UAV129" s="90"/>
      <c r="UAW129" s="90"/>
      <c r="UAX129" s="90"/>
      <c r="UAY129" s="90"/>
      <c r="UAZ129" s="90"/>
      <c r="UBA129" s="90"/>
      <c r="UBB129" s="90"/>
      <c r="UBC129" s="90"/>
      <c r="UBD129" s="90"/>
      <c r="UBE129" s="90"/>
      <c r="UBF129" s="90"/>
      <c r="UBG129" s="90"/>
      <c r="UBH129" s="90"/>
      <c r="UBI129" s="89"/>
      <c r="UBJ129" s="90"/>
      <c r="UBK129" s="90"/>
      <c r="UBL129" s="90"/>
      <c r="UBM129" s="90"/>
      <c r="UBN129" s="90"/>
      <c r="UBO129" s="90"/>
      <c r="UBP129" s="90"/>
      <c r="UBQ129" s="90"/>
      <c r="UBR129" s="90"/>
      <c r="UBS129" s="90"/>
      <c r="UBT129" s="90"/>
      <c r="UBU129" s="90"/>
      <c r="UBV129" s="90"/>
      <c r="UBW129" s="90"/>
      <c r="UBX129" s="90"/>
      <c r="UBY129" s="90"/>
      <c r="UBZ129" s="90"/>
      <c r="UCA129" s="89"/>
      <c r="UCB129" s="90"/>
      <c r="UCC129" s="90"/>
      <c r="UCD129" s="90"/>
      <c r="UCE129" s="90"/>
      <c r="UCF129" s="90"/>
      <c r="UCG129" s="90"/>
      <c r="UCH129" s="90"/>
      <c r="UCI129" s="90"/>
      <c r="UCJ129" s="90"/>
      <c r="UCK129" s="90"/>
      <c r="UCL129" s="90"/>
      <c r="UCM129" s="90"/>
      <c r="UCN129" s="90"/>
      <c r="UCO129" s="90"/>
      <c r="UCP129" s="90"/>
      <c r="UCQ129" s="90"/>
      <c r="UCR129" s="90"/>
      <c r="UCS129" s="89"/>
      <c r="UCT129" s="90"/>
      <c r="UCU129" s="90"/>
      <c r="UCV129" s="90"/>
      <c r="UCW129" s="90"/>
      <c r="UCX129" s="90"/>
      <c r="UCY129" s="90"/>
      <c r="UCZ129" s="90"/>
      <c r="UDA129" s="90"/>
      <c r="UDB129" s="90"/>
      <c r="UDC129" s="90"/>
      <c r="UDD129" s="90"/>
      <c r="UDE129" s="90"/>
      <c r="UDF129" s="90"/>
      <c r="UDG129" s="90"/>
      <c r="UDH129" s="90"/>
      <c r="UDI129" s="90"/>
      <c r="UDJ129" s="90"/>
      <c r="UDK129" s="89"/>
      <c r="UDL129" s="90"/>
      <c r="UDM129" s="90"/>
      <c r="UDN129" s="90"/>
      <c r="UDO129" s="90"/>
      <c r="UDP129" s="90"/>
      <c r="UDQ129" s="90"/>
      <c r="UDR129" s="90"/>
      <c r="UDS129" s="90"/>
      <c r="UDT129" s="90"/>
      <c r="UDU129" s="90"/>
      <c r="UDV129" s="90"/>
      <c r="UDW129" s="90"/>
      <c r="UDX129" s="90"/>
      <c r="UDY129" s="90"/>
      <c r="UDZ129" s="90"/>
      <c r="UEA129" s="90"/>
      <c r="UEB129" s="90"/>
      <c r="UEC129" s="89"/>
      <c r="UED129" s="90"/>
      <c r="UEE129" s="90"/>
      <c r="UEF129" s="90"/>
      <c r="UEG129" s="90"/>
      <c r="UEH129" s="90"/>
      <c r="UEI129" s="90"/>
      <c r="UEJ129" s="90"/>
      <c r="UEK129" s="90"/>
      <c r="UEL129" s="90"/>
      <c r="UEM129" s="90"/>
      <c r="UEN129" s="90"/>
      <c r="UEO129" s="90"/>
      <c r="UEP129" s="90"/>
      <c r="UEQ129" s="90"/>
      <c r="UER129" s="90"/>
      <c r="UES129" s="90"/>
      <c r="UET129" s="90"/>
      <c r="UEU129" s="89"/>
      <c r="UEV129" s="90"/>
      <c r="UEW129" s="90"/>
      <c r="UEX129" s="90"/>
      <c r="UEY129" s="90"/>
      <c r="UEZ129" s="90"/>
      <c r="UFA129" s="90"/>
      <c r="UFB129" s="90"/>
      <c r="UFC129" s="90"/>
      <c r="UFD129" s="90"/>
      <c r="UFE129" s="90"/>
      <c r="UFF129" s="90"/>
      <c r="UFG129" s="90"/>
      <c r="UFH129" s="90"/>
      <c r="UFI129" s="90"/>
      <c r="UFJ129" s="90"/>
      <c r="UFK129" s="90"/>
      <c r="UFL129" s="90"/>
      <c r="UFM129" s="89"/>
      <c r="UFN129" s="90"/>
      <c r="UFO129" s="90"/>
      <c r="UFP129" s="90"/>
      <c r="UFQ129" s="90"/>
      <c r="UFR129" s="90"/>
      <c r="UFS129" s="90"/>
      <c r="UFT129" s="90"/>
      <c r="UFU129" s="90"/>
      <c r="UFV129" s="90"/>
      <c r="UFW129" s="90"/>
      <c r="UFX129" s="90"/>
      <c r="UFY129" s="90"/>
      <c r="UFZ129" s="90"/>
      <c r="UGA129" s="90"/>
      <c r="UGB129" s="90"/>
      <c r="UGC129" s="90"/>
      <c r="UGD129" s="90"/>
      <c r="UGE129" s="89"/>
      <c r="UGF129" s="90"/>
      <c r="UGG129" s="90"/>
      <c r="UGH129" s="90"/>
      <c r="UGI129" s="90"/>
      <c r="UGJ129" s="90"/>
      <c r="UGK129" s="90"/>
      <c r="UGL129" s="90"/>
      <c r="UGM129" s="90"/>
      <c r="UGN129" s="90"/>
      <c r="UGO129" s="90"/>
      <c r="UGP129" s="90"/>
      <c r="UGQ129" s="90"/>
      <c r="UGR129" s="90"/>
      <c r="UGS129" s="90"/>
      <c r="UGT129" s="90"/>
      <c r="UGU129" s="90"/>
      <c r="UGV129" s="90"/>
      <c r="UGW129" s="89"/>
      <c r="UGX129" s="90"/>
      <c r="UGY129" s="90"/>
      <c r="UGZ129" s="90"/>
      <c r="UHA129" s="90"/>
      <c r="UHB129" s="90"/>
      <c r="UHC129" s="90"/>
      <c r="UHD129" s="90"/>
      <c r="UHE129" s="90"/>
      <c r="UHF129" s="90"/>
      <c r="UHG129" s="90"/>
      <c r="UHH129" s="90"/>
      <c r="UHI129" s="90"/>
      <c r="UHJ129" s="90"/>
      <c r="UHK129" s="90"/>
      <c r="UHL129" s="90"/>
      <c r="UHM129" s="90"/>
      <c r="UHN129" s="90"/>
      <c r="UHO129" s="89"/>
      <c r="UHP129" s="90"/>
      <c r="UHQ129" s="90"/>
      <c r="UHR129" s="90"/>
      <c r="UHS129" s="90"/>
      <c r="UHT129" s="90"/>
      <c r="UHU129" s="90"/>
      <c r="UHV129" s="90"/>
      <c r="UHW129" s="90"/>
      <c r="UHX129" s="90"/>
      <c r="UHY129" s="90"/>
      <c r="UHZ129" s="90"/>
      <c r="UIA129" s="90"/>
      <c r="UIB129" s="90"/>
      <c r="UIC129" s="90"/>
      <c r="UID129" s="90"/>
      <c r="UIE129" s="90"/>
      <c r="UIF129" s="90"/>
      <c r="UIG129" s="89"/>
      <c r="UIH129" s="90"/>
      <c r="UII129" s="90"/>
      <c r="UIJ129" s="90"/>
      <c r="UIK129" s="90"/>
      <c r="UIL129" s="90"/>
      <c r="UIM129" s="90"/>
      <c r="UIN129" s="90"/>
      <c r="UIO129" s="90"/>
      <c r="UIP129" s="90"/>
      <c r="UIQ129" s="90"/>
      <c r="UIR129" s="90"/>
      <c r="UIS129" s="90"/>
      <c r="UIT129" s="90"/>
      <c r="UIU129" s="90"/>
      <c r="UIV129" s="90"/>
      <c r="UIW129" s="90"/>
      <c r="UIX129" s="90"/>
      <c r="UIY129" s="89"/>
      <c r="UIZ129" s="90"/>
      <c r="UJA129" s="90"/>
      <c r="UJB129" s="90"/>
      <c r="UJC129" s="90"/>
      <c r="UJD129" s="90"/>
      <c r="UJE129" s="90"/>
      <c r="UJF129" s="90"/>
      <c r="UJG129" s="90"/>
      <c r="UJH129" s="90"/>
      <c r="UJI129" s="90"/>
      <c r="UJJ129" s="90"/>
      <c r="UJK129" s="90"/>
      <c r="UJL129" s="90"/>
      <c r="UJM129" s="90"/>
      <c r="UJN129" s="90"/>
      <c r="UJO129" s="90"/>
      <c r="UJP129" s="90"/>
      <c r="UJQ129" s="89"/>
      <c r="UJR129" s="90"/>
      <c r="UJS129" s="90"/>
      <c r="UJT129" s="90"/>
      <c r="UJU129" s="90"/>
      <c r="UJV129" s="90"/>
      <c r="UJW129" s="90"/>
      <c r="UJX129" s="90"/>
      <c r="UJY129" s="90"/>
      <c r="UJZ129" s="90"/>
      <c r="UKA129" s="90"/>
      <c r="UKB129" s="90"/>
      <c r="UKC129" s="90"/>
      <c r="UKD129" s="90"/>
      <c r="UKE129" s="90"/>
      <c r="UKF129" s="90"/>
      <c r="UKG129" s="90"/>
      <c r="UKH129" s="90"/>
      <c r="UKI129" s="89"/>
      <c r="UKJ129" s="90"/>
      <c r="UKK129" s="90"/>
      <c r="UKL129" s="90"/>
      <c r="UKM129" s="90"/>
      <c r="UKN129" s="90"/>
      <c r="UKO129" s="90"/>
      <c r="UKP129" s="90"/>
      <c r="UKQ129" s="90"/>
      <c r="UKR129" s="90"/>
      <c r="UKS129" s="90"/>
      <c r="UKT129" s="90"/>
      <c r="UKU129" s="90"/>
      <c r="UKV129" s="90"/>
      <c r="UKW129" s="90"/>
      <c r="UKX129" s="90"/>
      <c r="UKY129" s="90"/>
      <c r="UKZ129" s="90"/>
      <c r="ULA129" s="89"/>
      <c r="ULB129" s="90"/>
      <c r="ULC129" s="90"/>
      <c r="ULD129" s="90"/>
      <c r="ULE129" s="90"/>
      <c r="ULF129" s="90"/>
      <c r="ULG129" s="90"/>
      <c r="ULH129" s="90"/>
      <c r="ULI129" s="90"/>
      <c r="ULJ129" s="90"/>
      <c r="ULK129" s="90"/>
      <c r="ULL129" s="90"/>
      <c r="ULM129" s="90"/>
      <c r="ULN129" s="90"/>
      <c r="ULO129" s="90"/>
      <c r="ULP129" s="90"/>
      <c r="ULQ129" s="90"/>
      <c r="ULR129" s="90"/>
      <c r="ULS129" s="89"/>
      <c r="ULT129" s="90"/>
      <c r="ULU129" s="90"/>
      <c r="ULV129" s="90"/>
      <c r="ULW129" s="90"/>
      <c r="ULX129" s="90"/>
      <c r="ULY129" s="90"/>
      <c r="ULZ129" s="90"/>
      <c r="UMA129" s="90"/>
      <c r="UMB129" s="90"/>
      <c r="UMC129" s="90"/>
      <c r="UMD129" s="90"/>
      <c r="UME129" s="90"/>
      <c r="UMF129" s="90"/>
      <c r="UMG129" s="90"/>
      <c r="UMH129" s="90"/>
      <c r="UMI129" s="90"/>
      <c r="UMJ129" s="90"/>
      <c r="UMK129" s="89"/>
      <c r="UML129" s="90"/>
      <c r="UMM129" s="90"/>
      <c r="UMN129" s="90"/>
      <c r="UMO129" s="90"/>
      <c r="UMP129" s="90"/>
      <c r="UMQ129" s="90"/>
      <c r="UMR129" s="90"/>
      <c r="UMS129" s="90"/>
      <c r="UMT129" s="90"/>
      <c r="UMU129" s="90"/>
      <c r="UMV129" s="90"/>
      <c r="UMW129" s="90"/>
      <c r="UMX129" s="90"/>
      <c r="UMY129" s="90"/>
      <c r="UMZ129" s="90"/>
      <c r="UNA129" s="90"/>
      <c r="UNB129" s="90"/>
      <c r="UNC129" s="89"/>
      <c r="UND129" s="90"/>
      <c r="UNE129" s="90"/>
      <c r="UNF129" s="90"/>
      <c r="UNG129" s="90"/>
      <c r="UNH129" s="90"/>
      <c r="UNI129" s="90"/>
      <c r="UNJ129" s="90"/>
      <c r="UNK129" s="90"/>
      <c r="UNL129" s="90"/>
      <c r="UNM129" s="90"/>
      <c r="UNN129" s="90"/>
      <c r="UNO129" s="90"/>
      <c r="UNP129" s="90"/>
      <c r="UNQ129" s="90"/>
      <c r="UNR129" s="90"/>
      <c r="UNS129" s="90"/>
      <c r="UNT129" s="90"/>
      <c r="UNU129" s="89"/>
      <c r="UNV129" s="90"/>
      <c r="UNW129" s="90"/>
      <c r="UNX129" s="90"/>
      <c r="UNY129" s="90"/>
      <c r="UNZ129" s="90"/>
      <c r="UOA129" s="90"/>
      <c r="UOB129" s="90"/>
      <c r="UOC129" s="90"/>
      <c r="UOD129" s="90"/>
      <c r="UOE129" s="90"/>
      <c r="UOF129" s="90"/>
      <c r="UOG129" s="90"/>
      <c r="UOH129" s="90"/>
      <c r="UOI129" s="90"/>
      <c r="UOJ129" s="90"/>
      <c r="UOK129" s="90"/>
      <c r="UOL129" s="90"/>
      <c r="UOM129" s="89"/>
      <c r="UON129" s="90"/>
      <c r="UOO129" s="90"/>
      <c r="UOP129" s="90"/>
      <c r="UOQ129" s="90"/>
      <c r="UOR129" s="90"/>
      <c r="UOS129" s="90"/>
      <c r="UOT129" s="90"/>
      <c r="UOU129" s="90"/>
      <c r="UOV129" s="90"/>
      <c r="UOW129" s="90"/>
      <c r="UOX129" s="90"/>
      <c r="UOY129" s="90"/>
      <c r="UOZ129" s="90"/>
      <c r="UPA129" s="90"/>
      <c r="UPB129" s="90"/>
      <c r="UPC129" s="90"/>
      <c r="UPD129" s="90"/>
      <c r="UPE129" s="89"/>
      <c r="UPF129" s="90"/>
      <c r="UPG129" s="90"/>
      <c r="UPH129" s="90"/>
      <c r="UPI129" s="90"/>
      <c r="UPJ129" s="90"/>
      <c r="UPK129" s="90"/>
      <c r="UPL129" s="90"/>
      <c r="UPM129" s="90"/>
      <c r="UPN129" s="90"/>
      <c r="UPO129" s="90"/>
      <c r="UPP129" s="90"/>
      <c r="UPQ129" s="90"/>
      <c r="UPR129" s="90"/>
      <c r="UPS129" s="90"/>
      <c r="UPT129" s="90"/>
      <c r="UPU129" s="90"/>
      <c r="UPV129" s="90"/>
      <c r="UPW129" s="89"/>
      <c r="UPX129" s="90"/>
      <c r="UPY129" s="90"/>
      <c r="UPZ129" s="90"/>
      <c r="UQA129" s="90"/>
      <c r="UQB129" s="90"/>
      <c r="UQC129" s="90"/>
      <c r="UQD129" s="90"/>
      <c r="UQE129" s="90"/>
      <c r="UQF129" s="90"/>
      <c r="UQG129" s="90"/>
      <c r="UQH129" s="90"/>
      <c r="UQI129" s="90"/>
      <c r="UQJ129" s="90"/>
      <c r="UQK129" s="90"/>
      <c r="UQL129" s="90"/>
      <c r="UQM129" s="90"/>
      <c r="UQN129" s="90"/>
      <c r="UQO129" s="89"/>
      <c r="UQP129" s="90"/>
      <c r="UQQ129" s="90"/>
      <c r="UQR129" s="90"/>
      <c r="UQS129" s="90"/>
      <c r="UQT129" s="90"/>
      <c r="UQU129" s="90"/>
      <c r="UQV129" s="90"/>
      <c r="UQW129" s="90"/>
      <c r="UQX129" s="90"/>
      <c r="UQY129" s="90"/>
      <c r="UQZ129" s="90"/>
      <c r="URA129" s="90"/>
      <c r="URB129" s="90"/>
      <c r="URC129" s="90"/>
      <c r="URD129" s="90"/>
      <c r="URE129" s="90"/>
      <c r="URF129" s="90"/>
      <c r="URG129" s="89"/>
      <c r="URH129" s="90"/>
      <c r="URI129" s="90"/>
      <c r="URJ129" s="90"/>
      <c r="URK129" s="90"/>
      <c r="URL129" s="90"/>
      <c r="URM129" s="90"/>
      <c r="URN129" s="90"/>
      <c r="URO129" s="90"/>
      <c r="URP129" s="90"/>
      <c r="URQ129" s="90"/>
      <c r="URR129" s="90"/>
      <c r="URS129" s="90"/>
      <c r="URT129" s="90"/>
      <c r="URU129" s="90"/>
      <c r="URV129" s="90"/>
      <c r="URW129" s="90"/>
      <c r="URX129" s="90"/>
      <c r="URY129" s="89"/>
      <c r="URZ129" s="90"/>
      <c r="USA129" s="90"/>
      <c r="USB129" s="90"/>
      <c r="USC129" s="90"/>
      <c r="USD129" s="90"/>
      <c r="USE129" s="90"/>
      <c r="USF129" s="90"/>
      <c r="USG129" s="90"/>
      <c r="USH129" s="90"/>
      <c r="USI129" s="90"/>
      <c r="USJ129" s="90"/>
      <c r="USK129" s="90"/>
      <c r="USL129" s="90"/>
      <c r="USM129" s="90"/>
      <c r="USN129" s="90"/>
      <c r="USO129" s="90"/>
      <c r="USP129" s="90"/>
      <c r="USQ129" s="89"/>
      <c r="USR129" s="90"/>
      <c r="USS129" s="90"/>
      <c r="UST129" s="90"/>
      <c r="USU129" s="90"/>
      <c r="USV129" s="90"/>
      <c r="USW129" s="90"/>
      <c r="USX129" s="90"/>
      <c r="USY129" s="90"/>
      <c r="USZ129" s="90"/>
      <c r="UTA129" s="90"/>
      <c r="UTB129" s="90"/>
      <c r="UTC129" s="90"/>
      <c r="UTD129" s="90"/>
      <c r="UTE129" s="90"/>
      <c r="UTF129" s="90"/>
      <c r="UTG129" s="90"/>
      <c r="UTH129" s="90"/>
      <c r="UTI129" s="89"/>
      <c r="UTJ129" s="90"/>
      <c r="UTK129" s="90"/>
      <c r="UTL129" s="90"/>
      <c r="UTM129" s="90"/>
      <c r="UTN129" s="90"/>
      <c r="UTO129" s="90"/>
      <c r="UTP129" s="90"/>
      <c r="UTQ129" s="90"/>
      <c r="UTR129" s="90"/>
      <c r="UTS129" s="90"/>
      <c r="UTT129" s="90"/>
      <c r="UTU129" s="90"/>
      <c r="UTV129" s="90"/>
      <c r="UTW129" s="90"/>
      <c r="UTX129" s="90"/>
      <c r="UTY129" s="90"/>
      <c r="UTZ129" s="90"/>
      <c r="UUA129" s="89"/>
      <c r="UUB129" s="90"/>
      <c r="UUC129" s="90"/>
      <c r="UUD129" s="90"/>
      <c r="UUE129" s="90"/>
      <c r="UUF129" s="90"/>
      <c r="UUG129" s="90"/>
      <c r="UUH129" s="90"/>
      <c r="UUI129" s="90"/>
      <c r="UUJ129" s="90"/>
      <c r="UUK129" s="90"/>
      <c r="UUL129" s="90"/>
      <c r="UUM129" s="90"/>
      <c r="UUN129" s="90"/>
      <c r="UUO129" s="90"/>
      <c r="UUP129" s="90"/>
      <c r="UUQ129" s="90"/>
      <c r="UUR129" s="90"/>
      <c r="UUS129" s="89"/>
      <c r="UUT129" s="90"/>
      <c r="UUU129" s="90"/>
      <c r="UUV129" s="90"/>
      <c r="UUW129" s="90"/>
      <c r="UUX129" s="90"/>
      <c r="UUY129" s="90"/>
      <c r="UUZ129" s="90"/>
      <c r="UVA129" s="90"/>
      <c r="UVB129" s="90"/>
      <c r="UVC129" s="90"/>
      <c r="UVD129" s="90"/>
      <c r="UVE129" s="90"/>
      <c r="UVF129" s="90"/>
      <c r="UVG129" s="90"/>
      <c r="UVH129" s="90"/>
      <c r="UVI129" s="90"/>
      <c r="UVJ129" s="90"/>
      <c r="UVK129" s="89"/>
      <c r="UVL129" s="90"/>
      <c r="UVM129" s="90"/>
      <c r="UVN129" s="90"/>
      <c r="UVO129" s="90"/>
      <c r="UVP129" s="90"/>
      <c r="UVQ129" s="90"/>
      <c r="UVR129" s="90"/>
      <c r="UVS129" s="90"/>
      <c r="UVT129" s="90"/>
      <c r="UVU129" s="90"/>
      <c r="UVV129" s="90"/>
      <c r="UVW129" s="90"/>
      <c r="UVX129" s="90"/>
      <c r="UVY129" s="90"/>
      <c r="UVZ129" s="90"/>
      <c r="UWA129" s="90"/>
      <c r="UWB129" s="90"/>
      <c r="UWC129" s="89"/>
      <c r="UWD129" s="90"/>
      <c r="UWE129" s="90"/>
      <c r="UWF129" s="90"/>
      <c r="UWG129" s="90"/>
      <c r="UWH129" s="90"/>
      <c r="UWI129" s="90"/>
      <c r="UWJ129" s="90"/>
      <c r="UWK129" s="90"/>
      <c r="UWL129" s="90"/>
      <c r="UWM129" s="90"/>
      <c r="UWN129" s="90"/>
      <c r="UWO129" s="90"/>
      <c r="UWP129" s="90"/>
      <c r="UWQ129" s="90"/>
      <c r="UWR129" s="90"/>
      <c r="UWS129" s="90"/>
      <c r="UWT129" s="90"/>
      <c r="UWU129" s="89"/>
      <c r="UWV129" s="90"/>
      <c r="UWW129" s="90"/>
      <c r="UWX129" s="90"/>
      <c r="UWY129" s="90"/>
      <c r="UWZ129" s="90"/>
      <c r="UXA129" s="90"/>
      <c r="UXB129" s="90"/>
      <c r="UXC129" s="90"/>
      <c r="UXD129" s="90"/>
      <c r="UXE129" s="90"/>
      <c r="UXF129" s="90"/>
      <c r="UXG129" s="90"/>
      <c r="UXH129" s="90"/>
      <c r="UXI129" s="90"/>
      <c r="UXJ129" s="90"/>
      <c r="UXK129" s="90"/>
      <c r="UXL129" s="90"/>
      <c r="UXM129" s="89"/>
      <c r="UXN129" s="90"/>
      <c r="UXO129" s="90"/>
      <c r="UXP129" s="90"/>
      <c r="UXQ129" s="90"/>
      <c r="UXR129" s="90"/>
      <c r="UXS129" s="90"/>
      <c r="UXT129" s="90"/>
      <c r="UXU129" s="90"/>
      <c r="UXV129" s="90"/>
      <c r="UXW129" s="90"/>
      <c r="UXX129" s="90"/>
      <c r="UXY129" s="90"/>
      <c r="UXZ129" s="90"/>
      <c r="UYA129" s="90"/>
      <c r="UYB129" s="90"/>
      <c r="UYC129" s="90"/>
      <c r="UYD129" s="90"/>
      <c r="UYE129" s="89"/>
      <c r="UYF129" s="90"/>
      <c r="UYG129" s="90"/>
      <c r="UYH129" s="90"/>
      <c r="UYI129" s="90"/>
      <c r="UYJ129" s="90"/>
      <c r="UYK129" s="90"/>
      <c r="UYL129" s="90"/>
      <c r="UYM129" s="90"/>
      <c r="UYN129" s="90"/>
      <c r="UYO129" s="90"/>
      <c r="UYP129" s="90"/>
      <c r="UYQ129" s="90"/>
      <c r="UYR129" s="90"/>
      <c r="UYS129" s="90"/>
      <c r="UYT129" s="90"/>
      <c r="UYU129" s="90"/>
      <c r="UYV129" s="90"/>
      <c r="UYW129" s="89"/>
      <c r="UYX129" s="90"/>
      <c r="UYY129" s="90"/>
      <c r="UYZ129" s="90"/>
      <c r="UZA129" s="90"/>
      <c r="UZB129" s="90"/>
      <c r="UZC129" s="90"/>
      <c r="UZD129" s="90"/>
      <c r="UZE129" s="90"/>
      <c r="UZF129" s="90"/>
      <c r="UZG129" s="90"/>
      <c r="UZH129" s="90"/>
      <c r="UZI129" s="90"/>
      <c r="UZJ129" s="90"/>
      <c r="UZK129" s="90"/>
      <c r="UZL129" s="90"/>
      <c r="UZM129" s="90"/>
      <c r="UZN129" s="90"/>
      <c r="UZO129" s="89"/>
      <c r="UZP129" s="90"/>
      <c r="UZQ129" s="90"/>
      <c r="UZR129" s="90"/>
      <c r="UZS129" s="90"/>
      <c r="UZT129" s="90"/>
      <c r="UZU129" s="90"/>
      <c r="UZV129" s="90"/>
      <c r="UZW129" s="90"/>
      <c r="UZX129" s="90"/>
      <c r="UZY129" s="90"/>
      <c r="UZZ129" s="90"/>
      <c r="VAA129" s="90"/>
      <c r="VAB129" s="90"/>
      <c r="VAC129" s="90"/>
      <c r="VAD129" s="90"/>
      <c r="VAE129" s="90"/>
      <c r="VAF129" s="90"/>
      <c r="VAG129" s="89"/>
      <c r="VAH129" s="90"/>
      <c r="VAI129" s="90"/>
      <c r="VAJ129" s="90"/>
      <c r="VAK129" s="90"/>
      <c r="VAL129" s="90"/>
      <c r="VAM129" s="90"/>
      <c r="VAN129" s="90"/>
      <c r="VAO129" s="90"/>
      <c r="VAP129" s="90"/>
      <c r="VAQ129" s="90"/>
      <c r="VAR129" s="90"/>
      <c r="VAS129" s="90"/>
      <c r="VAT129" s="90"/>
      <c r="VAU129" s="90"/>
      <c r="VAV129" s="90"/>
      <c r="VAW129" s="90"/>
      <c r="VAX129" s="90"/>
      <c r="VAY129" s="89"/>
      <c r="VAZ129" s="90"/>
      <c r="VBA129" s="90"/>
      <c r="VBB129" s="90"/>
      <c r="VBC129" s="90"/>
      <c r="VBD129" s="90"/>
      <c r="VBE129" s="90"/>
      <c r="VBF129" s="90"/>
      <c r="VBG129" s="90"/>
      <c r="VBH129" s="90"/>
      <c r="VBI129" s="90"/>
      <c r="VBJ129" s="90"/>
      <c r="VBK129" s="90"/>
      <c r="VBL129" s="90"/>
      <c r="VBM129" s="90"/>
      <c r="VBN129" s="90"/>
      <c r="VBO129" s="90"/>
      <c r="VBP129" s="90"/>
      <c r="VBQ129" s="89"/>
      <c r="VBR129" s="90"/>
      <c r="VBS129" s="90"/>
      <c r="VBT129" s="90"/>
      <c r="VBU129" s="90"/>
      <c r="VBV129" s="90"/>
      <c r="VBW129" s="90"/>
      <c r="VBX129" s="90"/>
      <c r="VBY129" s="90"/>
      <c r="VBZ129" s="90"/>
      <c r="VCA129" s="90"/>
      <c r="VCB129" s="90"/>
      <c r="VCC129" s="90"/>
      <c r="VCD129" s="90"/>
      <c r="VCE129" s="90"/>
      <c r="VCF129" s="90"/>
      <c r="VCG129" s="90"/>
      <c r="VCH129" s="90"/>
      <c r="VCI129" s="89"/>
      <c r="VCJ129" s="90"/>
      <c r="VCK129" s="90"/>
      <c r="VCL129" s="90"/>
      <c r="VCM129" s="90"/>
      <c r="VCN129" s="90"/>
      <c r="VCO129" s="90"/>
      <c r="VCP129" s="90"/>
      <c r="VCQ129" s="90"/>
      <c r="VCR129" s="90"/>
      <c r="VCS129" s="90"/>
      <c r="VCT129" s="90"/>
      <c r="VCU129" s="90"/>
      <c r="VCV129" s="90"/>
      <c r="VCW129" s="90"/>
      <c r="VCX129" s="90"/>
      <c r="VCY129" s="90"/>
      <c r="VCZ129" s="90"/>
      <c r="VDA129" s="89"/>
      <c r="VDB129" s="90"/>
      <c r="VDC129" s="90"/>
      <c r="VDD129" s="90"/>
      <c r="VDE129" s="90"/>
      <c r="VDF129" s="90"/>
      <c r="VDG129" s="90"/>
      <c r="VDH129" s="90"/>
      <c r="VDI129" s="90"/>
      <c r="VDJ129" s="90"/>
      <c r="VDK129" s="90"/>
      <c r="VDL129" s="90"/>
      <c r="VDM129" s="90"/>
      <c r="VDN129" s="90"/>
      <c r="VDO129" s="90"/>
      <c r="VDP129" s="90"/>
      <c r="VDQ129" s="90"/>
      <c r="VDR129" s="90"/>
      <c r="VDS129" s="89"/>
      <c r="VDT129" s="90"/>
      <c r="VDU129" s="90"/>
      <c r="VDV129" s="90"/>
      <c r="VDW129" s="90"/>
      <c r="VDX129" s="90"/>
      <c r="VDY129" s="90"/>
      <c r="VDZ129" s="90"/>
      <c r="VEA129" s="90"/>
      <c r="VEB129" s="90"/>
      <c r="VEC129" s="90"/>
      <c r="VED129" s="90"/>
      <c r="VEE129" s="90"/>
      <c r="VEF129" s="90"/>
      <c r="VEG129" s="90"/>
      <c r="VEH129" s="90"/>
      <c r="VEI129" s="90"/>
      <c r="VEJ129" s="90"/>
      <c r="VEK129" s="89"/>
      <c r="VEL129" s="90"/>
      <c r="VEM129" s="90"/>
      <c r="VEN129" s="90"/>
      <c r="VEO129" s="90"/>
      <c r="VEP129" s="90"/>
      <c r="VEQ129" s="90"/>
      <c r="VER129" s="90"/>
      <c r="VES129" s="90"/>
      <c r="VET129" s="90"/>
      <c r="VEU129" s="90"/>
      <c r="VEV129" s="90"/>
      <c r="VEW129" s="90"/>
      <c r="VEX129" s="90"/>
      <c r="VEY129" s="90"/>
      <c r="VEZ129" s="90"/>
      <c r="VFA129" s="90"/>
      <c r="VFB129" s="90"/>
      <c r="VFC129" s="89"/>
      <c r="VFD129" s="90"/>
      <c r="VFE129" s="90"/>
      <c r="VFF129" s="90"/>
      <c r="VFG129" s="90"/>
      <c r="VFH129" s="90"/>
      <c r="VFI129" s="90"/>
      <c r="VFJ129" s="90"/>
      <c r="VFK129" s="90"/>
      <c r="VFL129" s="90"/>
      <c r="VFM129" s="90"/>
      <c r="VFN129" s="90"/>
      <c r="VFO129" s="90"/>
      <c r="VFP129" s="90"/>
      <c r="VFQ129" s="90"/>
      <c r="VFR129" s="90"/>
      <c r="VFS129" s="90"/>
      <c r="VFT129" s="90"/>
      <c r="VFU129" s="89"/>
      <c r="VFV129" s="90"/>
      <c r="VFW129" s="90"/>
      <c r="VFX129" s="90"/>
      <c r="VFY129" s="90"/>
      <c r="VFZ129" s="90"/>
      <c r="VGA129" s="90"/>
      <c r="VGB129" s="90"/>
      <c r="VGC129" s="90"/>
      <c r="VGD129" s="90"/>
      <c r="VGE129" s="90"/>
      <c r="VGF129" s="90"/>
      <c r="VGG129" s="90"/>
      <c r="VGH129" s="90"/>
      <c r="VGI129" s="90"/>
      <c r="VGJ129" s="90"/>
      <c r="VGK129" s="90"/>
      <c r="VGL129" s="90"/>
      <c r="VGM129" s="89"/>
      <c r="VGN129" s="90"/>
      <c r="VGO129" s="90"/>
      <c r="VGP129" s="90"/>
      <c r="VGQ129" s="90"/>
      <c r="VGR129" s="90"/>
      <c r="VGS129" s="90"/>
      <c r="VGT129" s="90"/>
      <c r="VGU129" s="90"/>
      <c r="VGV129" s="90"/>
      <c r="VGW129" s="90"/>
      <c r="VGX129" s="90"/>
      <c r="VGY129" s="90"/>
      <c r="VGZ129" s="90"/>
      <c r="VHA129" s="90"/>
      <c r="VHB129" s="90"/>
      <c r="VHC129" s="90"/>
      <c r="VHD129" s="90"/>
      <c r="VHE129" s="89"/>
      <c r="VHF129" s="90"/>
      <c r="VHG129" s="90"/>
      <c r="VHH129" s="90"/>
      <c r="VHI129" s="90"/>
      <c r="VHJ129" s="90"/>
      <c r="VHK129" s="90"/>
      <c r="VHL129" s="90"/>
      <c r="VHM129" s="90"/>
      <c r="VHN129" s="90"/>
      <c r="VHO129" s="90"/>
      <c r="VHP129" s="90"/>
      <c r="VHQ129" s="90"/>
      <c r="VHR129" s="90"/>
      <c r="VHS129" s="90"/>
      <c r="VHT129" s="90"/>
      <c r="VHU129" s="90"/>
      <c r="VHV129" s="90"/>
      <c r="VHW129" s="89"/>
      <c r="VHX129" s="90"/>
      <c r="VHY129" s="90"/>
      <c r="VHZ129" s="90"/>
      <c r="VIA129" s="90"/>
      <c r="VIB129" s="90"/>
      <c r="VIC129" s="90"/>
      <c r="VID129" s="90"/>
      <c r="VIE129" s="90"/>
      <c r="VIF129" s="90"/>
      <c r="VIG129" s="90"/>
      <c r="VIH129" s="90"/>
      <c r="VII129" s="90"/>
      <c r="VIJ129" s="90"/>
      <c r="VIK129" s="90"/>
      <c r="VIL129" s="90"/>
      <c r="VIM129" s="90"/>
      <c r="VIN129" s="90"/>
      <c r="VIO129" s="89"/>
      <c r="VIP129" s="90"/>
      <c r="VIQ129" s="90"/>
      <c r="VIR129" s="90"/>
      <c r="VIS129" s="90"/>
      <c r="VIT129" s="90"/>
      <c r="VIU129" s="90"/>
      <c r="VIV129" s="90"/>
      <c r="VIW129" s="90"/>
      <c r="VIX129" s="90"/>
      <c r="VIY129" s="90"/>
      <c r="VIZ129" s="90"/>
      <c r="VJA129" s="90"/>
      <c r="VJB129" s="90"/>
      <c r="VJC129" s="90"/>
      <c r="VJD129" s="90"/>
      <c r="VJE129" s="90"/>
      <c r="VJF129" s="90"/>
      <c r="VJG129" s="89"/>
      <c r="VJH129" s="90"/>
      <c r="VJI129" s="90"/>
      <c r="VJJ129" s="90"/>
      <c r="VJK129" s="90"/>
      <c r="VJL129" s="90"/>
      <c r="VJM129" s="90"/>
      <c r="VJN129" s="90"/>
      <c r="VJO129" s="90"/>
      <c r="VJP129" s="90"/>
      <c r="VJQ129" s="90"/>
      <c r="VJR129" s="90"/>
      <c r="VJS129" s="90"/>
      <c r="VJT129" s="90"/>
      <c r="VJU129" s="90"/>
      <c r="VJV129" s="90"/>
      <c r="VJW129" s="90"/>
      <c r="VJX129" s="90"/>
      <c r="VJY129" s="89"/>
      <c r="VJZ129" s="90"/>
      <c r="VKA129" s="90"/>
      <c r="VKB129" s="90"/>
      <c r="VKC129" s="90"/>
      <c r="VKD129" s="90"/>
      <c r="VKE129" s="90"/>
      <c r="VKF129" s="90"/>
      <c r="VKG129" s="90"/>
      <c r="VKH129" s="90"/>
      <c r="VKI129" s="90"/>
      <c r="VKJ129" s="90"/>
      <c r="VKK129" s="90"/>
      <c r="VKL129" s="90"/>
      <c r="VKM129" s="90"/>
      <c r="VKN129" s="90"/>
      <c r="VKO129" s="90"/>
      <c r="VKP129" s="90"/>
      <c r="VKQ129" s="89"/>
      <c r="VKR129" s="90"/>
      <c r="VKS129" s="90"/>
      <c r="VKT129" s="90"/>
      <c r="VKU129" s="90"/>
      <c r="VKV129" s="90"/>
      <c r="VKW129" s="90"/>
      <c r="VKX129" s="90"/>
      <c r="VKY129" s="90"/>
      <c r="VKZ129" s="90"/>
      <c r="VLA129" s="90"/>
      <c r="VLB129" s="90"/>
      <c r="VLC129" s="90"/>
      <c r="VLD129" s="90"/>
      <c r="VLE129" s="90"/>
      <c r="VLF129" s="90"/>
      <c r="VLG129" s="90"/>
      <c r="VLH129" s="90"/>
      <c r="VLI129" s="89"/>
      <c r="VLJ129" s="90"/>
      <c r="VLK129" s="90"/>
      <c r="VLL129" s="90"/>
      <c r="VLM129" s="90"/>
      <c r="VLN129" s="90"/>
      <c r="VLO129" s="90"/>
      <c r="VLP129" s="90"/>
      <c r="VLQ129" s="90"/>
      <c r="VLR129" s="90"/>
      <c r="VLS129" s="90"/>
      <c r="VLT129" s="90"/>
      <c r="VLU129" s="90"/>
      <c r="VLV129" s="90"/>
      <c r="VLW129" s="90"/>
      <c r="VLX129" s="90"/>
      <c r="VLY129" s="90"/>
      <c r="VLZ129" s="90"/>
      <c r="VMA129" s="89"/>
      <c r="VMB129" s="90"/>
      <c r="VMC129" s="90"/>
      <c r="VMD129" s="90"/>
      <c r="VME129" s="90"/>
      <c r="VMF129" s="90"/>
      <c r="VMG129" s="90"/>
      <c r="VMH129" s="90"/>
      <c r="VMI129" s="90"/>
      <c r="VMJ129" s="90"/>
      <c r="VMK129" s="90"/>
      <c r="VML129" s="90"/>
      <c r="VMM129" s="90"/>
      <c r="VMN129" s="90"/>
      <c r="VMO129" s="90"/>
      <c r="VMP129" s="90"/>
      <c r="VMQ129" s="90"/>
      <c r="VMR129" s="90"/>
      <c r="VMS129" s="89"/>
      <c r="VMT129" s="90"/>
      <c r="VMU129" s="90"/>
      <c r="VMV129" s="90"/>
      <c r="VMW129" s="90"/>
      <c r="VMX129" s="90"/>
      <c r="VMY129" s="90"/>
      <c r="VMZ129" s="90"/>
      <c r="VNA129" s="90"/>
      <c r="VNB129" s="90"/>
      <c r="VNC129" s="90"/>
      <c r="VND129" s="90"/>
      <c r="VNE129" s="90"/>
      <c r="VNF129" s="90"/>
      <c r="VNG129" s="90"/>
      <c r="VNH129" s="90"/>
      <c r="VNI129" s="90"/>
      <c r="VNJ129" s="90"/>
      <c r="VNK129" s="89"/>
      <c r="VNL129" s="90"/>
      <c r="VNM129" s="90"/>
      <c r="VNN129" s="90"/>
      <c r="VNO129" s="90"/>
      <c r="VNP129" s="90"/>
      <c r="VNQ129" s="90"/>
      <c r="VNR129" s="90"/>
      <c r="VNS129" s="90"/>
      <c r="VNT129" s="90"/>
      <c r="VNU129" s="90"/>
      <c r="VNV129" s="90"/>
      <c r="VNW129" s="90"/>
      <c r="VNX129" s="90"/>
      <c r="VNY129" s="90"/>
      <c r="VNZ129" s="90"/>
      <c r="VOA129" s="90"/>
      <c r="VOB129" s="90"/>
      <c r="VOC129" s="89"/>
      <c r="VOD129" s="90"/>
      <c r="VOE129" s="90"/>
      <c r="VOF129" s="90"/>
      <c r="VOG129" s="90"/>
      <c r="VOH129" s="90"/>
      <c r="VOI129" s="90"/>
      <c r="VOJ129" s="90"/>
      <c r="VOK129" s="90"/>
      <c r="VOL129" s="90"/>
      <c r="VOM129" s="90"/>
      <c r="VON129" s="90"/>
      <c r="VOO129" s="90"/>
      <c r="VOP129" s="90"/>
      <c r="VOQ129" s="90"/>
      <c r="VOR129" s="90"/>
      <c r="VOS129" s="90"/>
      <c r="VOT129" s="90"/>
      <c r="VOU129" s="89"/>
      <c r="VOV129" s="90"/>
      <c r="VOW129" s="90"/>
      <c r="VOX129" s="90"/>
      <c r="VOY129" s="90"/>
      <c r="VOZ129" s="90"/>
      <c r="VPA129" s="90"/>
      <c r="VPB129" s="90"/>
      <c r="VPC129" s="90"/>
      <c r="VPD129" s="90"/>
      <c r="VPE129" s="90"/>
      <c r="VPF129" s="90"/>
      <c r="VPG129" s="90"/>
      <c r="VPH129" s="90"/>
      <c r="VPI129" s="90"/>
      <c r="VPJ129" s="90"/>
      <c r="VPK129" s="90"/>
      <c r="VPL129" s="90"/>
      <c r="VPM129" s="89"/>
      <c r="VPN129" s="90"/>
      <c r="VPO129" s="90"/>
      <c r="VPP129" s="90"/>
      <c r="VPQ129" s="90"/>
      <c r="VPR129" s="90"/>
      <c r="VPS129" s="90"/>
      <c r="VPT129" s="90"/>
      <c r="VPU129" s="90"/>
      <c r="VPV129" s="90"/>
      <c r="VPW129" s="90"/>
      <c r="VPX129" s="90"/>
      <c r="VPY129" s="90"/>
      <c r="VPZ129" s="90"/>
      <c r="VQA129" s="90"/>
      <c r="VQB129" s="90"/>
      <c r="VQC129" s="90"/>
      <c r="VQD129" s="90"/>
      <c r="VQE129" s="89"/>
      <c r="VQF129" s="90"/>
      <c r="VQG129" s="90"/>
      <c r="VQH129" s="90"/>
      <c r="VQI129" s="90"/>
      <c r="VQJ129" s="90"/>
      <c r="VQK129" s="90"/>
      <c r="VQL129" s="90"/>
      <c r="VQM129" s="90"/>
      <c r="VQN129" s="90"/>
      <c r="VQO129" s="90"/>
      <c r="VQP129" s="90"/>
      <c r="VQQ129" s="90"/>
      <c r="VQR129" s="90"/>
      <c r="VQS129" s="90"/>
      <c r="VQT129" s="90"/>
      <c r="VQU129" s="90"/>
      <c r="VQV129" s="90"/>
      <c r="VQW129" s="89"/>
      <c r="VQX129" s="90"/>
      <c r="VQY129" s="90"/>
      <c r="VQZ129" s="90"/>
      <c r="VRA129" s="90"/>
      <c r="VRB129" s="90"/>
      <c r="VRC129" s="90"/>
      <c r="VRD129" s="90"/>
      <c r="VRE129" s="90"/>
      <c r="VRF129" s="90"/>
      <c r="VRG129" s="90"/>
      <c r="VRH129" s="90"/>
      <c r="VRI129" s="90"/>
      <c r="VRJ129" s="90"/>
      <c r="VRK129" s="90"/>
      <c r="VRL129" s="90"/>
      <c r="VRM129" s="90"/>
      <c r="VRN129" s="90"/>
      <c r="VRO129" s="89"/>
      <c r="VRP129" s="90"/>
      <c r="VRQ129" s="90"/>
      <c r="VRR129" s="90"/>
      <c r="VRS129" s="90"/>
      <c r="VRT129" s="90"/>
      <c r="VRU129" s="90"/>
      <c r="VRV129" s="90"/>
      <c r="VRW129" s="90"/>
      <c r="VRX129" s="90"/>
      <c r="VRY129" s="90"/>
      <c r="VRZ129" s="90"/>
      <c r="VSA129" s="90"/>
      <c r="VSB129" s="90"/>
      <c r="VSC129" s="90"/>
      <c r="VSD129" s="90"/>
      <c r="VSE129" s="90"/>
      <c r="VSF129" s="90"/>
      <c r="VSG129" s="89"/>
      <c r="VSH129" s="90"/>
      <c r="VSI129" s="90"/>
      <c r="VSJ129" s="90"/>
      <c r="VSK129" s="90"/>
      <c r="VSL129" s="90"/>
      <c r="VSM129" s="90"/>
      <c r="VSN129" s="90"/>
      <c r="VSO129" s="90"/>
      <c r="VSP129" s="90"/>
      <c r="VSQ129" s="90"/>
      <c r="VSR129" s="90"/>
      <c r="VSS129" s="90"/>
      <c r="VST129" s="90"/>
      <c r="VSU129" s="90"/>
      <c r="VSV129" s="90"/>
      <c r="VSW129" s="90"/>
      <c r="VSX129" s="90"/>
      <c r="VSY129" s="89"/>
      <c r="VSZ129" s="90"/>
      <c r="VTA129" s="90"/>
      <c r="VTB129" s="90"/>
      <c r="VTC129" s="90"/>
      <c r="VTD129" s="90"/>
      <c r="VTE129" s="90"/>
      <c r="VTF129" s="90"/>
      <c r="VTG129" s="90"/>
      <c r="VTH129" s="90"/>
      <c r="VTI129" s="90"/>
      <c r="VTJ129" s="90"/>
      <c r="VTK129" s="90"/>
      <c r="VTL129" s="90"/>
      <c r="VTM129" s="90"/>
      <c r="VTN129" s="90"/>
      <c r="VTO129" s="90"/>
      <c r="VTP129" s="90"/>
      <c r="VTQ129" s="89"/>
      <c r="VTR129" s="90"/>
      <c r="VTS129" s="90"/>
      <c r="VTT129" s="90"/>
      <c r="VTU129" s="90"/>
      <c r="VTV129" s="90"/>
      <c r="VTW129" s="90"/>
      <c r="VTX129" s="90"/>
      <c r="VTY129" s="90"/>
      <c r="VTZ129" s="90"/>
      <c r="VUA129" s="90"/>
      <c r="VUB129" s="90"/>
      <c r="VUC129" s="90"/>
      <c r="VUD129" s="90"/>
      <c r="VUE129" s="90"/>
      <c r="VUF129" s="90"/>
      <c r="VUG129" s="90"/>
      <c r="VUH129" s="90"/>
      <c r="VUI129" s="89"/>
      <c r="VUJ129" s="90"/>
      <c r="VUK129" s="90"/>
      <c r="VUL129" s="90"/>
      <c r="VUM129" s="90"/>
      <c r="VUN129" s="90"/>
      <c r="VUO129" s="90"/>
      <c r="VUP129" s="90"/>
      <c r="VUQ129" s="90"/>
      <c r="VUR129" s="90"/>
      <c r="VUS129" s="90"/>
      <c r="VUT129" s="90"/>
      <c r="VUU129" s="90"/>
      <c r="VUV129" s="90"/>
      <c r="VUW129" s="90"/>
      <c r="VUX129" s="90"/>
      <c r="VUY129" s="90"/>
      <c r="VUZ129" s="90"/>
      <c r="VVA129" s="89"/>
      <c r="VVB129" s="90"/>
      <c r="VVC129" s="90"/>
      <c r="VVD129" s="90"/>
      <c r="VVE129" s="90"/>
      <c r="VVF129" s="90"/>
      <c r="VVG129" s="90"/>
      <c r="VVH129" s="90"/>
      <c r="VVI129" s="90"/>
      <c r="VVJ129" s="90"/>
      <c r="VVK129" s="90"/>
      <c r="VVL129" s="90"/>
      <c r="VVM129" s="90"/>
      <c r="VVN129" s="90"/>
      <c r="VVO129" s="90"/>
      <c r="VVP129" s="90"/>
      <c r="VVQ129" s="90"/>
      <c r="VVR129" s="90"/>
      <c r="VVS129" s="89"/>
      <c r="VVT129" s="90"/>
      <c r="VVU129" s="90"/>
      <c r="VVV129" s="90"/>
      <c r="VVW129" s="90"/>
      <c r="VVX129" s="90"/>
      <c r="VVY129" s="90"/>
      <c r="VVZ129" s="90"/>
      <c r="VWA129" s="90"/>
      <c r="VWB129" s="90"/>
      <c r="VWC129" s="90"/>
      <c r="VWD129" s="90"/>
      <c r="VWE129" s="90"/>
      <c r="VWF129" s="90"/>
      <c r="VWG129" s="90"/>
      <c r="VWH129" s="90"/>
      <c r="VWI129" s="90"/>
      <c r="VWJ129" s="90"/>
      <c r="VWK129" s="89"/>
      <c r="VWL129" s="90"/>
      <c r="VWM129" s="90"/>
      <c r="VWN129" s="90"/>
      <c r="VWO129" s="90"/>
      <c r="VWP129" s="90"/>
      <c r="VWQ129" s="90"/>
      <c r="VWR129" s="90"/>
      <c r="VWS129" s="90"/>
      <c r="VWT129" s="90"/>
      <c r="VWU129" s="90"/>
      <c r="VWV129" s="90"/>
      <c r="VWW129" s="90"/>
      <c r="VWX129" s="90"/>
      <c r="VWY129" s="90"/>
      <c r="VWZ129" s="90"/>
      <c r="VXA129" s="90"/>
      <c r="VXB129" s="90"/>
      <c r="VXC129" s="89"/>
      <c r="VXD129" s="90"/>
      <c r="VXE129" s="90"/>
      <c r="VXF129" s="90"/>
      <c r="VXG129" s="90"/>
      <c r="VXH129" s="90"/>
      <c r="VXI129" s="90"/>
      <c r="VXJ129" s="90"/>
      <c r="VXK129" s="90"/>
      <c r="VXL129" s="90"/>
      <c r="VXM129" s="90"/>
      <c r="VXN129" s="90"/>
      <c r="VXO129" s="90"/>
      <c r="VXP129" s="90"/>
      <c r="VXQ129" s="90"/>
      <c r="VXR129" s="90"/>
      <c r="VXS129" s="90"/>
      <c r="VXT129" s="90"/>
      <c r="VXU129" s="89"/>
      <c r="VXV129" s="90"/>
      <c r="VXW129" s="90"/>
      <c r="VXX129" s="90"/>
      <c r="VXY129" s="90"/>
      <c r="VXZ129" s="90"/>
      <c r="VYA129" s="90"/>
      <c r="VYB129" s="90"/>
      <c r="VYC129" s="90"/>
      <c r="VYD129" s="90"/>
      <c r="VYE129" s="90"/>
      <c r="VYF129" s="90"/>
      <c r="VYG129" s="90"/>
      <c r="VYH129" s="90"/>
      <c r="VYI129" s="90"/>
      <c r="VYJ129" s="90"/>
      <c r="VYK129" s="90"/>
      <c r="VYL129" s="90"/>
      <c r="VYM129" s="89"/>
      <c r="VYN129" s="90"/>
      <c r="VYO129" s="90"/>
      <c r="VYP129" s="90"/>
      <c r="VYQ129" s="90"/>
      <c r="VYR129" s="90"/>
      <c r="VYS129" s="90"/>
      <c r="VYT129" s="90"/>
      <c r="VYU129" s="90"/>
      <c r="VYV129" s="90"/>
      <c r="VYW129" s="90"/>
      <c r="VYX129" s="90"/>
      <c r="VYY129" s="90"/>
      <c r="VYZ129" s="90"/>
      <c r="VZA129" s="90"/>
      <c r="VZB129" s="90"/>
      <c r="VZC129" s="90"/>
      <c r="VZD129" s="90"/>
      <c r="VZE129" s="89"/>
      <c r="VZF129" s="90"/>
      <c r="VZG129" s="90"/>
      <c r="VZH129" s="90"/>
      <c r="VZI129" s="90"/>
      <c r="VZJ129" s="90"/>
      <c r="VZK129" s="90"/>
      <c r="VZL129" s="90"/>
      <c r="VZM129" s="90"/>
      <c r="VZN129" s="90"/>
      <c r="VZO129" s="90"/>
      <c r="VZP129" s="90"/>
      <c r="VZQ129" s="90"/>
      <c r="VZR129" s="90"/>
      <c r="VZS129" s="90"/>
      <c r="VZT129" s="90"/>
      <c r="VZU129" s="90"/>
      <c r="VZV129" s="90"/>
      <c r="VZW129" s="89"/>
      <c r="VZX129" s="90"/>
      <c r="VZY129" s="90"/>
      <c r="VZZ129" s="90"/>
      <c r="WAA129" s="90"/>
      <c r="WAB129" s="90"/>
      <c r="WAC129" s="90"/>
      <c r="WAD129" s="90"/>
      <c r="WAE129" s="90"/>
      <c r="WAF129" s="90"/>
      <c r="WAG129" s="90"/>
      <c r="WAH129" s="90"/>
      <c r="WAI129" s="90"/>
      <c r="WAJ129" s="90"/>
      <c r="WAK129" s="90"/>
      <c r="WAL129" s="90"/>
      <c r="WAM129" s="90"/>
      <c r="WAN129" s="90"/>
      <c r="WAO129" s="89"/>
      <c r="WAP129" s="90"/>
      <c r="WAQ129" s="90"/>
      <c r="WAR129" s="90"/>
      <c r="WAS129" s="90"/>
      <c r="WAT129" s="90"/>
      <c r="WAU129" s="90"/>
      <c r="WAV129" s="90"/>
      <c r="WAW129" s="90"/>
      <c r="WAX129" s="90"/>
      <c r="WAY129" s="90"/>
      <c r="WAZ129" s="90"/>
      <c r="WBA129" s="90"/>
      <c r="WBB129" s="90"/>
      <c r="WBC129" s="90"/>
      <c r="WBD129" s="90"/>
      <c r="WBE129" s="90"/>
      <c r="WBF129" s="90"/>
      <c r="WBG129" s="89"/>
      <c r="WBH129" s="90"/>
      <c r="WBI129" s="90"/>
      <c r="WBJ129" s="90"/>
      <c r="WBK129" s="90"/>
      <c r="WBL129" s="90"/>
      <c r="WBM129" s="90"/>
      <c r="WBN129" s="90"/>
      <c r="WBO129" s="90"/>
      <c r="WBP129" s="90"/>
      <c r="WBQ129" s="90"/>
      <c r="WBR129" s="90"/>
      <c r="WBS129" s="90"/>
      <c r="WBT129" s="90"/>
      <c r="WBU129" s="90"/>
      <c r="WBV129" s="90"/>
      <c r="WBW129" s="90"/>
      <c r="WBX129" s="90"/>
      <c r="WBY129" s="89"/>
      <c r="WBZ129" s="90"/>
      <c r="WCA129" s="90"/>
      <c r="WCB129" s="90"/>
      <c r="WCC129" s="90"/>
      <c r="WCD129" s="90"/>
      <c r="WCE129" s="90"/>
      <c r="WCF129" s="90"/>
      <c r="WCG129" s="90"/>
      <c r="WCH129" s="90"/>
      <c r="WCI129" s="90"/>
      <c r="WCJ129" s="90"/>
      <c r="WCK129" s="90"/>
      <c r="WCL129" s="90"/>
      <c r="WCM129" s="90"/>
      <c r="WCN129" s="90"/>
      <c r="WCO129" s="90"/>
      <c r="WCP129" s="90"/>
      <c r="WCQ129" s="89"/>
      <c r="WCR129" s="90"/>
      <c r="WCS129" s="90"/>
      <c r="WCT129" s="90"/>
      <c r="WCU129" s="90"/>
      <c r="WCV129" s="90"/>
      <c r="WCW129" s="90"/>
      <c r="WCX129" s="90"/>
      <c r="WCY129" s="90"/>
      <c r="WCZ129" s="90"/>
      <c r="WDA129" s="90"/>
      <c r="WDB129" s="90"/>
      <c r="WDC129" s="90"/>
      <c r="WDD129" s="90"/>
      <c r="WDE129" s="90"/>
      <c r="WDF129" s="90"/>
      <c r="WDG129" s="90"/>
      <c r="WDH129" s="90"/>
      <c r="WDI129" s="89"/>
      <c r="WDJ129" s="90"/>
      <c r="WDK129" s="90"/>
      <c r="WDL129" s="90"/>
      <c r="WDM129" s="90"/>
      <c r="WDN129" s="90"/>
      <c r="WDO129" s="90"/>
      <c r="WDP129" s="90"/>
      <c r="WDQ129" s="90"/>
      <c r="WDR129" s="90"/>
      <c r="WDS129" s="90"/>
      <c r="WDT129" s="90"/>
      <c r="WDU129" s="90"/>
      <c r="WDV129" s="90"/>
      <c r="WDW129" s="90"/>
      <c r="WDX129" s="90"/>
      <c r="WDY129" s="90"/>
      <c r="WDZ129" s="90"/>
      <c r="WEA129" s="89"/>
      <c r="WEB129" s="90"/>
      <c r="WEC129" s="90"/>
      <c r="WED129" s="90"/>
      <c r="WEE129" s="90"/>
      <c r="WEF129" s="90"/>
      <c r="WEG129" s="90"/>
      <c r="WEH129" s="90"/>
      <c r="WEI129" s="90"/>
      <c r="WEJ129" s="90"/>
      <c r="WEK129" s="90"/>
      <c r="WEL129" s="90"/>
      <c r="WEM129" s="90"/>
      <c r="WEN129" s="90"/>
      <c r="WEO129" s="90"/>
      <c r="WEP129" s="90"/>
      <c r="WEQ129" s="90"/>
      <c r="WER129" s="90"/>
      <c r="WES129" s="89"/>
      <c r="WET129" s="90"/>
      <c r="WEU129" s="90"/>
      <c r="WEV129" s="90"/>
      <c r="WEW129" s="90"/>
      <c r="WEX129" s="90"/>
      <c r="WEY129" s="90"/>
      <c r="WEZ129" s="90"/>
      <c r="WFA129" s="90"/>
      <c r="WFB129" s="90"/>
      <c r="WFC129" s="90"/>
      <c r="WFD129" s="90"/>
      <c r="WFE129" s="90"/>
      <c r="WFF129" s="90"/>
      <c r="WFG129" s="90"/>
      <c r="WFH129" s="90"/>
      <c r="WFI129" s="90"/>
      <c r="WFJ129" s="90"/>
      <c r="WFK129" s="89"/>
      <c r="WFL129" s="90"/>
      <c r="WFM129" s="90"/>
      <c r="WFN129" s="90"/>
      <c r="WFO129" s="90"/>
      <c r="WFP129" s="90"/>
      <c r="WFQ129" s="90"/>
      <c r="WFR129" s="90"/>
      <c r="WFS129" s="90"/>
      <c r="WFT129" s="90"/>
      <c r="WFU129" s="90"/>
      <c r="WFV129" s="90"/>
      <c r="WFW129" s="90"/>
      <c r="WFX129" s="90"/>
      <c r="WFY129" s="90"/>
      <c r="WFZ129" s="90"/>
      <c r="WGA129" s="90"/>
      <c r="WGB129" s="90"/>
      <c r="WGC129" s="89"/>
      <c r="WGD129" s="90"/>
      <c r="WGE129" s="90"/>
      <c r="WGF129" s="90"/>
      <c r="WGG129" s="90"/>
      <c r="WGH129" s="90"/>
      <c r="WGI129" s="90"/>
      <c r="WGJ129" s="90"/>
      <c r="WGK129" s="90"/>
      <c r="WGL129" s="90"/>
      <c r="WGM129" s="90"/>
      <c r="WGN129" s="90"/>
      <c r="WGO129" s="90"/>
      <c r="WGP129" s="90"/>
      <c r="WGQ129" s="90"/>
      <c r="WGR129" s="90"/>
      <c r="WGS129" s="90"/>
      <c r="WGT129" s="90"/>
      <c r="WGU129" s="89"/>
      <c r="WGV129" s="90"/>
      <c r="WGW129" s="90"/>
      <c r="WGX129" s="90"/>
      <c r="WGY129" s="90"/>
      <c r="WGZ129" s="90"/>
      <c r="WHA129" s="90"/>
      <c r="WHB129" s="90"/>
      <c r="WHC129" s="90"/>
      <c r="WHD129" s="90"/>
      <c r="WHE129" s="90"/>
      <c r="WHF129" s="90"/>
      <c r="WHG129" s="90"/>
      <c r="WHH129" s="90"/>
      <c r="WHI129" s="90"/>
      <c r="WHJ129" s="90"/>
      <c r="WHK129" s="90"/>
      <c r="WHL129" s="90"/>
      <c r="WHM129" s="89"/>
      <c r="WHN129" s="90"/>
      <c r="WHO129" s="90"/>
      <c r="WHP129" s="90"/>
      <c r="WHQ129" s="90"/>
      <c r="WHR129" s="90"/>
      <c r="WHS129" s="90"/>
      <c r="WHT129" s="90"/>
      <c r="WHU129" s="90"/>
      <c r="WHV129" s="90"/>
      <c r="WHW129" s="90"/>
      <c r="WHX129" s="90"/>
      <c r="WHY129" s="90"/>
      <c r="WHZ129" s="90"/>
      <c r="WIA129" s="90"/>
      <c r="WIB129" s="90"/>
      <c r="WIC129" s="90"/>
      <c r="WID129" s="90"/>
      <c r="WIE129" s="89"/>
      <c r="WIF129" s="90"/>
      <c r="WIG129" s="90"/>
      <c r="WIH129" s="90"/>
      <c r="WII129" s="90"/>
      <c r="WIJ129" s="90"/>
      <c r="WIK129" s="90"/>
      <c r="WIL129" s="90"/>
      <c r="WIM129" s="90"/>
      <c r="WIN129" s="90"/>
      <c r="WIO129" s="90"/>
      <c r="WIP129" s="90"/>
      <c r="WIQ129" s="90"/>
      <c r="WIR129" s="90"/>
      <c r="WIS129" s="90"/>
      <c r="WIT129" s="90"/>
      <c r="WIU129" s="90"/>
      <c r="WIV129" s="90"/>
      <c r="WIW129" s="89"/>
      <c r="WIX129" s="90"/>
      <c r="WIY129" s="90"/>
      <c r="WIZ129" s="90"/>
      <c r="WJA129" s="90"/>
      <c r="WJB129" s="90"/>
      <c r="WJC129" s="90"/>
      <c r="WJD129" s="90"/>
      <c r="WJE129" s="90"/>
      <c r="WJF129" s="90"/>
      <c r="WJG129" s="90"/>
      <c r="WJH129" s="90"/>
      <c r="WJI129" s="90"/>
      <c r="WJJ129" s="90"/>
      <c r="WJK129" s="90"/>
      <c r="WJL129" s="90"/>
      <c r="WJM129" s="90"/>
      <c r="WJN129" s="90"/>
      <c r="WJO129" s="89"/>
      <c r="WJP129" s="90"/>
      <c r="WJQ129" s="90"/>
      <c r="WJR129" s="90"/>
      <c r="WJS129" s="90"/>
      <c r="WJT129" s="90"/>
      <c r="WJU129" s="90"/>
      <c r="WJV129" s="90"/>
      <c r="WJW129" s="90"/>
      <c r="WJX129" s="90"/>
      <c r="WJY129" s="90"/>
      <c r="WJZ129" s="90"/>
      <c r="WKA129" s="90"/>
      <c r="WKB129" s="90"/>
      <c r="WKC129" s="90"/>
      <c r="WKD129" s="90"/>
      <c r="WKE129" s="90"/>
      <c r="WKF129" s="90"/>
      <c r="WKG129" s="89"/>
      <c r="WKH129" s="90"/>
      <c r="WKI129" s="90"/>
      <c r="WKJ129" s="90"/>
      <c r="WKK129" s="90"/>
      <c r="WKL129" s="90"/>
      <c r="WKM129" s="90"/>
      <c r="WKN129" s="90"/>
      <c r="WKO129" s="90"/>
      <c r="WKP129" s="90"/>
      <c r="WKQ129" s="90"/>
      <c r="WKR129" s="90"/>
      <c r="WKS129" s="90"/>
      <c r="WKT129" s="90"/>
      <c r="WKU129" s="90"/>
      <c r="WKV129" s="90"/>
      <c r="WKW129" s="90"/>
      <c r="WKX129" s="90"/>
      <c r="WKY129" s="89"/>
      <c r="WKZ129" s="90"/>
      <c r="WLA129" s="90"/>
      <c r="WLB129" s="90"/>
      <c r="WLC129" s="90"/>
      <c r="WLD129" s="90"/>
      <c r="WLE129" s="90"/>
      <c r="WLF129" s="90"/>
      <c r="WLG129" s="90"/>
      <c r="WLH129" s="90"/>
      <c r="WLI129" s="90"/>
      <c r="WLJ129" s="90"/>
      <c r="WLK129" s="90"/>
      <c r="WLL129" s="90"/>
      <c r="WLM129" s="90"/>
      <c r="WLN129" s="90"/>
      <c r="WLO129" s="90"/>
      <c r="WLP129" s="90"/>
      <c r="WLQ129" s="89"/>
      <c r="WLR129" s="90"/>
      <c r="WLS129" s="90"/>
      <c r="WLT129" s="90"/>
      <c r="WLU129" s="90"/>
      <c r="WLV129" s="90"/>
      <c r="WLW129" s="90"/>
      <c r="WLX129" s="90"/>
      <c r="WLY129" s="90"/>
      <c r="WLZ129" s="90"/>
      <c r="WMA129" s="90"/>
      <c r="WMB129" s="90"/>
      <c r="WMC129" s="90"/>
      <c r="WMD129" s="90"/>
      <c r="WME129" s="90"/>
      <c r="WMF129" s="90"/>
      <c r="WMG129" s="90"/>
      <c r="WMH129" s="90"/>
      <c r="WMI129" s="89"/>
      <c r="WMJ129" s="90"/>
      <c r="WMK129" s="90"/>
      <c r="WML129" s="90"/>
      <c r="WMM129" s="90"/>
      <c r="WMN129" s="90"/>
      <c r="WMO129" s="90"/>
      <c r="WMP129" s="90"/>
      <c r="WMQ129" s="90"/>
      <c r="WMR129" s="90"/>
      <c r="WMS129" s="90"/>
      <c r="WMT129" s="90"/>
      <c r="WMU129" s="90"/>
      <c r="WMV129" s="90"/>
      <c r="WMW129" s="90"/>
      <c r="WMX129" s="90"/>
      <c r="WMY129" s="90"/>
      <c r="WMZ129" s="90"/>
      <c r="WNA129" s="89"/>
      <c r="WNB129" s="90"/>
      <c r="WNC129" s="90"/>
      <c r="WND129" s="90"/>
      <c r="WNE129" s="90"/>
      <c r="WNF129" s="90"/>
      <c r="WNG129" s="90"/>
      <c r="WNH129" s="90"/>
      <c r="WNI129" s="90"/>
      <c r="WNJ129" s="90"/>
      <c r="WNK129" s="90"/>
      <c r="WNL129" s="90"/>
      <c r="WNM129" s="90"/>
      <c r="WNN129" s="90"/>
      <c r="WNO129" s="90"/>
      <c r="WNP129" s="90"/>
      <c r="WNQ129" s="90"/>
      <c r="WNR129" s="90"/>
      <c r="WNS129" s="89"/>
      <c r="WNT129" s="90"/>
      <c r="WNU129" s="90"/>
      <c r="WNV129" s="90"/>
      <c r="WNW129" s="90"/>
      <c r="WNX129" s="90"/>
      <c r="WNY129" s="90"/>
      <c r="WNZ129" s="90"/>
      <c r="WOA129" s="90"/>
      <c r="WOB129" s="90"/>
      <c r="WOC129" s="90"/>
      <c r="WOD129" s="90"/>
      <c r="WOE129" s="90"/>
      <c r="WOF129" s="90"/>
      <c r="WOG129" s="90"/>
      <c r="WOH129" s="90"/>
      <c r="WOI129" s="90"/>
      <c r="WOJ129" s="90"/>
      <c r="WOK129" s="89"/>
      <c r="WOL129" s="90"/>
      <c r="WOM129" s="90"/>
      <c r="WON129" s="90"/>
      <c r="WOO129" s="90"/>
      <c r="WOP129" s="90"/>
      <c r="WOQ129" s="90"/>
      <c r="WOR129" s="90"/>
      <c r="WOS129" s="90"/>
      <c r="WOT129" s="90"/>
      <c r="WOU129" s="90"/>
      <c r="WOV129" s="90"/>
      <c r="WOW129" s="90"/>
      <c r="WOX129" s="90"/>
      <c r="WOY129" s="90"/>
      <c r="WOZ129" s="90"/>
      <c r="WPA129" s="90"/>
      <c r="WPB129" s="90"/>
      <c r="WPC129" s="89"/>
      <c r="WPD129" s="90"/>
      <c r="WPE129" s="90"/>
      <c r="WPF129" s="90"/>
      <c r="WPG129" s="90"/>
      <c r="WPH129" s="90"/>
      <c r="WPI129" s="90"/>
      <c r="WPJ129" s="90"/>
      <c r="WPK129" s="90"/>
      <c r="WPL129" s="90"/>
      <c r="WPM129" s="90"/>
      <c r="WPN129" s="90"/>
      <c r="WPO129" s="90"/>
      <c r="WPP129" s="90"/>
      <c r="WPQ129" s="90"/>
      <c r="WPR129" s="90"/>
      <c r="WPS129" s="90"/>
      <c r="WPT129" s="90"/>
      <c r="WPU129" s="89"/>
      <c r="WPV129" s="90"/>
      <c r="WPW129" s="90"/>
      <c r="WPX129" s="90"/>
      <c r="WPY129" s="90"/>
      <c r="WPZ129" s="90"/>
      <c r="WQA129" s="90"/>
      <c r="WQB129" s="90"/>
      <c r="WQC129" s="90"/>
      <c r="WQD129" s="90"/>
      <c r="WQE129" s="90"/>
      <c r="WQF129" s="90"/>
      <c r="WQG129" s="90"/>
      <c r="WQH129" s="90"/>
      <c r="WQI129" s="90"/>
      <c r="WQJ129" s="90"/>
      <c r="WQK129" s="90"/>
      <c r="WQL129" s="90"/>
      <c r="WQM129" s="89"/>
      <c r="WQN129" s="90"/>
      <c r="WQO129" s="90"/>
      <c r="WQP129" s="90"/>
      <c r="WQQ129" s="90"/>
      <c r="WQR129" s="90"/>
      <c r="WQS129" s="90"/>
      <c r="WQT129" s="90"/>
      <c r="WQU129" s="90"/>
      <c r="WQV129" s="90"/>
      <c r="WQW129" s="90"/>
      <c r="WQX129" s="90"/>
      <c r="WQY129" s="90"/>
      <c r="WQZ129" s="90"/>
      <c r="WRA129" s="90"/>
      <c r="WRB129" s="90"/>
      <c r="WRC129" s="90"/>
      <c r="WRD129" s="90"/>
      <c r="WRE129" s="89"/>
      <c r="WRF129" s="90"/>
      <c r="WRG129" s="90"/>
      <c r="WRH129" s="90"/>
      <c r="WRI129" s="90"/>
      <c r="WRJ129" s="90"/>
      <c r="WRK129" s="90"/>
      <c r="WRL129" s="90"/>
      <c r="WRM129" s="90"/>
      <c r="WRN129" s="90"/>
      <c r="WRO129" s="90"/>
      <c r="WRP129" s="90"/>
      <c r="WRQ129" s="90"/>
      <c r="WRR129" s="90"/>
      <c r="WRS129" s="90"/>
      <c r="WRT129" s="90"/>
      <c r="WRU129" s="90"/>
      <c r="WRV129" s="90"/>
      <c r="WRW129" s="89"/>
      <c r="WRX129" s="90"/>
      <c r="WRY129" s="90"/>
      <c r="WRZ129" s="90"/>
      <c r="WSA129" s="90"/>
      <c r="WSB129" s="90"/>
      <c r="WSC129" s="90"/>
      <c r="WSD129" s="90"/>
      <c r="WSE129" s="90"/>
      <c r="WSF129" s="90"/>
      <c r="WSG129" s="90"/>
      <c r="WSH129" s="90"/>
      <c r="WSI129" s="90"/>
      <c r="WSJ129" s="90"/>
      <c r="WSK129" s="90"/>
      <c r="WSL129" s="90"/>
      <c r="WSM129" s="90"/>
      <c r="WSN129" s="90"/>
      <c r="WSO129" s="89"/>
      <c r="WSP129" s="90"/>
      <c r="WSQ129" s="90"/>
      <c r="WSR129" s="90"/>
      <c r="WSS129" s="90"/>
      <c r="WST129" s="90"/>
      <c r="WSU129" s="90"/>
      <c r="WSV129" s="90"/>
      <c r="WSW129" s="90"/>
      <c r="WSX129" s="90"/>
      <c r="WSY129" s="90"/>
      <c r="WSZ129" s="90"/>
      <c r="WTA129" s="90"/>
      <c r="WTB129" s="90"/>
      <c r="WTC129" s="90"/>
      <c r="WTD129" s="90"/>
      <c r="WTE129" s="90"/>
      <c r="WTF129" s="90"/>
      <c r="WTG129" s="89"/>
      <c r="WTH129" s="90"/>
      <c r="WTI129" s="90"/>
      <c r="WTJ129" s="90"/>
      <c r="WTK129" s="90"/>
      <c r="WTL129" s="90"/>
      <c r="WTM129" s="90"/>
      <c r="WTN129" s="90"/>
      <c r="WTO129" s="90"/>
      <c r="WTP129" s="90"/>
      <c r="WTQ129" s="90"/>
      <c r="WTR129" s="90"/>
      <c r="WTS129" s="90"/>
      <c r="WTT129" s="90"/>
      <c r="WTU129" s="90"/>
      <c r="WTV129" s="90"/>
      <c r="WTW129" s="90"/>
      <c r="WTX129" s="90"/>
      <c r="WTY129" s="89"/>
      <c r="WTZ129" s="90"/>
      <c r="WUA129" s="90"/>
      <c r="WUB129" s="90"/>
      <c r="WUC129" s="90"/>
      <c r="WUD129" s="90"/>
      <c r="WUE129" s="90"/>
      <c r="WUF129" s="90"/>
      <c r="WUG129" s="90"/>
      <c r="WUH129" s="90"/>
      <c r="WUI129" s="90"/>
      <c r="WUJ129" s="90"/>
      <c r="WUK129" s="90"/>
      <c r="WUL129" s="90"/>
      <c r="WUM129" s="90"/>
      <c r="WUN129" s="90"/>
      <c r="WUO129" s="90"/>
      <c r="WUP129" s="90"/>
      <c r="WUQ129" s="89"/>
      <c r="WUR129" s="90"/>
      <c r="WUS129" s="90"/>
      <c r="WUT129" s="90"/>
      <c r="WUU129" s="90"/>
      <c r="WUV129" s="90"/>
      <c r="WUW129" s="90"/>
      <c r="WUX129" s="90"/>
      <c r="WUY129" s="90"/>
      <c r="WUZ129" s="90"/>
      <c r="WVA129" s="90"/>
      <c r="WVB129" s="90"/>
      <c r="WVC129" s="90"/>
      <c r="WVD129" s="90"/>
      <c r="WVE129" s="90"/>
      <c r="WVF129" s="90"/>
      <c r="WVG129" s="90"/>
      <c r="WVH129" s="90"/>
      <c r="WVI129" s="89"/>
      <c r="WVJ129" s="90"/>
      <c r="WVK129" s="90"/>
      <c r="WVL129" s="90"/>
      <c r="WVM129" s="90"/>
      <c r="WVN129" s="90"/>
      <c r="WVO129" s="90"/>
      <c r="WVP129" s="90"/>
      <c r="WVQ129" s="90"/>
      <c r="WVR129" s="90"/>
      <c r="WVS129" s="90"/>
      <c r="WVT129" s="90"/>
      <c r="WVU129" s="90"/>
      <c r="WVV129" s="90"/>
      <c r="WVW129" s="90"/>
      <c r="WVX129" s="90"/>
      <c r="WVY129" s="90"/>
      <c r="WVZ129" s="90"/>
      <c r="WWA129" s="89"/>
      <c r="WWB129" s="90"/>
      <c r="WWC129" s="90"/>
      <c r="WWD129" s="90"/>
      <c r="WWE129" s="90"/>
      <c r="WWF129" s="90"/>
      <c r="WWG129" s="90"/>
      <c r="WWH129" s="90"/>
      <c r="WWI129" s="90"/>
      <c r="WWJ129" s="90"/>
      <c r="WWK129" s="90"/>
      <c r="WWL129" s="90"/>
      <c r="WWM129" s="90"/>
      <c r="WWN129" s="90"/>
      <c r="WWO129" s="90"/>
      <c r="WWP129" s="90"/>
      <c r="WWQ129" s="90"/>
      <c r="WWR129" s="90"/>
      <c r="WWS129" s="89"/>
      <c r="WWT129" s="90"/>
      <c r="WWU129" s="90"/>
      <c r="WWV129" s="90"/>
      <c r="WWW129" s="90"/>
      <c r="WWX129" s="90"/>
      <c r="WWY129" s="90"/>
      <c r="WWZ129" s="90"/>
      <c r="WXA129" s="90"/>
      <c r="WXB129" s="90"/>
      <c r="WXC129" s="90"/>
      <c r="WXD129" s="90"/>
      <c r="WXE129" s="90"/>
      <c r="WXF129" s="90"/>
      <c r="WXG129" s="90"/>
      <c r="WXH129" s="90"/>
      <c r="WXI129" s="90"/>
      <c r="WXJ129" s="90"/>
      <c r="WXK129" s="89"/>
      <c r="WXL129" s="90"/>
      <c r="WXM129" s="90"/>
      <c r="WXN129" s="90"/>
      <c r="WXO129" s="90"/>
      <c r="WXP129" s="90"/>
      <c r="WXQ129" s="90"/>
      <c r="WXR129" s="90"/>
      <c r="WXS129" s="90"/>
      <c r="WXT129" s="90"/>
      <c r="WXU129" s="90"/>
      <c r="WXV129" s="90"/>
      <c r="WXW129" s="90"/>
      <c r="WXX129" s="90"/>
      <c r="WXY129" s="90"/>
      <c r="WXZ129" s="90"/>
      <c r="WYA129" s="90"/>
      <c r="WYB129" s="90"/>
      <c r="WYC129" s="89"/>
      <c r="WYD129" s="90"/>
      <c r="WYE129" s="90"/>
      <c r="WYF129" s="90"/>
      <c r="WYG129" s="90"/>
      <c r="WYH129" s="90"/>
      <c r="WYI129" s="90"/>
      <c r="WYJ129" s="90"/>
      <c r="WYK129" s="90"/>
      <c r="WYL129" s="90"/>
      <c r="WYM129" s="90"/>
      <c r="WYN129" s="90"/>
      <c r="WYO129" s="90"/>
      <c r="WYP129" s="90"/>
      <c r="WYQ129" s="90"/>
      <c r="WYR129" s="90"/>
      <c r="WYS129" s="90"/>
      <c r="WYT129" s="90"/>
      <c r="WYU129" s="89"/>
      <c r="WYV129" s="90"/>
      <c r="WYW129" s="90"/>
      <c r="WYX129" s="90"/>
      <c r="WYY129" s="90"/>
      <c r="WYZ129" s="90"/>
      <c r="WZA129" s="90"/>
      <c r="WZB129" s="90"/>
      <c r="WZC129" s="90"/>
      <c r="WZD129" s="90"/>
      <c r="WZE129" s="90"/>
      <c r="WZF129" s="90"/>
      <c r="WZG129" s="90"/>
      <c r="WZH129" s="90"/>
      <c r="WZI129" s="90"/>
      <c r="WZJ129" s="90"/>
      <c r="WZK129" s="90"/>
      <c r="WZL129" s="90"/>
      <c r="WZM129" s="89"/>
      <c r="WZN129" s="90"/>
      <c r="WZO129" s="90"/>
      <c r="WZP129" s="90"/>
      <c r="WZQ129" s="90"/>
      <c r="WZR129" s="90"/>
      <c r="WZS129" s="90"/>
      <c r="WZT129" s="90"/>
      <c r="WZU129" s="90"/>
      <c r="WZV129" s="90"/>
      <c r="WZW129" s="90"/>
      <c r="WZX129" s="90"/>
      <c r="WZY129" s="90"/>
      <c r="WZZ129" s="90"/>
      <c r="XAA129" s="90"/>
      <c r="XAB129" s="90"/>
      <c r="XAC129" s="90"/>
      <c r="XAD129" s="90"/>
      <c r="XAE129" s="89"/>
      <c r="XAF129" s="90"/>
      <c r="XAG129" s="90"/>
      <c r="XAH129" s="90"/>
      <c r="XAI129" s="90"/>
      <c r="XAJ129" s="90"/>
      <c r="XAK129" s="90"/>
      <c r="XAL129" s="90"/>
      <c r="XAM129" s="90"/>
      <c r="XAN129" s="90"/>
      <c r="XAO129" s="90"/>
      <c r="XAP129" s="90"/>
      <c r="XAQ129" s="90"/>
      <c r="XAR129" s="90"/>
      <c r="XAS129" s="90"/>
      <c r="XAT129" s="90"/>
      <c r="XAU129" s="90"/>
      <c r="XAV129" s="90"/>
      <c r="XAW129" s="89"/>
      <c r="XAX129" s="90"/>
      <c r="XAY129" s="90"/>
      <c r="XAZ129" s="90"/>
      <c r="XBA129" s="90"/>
      <c r="XBB129" s="90"/>
      <c r="XBC129" s="90"/>
      <c r="XBD129" s="90"/>
      <c r="XBE129" s="90"/>
      <c r="XBF129" s="90"/>
      <c r="XBG129" s="90"/>
      <c r="XBH129" s="90"/>
      <c r="XBI129" s="90"/>
      <c r="XBJ129" s="90"/>
      <c r="XBK129" s="90"/>
      <c r="XBL129" s="90"/>
      <c r="XBM129" s="90"/>
      <c r="XBN129" s="90"/>
      <c r="XBO129" s="89"/>
      <c r="XBP129" s="90"/>
      <c r="XBQ129" s="90"/>
      <c r="XBR129" s="90"/>
      <c r="XBS129" s="90"/>
      <c r="XBT129" s="90"/>
      <c r="XBU129" s="90"/>
      <c r="XBV129" s="90"/>
      <c r="XBW129" s="90"/>
      <c r="XBX129" s="90"/>
      <c r="XBY129" s="90"/>
      <c r="XBZ129" s="90"/>
      <c r="XCA129" s="90"/>
      <c r="XCB129" s="90"/>
      <c r="XCC129" s="90"/>
      <c r="XCD129" s="90"/>
      <c r="XCE129" s="90"/>
      <c r="XCF129" s="90"/>
      <c r="XCG129" s="89"/>
      <c r="XCH129" s="90"/>
      <c r="XCI129" s="90"/>
      <c r="XCJ129" s="90"/>
      <c r="XCK129" s="90"/>
      <c r="XCL129" s="90"/>
      <c r="XCM129" s="90"/>
      <c r="XCN129" s="90"/>
      <c r="XCO129" s="90"/>
      <c r="XCP129" s="90"/>
      <c r="XCQ129" s="90"/>
      <c r="XCR129" s="90"/>
      <c r="XCS129" s="90"/>
      <c r="XCT129" s="90"/>
      <c r="XCU129" s="90"/>
      <c r="XCV129" s="90"/>
      <c r="XCW129" s="90"/>
      <c r="XCX129" s="90"/>
      <c r="XCY129" s="89"/>
      <c r="XCZ129" s="90"/>
      <c r="XDA129" s="90"/>
      <c r="XDB129" s="90"/>
      <c r="XDC129" s="90"/>
      <c r="XDD129" s="90"/>
      <c r="XDE129" s="90"/>
      <c r="XDF129" s="90"/>
      <c r="XDG129" s="90"/>
      <c r="XDH129" s="90"/>
      <c r="XDI129" s="90"/>
      <c r="XDJ129" s="90"/>
      <c r="XDK129" s="90"/>
      <c r="XDL129" s="90"/>
      <c r="XDM129" s="90"/>
      <c r="XDN129" s="90"/>
      <c r="XDO129" s="90"/>
      <c r="XDP129" s="90"/>
      <c r="XDQ129" s="89"/>
      <c r="XDR129" s="90"/>
      <c r="XDS129" s="90"/>
      <c r="XDT129" s="90"/>
      <c r="XDU129" s="90"/>
      <c r="XDV129" s="90"/>
      <c r="XDW129" s="90"/>
      <c r="XDX129" s="90"/>
      <c r="XDY129" s="90"/>
      <c r="XDZ129" s="90"/>
      <c r="XEA129" s="90"/>
      <c r="XEB129" s="90"/>
      <c r="XEC129" s="90"/>
      <c r="XED129" s="90"/>
      <c r="XEE129" s="90"/>
      <c r="XEF129" s="90"/>
      <c r="XEG129" s="90"/>
      <c r="XEH129" s="90"/>
      <c r="XEI129" s="89"/>
      <c r="XEJ129" s="90"/>
      <c r="XEK129" s="90"/>
      <c r="XEL129" s="90"/>
      <c r="XEM129" s="90"/>
      <c r="XEN129" s="90"/>
      <c r="XEO129" s="90"/>
      <c r="XEP129" s="90"/>
      <c r="XEQ129" s="90"/>
      <c r="XER129" s="90"/>
      <c r="XES129" s="90"/>
      <c r="XET129" s="90"/>
      <c r="XEU129" s="90"/>
      <c r="XEV129" s="90"/>
      <c r="XEW129" s="90"/>
      <c r="XEX129" s="90"/>
      <c r="XEY129" s="90"/>
      <c r="XEZ129" s="90"/>
      <c r="XFA129" s="89"/>
      <c r="XFB129" s="89"/>
      <c r="XFC129" s="89"/>
      <c r="XFD129" s="89"/>
    </row>
    <row r="131" spans="1:16384" ht="15.95" thickBot="1"/>
    <row r="132" spans="1:16384" ht="17.100000000000001" thickBot="1">
      <c r="B132" s="25" t="s">
        <v>17</v>
      </c>
      <c r="C132" s="16">
        <f>J125</f>
        <v>0.78725143049847146</v>
      </c>
    </row>
    <row r="133" spans="1:16384" ht="17.100000000000001" thickBot="1">
      <c r="B133" s="25" t="s">
        <v>23</v>
      </c>
      <c r="C133" s="16">
        <f>C125</f>
        <v>0.29900819333064788</v>
      </c>
    </row>
    <row r="134" spans="1:16384" ht="17.100000000000001" thickBot="1">
      <c r="B134" s="25" t="s">
        <v>44</v>
      </c>
      <c r="C134" s="16">
        <f>R125</f>
        <v>0.20111837894500917</v>
      </c>
      <c r="N134" s="85" t="s">
        <v>117</v>
      </c>
    </row>
    <row r="135" spans="1:16384" ht="17.100000000000001" thickBot="1">
      <c r="B135" s="25" t="s">
        <v>25</v>
      </c>
      <c r="C135" s="16">
        <f>D125</f>
        <v>0.19834096883362876</v>
      </c>
    </row>
    <row r="136" spans="1:16384" ht="17.100000000000001" thickBot="1">
      <c r="B136" s="25" t="s">
        <v>38</v>
      </c>
      <c r="C136" s="16">
        <f>F125</f>
        <v>0.19685712729559396</v>
      </c>
      <c r="N136" s="85" t="s">
        <v>118</v>
      </c>
    </row>
    <row r="137" spans="1:16384" ht="17.100000000000001" thickBot="1">
      <c r="B137" s="25" t="s">
        <v>43</v>
      </c>
      <c r="C137" s="16">
        <f>Q125</f>
        <v>0.13766569783660046</v>
      </c>
      <c r="N137" s="85" t="s">
        <v>119</v>
      </c>
    </row>
    <row r="138" spans="1:16384" ht="17.100000000000001" thickBot="1">
      <c r="B138" s="25" t="s">
        <v>31</v>
      </c>
      <c r="C138" s="16">
        <f>K125</f>
        <v>7.3981551565758863E-2</v>
      </c>
      <c r="N138" s="85" t="s">
        <v>120</v>
      </c>
    </row>
    <row r="139" spans="1:16384" ht="17.100000000000001" thickBot="1">
      <c r="A139" s="1"/>
      <c r="B139" s="25" t="s">
        <v>67</v>
      </c>
      <c r="C139" s="16">
        <f>I125</f>
        <v>5.7292062202026053E-2</v>
      </c>
    </row>
    <row r="140" spans="1:16384" ht="17.100000000000001" thickBot="1">
      <c r="B140" s="25" t="s">
        <v>34</v>
      </c>
      <c r="C140" s="16">
        <f>N125</f>
        <v>6.3487712801560221E-3</v>
      </c>
      <c r="N140" s="85" t="s">
        <v>121</v>
      </c>
    </row>
    <row r="141" spans="1:16384" ht="17.100000000000001" thickBot="1">
      <c r="B141" s="25" t="s">
        <v>33</v>
      </c>
      <c r="C141" s="16">
        <f>M125</f>
        <v>-3.9904864040437402E-2</v>
      </c>
    </row>
    <row r="142" spans="1:16384" ht="17.100000000000001" thickBot="1">
      <c r="B142" s="25" t="s">
        <v>32</v>
      </c>
      <c r="C142" s="16">
        <f>L125</f>
        <v>-4.3210028991684302E-2</v>
      </c>
      <c r="N142" s="85" t="s">
        <v>122</v>
      </c>
    </row>
    <row r="143" spans="1:16384" ht="17.100000000000001" thickBot="1">
      <c r="B143" s="25" t="s">
        <v>40</v>
      </c>
      <c r="C143" s="16">
        <f>H125</f>
        <v>-4.4959616911276513E-2</v>
      </c>
      <c r="N143" s="85" t="s">
        <v>123</v>
      </c>
    </row>
    <row r="144" spans="1:16384" ht="17.100000000000001" thickBot="1">
      <c r="B144" s="25" t="s">
        <v>37</v>
      </c>
      <c r="C144" s="16">
        <f>E125</f>
        <v>-0.10651202733970591</v>
      </c>
    </row>
    <row r="145" spans="1:14" ht="17.100000000000001" thickBot="1">
      <c r="B145" s="25" t="s">
        <v>42</v>
      </c>
      <c r="C145" s="16">
        <f>P125</f>
        <v>-0.11473525072197087</v>
      </c>
      <c r="N145" s="85" t="s">
        <v>124</v>
      </c>
    </row>
    <row r="146" spans="1:14" ht="17.100000000000001" thickBot="1">
      <c r="B146" s="25" t="s">
        <v>39</v>
      </c>
      <c r="C146" s="16">
        <f>G125</f>
        <v>-0.11776843157492765</v>
      </c>
    </row>
    <row r="147" spans="1:14" ht="17.100000000000001" thickBot="1">
      <c r="B147" s="25" t="s">
        <v>41</v>
      </c>
      <c r="C147" s="16">
        <f>O125</f>
        <v>-0.18817795045068655</v>
      </c>
      <c r="N147" s="85" t="s">
        <v>125</v>
      </c>
    </row>
    <row r="148" spans="1:14">
      <c r="N148" s="85" t="s">
        <v>126</v>
      </c>
    </row>
    <row r="150" spans="1:14">
      <c r="A150" s="29" t="s">
        <v>127</v>
      </c>
      <c r="N150" s="85" t="s">
        <v>128</v>
      </c>
    </row>
    <row r="152" spans="1:14">
      <c r="N152" s="85" t="s">
        <v>129</v>
      </c>
    </row>
    <row r="153" spans="1:14">
      <c r="N153" s="85" t="s">
        <v>130</v>
      </c>
    </row>
    <row r="154" spans="1:14">
      <c r="N154" s="85" t="s">
        <v>131</v>
      </c>
    </row>
  </sheetData>
  <mergeCells count="2407">
    <mergeCell ref="XEI129:XEZ129"/>
    <mergeCell ref="XFA129:XFD129"/>
    <mergeCell ref="XAE129:XAV129"/>
    <mergeCell ref="XAW129:XBN129"/>
    <mergeCell ref="XBO129:XCF129"/>
    <mergeCell ref="XCG129:XCX129"/>
    <mergeCell ref="XCY129:XDP129"/>
    <mergeCell ref="XDQ129:XEH129"/>
    <mergeCell ref="WWA129:WWR129"/>
    <mergeCell ref="A6:O6"/>
    <mergeCell ref="WVI129:WVZ129"/>
    <mergeCell ref="WNS129:WOJ129"/>
    <mergeCell ref="WOK129:WPB129"/>
    <mergeCell ref="WPC129:WPT129"/>
    <mergeCell ref="WPU129:WQL129"/>
    <mergeCell ref="WQM129:WRD129"/>
    <mergeCell ref="WRE129:WRV129"/>
    <mergeCell ref="WWS129:WXJ129"/>
    <mergeCell ref="WXK129:WYB129"/>
    <mergeCell ref="WYC129:WYT129"/>
    <mergeCell ref="WYU129:WZL129"/>
    <mergeCell ref="WZM129:XAD129"/>
    <mergeCell ref="WRW129:WSN129"/>
    <mergeCell ref="WSO129:WTF129"/>
    <mergeCell ref="WTG129:WTX129"/>
    <mergeCell ref="WTY129:WUP129"/>
    <mergeCell ref="WUQ129:WVH129"/>
    <mergeCell ref="WBY129:WCP129"/>
    <mergeCell ref="WCQ129:WDH129"/>
    <mergeCell ref="WDI129:WDZ129"/>
    <mergeCell ref="WEA129:WER129"/>
    <mergeCell ref="WES129:WFJ129"/>
    <mergeCell ref="WIE129:WIV129"/>
    <mergeCell ref="WIW129:WJN129"/>
    <mergeCell ref="WJO129:WKF129"/>
    <mergeCell ref="WKG129:WKX129"/>
    <mergeCell ref="WKY129:WLP129"/>
    <mergeCell ref="WLQ129:WMH129"/>
    <mergeCell ref="WMI129:WMZ129"/>
    <mergeCell ref="WNA129:WNR129"/>
    <mergeCell ref="VQE129:VQV129"/>
    <mergeCell ref="VQW129:VRN129"/>
    <mergeCell ref="VRO129:VSF129"/>
    <mergeCell ref="VSG129:VSX129"/>
    <mergeCell ref="VSY129:VTP129"/>
    <mergeCell ref="VTQ129:VUH129"/>
    <mergeCell ref="VUI129:VUZ129"/>
    <mergeCell ref="VVA129:VVR129"/>
    <mergeCell ref="VVS129:VWJ129"/>
    <mergeCell ref="VWK129:VXB129"/>
    <mergeCell ref="VXC129:VXT129"/>
    <mergeCell ref="VXU129:VYL129"/>
    <mergeCell ref="VYM129:VZD129"/>
    <mergeCell ref="VZE129:VZV129"/>
    <mergeCell ref="VZW129:WAN129"/>
    <mergeCell ref="WAO129:WBF129"/>
    <mergeCell ref="WBG129:WBX129"/>
    <mergeCell ref="VHE129:VHV129"/>
    <mergeCell ref="VHW129:VIN129"/>
    <mergeCell ref="VIO129:VJF129"/>
    <mergeCell ref="VJG129:VJX129"/>
    <mergeCell ref="VJY129:VKP129"/>
    <mergeCell ref="VKQ129:VLH129"/>
    <mergeCell ref="VLI129:VLZ129"/>
    <mergeCell ref="VMA129:VMR129"/>
    <mergeCell ref="VMS129:VNJ129"/>
    <mergeCell ref="VNK129:VOB129"/>
    <mergeCell ref="VOC129:VOT129"/>
    <mergeCell ref="VOU129:VPL129"/>
    <mergeCell ref="VPM129:VQD129"/>
    <mergeCell ref="WFK129:WGB129"/>
    <mergeCell ref="WGC129:WGT129"/>
    <mergeCell ref="WGU129:WHL129"/>
    <mergeCell ref="WHM129:WID129"/>
    <mergeCell ref="UVK129:UWB129"/>
    <mergeCell ref="UWC129:UWT129"/>
    <mergeCell ref="UWU129:UXL129"/>
    <mergeCell ref="UXM129:UYD129"/>
    <mergeCell ref="UYE129:UYV129"/>
    <mergeCell ref="UYW129:UZN129"/>
    <mergeCell ref="UZO129:VAF129"/>
    <mergeCell ref="VAG129:VAX129"/>
    <mergeCell ref="VAY129:VBP129"/>
    <mergeCell ref="VBQ129:VCH129"/>
    <mergeCell ref="VCI129:VCZ129"/>
    <mergeCell ref="VDA129:VDR129"/>
    <mergeCell ref="VDS129:VEJ129"/>
    <mergeCell ref="VEK129:VFB129"/>
    <mergeCell ref="VFC129:VFT129"/>
    <mergeCell ref="VFU129:VGL129"/>
    <mergeCell ref="VGM129:VHD129"/>
    <mergeCell ref="UJQ129:UKH129"/>
    <mergeCell ref="UKI129:UKZ129"/>
    <mergeCell ref="ULA129:ULR129"/>
    <mergeCell ref="ULS129:UMJ129"/>
    <mergeCell ref="UMK129:UNB129"/>
    <mergeCell ref="UNC129:UNT129"/>
    <mergeCell ref="UNU129:UOL129"/>
    <mergeCell ref="UOM129:UPD129"/>
    <mergeCell ref="UPE129:UPV129"/>
    <mergeCell ref="UPW129:UQN129"/>
    <mergeCell ref="UQO129:URF129"/>
    <mergeCell ref="URG129:URX129"/>
    <mergeCell ref="URY129:USP129"/>
    <mergeCell ref="USQ129:UTH129"/>
    <mergeCell ref="UTI129:UTZ129"/>
    <mergeCell ref="UUA129:UUR129"/>
    <mergeCell ref="UUS129:UVJ129"/>
    <mergeCell ref="TXW129:TYN129"/>
    <mergeCell ref="TYO129:TZF129"/>
    <mergeCell ref="TZG129:TZX129"/>
    <mergeCell ref="TZY129:UAP129"/>
    <mergeCell ref="UAQ129:UBH129"/>
    <mergeCell ref="UBI129:UBZ129"/>
    <mergeCell ref="UCA129:UCR129"/>
    <mergeCell ref="UCS129:UDJ129"/>
    <mergeCell ref="UDK129:UEB129"/>
    <mergeCell ref="UEC129:UET129"/>
    <mergeCell ref="UEU129:UFL129"/>
    <mergeCell ref="UFM129:UGD129"/>
    <mergeCell ref="UGE129:UGV129"/>
    <mergeCell ref="UGW129:UHN129"/>
    <mergeCell ref="UHO129:UIF129"/>
    <mergeCell ref="UIG129:UIX129"/>
    <mergeCell ref="UIY129:UJP129"/>
    <mergeCell ref="TMC129:TMT129"/>
    <mergeCell ref="TMU129:TNL129"/>
    <mergeCell ref="TNM129:TOD129"/>
    <mergeCell ref="TOE129:TOV129"/>
    <mergeCell ref="TOW129:TPN129"/>
    <mergeCell ref="TPO129:TQF129"/>
    <mergeCell ref="TQG129:TQX129"/>
    <mergeCell ref="TQY129:TRP129"/>
    <mergeCell ref="TRQ129:TSH129"/>
    <mergeCell ref="TSI129:TSZ129"/>
    <mergeCell ref="TTA129:TTR129"/>
    <mergeCell ref="TTS129:TUJ129"/>
    <mergeCell ref="TUK129:TVB129"/>
    <mergeCell ref="TVC129:TVT129"/>
    <mergeCell ref="TVU129:TWL129"/>
    <mergeCell ref="TWM129:TXD129"/>
    <mergeCell ref="TXE129:TXV129"/>
    <mergeCell ref="TAI129:TAZ129"/>
    <mergeCell ref="TBA129:TBR129"/>
    <mergeCell ref="TBS129:TCJ129"/>
    <mergeCell ref="TCK129:TDB129"/>
    <mergeCell ref="TDC129:TDT129"/>
    <mergeCell ref="TDU129:TEL129"/>
    <mergeCell ref="TEM129:TFD129"/>
    <mergeCell ref="TFE129:TFV129"/>
    <mergeCell ref="TFW129:TGN129"/>
    <mergeCell ref="TGO129:THF129"/>
    <mergeCell ref="THG129:THX129"/>
    <mergeCell ref="THY129:TIP129"/>
    <mergeCell ref="TIQ129:TJH129"/>
    <mergeCell ref="TJI129:TJZ129"/>
    <mergeCell ref="TKA129:TKR129"/>
    <mergeCell ref="TKS129:TLJ129"/>
    <mergeCell ref="TLK129:TMB129"/>
    <mergeCell ref="SOO129:SPF129"/>
    <mergeCell ref="SPG129:SPX129"/>
    <mergeCell ref="SPY129:SQP129"/>
    <mergeCell ref="SQQ129:SRH129"/>
    <mergeCell ref="SRI129:SRZ129"/>
    <mergeCell ref="SSA129:SSR129"/>
    <mergeCell ref="SSS129:STJ129"/>
    <mergeCell ref="STK129:SUB129"/>
    <mergeCell ref="SUC129:SUT129"/>
    <mergeCell ref="SUU129:SVL129"/>
    <mergeCell ref="SVM129:SWD129"/>
    <mergeCell ref="SWE129:SWV129"/>
    <mergeCell ref="SWW129:SXN129"/>
    <mergeCell ref="SXO129:SYF129"/>
    <mergeCell ref="SYG129:SYX129"/>
    <mergeCell ref="SYY129:SZP129"/>
    <mergeCell ref="SZQ129:TAH129"/>
    <mergeCell ref="SCU129:SDL129"/>
    <mergeCell ref="SDM129:SED129"/>
    <mergeCell ref="SEE129:SEV129"/>
    <mergeCell ref="SEW129:SFN129"/>
    <mergeCell ref="SFO129:SGF129"/>
    <mergeCell ref="SGG129:SGX129"/>
    <mergeCell ref="SGY129:SHP129"/>
    <mergeCell ref="SHQ129:SIH129"/>
    <mergeCell ref="SII129:SIZ129"/>
    <mergeCell ref="SJA129:SJR129"/>
    <mergeCell ref="SJS129:SKJ129"/>
    <mergeCell ref="SKK129:SLB129"/>
    <mergeCell ref="SLC129:SLT129"/>
    <mergeCell ref="SLU129:SML129"/>
    <mergeCell ref="SMM129:SND129"/>
    <mergeCell ref="SNE129:SNV129"/>
    <mergeCell ref="SNW129:SON129"/>
    <mergeCell ref="RRA129:RRR129"/>
    <mergeCell ref="RRS129:RSJ129"/>
    <mergeCell ref="RSK129:RTB129"/>
    <mergeCell ref="RTC129:RTT129"/>
    <mergeCell ref="RTU129:RUL129"/>
    <mergeCell ref="RUM129:RVD129"/>
    <mergeCell ref="RVE129:RVV129"/>
    <mergeCell ref="RVW129:RWN129"/>
    <mergeCell ref="RWO129:RXF129"/>
    <mergeCell ref="RXG129:RXX129"/>
    <mergeCell ref="RXY129:RYP129"/>
    <mergeCell ref="RYQ129:RZH129"/>
    <mergeCell ref="RZI129:RZZ129"/>
    <mergeCell ref="SAA129:SAR129"/>
    <mergeCell ref="SAS129:SBJ129"/>
    <mergeCell ref="SBK129:SCB129"/>
    <mergeCell ref="SCC129:SCT129"/>
    <mergeCell ref="RFG129:RFX129"/>
    <mergeCell ref="RFY129:RGP129"/>
    <mergeCell ref="RGQ129:RHH129"/>
    <mergeCell ref="RHI129:RHZ129"/>
    <mergeCell ref="RIA129:RIR129"/>
    <mergeCell ref="RIS129:RJJ129"/>
    <mergeCell ref="RJK129:RKB129"/>
    <mergeCell ref="RKC129:RKT129"/>
    <mergeCell ref="RKU129:RLL129"/>
    <mergeCell ref="RLM129:RMD129"/>
    <mergeCell ref="RME129:RMV129"/>
    <mergeCell ref="RMW129:RNN129"/>
    <mergeCell ref="RNO129:ROF129"/>
    <mergeCell ref="ROG129:ROX129"/>
    <mergeCell ref="ROY129:RPP129"/>
    <mergeCell ref="RPQ129:RQH129"/>
    <mergeCell ref="RQI129:RQZ129"/>
    <mergeCell ref="QTM129:QUD129"/>
    <mergeCell ref="QUE129:QUV129"/>
    <mergeCell ref="QUW129:QVN129"/>
    <mergeCell ref="QVO129:QWF129"/>
    <mergeCell ref="QWG129:QWX129"/>
    <mergeCell ref="QWY129:QXP129"/>
    <mergeCell ref="QXQ129:QYH129"/>
    <mergeCell ref="QYI129:QYZ129"/>
    <mergeCell ref="QZA129:QZR129"/>
    <mergeCell ref="QZS129:RAJ129"/>
    <mergeCell ref="RAK129:RBB129"/>
    <mergeCell ref="RBC129:RBT129"/>
    <mergeCell ref="RBU129:RCL129"/>
    <mergeCell ref="RCM129:RDD129"/>
    <mergeCell ref="RDE129:RDV129"/>
    <mergeCell ref="RDW129:REN129"/>
    <mergeCell ref="REO129:RFF129"/>
    <mergeCell ref="QHS129:QIJ129"/>
    <mergeCell ref="QIK129:QJB129"/>
    <mergeCell ref="QJC129:QJT129"/>
    <mergeCell ref="QJU129:QKL129"/>
    <mergeCell ref="QKM129:QLD129"/>
    <mergeCell ref="QLE129:QLV129"/>
    <mergeCell ref="QLW129:QMN129"/>
    <mergeCell ref="QMO129:QNF129"/>
    <mergeCell ref="QNG129:QNX129"/>
    <mergeCell ref="QNY129:QOP129"/>
    <mergeCell ref="QOQ129:QPH129"/>
    <mergeCell ref="QPI129:QPZ129"/>
    <mergeCell ref="QQA129:QQR129"/>
    <mergeCell ref="QQS129:QRJ129"/>
    <mergeCell ref="QRK129:QSB129"/>
    <mergeCell ref="QSC129:QST129"/>
    <mergeCell ref="QSU129:QTL129"/>
    <mergeCell ref="PVY129:PWP129"/>
    <mergeCell ref="PWQ129:PXH129"/>
    <mergeCell ref="PXI129:PXZ129"/>
    <mergeCell ref="PYA129:PYR129"/>
    <mergeCell ref="PYS129:PZJ129"/>
    <mergeCell ref="PZK129:QAB129"/>
    <mergeCell ref="QAC129:QAT129"/>
    <mergeCell ref="QAU129:QBL129"/>
    <mergeCell ref="QBM129:QCD129"/>
    <mergeCell ref="QCE129:QCV129"/>
    <mergeCell ref="QCW129:QDN129"/>
    <mergeCell ref="QDO129:QEF129"/>
    <mergeCell ref="QEG129:QEX129"/>
    <mergeCell ref="QEY129:QFP129"/>
    <mergeCell ref="QFQ129:QGH129"/>
    <mergeCell ref="QGI129:QGZ129"/>
    <mergeCell ref="QHA129:QHR129"/>
    <mergeCell ref="PKE129:PKV129"/>
    <mergeCell ref="PKW129:PLN129"/>
    <mergeCell ref="PLO129:PMF129"/>
    <mergeCell ref="PMG129:PMX129"/>
    <mergeCell ref="PMY129:PNP129"/>
    <mergeCell ref="PNQ129:POH129"/>
    <mergeCell ref="POI129:POZ129"/>
    <mergeCell ref="PPA129:PPR129"/>
    <mergeCell ref="PPS129:PQJ129"/>
    <mergeCell ref="PQK129:PRB129"/>
    <mergeCell ref="PRC129:PRT129"/>
    <mergeCell ref="PRU129:PSL129"/>
    <mergeCell ref="PSM129:PTD129"/>
    <mergeCell ref="PTE129:PTV129"/>
    <mergeCell ref="PTW129:PUN129"/>
    <mergeCell ref="PUO129:PVF129"/>
    <mergeCell ref="PVG129:PVX129"/>
    <mergeCell ref="OYK129:OZB129"/>
    <mergeCell ref="OZC129:OZT129"/>
    <mergeCell ref="OZU129:PAL129"/>
    <mergeCell ref="PAM129:PBD129"/>
    <mergeCell ref="PBE129:PBV129"/>
    <mergeCell ref="PBW129:PCN129"/>
    <mergeCell ref="PCO129:PDF129"/>
    <mergeCell ref="PDG129:PDX129"/>
    <mergeCell ref="PDY129:PEP129"/>
    <mergeCell ref="PEQ129:PFH129"/>
    <mergeCell ref="PFI129:PFZ129"/>
    <mergeCell ref="PGA129:PGR129"/>
    <mergeCell ref="PGS129:PHJ129"/>
    <mergeCell ref="PHK129:PIB129"/>
    <mergeCell ref="PIC129:PIT129"/>
    <mergeCell ref="PIU129:PJL129"/>
    <mergeCell ref="PJM129:PKD129"/>
    <mergeCell ref="OMQ129:ONH129"/>
    <mergeCell ref="ONI129:ONZ129"/>
    <mergeCell ref="OOA129:OOR129"/>
    <mergeCell ref="OOS129:OPJ129"/>
    <mergeCell ref="OPK129:OQB129"/>
    <mergeCell ref="OQC129:OQT129"/>
    <mergeCell ref="OQU129:ORL129"/>
    <mergeCell ref="ORM129:OSD129"/>
    <mergeCell ref="OSE129:OSV129"/>
    <mergeCell ref="OSW129:OTN129"/>
    <mergeCell ref="OTO129:OUF129"/>
    <mergeCell ref="OUG129:OUX129"/>
    <mergeCell ref="OUY129:OVP129"/>
    <mergeCell ref="OVQ129:OWH129"/>
    <mergeCell ref="OWI129:OWZ129"/>
    <mergeCell ref="OXA129:OXR129"/>
    <mergeCell ref="OXS129:OYJ129"/>
    <mergeCell ref="OAW129:OBN129"/>
    <mergeCell ref="OBO129:OCF129"/>
    <mergeCell ref="OCG129:OCX129"/>
    <mergeCell ref="OCY129:ODP129"/>
    <mergeCell ref="ODQ129:OEH129"/>
    <mergeCell ref="OEI129:OEZ129"/>
    <mergeCell ref="OFA129:OFR129"/>
    <mergeCell ref="OFS129:OGJ129"/>
    <mergeCell ref="OGK129:OHB129"/>
    <mergeCell ref="OHC129:OHT129"/>
    <mergeCell ref="OHU129:OIL129"/>
    <mergeCell ref="OIM129:OJD129"/>
    <mergeCell ref="OJE129:OJV129"/>
    <mergeCell ref="OJW129:OKN129"/>
    <mergeCell ref="OKO129:OLF129"/>
    <mergeCell ref="OLG129:OLX129"/>
    <mergeCell ref="OLY129:OMP129"/>
    <mergeCell ref="NPC129:NPT129"/>
    <mergeCell ref="NPU129:NQL129"/>
    <mergeCell ref="NQM129:NRD129"/>
    <mergeCell ref="NRE129:NRV129"/>
    <mergeCell ref="NRW129:NSN129"/>
    <mergeCell ref="NSO129:NTF129"/>
    <mergeCell ref="NTG129:NTX129"/>
    <mergeCell ref="NTY129:NUP129"/>
    <mergeCell ref="NUQ129:NVH129"/>
    <mergeCell ref="NVI129:NVZ129"/>
    <mergeCell ref="NWA129:NWR129"/>
    <mergeCell ref="NWS129:NXJ129"/>
    <mergeCell ref="NXK129:NYB129"/>
    <mergeCell ref="NYC129:NYT129"/>
    <mergeCell ref="NYU129:NZL129"/>
    <mergeCell ref="NZM129:OAD129"/>
    <mergeCell ref="OAE129:OAV129"/>
    <mergeCell ref="NDI129:NDZ129"/>
    <mergeCell ref="NEA129:NER129"/>
    <mergeCell ref="NES129:NFJ129"/>
    <mergeCell ref="NFK129:NGB129"/>
    <mergeCell ref="NGC129:NGT129"/>
    <mergeCell ref="NGU129:NHL129"/>
    <mergeCell ref="NHM129:NID129"/>
    <mergeCell ref="NIE129:NIV129"/>
    <mergeCell ref="NIW129:NJN129"/>
    <mergeCell ref="NJO129:NKF129"/>
    <mergeCell ref="NKG129:NKX129"/>
    <mergeCell ref="NKY129:NLP129"/>
    <mergeCell ref="NLQ129:NMH129"/>
    <mergeCell ref="NMI129:NMZ129"/>
    <mergeCell ref="NNA129:NNR129"/>
    <mergeCell ref="NNS129:NOJ129"/>
    <mergeCell ref="NOK129:NPB129"/>
    <mergeCell ref="MRO129:MSF129"/>
    <mergeCell ref="MSG129:MSX129"/>
    <mergeCell ref="MSY129:MTP129"/>
    <mergeCell ref="MTQ129:MUH129"/>
    <mergeCell ref="MUI129:MUZ129"/>
    <mergeCell ref="MVA129:MVR129"/>
    <mergeCell ref="MVS129:MWJ129"/>
    <mergeCell ref="MWK129:MXB129"/>
    <mergeCell ref="MXC129:MXT129"/>
    <mergeCell ref="MXU129:MYL129"/>
    <mergeCell ref="MYM129:MZD129"/>
    <mergeCell ref="MZE129:MZV129"/>
    <mergeCell ref="MZW129:NAN129"/>
    <mergeCell ref="NAO129:NBF129"/>
    <mergeCell ref="NBG129:NBX129"/>
    <mergeCell ref="NBY129:NCP129"/>
    <mergeCell ref="NCQ129:NDH129"/>
    <mergeCell ref="MFU129:MGL129"/>
    <mergeCell ref="MGM129:MHD129"/>
    <mergeCell ref="MHE129:MHV129"/>
    <mergeCell ref="MHW129:MIN129"/>
    <mergeCell ref="MIO129:MJF129"/>
    <mergeCell ref="MJG129:MJX129"/>
    <mergeCell ref="MJY129:MKP129"/>
    <mergeCell ref="MKQ129:MLH129"/>
    <mergeCell ref="MLI129:MLZ129"/>
    <mergeCell ref="MMA129:MMR129"/>
    <mergeCell ref="MMS129:MNJ129"/>
    <mergeCell ref="MNK129:MOB129"/>
    <mergeCell ref="MOC129:MOT129"/>
    <mergeCell ref="MOU129:MPL129"/>
    <mergeCell ref="MPM129:MQD129"/>
    <mergeCell ref="MQE129:MQV129"/>
    <mergeCell ref="MQW129:MRN129"/>
    <mergeCell ref="LUA129:LUR129"/>
    <mergeCell ref="LUS129:LVJ129"/>
    <mergeCell ref="LVK129:LWB129"/>
    <mergeCell ref="LWC129:LWT129"/>
    <mergeCell ref="LWU129:LXL129"/>
    <mergeCell ref="LXM129:LYD129"/>
    <mergeCell ref="LYE129:LYV129"/>
    <mergeCell ref="LYW129:LZN129"/>
    <mergeCell ref="LZO129:MAF129"/>
    <mergeCell ref="MAG129:MAX129"/>
    <mergeCell ref="MAY129:MBP129"/>
    <mergeCell ref="MBQ129:MCH129"/>
    <mergeCell ref="MCI129:MCZ129"/>
    <mergeCell ref="MDA129:MDR129"/>
    <mergeCell ref="MDS129:MEJ129"/>
    <mergeCell ref="MEK129:MFB129"/>
    <mergeCell ref="MFC129:MFT129"/>
    <mergeCell ref="LIG129:LIX129"/>
    <mergeCell ref="LIY129:LJP129"/>
    <mergeCell ref="LJQ129:LKH129"/>
    <mergeCell ref="LKI129:LKZ129"/>
    <mergeCell ref="LLA129:LLR129"/>
    <mergeCell ref="LLS129:LMJ129"/>
    <mergeCell ref="LMK129:LNB129"/>
    <mergeCell ref="LNC129:LNT129"/>
    <mergeCell ref="LNU129:LOL129"/>
    <mergeCell ref="LOM129:LPD129"/>
    <mergeCell ref="LPE129:LPV129"/>
    <mergeCell ref="LPW129:LQN129"/>
    <mergeCell ref="LQO129:LRF129"/>
    <mergeCell ref="LRG129:LRX129"/>
    <mergeCell ref="LRY129:LSP129"/>
    <mergeCell ref="LSQ129:LTH129"/>
    <mergeCell ref="LTI129:LTZ129"/>
    <mergeCell ref="KWM129:KXD129"/>
    <mergeCell ref="KXE129:KXV129"/>
    <mergeCell ref="KXW129:KYN129"/>
    <mergeCell ref="KYO129:KZF129"/>
    <mergeCell ref="KZG129:KZX129"/>
    <mergeCell ref="KZY129:LAP129"/>
    <mergeCell ref="LAQ129:LBH129"/>
    <mergeCell ref="LBI129:LBZ129"/>
    <mergeCell ref="LCA129:LCR129"/>
    <mergeCell ref="LCS129:LDJ129"/>
    <mergeCell ref="LDK129:LEB129"/>
    <mergeCell ref="LEC129:LET129"/>
    <mergeCell ref="LEU129:LFL129"/>
    <mergeCell ref="LFM129:LGD129"/>
    <mergeCell ref="LGE129:LGV129"/>
    <mergeCell ref="LGW129:LHN129"/>
    <mergeCell ref="LHO129:LIF129"/>
    <mergeCell ref="KKS129:KLJ129"/>
    <mergeCell ref="KLK129:KMB129"/>
    <mergeCell ref="KMC129:KMT129"/>
    <mergeCell ref="KMU129:KNL129"/>
    <mergeCell ref="KNM129:KOD129"/>
    <mergeCell ref="KOE129:KOV129"/>
    <mergeCell ref="KOW129:KPN129"/>
    <mergeCell ref="KPO129:KQF129"/>
    <mergeCell ref="KQG129:KQX129"/>
    <mergeCell ref="KQY129:KRP129"/>
    <mergeCell ref="KRQ129:KSH129"/>
    <mergeCell ref="KSI129:KSZ129"/>
    <mergeCell ref="KTA129:KTR129"/>
    <mergeCell ref="KTS129:KUJ129"/>
    <mergeCell ref="KUK129:KVB129"/>
    <mergeCell ref="KVC129:KVT129"/>
    <mergeCell ref="KVU129:KWL129"/>
    <mergeCell ref="JYY129:JZP129"/>
    <mergeCell ref="JZQ129:KAH129"/>
    <mergeCell ref="KAI129:KAZ129"/>
    <mergeCell ref="KBA129:KBR129"/>
    <mergeCell ref="KBS129:KCJ129"/>
    <mergeCell ref="KCK129:KDB129"/>
    <mergeCell ref="KDC129:KDT129"/>
    <mergeCell ref="KDU129:KEL129"/>
    <mergeCell ref="KEM129:KFD129"/>
    <mergeCell ref="KFE129:KFV129"/>
    <mergeCell ref="KFW129:KGN129"/>
    <mergeCell ref="KGO129:KHF129"/>
    <mergeCell ref="KHG129:KHX129"/>
    <mergeCell ref="KHY129:KIP129"/>
    <mergeCell ref="KIQ129:KJH129"/>
    <mergeCell ref="KJI129:KJZ129"/>
    <mergeCell ref="KKA129:KKR129"/>
    <mergeCell ref="JNE129:JNV129"/>
    <mergeCell ref="JNW129:JON129"/>
    <mergeCell ref="JOO129:JPF129"/>
    <mergeCell ref="JPG129:JPX129"/>
    <mergeCell ref="JPY129:JQP129"/>
    <mergeCell ref="JQQ129:JRH129"/>
    <mergeCell ref="JRI129:JRZ129"/>
    <mergeCell ref="JSA129:JSR129"/>
    <mergeCell ref="JSS129:JTJ129"/>
    <mergeCell ref="JTK129:JUB129"/>
    <mergeCell ref="JUC129:JUT129"/>
    <mergeCell ref="JUU129:JVL129"/>
    <mergeCell ref="JVM129:JWD129"/>
    <mergeCell ref="JWE129:JWV129"/>
    <mergeCell ref="JWW129:JXN129"/>
    <mergeCell ref="JXO129:JYF129"/>
    <mergeCell ref="JYG129:JYX129"/>
    <mergeCell ref="JBK129:JCB129"/>
    <mergeCell ref="JCC129:JCT129"/>
    <mergeCell ref="JCU129:JDL129"/>
    <mergeCell ref="JDM129:JED129"/>
    <mergeCell ref="JEE129:JEV129"/>
    <mergeCell ref="JEW129:JFN129"/>
    <mergeCell ref="JFO129:JGF129"/>
    <mergeCell ref="JGG129:JGX129"/>
    <mergeCell ref="JGY129:JHP129"/>
    <mergeCell ref="JHQ129:JIH129"/>
    <mergeCell ref="JII129:JIZ129"/>
    <mergeCell ref="JJA129:JJR129"/>
    <mergeCell ref="JJS129:JKJ129"/>
    <mergeCell ref="JKK129:JLB129"/>
    <mergeCell ref="JLC129:JLT129"/>
    <mergeCell ref="JLU129:JML129"/>
    <mergeCell ref="JMM129:JND129"/>
    <mergeCell ref="IPQ129:IQH129"/>
    <mergeCell ref="IQI129:IQZ129"/>
    <mergeCell ref="IRA129:IRR129"/>
    <mergeCell ref="IRS129:ISJ129"/>
    <mergeCell ref="ISK129:ITB129"/>
    <mergeCell ref="ITC129:ITT129"/>
    <mergeCell ref="ITU129:IUL129"/>
    <mergeCell ref="IUM129:IVD129"/>
    <mergeCell ref="IVE129:IVV129"/>
    <mergeCell ref="IVW129:IWN129"/>
    <mergeCell ref="IWO129:IXF129"/>
    <mergeCell ref="IXG129:IXX129"/>
    <mergeCell ref="IXY129:IYP129"/>
    <mergeCell ref="IYQ129:IZH129"/>
    <mergeCell ref="IZI129:IZZ129"/>
    <mergeCell ref="JAA129:JAR129"/>
    <mergeCell ref="JAS129:JBJ129"/>
    <mergeCell ref="IDW129:IEN129"/>
    <mergeCell ref="IEO129:IFF129"/>
    <mergeCell ref="IFG129:IFX129"/>
    <mergeCell ref="IFY129:IGP129"/>
    <mergeCell ref="IGQ129:IHH129"/>
    <mergeCell ref="IHI129:IHZ129"/>
    <mergeCell ref="IIA129:IIR129"/>
    <mergeCell ref="IIS129:IJJ129"/>
    <mergeCell ref="IJK129:IKB129"/>
    <mergeCell ref="IKC129:IKT129"/>
    <mergeCell ref="IKU129:ILL129"/>
    <mergeCell ref="ILM129:IMD129"/>
    <mergeCell ref="IME129:IMV129"/>
    <mergeCell ref="IMW129:INN129"/>
    <mergeCell ref="INO129:IOF129"/>
    <mergeCell ref="IOG129:IOX129"/>
    <mergeCell ref="IOY129:IPP129"/>
    <mergeCell ref="HSC129:HST129"/>
    <mergeCell ref="HSU129:HTL129"/>
    <mergeCell ref="HTM129:HUD129"/>
    <mergeCell ref="HUE129:HUV129"/>
    <mergeCell ref="HUW129:HVN129"/>
    <mergeCell ref="HVO129:HWF129"/>
    <mergeCell ref="HWG129:HWX129"/>
    <mergeCell ref="HWY129:HXP129"/>
    <mergeCell ref="HXQ129:HYH129"/>
    <mergeCell ref="HYI129:HYZ129"/>
    <mergeCell ref="HZA129:HZR129"/>
    <mergeCell ref="HZS129:IAJ129"/>
    <mergeCell ref="IAK129:IBB129"/>
    <mergeCell ref="IBC129:IBT129"/>
    <mergeCell ref="IBU129:ICL129"/>
    <mergeCell ref="ICM129:IDD129"/>
    <mergeCell ref="IDE129:IDV129"/>
    <mergeCell ref="HGI129:HGZ129"/>
    <mergeCell ref="HHA129:HHR129"/>
    <mergeCell ref="HHS129:HIJ129"/>
    <mergeCell ref="HIK129:HJB129"/>
    <mergeCell ref="HJC129:HJT129"/>
    <mergeCell ref="HJU129:HKL129"/>
    <mergeCell ref="HKM129:HLD129"/>
    <mergeCell ref="HLE129:HLV129"/>
    <mergeCell ref="HLW129:HMN129"/>
    <mergeCell ref="HMO129:HNF129"/>
    <mergeCell ref="HNG129:HNX129"/>
    <mergeCell ref="HNY129:HOP129"/>
    <mergeCell ref="HOQ129:HPH129"/>
    <mergeCell ref="HPI129:HPZ129"/>
    <mergeCell ref="HQA129:HQR129"/>
    <mergeCell ref="HQS129:HRJ129"/>
    <mergeCell ref="HRK129:HSB129"/>
    <mergeCell ref="GUO129:GVF129"/>
    <mergeCell ref="GVG129:GVX129"/>
    <mergeCell ref="GVY129:GWP129"/>
    <mergeCell ref="GWQ129:GXH129"/>
    <mergeCell ref="GXI129:GXZ129"/>
    <mergeCell ref="GYA129:GYR129"/>
    <mergeCell ref="GYS129:GZJ129"/>
    <mergeCell ref="GZK129:HAB129"/>
    <mergeCell ref="HAC129:HAT129"/>
    <mergeCell ref="HAU129:HBL129"/>
    <mergeCell ref="HBM129:HCD129"/>
    <mergeCell ref="HCE129:HCV129"/>
    <mergeCell ref="HCW129:HDN129"/>
    <mergeCell ref="HDO129:HEF129"/>
    <mergeCell ref="HEG129:HEX129"/>
    <mergeCell ref="HEY129:HFP129"/>
    <mergeCell ref="HFQ129:HGH129"/>
    <mergeCell ref="GIU129:GJL129"/>
    <mergeCell ref="GJM129:GKD129"/>
    <mergeCell ref="GKE129:GKV129"/>
    <mergeCell ref="GKW129:GLN129"/>
    <mergeCell ref="GLO129:GMF129"/>
    <mergeCell ref="GMG129:GMX129"/>
    <mergeCell ref="GMY129:GNP129"/>
    <mergeCell ref="GNQ129:GOH129"/>
    <mergeCell ref="GOI129:GOZ129"/>
    <mergeCell ref="GPA129:GPR129"/>
    <mergeCell ref="GPS129:GQJ129"/>
    <mergeCell ref="GQK129:GRB129"/>
    <mergeCell ref="GRC129:GRT129"/>
    <mergeCell ref="GRU129:GSL129"/>
    <mergeCell ref="GSM129:GTD129"/>
    <mergeCell ref="GTE129:GTV129"/>
    <mergeCell ref="GTW129:GUN129"/>
    <mergeCell ref="FXA129:FXR129"/>
    <mergeCell ref="FXS129:FYJ129"/>
    <mergeCell ref="FYK129:FZB129"/>
    <mergeCell ref="FZC129:FZT129"/>
    <mergeCell ref="FZU129:GAL129"/>
    <mergeCell ref="GAM129:GBD129"/>
    <mergeCell ref="GBE129:GBV129"/>
    <mergeCell ref="GBW129:GCN129"/>
    <mergeCell ref="GCO129:GDF129"/>
    <mergeCell ref="GDG129:GDX129"/>
    <mergeCell ref="GDY129:GEP129"/>
    <mergeCell ref="GEQ129:GFH129"/>
    <mergeCell ref="GFI129:GFZ129"/>
    <mergeCell ref="GGA129:GGR129"/>
    <mergeCell ref="GGS129:GHJ129"/>
    <mergeCell ref="GHK129:GIB129"/>
    <mergeCell ref="GIC129:GIT129"/>
    <mergeCell ref="FLG129:FLX129"/>
    <mergeCell ref="FLY129:FMP129"/>
    <mergeCell ref="FMQ129:FNH129"/>
    <mergeCell ref="FNI129:FNZ129"/>
    <mergeCell ref="FOA129:FOR129"/>
    <mergeCell ref="FOS129:FPJ129"/>
    <mergeCell ref="FPK129:FQB129"/>
    <mergeCell ref="FQC129:FQT129"/>
    <mergeCell ref="FQU129:FRL129"/>
    <mergeCell ref="FRM129:FSD129"/>
    <mergeCell ref="FSE129:FSV129"/>
    <mergeCell ref="FSW129:FTN129"/>
    <mergeCell ref="FTO129:FUF129"/>
    <mergeCell ref="FUG129:FUX129"/>
    <mergeCell ref="FUY129:FVP129"/>
    <mergeCell ref="FVQ129:FWH129"/>
    <mergeCell ref="FWI129:FWZ129"/>
    <mergeCell ref="EZM129:FAD129"/>
    <mergeCell ref="FAE129:FAV129"/>
    <mergeCell ref="FAW129:FBN129"/>
    <mergeCell ref="FBO129:FCF129"/>
    <mergeCell ref="FCG129:FCX129"/>
    <mergeCell ref="FCY129:FDP129"/>
    <mergeCell ref="FDQ129:FEH129"/>
    <mergeCell ref="FEI129:FEZ129"/>
    <mergeCell ref="FFA129:FFR129"/>
    <mergeCell ref="FFS129:FGJ129"/>
    <mergeCell ref="FGK129:FHB129"/>
    <mergeCell ref="FHC129:FHT129"/>
    <mergeCell ref="FHU129:FIL129"/>
    <mergeCell ref="FIM129:FJD129"/>
    <mergeCell ref="FJE129:FJV129"/>
    <mergeCell ref="FJW129:FKN129"/>
    <mergeCell ref="FKO129:FLF129"/>
    <mergeCell ref="ENS129:EOJ129"/>
    <mergeCell ref="EOK129:EPB129"/>
    <mergeCell ref="EPC129:EPT129"/>
    <mergeCell ref="EPU129:EQL129"/>
    <mergeCell ref="EQM129:ERD129"/>
    <mergeCell ref="ERE129:ERV129"/>
    <mergeCell ref="ERW129:ESN129"/>
    <mergeCell ref="ESO129:ETF129"/>
    <mergeCell ref="ETG129:ETX129"/>
    <mergeCell ref="ETY129:EUP129"/>
    <mergeCell ref="EUQ129:EVH129"/>
    <mergeCell ref="EVI129:EVZ129"/>
    <mergeCell ref="EWA129:EWR129"/>
    <mergeCell ref="EWS129:EXJ129"/>
    <mergeCell ref="EXK129:EYB129"/>
    <mergeCell ref="EYC129:EYT129"/>
    <mergeCell ref="EYU129:EZL129"/>
    <mergeCell ref="EBY129:ECP129"/>
    <mergeCell ref="ECQ129:EDH129"/>
    <mergeCell ref="EDI129:EDZ129"/>
    <mergeCell ref="EEA129:EER129"/>
    <mergeCell ref="EES129:EFJ129"/>
    <mergeCell ref="EFK129:EGB129"/>
    <mergeCell ref="EGC129:EGT129"/>
    <mergeCell ref="EGU129:EHL129"/>
    <mergeCell ref="EHM129:EID129"/>
    <mergeCell ref="EIE129:EIV129"/>
    <mergeCell ref="EIW129:EJN129"/>
    <mergeCell ref="EJO129:EKF129"/>
    <mergeCell ref="EKG129:EKX129"/>
    <mergeCell ref="EKY129:ELP129"/>
    <mergeCell ref="ELQ129:EMH129"/>
    <mergeCell ref="EMI129:EMZ129"/>
    <mergeCell ref="ENA129:ENR129"/>
    <mergeCell ref="DQE129:DQV129"/>
    <mergeCell ref="DQW129:DRN129"/>
    <mergeCell ref="DRO129:DSF129"/>
    <mergeCell ref="DSG129:DSX129"/>
    <mergeCell ref="DSY129:DTP129"/>
    <mergeCell ref="DTQ129:DUH129"/>
    <mergeCell ref="DUI129:DUZ129"/>
    <mergeCell ref="DVA129:DVR129"/>
    <mergeCell ref="DVS129:DWJ129"/>
    <mergeCell ref="DWK129:DXB129"/>
    <mergeCell ref="DXC129:DXT129"/>
    <mergeCell ref="DXU129:DYL129"/>
    <mergeCell ref="DYM129:DZD129"/>
    <mergeCell ref="DZE129:DZV129"/>
    <mergeCell ref="DZW129:EAN129"/>
    <mergeCell ref="EAO129:EBF129"/>
    <mergeCell ref="EBG129:EBX129"/>
    <mergeCell ref="DEK129:DFB129"/>
    <mergeCell ref="DFC129:DFT129"/>
    <mergeCell ref="DFU129:DGL129"/>
    <mergeCell ref="DGM129:DHD129"/>
    <mergeCell ref="DHE129:DHV129"/>
    <mergeCell ref="DHW129:DIN129"/>
    <mergeCell ref="DIO129:DJF129"/>
    <mergeCell ref="DJG129:DJX129"/>
    <mergeCell ref="DJY129:DKP129"/>
    <mergeCell ref="DKQ129:DLH129"/>
    <mergeCell ref="DLI129:DLZ129"/>
    <mergeCell ref="DMA129:DMR129"/>
    <mergeCell ref="DMS129:DNJ129"/>
    <mergeCell ref="DNK129:DOB129"/>
    <mergeCell ref="DOC129:DOT129"/>
    <mergeCell ref="DOU129:DPL129"/>
    <mergeCell ref="DPM129:DQD129"/>
    <mergeCell ref="CSQ129:CTH129"/>
    <mergeCell ref="CTI129:CTZ129"/>
    <mergeCell ref="CUA129:CUR129"/>
    <mergeCell ref="CUS129:CVJ129"/>
    <mergeCell ref="CVK129:CWB129"/>
    <mergeCell ref="CWC129:CWT129"/>
    <mergeCell ref="CWU129:CXL129"/>
    <mergeCell ref="CXM129:CYD129"/>
    <mergeCell ref="CYE129:CYV129"/>
    <mergeCell ref="CYW129:CZN129"/>
    <mergeCell ref="CZO129:DAF129"/>
    <mergeCell ref="DAG129:DAX129"/>
    <mergeCell ref="DAY129:DBP129"/>
    <mergeCell ref="DBQ129:DCH129"/>
    <mergeCell ref="DCI129:DCZ129"/>
    <mergeCell ref="DDA129:DDR129"/>
    <mergeCell ref="DDS129:DEJ129"/>
    <mergeCell ref="CGW129:CHN129"/>
    <mergeCell ref="CHO129:CIF129"/>
    <mergeCell ref="CIG129:CIX129"/>
    <mergeCell ref="CIY129:CJP129"/>
    <mergeCell ref="CJQ129:CKH129"/>
    <mergeCell ref="CKI129:CKZ129"/>
    <mergeCell ref="CLA129:CLR129"/>
    <mergeCell ref="CLS129:CMJ129"/>
    <mergeCell ref="CMK129:CNB129"/>
    <mergeCell ref="CNC129:CNT129"/>
    <mergeCell ref="CNU129:COL129"/>
    <mergeCell ref="COM129:CPD129"/>
    <mergeCell ref="CPE129:CPV129"/>
    <mergeCell ref="CPW129:CQN129"/>
    <mergeCell ref="CQO129:CRF129"/>
    <mergeCell ref="CRG129:CRX129"/>
    <mergeCell ref="CRY129:CSP129"/>
    <mergeCell ref="BVC129:BVT129"/>
    <mergeCell ref="BVU129:BWL129"/>
    <mergeCell ref="BWM129:BXD129"/>
    <mergeCell ref="BXE129:BXV129"/>
    <mergeCell ref="BXW129:BYN129"/>
    <mergeCell ref="BYO129:BZF129"/>
    <mergeCell ref="BZG129:BZX129"/>
    <mergeCell ref="BZY129:CAP129"/>
    <mergeCell ref="CAQ129:CBH129"/>
    <mergeCell ref="CBI129:CBZ129"/>
    <mergeCell ref="CCA129:CCR129"/>
    <mergeCell ref="CCS129:CDJ129"/>
    <mergeCell ref="CDK129:CEB129"/>
    <mergeCell ref="CEC129:CET129"/>
    <mergeCell ref="CEU129:CFL129"/>
    <mergeCell ref="CFM129:CGD129"/>
    <mergeCell ref="CGE129:CGV129"/>
    <mergeCell ref="BJI129:BJZ129"/>
    <mergeCell ref="BKA129:BKR129"/>
    <mergeCell ref="BKS129:BLJ129"/>
    <mergeCell ref="BLK129:BMB129"/>
    <mergeCell ref="BMC129:BMT129"/>
    <mergeCell ref="BMU129:BNL129"/>
    <mergeCell ref="BNM129:BOD129"/>
    <mergeCell ref="BOE129:BOV129"/>
    <mergeCell ref="BOW129:BPN129"/>
    <mergeCell ref="BPO129:BQF129"/>
    <mergeCell ref="BQG129:BQX129"/>
    <mergeCell ref="BQY129:BRP129"/>
    <mergeCell ref="BRQ129:BSH129"/>
    <mergeCell ref="BSI129:BSZ129"/>
    <mergeCell ref="BTA129:BTR129"/>
    <mergeCell ref="BTS129:BUJ129"/>
    <mergeCell ref="BUK129:BVB129"/>
    <mergeCell ref="AXO129:AYF129"/>
    <mergeCell ref="AYG129:AYX129"/>
    <mergeCell ref="AYY129:AZP129"/>
    <mergeCell ref="AZQ129:BAH129"/>
    <mergeCell ref="BAI129:BAZ129"/>
    <mergeCell ref="BBA129:BBR129"/>
    <mergeCell ref="BBS129:BCJ129"/>
    <mergeCell ref="BCK129:BDB129"/>
    <mergeCell ref="BDC129:BDT129"/>
    <mergeCell ref="BDU129:BEL129"/>
    <mergeCell ref="BEM129:BFD129"/>
    <mergeCell ref="BFE129:BFV129"/>
    <mergeCell ref="BFW129:BGN129"/>
    <mergeCell ref="BGO129:BHF129"/>
    <mergeCell ref="BHG129:BHX129"/>
    <mergeCell ref="BHY129:BIP129"/>
    <mergeCell ref="BIQ129:BJH129"/>
    <mergeCell ref="ALU129:AML129"/>
    <mergeCell ref="AMM129:AND129"/>
    <mergeCell ref="ANE129:ANV129"/>
    <mergeCell ref="ANW129:AON129"/>
    <mergeCell ref="AOO129:APF129"/>
    <mergeCell ref="APG129:APX129"/>
    <mergeCell ref="APY129:AQP129"/>
    <mergeCell ref="AQQ129:ARH129"/>
    <mergeCell ref="ARI129:ARZ129"/>
    <mergeCell ref="ASA129:ASR129"/>
    <mergeCell ref="ASS129:ATJ129"/>
    <mergeCell ref="ATK129:AUB129"/>
    <mergeCell ref="AUC129:AUT129"/>
    <mergeCell ref="AUU129:AVL129"/>
    <mergeCell ref="AVM129:AWD129"/>
    <mergeCell ref="AWE129:AWV129"/>
    <mergeCell ref="AWW129:AXN129"/>
    <mergeCell ref="AAA129:AAR129"/>
    <mergeCell ref="AAS129:ABJ129"/>
    <mergeCell ref="ABK129:ACB129"/>
    <mergeCell ref="ACC129:ACT129"/>
    <mergeCell ref="ACU129:ADL129"/>
    <mergeCell ref="ADM129:AED129"/>
    <mergeCell ref="AEE129:AEV129"/>
    <mergeCell ref="AEW129:AFN129"/>
    <mergeCell ref="AFO129:AGF129"/>
    <mergeCell ref="AGG129:AGX129"/>
    <mergeCell ref="AGY129:AHP129"/>
    <mergeCell ref="AHQ129:AIH129"/>
    <mergeCell ref="AII129:AIZ129"/>
    <mergeCell ref="AJA129:AJR129"/>
    <mergeCell ref="AJS129:AKJ129"/>
    <mergeCell ref="AKK129:ALB129"/>
    <mergeCell ref="ALC129:ALT129"/>
    <mergeCell ref="OG129:OX129"/>
    <mergeCell ref="OY129:PP129"/>
    <mergeCell ref="PQ129:QH129"/>
    <mergeCell ref="QI129:QZ129"/>
    <mergeCell ref="RA129:RR129"/>
    <mergeCell ref="RS129:SJ129"/>
    <mergeCell ref="SK129:TB129"/>
    <mergeCell ref="TC129:TT129"/>
    <mergeCell ref="TU129:UL129"/>
    <mergeCell ref="UM129:VD129"/>
    <mergeCell ref="VE129:VV129"/>
    <mergeCell ref="VW129:WN129"/>
    <mergeCell ref="WO129:XF129"/>
    <mergeCell ref="XG129:XX129"/>
    <mergeCell ref="XY129:YP129"/>
    <mergeCell ref="YQ129:ZH129"/>
    <mergeCell ref="ZI129:ZZ129"/>
    <mergeCell ref="WOL111:WPG111"/>
    <mergeCell ref="WPH111:WQC111"/>
    <mergeCell ref="WQD111:WQY111"/>
    <mergeCell ref="WQZ111:WRU111"/>
    <mergeCell ref="WRV111:WSQ111"/>
    <mergeCell ref="WSR111:WTM111"/>
    <mergeCell ref="WTN111:WUI111"/>
    <mergeCell ref="WUJ111:WVE111"/>
    <mergeCell ref="WVF111:WWA111"/>
    <mergeCell ref="WWB111:WWW111"/>
    <mergeCell ref="WWX111:WXS111"/>
    <mergeCell ref="WXT111:WYO111"/>
    <mergeCell ref="XDR111:XEM111"/>
    <mergeCell ref="XEN111:XFC111"/>
    <mergeCell ref="A120:R120"/>
    <mergeCell ref="A121:R121"/>
    <mergeCell ref="WYP111:WZK111"/>
    <mergeCell ref="WZL111:XAG111"/>
    <mergeCell ref="XAH111:XBC111"/>
    <mergeCell ref="XBD111:XBY111"/>
    <mergeCell ref="XBZ111:XCU111"/>
    <mergeCell ref="XCV111:XDQ111"/>
    <mergeCell ref="WAB111:WAW111"/>
    <mergeCell ref="WAX111:WBS111"/>
    <mergeCell ref="WBT111:WCO111"/>
    <mergeCell ref="WCP111:WDK111"/>
    <mergeCell ref="WDL111:WEG111"/>
    <mergeCell ref="WEH111:WFC111"/>
    <mergeCell ref="WFD111:WFY111"/>
    <mergeCell ref="WFZ111:WGU111"/>
    <mergeCell ref="WGV111:WHQ111"/>
    <mergeCell ref="WHR111:WIM111"/>
    <mergeCell ref="WIN111:WJI111"/>
    <mergeCell ref="WJJ111:WKE111"/>
    <mergeCell ref="WKF111:WLA111"/>
    <mergeCell ref="WLB111:WLW111"/>
    <mergeCell ref="WLX111:WMS111"/>
    <mergeCell ref="WMT111:WNO111"/>
    <mergeCell ref="WNP111:WOK111"/>
    <mergeCell ref="VLR111:VMM111"/>
    <mergeCell ref="VMN111:VNI111"/>
    <mergeCell ref="VNJ111:VOE111"/>
    <mergeCell ref="VOF111:VPA111"/>
    <mergeCell ref="VPB111:VPW111"/>
    <mergeCell ref="VPX111:VQS111"/>
    <mergeCell ref="VQT111:VRO111"/>
    <mergeCell ref="VRP111:VSK111"/>
    <mergeCell ref="VSL111:VTG111"/>
    <mergeCell ref="VTH111:VUC111"/>
    <mergeCell ref="VUD111:VUY111"/>
    <mergeCell ref="VUZ111:VVU111"/>
    <mergeCell ref="VVV111:VWQ111"/>
    <mergeCell ref="VWR111:VXM111"/>
    <mergeCell ref="VXN111:VYI111"/>
    <mergeCell ref="VYJ111:VZE111"/>
    <mergeCell ref="VZF111:WAA111"/>
    <mergeCell ref="UXH111:UYC111"/>
    <mergeCell ref="UYD111:UYY111"/>
    <mergeCell ref="UYZ111:UZU111"/>
    <mergeCell ref="UZV111:VAQ111"/>
    <mergeCell ref="VAR111:VBM111"/>
    <mergeCell ref="VBN111:VCI111"/>
    <mergeCell ref="VCJ111:VDE111"/>
    <mergeCell ref="VDF111:VEA111"/>
    <mergeCell ref="VEB111:VEW111"/>
    <mergeCell ref="VEX111:VFS111"/>
    <mergeCell ref="VFT111:VGO111"/>
    <mergeCell ref="VGP111:VHK111"/>
    <mergeCell ref="VHL111:VIG111"/>
    <mergeCell ref="VIH111:VJC111"/>
    <mergeCell ref="VJD111:VJY111"/>
    <mergeCell ref="VJZ111:VKU111"/>
    <mergeCell ref="VKV111:VLQ111"/>
    <mergeCell ref="UIX111:UJS111"/>
    <mergeCell ref="UJT111:UKO111"/>
    <mergeCell ref="UKP111:ULK111"/>
    <mergeCell ref="ULL111:UMG111"/>
    <mergeCell ref="UMH111:UNC111"/>
    <mergeCell ref="UND111:UNY111"/>
    <mergeCell ref="UNZ111:UOU111"/>
    <mergeCell ref="UOV111:UPQ111"/>
    <mergeCell ref="UPR111:UQM111"/>
    <mergeCell ref="UQN111:URI111"/>
    <mergeCell ref="URJ111:USE111"/>
    <mergeCell ref="USF111:UTA111"/>
    <mergeCell ref="UTB111:UTW111"/>
    <mergeCell ref="UTX111:UUS111"/>
    <mergeCell ref="UUT111:UVO111"/>
    <mergeCell ref="UVP111:UWK111"/>
    <mergeCell ref="UWL111:UXG111"/>
    <mergeCell ref="TUN111:TVI111"/>
    <mergeCell ref="TVJ111:TWE111"/>
    <mergeCell ref="TWF111:TXA111"/>
    <mergeCell ref="TXB111:TXW111"/>
    <mergeCell ref="TXX111:TYS111"/>
    <mergeCell ref="TYT111:TZO111"/>
    <mergeCell ref="TZP111:UAK111"/>
    <mergeCell ref="UAL111:UBG111"/>
    <mergeCell ref="UBH111:UCC111"/>
    <mergeCell ref="UCD111:UCY111"/>
    <mergeCell ref="UCZ111:UDU111"/>
    <mergeCell ref="UDV111:UEQ111"/>
    <mergeCell ref="UER111:UFM111"/>
    <mergeCell ref="UFN111:UGI111"/>
    <mergeCell ref="UGJ111:UHE111"/>
    <mergeCell ref="UHF111:UIA111"/>
    <mergeCell ref="UIB111:UIW111"/>
    <mergeCell ref="TGD111:TGY111"/>
    <mergeCell ref="TGZ111:THU111"/>
    <mergeCell ref="THV111:TIQ111"/>
    <mergeCell ref="TIR111:TJM111"/>
    <mergeCell ref="TJN111:TKI111"/>
    <mergeCell ref="TKJ111:TLE111"/>
    <mergeCell ref="TLF111:TMA111"/>
    <mergeCell ref="TMB111:TMW111"/>
    <mergeCell ref="TMX111:TNS111"/>
    <mergeCell ref="TNT111:TOO111"/>
    <mergeCell ref="TOP111:TPK111"/>
    <mergeCell ref="TPL111:TQG111"/>
    <mergeCell ref="TQH111:TRC111"/>
    <mergeCell ref="TRD111:TRY111"/>
    <mergeCell ref="TRZ111:TSU111"/>
    <mergeCell ref="TSV111:TTQ111"/>
    <mergeCell ref="TTR111:TUM111"/>
    <mergeCell ref="SRT111:SSO111"/>
    <mergeCell ref="SSP111:STK111"/>
    <mergeCell ref="STL111:SUG111"/>
    <mergeCell ref="SUH111:SVC111"/>
    <mergeCell ref="SVD111:SVY111"/>
    <mergeCell ref="SVZ111:SWU111"/>
    <mergeCell ref="SWV111:SXQ111"/>
    <mergeCell ref="SXR111:SYM111"/>
    <mergeCell ref="SYN111:SZI111"/>
    <mergeCell ref="SZJ111:TAE111"/>
    <mergeCell ref="TAF111:TBA111"/>
    <mergeCell ref="TBB111:TBW111"/>
    <mergeCell ref="TBX111:TCS111"/>
    <mergeCell ref="TCT111:TDO111"/>
    <mergeCell ref="TDP111:TEK111"/>
    <mergeCell ref="TEL111:TFG111"/>
    <mergeCell ref="TFH111:TGC111"/>
    <mergeCell ref="SDJ111:SEE111"/>
    <mergeCell ref="SEF111:SFA111"/>
    <mergeCell ref="SFB111:SFW111"/>
    <mergeCell ref="SFX111:SGS111"/>
    <mergeCell ref="SGT111:SHO111"/>
    <mergeCell ref="SHP111:SIK111"/>
    <mergeCell ref="SIL111:SJG111"/>
    <mergeCell ref="SJH111:SKC111"/>
    <mergeCell ref="SKD111:SKY111"/>
    <mergeCell ref="SKZ111:SLU111"/>
    <mergeCell ref="SLV111:SMQ111"/>
    <mergeCell ref="SMR111:SNM111"/>
    <mergeCell ref="SNN111:SOI111"/>
    <mergeCell ref="SOJ111:SPE111"/>
    <mergeCell ref="SPF111:SQA111"/>
    <mergeCell ref="SQB111:SQW111"/>
    <mergeCell ref="SQX111:SRS111"/>
    <mergeCell ref="ROZ111:RPU111"/>
    <mergeCell ref="RPV111:RQQ111"/>
    <mergeCell ref="RQR111:RRM111"/>
    <mergeCell ref="RRN111:RSI111"/>
    <mergeCell ref="RSJ111:RTE111"/>
    <mergeCell ref="RTF111:RUA111"/>
    <mergeCell ref="RUB111:RUW111"/>
    <mergeCell ref="RUX111:RVS111"/>
    <mergeCell ref="RVT111:RWO111"/>
    <mergeCell ref="RWP111:RXK111"/>
    <mergeCell ref="RXL111:RYG111"/>
    <mergeCell ref="RYH111:RZC111"/>
    <mergeCell ref="RZD111:RZY111"/>
    <mergeCell ref="RZZ111:SAU111"/>
    <mergeCell ref="SAV111:SBQ111"/>
    <mergeCell ref="SBR111:SCM111"/>
    <mergeCell ref="SCN111:SDI111"/>
    <mergeCell ref="RAP111:RBK111"/>
    <mergeCell ref="RBL111:RCG111"/>
    <mergeCell ref="RCH111:RDC111"/>
    <mergeCell ref="RDD111:RDY111"/>
    <mergeCell ref="RDZ111:REU111"/>
    <mergeCell ref="REV111:RFQ111"/>
    <mergeCell ref="RFR111:RGM111"/>
    <mergeCell ref="RGN111:RHI111"/>
    <mergeCell ref="RHJ111:RIE111"/>
    <mergeCell ref="RIF111:RJA111"/>
    <mergeCell ref="RJB111:RJW111"/>
    <mergeCell ref="RJX111:RKS111"/>
    <mergeCell ref="RKT111:RLO111"/>
    <mergeCell ref="RLP111:RMK111"/>
    <mergeCell ref="RML111:RNG111"/>
    <mergeCell ref="RNH111:ROC111"/>
    <mergeCell ref="ROD111:ROY111"/>
    <mergeCell ref="QMF111:QNA111"/>
    <mergeCell ref="QNB111:QNW111"/>
    <mergeCell ref="QNX111:QOS111"/>
    <mergeCell ref="QOT111:QPO111"/>
    <mergeCell ref="QPP111:QQK111"/>
    <mergeCell ref="QQL111:QRG111"/>
    <mergeCell ref="QRH111:QSC111"/>
    <mergeCell ref="QSD111:QSY111"/>
    <mergeCell ref="QSZ111:QTU111"/>
    <mergeCell ref="QTV111:QUQ111"/>
    <mergeCell ref="QUR111:QVM111"/>
    <mergeCell ref="QVN111:QWI111"/>
    <mergeCell ref="QWJ111:QXE111"/>
    <mergeCell ref="QXF111:QYA111"/>
    <mergeCell ref="QYB111:QYW111"/>
    <mergeCell ref="QYX111:QZS111"/>
    <mergeCell ref="QZT111:RAO111"/>
    <mergeCell ref="PXV111:PYQ111"/>
    <mergeCell ref="PYR111:PZM111"/>
    <mergeCell ref="PZN111:QAI111"/>
    <mergeCell ref="QAJ111:QBE111"/>
    <mergeCell ref="QBF111:QCA111"/>
    <mergeCell ref="QCB111:QCW111"/>
    <mergeCell ref="QCX111:QDS111"/>
    <mergeCell ref="QDT111:QEO111"/>
    <mergeCell ref="QEP111:QFK111"/>
    <mergeCell ref="QFL111:QGG111"/>
    <mergeCell ref="QGH111:QHC111"/>
    <mergeCell ref="QHD111:QHY111"/>
    <mergeCell ref="QHZ111:QIU111"/>
    <mergeCell ref="QIV111:QJQ111"/>
    <mergeCell ref="QJR111:QKM111"/>
    <mergeCell ref="QKN111:QLI111"/>
    <mergeCell ref="QLJ111:QME111"/>
    <mergeCell ref="PJL111:PKG111"/>
    <mergeCell ref="PKH111:PLC111"/>
    <mergeCell ref="PLD111:PLY111"/>
    <mergeCell ref="PLZ111:PMU111"/>
    <mergeCell ref="PMV111:PNQ111"/>
    <mergeCell ref="PNR111:POM111"/>
    <mergeCell ref="PON111:PPI111"/>
    <mergeCell ref="PPJ111:PQE111"/>
    <mergeCell ref="PQF111:PRA111"/>
    <mergeCell ref="PRB111:PRW111"/>
    <mergeCell ref="PRX111:PSS111"/>
    <mergeCell ref="PST111:PTO111"/>
    <mergeCell ref="PTP111:PUK111"/>
    <mergeCell ref="PUL111:PVG111"/>
    <mergeCell ref="PVH111:PWC111"/>
    <mergeCell ref="PWD111:PWY111"/>
    <mergeCell ref="PWZ111:PXU111"/>
    <mergeCell ref="OVB111:OVW111"/>
    <mergeCell ref="OVX111:OWS111"/>
    <mergeCell ref="OWT111:OXO111"/>
    <mergeCell ref="OXP111:OYK111"/>
    <mergeCell ref="OYL111:OZG111"/>
    <mergeCell ref="OZH111:PAC111"/>
    <mergeCell ref="PAD111:PAY111"/>
    <mergeCell ref="PAZ111:PBU111"/>
    <mergeCell ref="PBV111:PCQ111"/>
    <mergeCell ref="PCR111:PDM111"/>
    <mergeCell ref="PDN111:PEI111"/>
    <mergeCell ref="PEJ111:PFE111"/>
    <mergeCell ref="PFF111:PGA111"/>
    <mergeCell ref="PGB111:PGW111"/>
    <mergeCell ref="PGX111:PHS111"/>
    <mergeCell ref="PHT111:PIO111"/>
    <mergeCell ref="PIP111:PJK111"/>
    <mergeCell ref="OGR111:OHM111"/>
    <mergeCell ref="OHN111:OII111"/>
    <mergeCell ref="OIJ111:OJE111"/>
    <mergeCell ref="OJF111:OKA111"/>
    <mergeCell ref="OKB111:OKW111"/>
    <mergeCell ref="OKX111:OLS111"/>
    <mergeCell ref="OLT111:OMO111"/>
    <mergeCell ref="OMP111:ONK111"/>
    <mergeCell ref="ONL111:OOG111"/>
    <mergeCell ref="OOH111:OPC111"/>
    <mergeCell ref="OPD111:OPY111"/>
    <mergeCell ref="OPZ111:OQU111"/>
    <mergeCell ref="OQV111:ORQ111"/>
    <mergeCell ref="ORR111:OSM111"/>
    <mergeCell ref="OSN111:OTI111"/>
    <mergeCell ref="OTJ111:OUE111"/>
    <mergeCell ref="OUF111:OVA111"/>
    <mergeCell ref="NSH111:NTC111"/>
    <mergeCell ref="NTD111:NTY111"/>
    <mergeCell ref="NTZ111:NUU111"/>
    <mergeCell ref="NUV111:NVQ111"/>
    <mergeCell ref="NVR111:NWM111"/>
    <mergeCell ref="NWN111:NXI111"/>
    <mergeCell ref="NXJ111:NYE111"/>
    <mergeCell ref="NYF111:NZA111"/>
    <mergeCell ref="NZB111:NZW111"/>
    <mergeCell ref="NZX111:OAS111"/>
    <mergeCell ref="OAT111:OBO111"/>
    <mergeCell ref="OBP111:OCK111"/>
    <mergeCell ref="OCL111:ODG111"/>
    <mergeCell ref="ODH111:OEC111"/>
    <mergeCell ref="OED111:OEY111"/>
    <mergeCell ref="OEZ111:OFU111"/>
    <mergeCell ref="OFV111:OGQ111"/>
    <mergeCell ref="NDX111:NES111"/>
    <mergeCell ref="NET111:NFO111"/>
    <mergeCell ref="NFP111:NGK111"/>
    <mergeCell ref="NGL111:NHG111"/>
    <mergeCell ref="NHH111:NIC111"/>
    <mergeCell ref="NID111:NIY111"/>
    <mergeCell ref="NIZ111:NJU111"/>
    <mergeCell ref="NJV111:NKQ111"/>
    <mergeCell ref="NKR111:NLM111"/>
    <mergeCell ref="NLN111:NMI111"/>
    <mergeCell ref="NMJ111:NNE111"/>
    <mergeCell ref="NNF111:NOA111"/>
    <mergeCell ref="NOB111:NOW111"/>
    <mergeCell ref="NOX111:NPS111"/>
    <mergeCell ref="NPT111:NQO111"/>
    <mergeCell ref="NQP111:NRK111"/>
    <mergeCell ref="NRL111:NSG111"/>
    <mergeCell ref="MPN111:MQI111"/>
    <mergeCell ref="MQJ111:MRE111"/>
    <mergeCell ref="MRF111:MSA111"/>
    <mergeCell ref="MSB111:MSW111"/>
    <mergeCell ref="MSX111:MTS111"/>
    <mergeCell ref="MTT111:MUO111"/>
    <mergeCell ref="MUP111:MVK111"/>
    <mergeCell ref="MVL111:MWG111"/>
    <mergeCell ref="MWH111:MXC111"/>
    <mergeCell ref="MXD111:MXY111"/>
    <mergeCell ref="MXZ111:MYU111"/>
    <mergeCell ref="MYV111:MZQ111"/>
    <mergeCell ref="MZR111:NAM111"/>
    <mergeCell ref="NAN111:NBI111"/>
    <mergeCell ref="NBJ111:NCE111"/>
    <mergeCell ref="NCF111:NDA111"/>
    <mergeCell ref="NDB111:NDW111"/>
    <mergeCell ref="MBD111:MBY111"/>
    <mergeCell ref="MBZ111:MCU111"/>
    <mergeCell ref="MCV111:MDQ111"/>
    <mergeCell ref="MDR111:MEM111"/>
    <mergeCell ref="MEN111:MFI111"/>
    <mergeCell ref="MFJ111:MGE111"/>
    <mergeCell ref="MGF111:MHA111"/>
    <mergeCell ref="MHB111:MHW111"/>
    <mergeCell ref="MHX111:MIS111"/>
    <mergeCell ref="MIT111:MJO111"/>
    <mergeCell ref="MJP111:MKK111"/>
    <mergeCell ref="MKL111:MLG111"/>
    <mergeCell ref="MLH111:MMC111"/>
    <mergeCell ref="MMD111:MMY111"/>
    <mergeCell ref="MMZ111:MNU111"/>
    <mergeCell ref="MNV111:MOQ111"/>
    <mergeCell ref="MOR111:MPM111"/>
    <mergeCell ref="LMT111:LNO111"/>
    <mergeCell ref="LNP111:LOK111"/>
    <mergeCell ref="LOL111:LPG111"/>
    <mergeCell ref="LPH111:LQC111"/>
    <mergeCell ref="LQD111:LQY111"/>
    <mergeCell ref="LQZ111:LRU111"/>
    <mergeCell ref="LRV111:LSQ111"/>
    <mergeCell ref="LSR111:LTM111"/>
    <mergeCell ref="LTN111:LUI111"/>
    <mergeCell ref="LUJ111:LVE111"/>
    <mergeCell ref="LVF111:LWA111"/>
    <mergeCell ref="LWB111:LWW111"/>
    <mergeCell ref="LWX111:LXS111"/>
    <mergeCell ref="LXT111:LYO111"/>
    <mergeCell ref="LYP111:LZK111"/>
    <mergeCell ref="LZL111:MAG111"/>
    <mergeCell ref="MAH111:MBC111"/>
    <mergeCell ref="KYJ111:KZE111"/>
    <mergeCell ref="KZF111:LAA111"/>
    <mergeCell ref="LAB111:LAW111"/>
    <mergeCell ref="LAX111:LBS111"/>
    <mergeCell ref="LBT111:LCO111"/>
    <mergeCell ref="LCP111:LDK111"/>
    <mergeCell ref="LDL111:LEG111"/>
    <mergeCell ref="LEH111:LFC111"/>
    <mergeCell ref="LFD111:LFY111"/>
    <mergeCell ref="LFZ111:LGU111"/>
    <mergeCell ref="LGV111:LHQ111"/>
    <mergeCell ref="LHR111:LIM111"/>
    <mergeCell ref="LIN111:LJI111"/>
    <mergeCell ref="LJJ111:LKE111"/>
    <mergeCell ref="LKF111:LLA111"/>
    <mergeCell ref="LLB111:LLW111"/>
    <mergeCell ref="LLX111:LMS111"/>
    <mergeCell ref="KJZ111:KKU111"/>
    <mergeCell ref="KKV111:KLQ111"/>
    <mergeCell ref="KLR111:KMM111"/>
    <mergeCell ref="KMN111:KNI111"/>
    <mergeCell ref="KNJ111:KOE111"/>
    <mergeCell ref="KOF111:KPA111"/>
    <mergeCell ref="KPB111:KPW111"/>
    <mergeCell ref="KPX111:KQS111"/>
    <mergeCell ref="KQT111:KRO111"/>
    <mergeCell ref="KRP111:KSK111"/>
    <mergeCell ref="KSL111:KTG111"/>
    <mergeCell ref="KTH111:KUC111"/>
    <mergeCell ref="KUD111:KUY111"/>
    <mergeCell ref="KUZ111:KVU111"/>
    <mergeCell ref="KVV111:KWQ111"/>
    <mergeCell ref="KWR111:KXM111"/>
    <mergeCell ref="KXN111:KYI111"/>
    <mergeCell ref="JVP111:JWK111"/>
    <mergeCell ref="JWL111:JXG111"/>
    <mergeCell ref="JXH111:JYC111"/>
    <mergeCell ref="JYD111:JYY111"/>
    <mergeCell ref="JYZ111:JZU111"/>
    <mergeCell ref="JZV111:KAQ111"/>
    <mergeCell ref="KAR111:KBM111"/>
    <mergeCell ref="KBN111:KCI111"/>
    <mergeCell ref="KCJ111:KDE111"/>
    <mergeCell ref="KDF111:KEA111"/>
    <mergeCell ref="KEB111:KEW111"/>
    <mergeCell ref="KEX111:KFS111"/>
    <mergeCell ref="KFT111:KGO111"/>
    <mergeCell ref="KGP111:KHK111"/>
    <mergeCell ref="KHL111:KIG111"/>
    <mergeCell ref="KIH111:KJC111"/>
    <mergeCell ref="KJD111:KJY111"/>
    <mergeCell ref="JHF111:JIA111"/>
    <mergeCell ref="JIB111:JIW111"/>
    <mergeCell ref="JIX111:JJS111"/>
    <mergeCell ref="JJT111:JKO111"/>
    <mergeCell ref="JKP111:JLK111"/>
    <mergeCell ref="JLL111:JMG111"/>
    <mergeCell ref="JMH111:JNC111"/>
    <mergeCell ref="JND111:JNY111"/>
    <mergeCell ref="JNZ111:JOU111"/>
    <mergeCell ref="JOV111:JPQ111"/>
    <mergeCell ref="JPR111:JQM111"/>
    <mergeCell ref="JQN111:JRI111"/>
    <mergeCell ref="JRJ111:JSE111"/>
    <mergeCell ref="JSF111:JTA111"/>
    <mergeCell ref="JTB111:JTW111"/>
    <mergeCell ref="JTX111:JUS111"/>
    <mergeCell ref="JUT111:JVO111"/>
    <mergeCell ref="ISV111:ITQ111"/>
    <mergeCell ref="ITR111:IUM111"/>
    <mergeCell ref="IUN111:IVI111"/>
    <mergeCell ref="IVJ111:IWE111"/>
    <mergeCell ref="IWF111:IXA111"/>
    <mergeCell ref="IXB111:IXW111"/>
    <mergeCell ref="IXX111:IYS111"/>
    <mergeCell ref="IYT111:IZO111"/>
    <mergeCell ref="IZP111:JAK111"/>
    <mergeCell ref="JAL111:JBG111"/>
    <mergeCell ref="JBH111:JCC111"/>
    <mergeCell ref="JCD111:JCY111"/>
    <mergeCell ref="JCZ111:JDU111"/>
    <mergeCell ref="JDV111:JEQ111"/>
    <mergeCell ref="JER111:JFM111"/>
    <mergeCell ref="JFN111:JGI111"/>
    <mergeCell ref="JGJ111:JHE111"/>
    <mergeCell ref="IEL111:IFG111"/>
    <mergeCell ref="IFH111:IGC111"/>
    <mergeCell ref="IGD111:IGY111"/>
    <mergeCell ref="IGZ111:IHU111"/>
    <mergeCell ref="IHV111:IIQ111"/>
    <mergeCell ref="IIR111:IJM111"/>
    <mergeCell ref="IJN111:IKI111"/>
    <mergeCell ref="IKJ111:ILE111"/>
    <mergeCell ref="ILF111:IMA111"/>
    <mergeCell ref="IMB111:IMW111"/>
    <mergeCell ref="IMX111:INS111"/>
    <mergeCell ref="INT111:IOO111"/>
    <mergeCell ref="IOP111:IPK111"/>
    <mergeCell ref="IPL111:IQG111"/>
    <mergeCell ref="IQH111:IRC111"/>
    <mergeCell ref="IRD111:IRY111"/>
    <mergeCell ref="IRZ111:ISU111"/>
    <mergeCell ref="HQB111:HQW111"/>
    <mergeCell ref="HQX111:HRS111"/>
    <mergeCell ref="HRT111:HSO111"/>
    <mergeCell ref="HSP111:HTK111"/>
    <mergeCell ref="HTL111:HUG111"/>
    <mergeCell ref="HUH111:HVC111"/>
    <mergeCell ref="HVD111:HVY111"/>
    <mergeCell ref="HVZ111:HWU111"/>
    <mergeCell ref="HWV111:HXQ111"/>
    <mergeCell ref="HXR111:HYM111"/>
    <mergeCell ref="HYN111:HZI111"/>
    <mergeCell ref="HZJ111:IAE111"/>
    <mergeCell ref="IAF111:IBA111"/>
    <mergeCell ref="IBB111:IBW111"/>
    <mergeCell ref="IBX111:ICS111"/>
    <mergeCell ref="ICT111:IDO111"/>
    <mergeCell ref="IDP111:IEK111"/>
    <mergeCell ref="HBR111:HCM111"/>
    <mergeCell ref="HCN111:HDI111"/>
    <mergeCell ref="HDJ111:HEE111"/>
    <mergeCell ref="HEF111:HFA111"/>
    <mergeCell ref="HFB111:HFW111"/>
    <mergeCell ref="HFX111:HGS111"/>
    <mergeCell ref="HGT111:HHO111"/>
    <mergeCell ref="HHP111:HIK111"/>
    <mergeCell ref="HIL111:HJG111"/>
    <mergeCell ref="HJH111:HKC111"/>
    <mergeCell ref="HKD111:HKY111"/>
    <mergeCell ref="HKZ111:HLU111"/>
    <mergeCell ref="HLV111:HMQ111"/>
    <mergeCell ref="HMR111:HNM111"/>
    <mergeCell ref="HNN111:HOI111"/>
    <mergeCell ref="HOJ111:HPE111"/>
    <mergeCell ref="HPF111:HQA111"/>
    <mergeCell ref="GNH111:GOC111"/>
    <mergeCell ref="GOD111:GOY111"/>
    <mergeCell ref="GOZ111:GPU111"/>
    <mergeCell ref="GPV111:GQQ111"/>
    <mergeCell ref="GQR111:GRM111"/>
    <mergeCell ref="GRN111:GSI111"/>
    <mergeCell ref="GSJ111:GTE111"/>
    <mergeCell ref="GTF111:GUA111"/>
    <mergeCell ref="GUB111:GUW111"/>
    <mergeCell ref="GUX111:GVS111"/>
    <mergeCell ref="GVT111:GWO111"/>
    <mergeCell ref="GWP111:GXK111"/>
    <mergeCell ref="GXL111:GYG111"/>
    <mergeCell ref="GYH111:GZC111"/>
    <mergeCell ref="GZD111:GZY111"/>
    <mergeCell ref="GZZ111:HAU111"/>
    <mergeCell ref="HAV111:HBQ111"/>
    <mergeCell ref="FYX111:FZS111"/>
    <mergeCell ref="FZT111:GAO111"/>
    <mergeCell ref="GAP111:GBK111"/>
    <mergeCell ref="GBL111:GCG111"/>
    <mergeCell ref="GCH111:GDC111"/>
    <mergeCell ref="GDD111:GDY111"/>
    <mergeCell ref="GDZ111:GEU111"/>
    <mergeCell ref="GEV111:GFQ111"/>
    <mergeCell ref="GFR111:GGM111"/>
    <mergeCell ref="GGN111:GHI111"/>
    <mergeCell ref="GHJ111:GIE111"/>
    <mergeCell ref="GIF111:GJA111"/>
    <mergeCell ref="GJB111:GJW111"/>
    <mergeCell ref="GJX111:GKS111"/>
    <mergeCell ref="GKT111:GLO111"/>
    <mergeCell ref="GLP111:GMK111"/>
    <mergeCell ref="GML111:GNG111"/>
    <mergeCell ref="FKN111:FLI111"/>
    <mergeCell ref="FLJ111:FME111"/>
    <mergeCell ref="FMF111:FNA111"/>
    <mergeCell ref="FNB111:FNW111"/>
    <mergeCell ref="FNX111:FOS111"/>
    <mergeCell ref="FOT111:FPO111"/>
    <mergeCell ref="FPP111:FQK111"/>
    <mergeCell ref="FQL111:FRG111"/>
    <mergeCell ref="FRH111:FSC111"/>
    <mergeCell ref="FSD111:FSY111"/>
    <mergeCell ref="FSZ111:FTU111"/>
    <mergeCell ref="FTV111:FUQ111"/>
    <mergeCell ref="FUR111:FVM111"/>
    <mergeCell ref="FVN111:FWI111"/>
    <mergeCell ref="FWJ111:FXE111"/>
    <mergeCell ref="FXF111:FYA111"/>
    <mergeCell ref="FYB111:FYW111"/>
    <mergeCell ref="EWD111:EWY111"/>
    <mergeCell ref="EWZ111:EXU111"/>
    <mergeCell ref="EXV111:EYQ111"/>
    <mergeCell ref="EYR111:EZM111"/>
    <mergeCell ref="EZN111:FAI111"/>
    <mergeCell ref="FAJ111:FBE111"/>
    <mergeCell ref="FBF111:FCA111"/>
    <mergeCell ref="FCB111:FCW111"/>
    <mergeCell ref="FCX111:FDS111"/>
    <mergeCell ref="FDT111:FEO111"/>
    <mergeCell ref="FEP111:FFK111"/>
    <mergeCell ref="FFL111:FGG111"/>
    <mergeCell ref="FGH111:FHC111"/>
    <mergeCell ref="FHD111:FHY111"/>
    <mergeCell ref="FHZ111:FIU111"/>
    <mergeCell ref="FIV111:FJQ111"/>
    <mergeCell ref="FJR111:FKM111"/>
    <mergeCell ref="EHT111:EIO111"/>
    <mergeCell ref="EIP111:EJK111"/>
    <mergeCell ref="EJL111:EKG111"/>
    <mergeCell ref="EKH111:ELC111"/>
    <mergeCell ref="ELD111:ELY111"/>
    <mergeCell ref="ELZ111:EMU111"/>
    <mergeCell ref="EMV111:ENQ111"/>
    <mergeCell ref="ENR111:EOM111"/>
    <mergeCell ref="EON111:EPI111"/>
    <mergeCell ref="EPJ111:EQE111"/>
    <mergeCell ref="EQF111:ERA111"/>
    <mergeCell ref="ERB111:ERW111"/>
    <mergeCell ref="ERX111:ESS111"/>
    <mergeCell ref="EST111:ETO111"/>
    <mergeCell ref="ETP111:EUK111"/>
    <mergeCell ref="EUL111:EVG111"/>
    <mergeCell ref="EVH111:EWC111"/>
    <mergeCell ref="DTJ111:DUE111"/>
    <mergeCell ref="DUF111:DVA111"/>
    <mergeCell ref="DVB111:DVW111"/>
    <mergeCell ref="DVX111:DWS111"/>
    <mergeCell ref="DWT111:DXO111"/>
    <mergeCell ref="DXP111:DYK111"/>
    <mergeCell ref="DYL111:DZG111"/>
    <mergeCell ref="DZH111:EAC111"/>
    <mergeCell ref="EAD111:EAY111"/>
    <mergeCell ref="EAZ111:EBU111"/>
    <mergeCell ref="EBV111:ECQ111"/>
    <mergeCell ref="ECR111:EDM111"/>
    <mergeCell ref="EDN111:EEI111"/>
    <mergeCell ref="EEJ111:EFE111"/>
    <mergeCell ref="EFF111:EGA111"/>
    <mergeCell ref="EGB111:EGW111"/>
    <mergeCell ref="EGX111:EHS111"/>
    <mergeCell ref="DEZ111:DFU111"/>
    <mergeCell ref="DFV111:DGQ111"/>
    <mergeCell ref="DGR111:DHM111"/>
    <mergeCell ref="DHN111:DII111"/>
    <mergeCell ref="DIJ111:DJE111"/>
    <mergeCell ref="DJF111:DKA111"/>
    <mergeCell ref="DKB111:DKW111"/>
    <mergeCell ref="DKX111:DLS111"/>
    <mergeCell ref="DLT111:DMO111"/>
    <mergeCell ref="DMP111:DNK111"/>
    <mergeCell ref="DNL111:DOG111"/>
    <mergeCell ref="DOH111:DPC111"/>
    <mergeCell ref="DPD111:DPY111"/>
    <mergeCell ref="DPZ111:DQU111"/>
    <mergeCell ref="DQV111:DRQ111"/>
    <mergeCell ref="DRR111:DSM111"/>
    <mergeCell ref="DSN111:DTI111"/>
    <mergeCell ref="CQP111:CRK111"/>
    <mergeCell ref="CRL111:CSG111"/>
    <mergeCell ref="CSH111:CTC111"/>
    <mergeCell ref="CTD111:CTY111"/>
    <mergeCell ref="CTZ111:CUU111"/>
    <mergeCell ref="CUV111:CVQ111"/>
    <mergeCell ref="CVR111:CWM111"/>
    <mergeCell ref="CWN111:CXI111"/>
    <mergeCell ref="CXJ111:CYE111"/>
    <mergeCell ref="CYF111:CZA111"/>
    <mergeCell ref="CZB111:CZW111"/>
    <mergeCell ref="CZX111:DAS111"/>
    <mergeCell ref="DAT111:DBO111"/>
    <mergeCell ref="DBP111:DCK111"/>
    <mergeCell ref="DCL111:DDG111"/>
    <mergeCell ref="DDH111:DEC111"/>
    <mergeCell ref="DED111:DEY111"/>
    <mergeCell ref="CCF111:CDA111"/>
    <mergeCell ref="CDB111:CDW111"/>
    <mergeCell ref="CDX111:CES111"/>
    <mergeCell ref="CET111:CFO111"/>
    <mergeCell ref="CFP111:CGK111"/>
    <mergeCell ref="CGL111:CHG111"/>
    <mergeCell ref="CHH111:CIC111"/>
    <mergeCell ref="CID111:CIY111"/>
    <mergeCell ref="CIZ111:CJU111"/>
    <mergeCell ref="CJV111:CKQ111"/>
    <mergeCell ref="CKR111:CLM111"/>
    <mergeCell ref="CLN111:CMI111"/>
    <mergeCell ref="CMJ111:CNE111"/>
    <mergeCell ref="CNF111:COA111"/>
    <mergeCell ref="COB111:COW111"/>
    <mergeCell ref="COX111:CPS111"/>
    <mergeCell ref="CPT111:CQO111"/>
    <mergeCell ref="BNV111:BOQ111"/>
    <mergeCell ref="BOR111:BPM111"/>
    <mergeCell ref="BPN111:BQI111"/>
    <mergeCell ref="BQJ111:BRE111"/>
    <mergeCell ref="BRF111:BSA111"/>
    <mergeCell ref="BSB111:BSW111"/>
    <mergeCell ref="BSX111:BTS111"/>
    <mergeCell ref="BTT111:BUO111"/>
    <mergeCell ref="BUP111:BVK111"/>
    <mergeCell ref="BVL111:BWG111"/>
    <mergeCell ref="BWH111:BXC111"/>
    <mergeCell ref="BXD111:BXY111"/>
    <mergeCell ref="BXZ111:BYU111"/>
    <mergeCell ref="BYV111:BZQ111"/>
    <mergeCell ref="BZR111:CAM111"/>
    <mergeCell ref="CAN111:CBI111"/>
    <mergeCell ref="CBJ111:CCE111"/>
    <mergeCell ref="AZL111:BAG111"/>
    <mergeCell ref="BAH111:BBC111"/>
    <mergeCell ref="BBD111:BBY111"/>
    <mergeCell ref="BBZ111:BCU111"/>
    <mergeCell ref="BCV111:BDQ111"/>
    <mergeCell ref="BDR111:BEM111"/>
    <mergeCell ref="BEN111:BFI111"/>
    <mergeCell ref="BFJ111:BGE111"/>
    <mergeCell ref="BGF111:BHA111"/>
    <mergeCell ref="BHB111:BHW111"/>
    <mergeCell ref="BHX111:BIS111"/>
    <mergeCell ref="BIT111:BJO111"/>
    <mergeCell ref="BJP111:BKK111"/>
    <mergeCell ref="BKL111:BLG111"/>
    <mergeCell ref="BLH111:BMC111"/>
    <mergeCell ref="BMD111:BMY111"/>
    <mergeCell ref="BMZ111:BNU111"/>
    <mergeCell ref="ALB111:ALW111"/>
    <mergeCell ref="ALX111:AMS111"/>
    <mergeCell ref="AMT111:ANO111"/>
    <mergeCell ref="ANP111:AOK111"/>
    <mergeCell ref="AOL111:APG111"/>
    <mergeCell ref="APH111:AQC111"/>
    <mergeCell ref="AQD111:AQY111"/>
    <mergeCell ref="AQZ111:ARU111"/>
    <mergeCell ref="ARV111:ASQ111"/>
    <mergeCell ref="ASR111:ATM111"/>
    <mergeCell ref="ATN111:AUI111"/>
    <mergeCell ref="AUJ111:AVE111"/>
    <mergeCell ref="AVF111:AWA111"/>
    <mergeCell ref="AWB111:AWW111"/>
    <mergeCell ref="AWX111:AXS111"/>
    <mergeCell ref="AXT111:AYO111"/>
    <mergeCell ref="AYP111:AZK111"/>
    <mergeCell ref="WR111:XM111"/>
    <mergeCell ref="XN111:YI111"/>
    <mergeCell ref="YJ111:ZE111"/>
    <mergeCell ref="ZF111:AAA111"/>
    <mergeCell ref="AAB111:AAW111"/>
    <mergeCell ref="AAX111:ABS111"/>
    <mergeCell ref="ABT111:ACO111"/>
    <mergeCell ref="ACP111:ADK111"/>
    <mergeCell ref="ADL111:AEG111"/>
    <mergeCell ref="AEH111:AFC111"/>
    <mergeCell ref="AFD111:AFY111"/>
    <mergeCell ref="AFZ111:AGU111"/>
    <mergeCell ref="AGV111:AHQ111"/>
    <mergeCell ref="AHR111:AIM111"/>
    <mergeCell ref="AIN111:AJI111"/>
    <mergeCell ref="AJJ111:AKE111"/>
    <mergeCell ref="AKF111:ALA111"/>
    <mergeCell ref="WTN110:WUI110"/>
    <mergeCell ref="WUJ110:WVE110"/>
    <mergeCell ref="WVF110:WWA110"/>
    <mergeCell ref="WWB110:WWW110"/>
    <mergeCell ref="WWX110:WXS110"/>
    <mergeCell ref="WXT110:WYO110"/>
    <mergeCell ref="WYP110:WZK110"/>
    <mergeCell ref="WZL110:XAG110"/>
    <mergeCell ref="XAH110:XBC110"/>
    <mergeCell ref="XBD110:XBY110"/>
    <mergeCell ref="XBZ110:XCU110"/>
    <mergeCell ref="XCV110:XDQ110"/>
    <mergeCell ref="XDR110:XEM110"/>
    <mergeCell ref="XEN110:XFC110"/>
    <mergeCell ref="A111:U111"/>
    <mergeCell ref="V111:AQ111"/>
    <mergeCell ref="AR111:BM111"/>
    <mergeCell ref="BN111:CI111"/>
    <mergeCell ref="CJ111:DE111"/>
    <mergeCell ref="DF111:EA111"/>
    <mergeCell ref="EB111:EW111"/>
    <mergeCell ref="EX111:FS111"/>
    <mergeCell ref="FT111:GO111"/>
    <mergeCell ref="GP111:HK111"/>
    <mergeCell ref="HL111:IG111"/>
    <mergeCell ref="IH111:JC111"/>
    <mergeCell ref="JD111:JY111"/>
    <mergeCell ref="JZ111:KU111"/>
    <mergeCell ref="KV111:LQ111"/>
    <mergeCell ref="LR111:MM111"/>
    <mergeCell ref="MN111:NI111"/>
    <mergeCell ref="NJ111:OE111"/>
    <mergeCell ref="WFD110:WFY110"/>
    <mergeCell ref="WFZ110:WGU110"/>
    <mergeCell ref="WGV110:WHQ110"/>
    <mergeCell ref="WHR110:WIM110"/>
    <mergeCell ref="WIN110:WJI110"/>
    <mergeCell ref="WJJ110:WKE110"/>
    <mergeCell ref="WKF110:WLA110"/>
    <mergeCell ref="WLB110:WLW110"/>
    <mergeCell ref="WLX110:WMS110"/>
    <mergeCell ref="WMT110:WNO110"/>
    <mergeCell ref="WNP110:WOK110"/>
    <mergeCell ref="WOL110:WPG110"/>
    <mergeCell ref="WPH110:WQC110"/>
    <mergeCell ref="WQD110:WQY110"/>
    <mergeCell ref="WQZ110:WRU110"/>
    <mergeCell ref="WRV110:WSQ110"/>
    <mergeCell ref="WSR110:WTM110"/>
    <mergeCell ref="VQT110:VRO110"/>
    <mergeCell ref="VRP110:VSK110"/>
    <mergeCell ref="VSL110:VTG110"/>
    <mergeCell ref="VTH110:VUC110"/>
    <mergeCell ref="VUD110:VUY110"/>
    <mergeCell ref="VUZ110:VVU110"/>
    <mergeCell ref="VVV110:VWQ110"/>
    <mergeCell ref="VWR110:VXM110"/>
    <mergeCell ref="VXN110:VYI110"/>
    <mergeCell ref="VYJ110:VZE110"/>
    <mergeCell ref="VZF110:WAA110"/>
    <mergeCell ref="WAB110:WAW110"/>
    <mergeCell ref="WAX110:WBS110"/>
    <mergeCell ref="WBT110:WCO110"/>
    <mergeCell ref="WCP110:WDK110"/>
    <mergeCell ref="WDL110:WEG110"/>
    <mergeCell ref="WEH110:WFC110"/>
    <mergeCell ref="VCJ110:VDE110"/>
    <mergeCell ref="VDF110:VEA110"/>
    <mergeCell ref="VEB110:VEW110"/>
    <mergeCell ref="VEX110:VFS110"/>
    <mergeCell ref="VFT110:VGO110"/>
    <mergeCell ref="VGP110:VHK110"/>
    <mergeCell ref="VHL110:VIG110"/>
    <mergeCell ref="VIH110:VJC110"/>
    <mergeCell ref="VJD110:VJY110"/>
    <mergeCell ref="VJZ110:VKU110"/>
    <mergeCell ref="VKV110:VLQ110"/>
    <mergeCell ref="VLR110:VMM110"/>
    <mergeCell ref="VMN110:VNI110"/>
    <mergeCell ref="VNJ110:VOE110"/>
    <mergeCell ref="VOF110:VPA110"/>
    <mergeCell ref="VPB110:VPW110"/>
    <mergeCell ref="VPX110:VQS110"/>
    <mergeCell ref="UNZ110:UOU110"/>
    <mergeCell ref="UOV110:UPQ110"/>
    <mergeCell ref="UPR110:UQM110"/>
    <mergeCell ref="UQN110:URI110"/>
    <mergeCell ref="URJ110:USE110"/>
    <mergeCell ref="USF110:UTA110"/>
    <mergeCell ref="UTB110:UTW110"/>
    <mergeCell ref="UTX110:UUS110"/>
    <mergeCell ref="UUT110:UVO110"/>
    <mergeCell ref="UVP110:UWK110"/>
    <mergeCell ref="UWL110:UXG110"/>
    <mergeCell ref="UXH110:UYC110"/>
    <mergeCell ref="UYD110:UYY110"/>
    <mergeCell ref="UYZ110:UZU110"/>
    <mergeCell ref="UZV110:VAQ110"/>
    <mergeCell ref="VAR110:VBM110"/>
    <mergeCell ref="VBN110:VCI110"/>
    <mergeCell ref="TZP110:UAK110"/>
    <mergeCell ref="UAL110:UBG110"/>
    <mergeCell ref="UBH110:UCC110"/>
    <mergeCell ref="UCD110:UCY110"/>
    <mergeCell ref="UCZ110:UDU110"/>
    <mergeCell ref="UDV110:UEQ110"/>
    <mergeCell ref="UER110:UFM110"/>
    <mergeCell ref="UFN110:UGI110"/>
    <mergeCell ref="UGJ110:UHE110"/>
    <mergeCell ref="UHF110:UIA110"/>
    <mergeCell ref="UIB110:UIW110"/>
    <mergeCell ref="UIX110:UJS110"/>
    <mergeCell ref="UJT110:UKO110"/>
    <mergeCell ref="UKP110:ULK110"/>
    <mergeCell ref="ULL110:UMG110"/>
    <mergeCell ref="UMH110:UNC110"/>
    <mergeCell ref="UND110:UNY110"/>
    <mergeCell ref="TLF110:TMA110"/>
    <mergeCell ref="TMB110:TMW110"/>
    <mergeCell ref="TMX110:TNS110"/>
    <mergeCell ref="TNT110:TOO110"/>
    <mergeCell ref="TOP110:TPK110"/>
    <mergeCell ref="TPL110:TQG110"/>
    <mergeCell ref="TQH110:TRC110"/>
    <mergeCell ref="TRD110:TRY110"/>
    <mergeCell ref="TRZ110:TSU110"/>
    <mergeCell ref="TSV110:TTQ110"/>
    <mergeCell ref="TTR110:TUM110"/>
    <mergeCell ref="TUN110:TVI110"/>
    <mergeCell ref="TVJ110:TWE110"/>
    <mergeCell ref="TWF110:TXA110"/>
    <mergeCell ref="TXB110:TXW110"/>
    <mergeCell ref="TXX110:TYS110"/>
    <mergeCell ref="TYT110:TZO110"/>
    <mergeCell ref="SWV110:SXQ110"/>
    <mergeCell ref="SXR110:SYM110"/>
    <mergeCell ref="SYN110:SZI110"/>
    <mergeCell ref="SZJ110:TAE110"/>
    <mergeCell ref="TAF110:TBA110"/>
    <mergeCell ref="TBB110:TBW110"/>
    <mergeCell ref="TBX110:TCS110"/>
    <mergeCell ref="TCT110:TDO110"/>
    <mergeCell ref="TDP110:TEK110"/>
    <mergeCell ref="TEL110:TFG110"/>
    <mergeCell ref="TFH110:TGC110"/>
    <mergeCell ref="TGD110:TGY110"/>
    <mergeCell ref="TGZ110:THU110"/>
    <mergeCell ref="THV110:TIQ110"/>
    <mergeCell ref="TIR110:TJM110"/>
    <mergeCell ref="TJN110:TKI110"/>
    <mergeCell ref="TKJ110:TLE110"/>
    <mergeCell ref="SIL110:SJG110"/>
    <mergeCell ref="SJH110:SKC110"/>
    <mergeCell ref="SKD110:SKY110"/>
    <mergeCell ref="SKZ110:SLU110"/>
    <mergeCell ref="SLV110:SMQ110"/>
    <mergeCell ref="SMR110:SNM110"/>
    <mergeCell ref="SNN110:SOI110"/>
    <mergeCell ref="SOJ110:SPE110"/>
    <mergeCell ref="SPF110:SQA110"/>
    <mergeCell ref="SQB110:SQW110"/>
    <mergeCell ref="SQX110:SRS110"/>
    <mergeCell ref="SRT110:SSO110"/>
    <mergeCell ref="SSP110:STK110"/>
    <mergeCell ref="STL110:SUG110"/>
    <mergeCell ref="SUH110:SVC110"/>
    <mergeCell ref="SVD110:SVY110"/>
    <mergeCell ref="SVZ110:SWU110"/>
    <mergeCell ref="RUB110:RUW110"/>
    <mergeCell ref="RUX110:RVS110"/>
    <mergeCell ref="RVT110:RWO110"/>
    <mergeCell ref="RWP110:RXK110"/>
    <mergeCell ref="RXL110:RYG110"/>
    <mergeCell ref="RYH110:RZC110"/>
    <mergeCell ref="RZD110:RZY110"/>
    <mergeCell ref="RZZ110:SAU110"/>
    <mergeCell ref="SAV110:SBQ110"/>
    <mergeCell ref="SBR110:SCM110"/>
    <mergeCell ref="SCN110:SDI110"/>
    <mergeCell ref="SDJ110:SEE110"/>
    <mergeCell ref="SEF110:SFA110"/>
    <mergeCell ref="SFB110:SFW110"/>
    <mergeCell ref="SFX110:SGS110"/>
    <mergeCell ref="SGT110:SHO110"/>
    <mergeCell ref="SHP110:SIK110"/>
    <mergeCell ref="RFR110:RGM110"/>
    <mergeCell ref="RGN110:RHI110"/>
    <mergeCell ref="RHJ110:RIE110"/>
    <mergeCell ref="RIF110:RJA110"/>
    <mergeCell ref="RJB110:RJW110"/>
    <mergeCell ref="RJX110:RKS110"/>
    <mergeCell ref="RKT110:RLO110"/>
    <mergeCell ref="RLP110:RMK110"/>
    <mergeCell ref="RML110:RNG110"/>
    <mergeCell ref="RNH110:ROC110"/>
    <mergeCell ref="ROD110:ROY110"/>
    <mergeCell ref="ROZ110:RPU110"/>
    <mergeCell ref="RPV110:RQQ110"/>
    <mergeCell ref="RQR110:RRM110"/>
    <mergeCell ref="RRN110:RSI110"/>
    <mergeCell ref="RSJ110:RTE110"/>
    <mergeCell ref="RTF110:RUA110"/>
    <mergeCell ref="QRH110:QSC110"/>
    <mergeCell ref="QSD110:QSY110"/>
    <mergeCell ref="QSZ110:QTU110"/>
    <mergeCell ref="QTV110:QUQ110"/>
    <mergeCell ref="QUR110:QVM110"/>
    <mergeCell ref="QVN110:QWI110"/>
    <mergeCell ref="QWJ110:QXE110"/>
    <mergeCell ref="QXF110:QYA110"/>
    <mergeCell ref="QYB110:QYW110"/>
    <mergeCell ref="QYX110:QZS110"/>
    <mergeCell ref="QZT110:RAO110"/>
    <mergeCell ref="RAP110:RBK110"/>
    <mergeCell ref="RBL110:RCG110"/>
    <mergeCell ref="RCH110:RDC110"/>
    <mergeCell ref="RDD110:RDY110"/>
    <mergeCell ref="RDZ110:REU110"/>
    <mergeCell ref="REV110:RFQ110"/>
    <mergeCell ref="QCX110:QDS110"/>
    <mergeCell ref="QDT110:QEO110"/>
    <mergeCell ref="QEP110:QFK110"/>
    <mergeCell ref="QFL110:QGG110"/>
    <mergeCell ref="QGH110:QHC110"/>
    <mergeCell ref="QHD110:QHY110"/>
    <mergeCell ref="QHZ110:QIU110"/>
    <mergeCell ref="QIV110:QJQ110"/>
    <mergeCell ref="QJR110:QKM110"/>
    <mergeCell ref="QKN110:QLI110"/>
    <mergeCell ref="QLJ110:QME110"/>
    <mergeCell ref="QMF110:QNA110"/>
    <mergeCell ref="QNB110:QNW110"/>
    <mergeCell ref="QNX110:QOS110"/>
    <mergeCell ref="QOT110:QPO110"/>
    <mergeCell ref="QPP110:QQK110"/>
    <mergeCell ref="QQL110:QRG110"/>
    <mergeCell ref="PON110:PPI110"/>
    <mergeCell ref="PPJ110:PQE110"/>
    <mergeCell ref="PQF110:PRA110"/>
    <mergeCell ref="PRB110:PRW110"/>
    <mergeCell ref="PRX110:PSS110"/>
    <mergeCell ref="PST110:PTO110"/>
    <mergeCell ref="PTP110:PUK110"/>
    <mergeCell ref="PUL110:PVG110"/>
    <mergeCell ref="PVH110:PWC110"/>
    <mergeCell ref="PWD110:PWY110"/>
    <mergeCell ref="PWZ110:PXU110"/>
    <mergeCell ref="PXV110:PYQ110"/>
    <mergeCell ref="PYR110:PZM110"/>
    <mergeCell ref="PZN110:QAI110"/>
    <mergeCell ref="QAJ110:QBE110"/>
    <mergeCell ref="QBF110:QCA110"/>
    <mergeCell ref="QCB110:QCW110"/>
    <mergeCell ref="PAD110:PAY110"/>
    <mergeCell ref="PAZ110:PBU110"/>
    <mergeCell ref="PBV110:PCQ110"/>
    <mergeCell ref="PCR110:PDM110"/>
    <mergeCell ref="PDN110:PEI110"/>
    <mergeCell ref="PEJ110:PFE110"/>
    <mergeCell ref="PFF110:PGA110"/>
    <mergeCell ref="PGB110:PGW110"/>
    <mergeCell ref="PGX110:PHS110"/>
    <mergeCell ref="PHT110:PIO110"/>
    <mergeCell ref="PIP110:PJK110"/>
    <mergeCell ref="PJL110:PKG110"/>
    <mergeCell ref="PKH110:PLC110"/>
    <mergeCell ref="PLD110:PLY110"/>
    <mergeCell ref="PLZ110:PMU110"/>
    <mergeCell ref="PMV110:PNQ110"/>
    <mergeCell ref="PNR110:POM110"/>
    <mergeCell ref="OLT110:OMO110"/>
    <mergeCell ref="OMP110:ONK110"/>
    <mergeCell ref="ONL110:OOG110"/>
    <mergeCell ref="OOH110:OPC110"/>
    <mergeCell ref="OPD110:OPY110"/>
    <mergeCell ref="OPZ110:OQU110"/>
    <mergeCell ref="OQV110:ORQ110"/>
    <mergeCell ref="ORR110:OSM110"/>
    <mergeCell ref="OSN110:OTI110"/>
    <mergeCell ref="OTJ110:OUE110"/>
    <mergeCell ref="OUF110:OVA110"/>
    <mergeCell ref="OVB110:OVW110"/>
    <mergeCell ref="OVX110:OWS110"/>
    <mergeCell ref="OWT110:OXO110"/>
    <mergeCell ref="OXP110:OYK110"/>
    <mergeCell ref="OYL110:OZG110"/>
    <mergeCell ref="OZH110:PAC110"/>
    <mergeCell ref="NXJ110:NYE110"/>
    <mergeCell ref="NYF110:NZA110"/>
    <mergeCell ref="NZB110:NZW110"/>
    <mergeCell ref="NZX110:OAS110"/>
    <mergeCell ref="OAT110:OBO110"/>
    <mergeCell ref="OBP110:OCK110"/>
    <mergeCell ref="OCL110:ODG110"/>
    <mergeCell ref="ODH110:OEC110"/>
    <mergeCell ref="OED110:OEY110"/>
    <mergeCell ref="OEZ110:OFU110"/>
    <mergeCell ref="OFV110:OGQ110"/>
    <mergeCell ref="OGR110:OHM110"/>
    <mergeCell ref="OHN110:OII110"/>
    <mergeCell ref="OIJ110:OJE110"/>
    <mergeCell ref="OJF110:OKA110"/>
    <mergeCell ref="OKB110:OKW110"/>
    <mergeCell ref="OKX110:OLS110"/>
    <mergeCell ref="NIZ110:NJU110"/>
    <mergeCell ref="NJV110:NKQ110"/>
    <mergeCell ref="NKR110:NLM110"/>
    <mergeCell ref="NLN110:NMI110"/>
    <mergeCell ref="NMJ110:NNE110"/>
    <mergeCell ref="NNF110:NOA110"/>
    <mergeCell ref="NOB110:NOW110"/>
    <mergeCell ref="NOX110:NPS110"/>
    <mergeCell ref="NPT110:NQO110"/>
    <mergeCell ref="NQP110:NRK110"/>
    <mergeCell ref="NRL110:NSG110"/>
    <mergeCell ref="NSH110:NTC110"/>
    <mergeCell ref="NTD110:NTY110"/>
    <mergeCell ref="NTZ110:NUU110"/>
    <mergeCell ref="NUV110:NVQ110"/>
    <mergeCell ref="NVR110:NWM110"/>
    <mergeCell ref="NWN110:NXI110"/>
    <mergeCell ref="MUP110:MVK110"/>
    <mergeCell ref="MVL110:MWG110"/>
    <mergeCell ref="MWH110:MXC110"/>
    <mergeCell ref="MXD110:MXY110"/>
    <mergeCell ref="MXZ110:MYU110"/>
    <mergeCell ref="MYV110:MZQ110"/>
    <mergeCell ref="MZR110:NAM110"/>
    <mergeCell ref="NAN110:NBI110"/>
    <mergeCell ref="NBJ110:NCE110"/>
    <mergeCell ref="NCF110:NDA110"/>
    <mergeCell ref="NDB110:NDW110"/>
    <mergeCell ref="NDX110:NES110"/>
    <mergeCell ref="NET110:NFO110"/>
    <mergeCell ref="NFP110:NGK110"/>
    <mergeCell ref="NGL110:NHG110"/>
    <mergeCell ref="NHH110:NIC110"/>
    <mergeCell ref="NID110:NIY110"/>
    <mergeCell ref="MGF110:MHA110"/>
    <mergeCell ref="MHB110:MHW110"/>
    <mergeCell ref="MHX110:MIS110"/>
    <mergeCell ref="MIT110:MJO110"/>
    <mergeCell ref="MJP110:MKK110"/>
    <mergeCell ref="MKL110:MLG110"/>
    <mergeCell ref="MLH110:MMC110"/>
    <mergeCell ref="MMD110:MMY110"/>
    <mergeCell ref="MMZ110:MNU110"/>
    <mergeCell ref="MNV110:MOQ110"/>
    <mergeCell ref="MOR110:MPM110"/>
    <mergeCell ref="MPN110:MQI110"/>
    <mergeCell ref="MQJ110:MRE110"/>
    <mergeCell ref="MRF110:MSA110"/>
    <mergeCell ref="MSB110:MSW110"/>
    <mergeCell ref="MSX110:MTS110"/>
    <mergeCell ref="MTT110:MUO110"/>
    <mergeCell ref="LRV110:LSQ110"/>
    <mergeCell ref="LSR110:LTM110"/>
    <mergeCell ref="LTN110:LUI110"/>
    <mergeCell ref="LUJ110:LVE110"/>
    <mergeCell ref="LVF110:LWA110"/>
    <mergeCell ref="LWB110:LWW110"/>
    <mergeCell ref="LWX110:LXS110"/>
    <mergeCell ref="LXT110:LYO110"/>
    <mergeCell ref="LYP110:LZK110"/>
    <mergeCell ref="LZL110:MAG110"/>
    <mergeCell ref="MAH110:MBC110"/>
    <mergeCell ref="MBD110:MBY110"/>
    <mergeCell ref="MBZ110:MCU110"/>
    <mergeCell ref="MCV110:MDQ110"/>
    <mergeCell ref="MDR110:MEM110"/>
    <mergeCell ref="MEN110:MFI110"/>
    <mergeCell ref="MFJ110:MGE110"/>
    <mergeCell ref="LDL110:LEG110"/>
    <mergeCell ref="LEH110:LFC110"/>
    <mergeCell ref="LFD110:LFY110"/>
    <mergeCell ref="LFZ110:LGU110"/>
    <mergeCell ref="LGV110:LHQ110"/>
    <mergeCell ref="LHR110:LIM110"/>
    <mergeCell ref="LIN110:LJI110"/>
    <mergeCell ref="LJJ110:LKE110"/>
    <mergeCell ref="LKF110:LLA110"/>
    <mergeCell ref="LLB110:LLW110"/>
    <mergeCell ref="LLX110:LMS110"/>
    <mergeCell ref="LMT110:LNO110"/>
    <mergeCell ref="LNP110:LOK110"/>
    <mergeCell ref="LOL110:LPG110"/>
    <mergeCell ref="LPH110:LQC110"/>
    <mergeCell ref="LQD110:LQY110"/>
    <mergeCell ref="LQZ110:LRU110"/>
    <mergeCell ref="KPB110:KPW110"/>
    <mergeCell ref="KPX110:KQS110"/>
    <mergeCell ref="KQT110:KRO110"/>
    <mergeCell ref="KRP110:KSK110"/>
    <mergeCell ref="KSL110:KTG110"/>
    <mergeCell ref="KTH110:KUC110"/>
    <mergeCell ref="KUD110:KUY110"/>
    <mergeCell ref="KUZ110:KVU110"/>
    <mergeCell ref="KVV110:KWQ110"/>
    <mergeCell ref="KWR110:KXM110"/>
    <mergeCell ref="KXN110:KYI110"/>
    <mergeCell ref="KYJ110:KZE110"/>
    <mergeCell ref="KZF110:LAA110"/>
    <mergeCell ref="LAB110:LAW110"/>
    <mergeCell ref="LAX110:LBS110"/>
    <mergeCell ref="LBT110:LCO110"/>
    <mergeCell ref="LCP110:LDK110"/>
    <mergeCell ref="KAR110:KBM110"/>
    <mergeCell ref="KBN110:KCI110"/>
    <mergeCell ref="KCJ110:KDE110"/>
    <mergeCell ref="KDF110:KEA110"/>
    <mergeCell ref="KEB110:KEW110"/>
    <mergeCell ref="KEX110:KFS110"/>
    <mergeCell ref="KFT110:KGO110"/>
    <mergeCell ref="KGP110:KHK110"/>
    <mergeCell ref="KHL110:KIG110"/>
    <mergeCell ref="KIH110:KJC110"/>
    <mergeCell ref="KJD110:KJY110"/>
    <mergeCell ref="KJZ110:KKU110"/>
    <mergeCell ref="KKV110:KLQ110"/>
    <mergeCell ref="KLR110:KMM110"/>
    <mergeCell ref="KMN110:KNI110"/>
    <mergeCell ref="KNJ110:KOE110"/>
    <mergeCell ref="KOF110:KPA110"/>
    <mergeCell ref="JMH110:JNC110"/>
    <mergeCell ref="JND110:JNY110"/>
    <mergeCell ref="JNZ110:JOU110"/>
    <mergeCell ref="JOV110:JPQ110"/>
    <mergeCell ref="JPR110:JQM110"/>
    <mergeCell ref="JQN110:JRI110"/>
    <mergeCell ref="JRJ110:JSE110"/>
    <mergeCell ref="JSF110:JTA110"/>
    <mergeCell ref="JTB110:JTW110"/>
    <mergeCell ref="JTX110:JUS110"/>
    <mergeCell ref="JUT110:JVO110"/>
    <mergeCell ref="JVP110:JWK110"/>
    <mergeCell ref="JWL110:JXG110"/>
    <mergeCell ref="JXH110:JYC110"/>
    <mergeCell ref="JYD110:JYY110"/>
    <mergeCell ref="JYZ110:JZU110"/>
    <mergeCell ref="JZV110:KAQ110"/>
    <mergeCell ref="IXX110:IYS110"/>
    <mergeCell ref="IYT110:IZO110"/>
    <mergeCell ref="IZP110:JAK110"/>
    <mergeCell ref="JAL110:JBG110"/>
    <mergeCell ref="JBH110:JCC110"/>
    <mergeCell ref="JCD110:JCY110"/>
    <mergeCell ref="JCZ110:JDU110"/>
    <mergeCell ref="JDV110:JEQ110"/>
    <mergeCell ref="JER110:JFM110"/>
    <mergeCell ref="JFN110:JGI110"/>
    <mergeCell ref="JGJ110:JHE110"/>
    <mergeCell ref="JHF110:JIA110"/>
    <mergeCell ref="JIB110:JIW110"/>
    <mergeCell ref="JIX110:JJS110"/>
    <mergeCell ref="JJT110:JKO110"/>
    <mergeCell ref="JKP110:JLK110"/>
    <mergeCell ref="JLL110:JMG110"/>
    <mergeCell ref="IJN110:IKI110"/>
    <mergeCell ref="IKJ110:ILE110"/>
    <mergeCell ref="ILF110:IMA110"/>
    <mergeCell ref="IMB110:IMW110"/>
    <mergeCell ref="IMX110:INS110"/>
    <mergeCell ref="INT110:IOO110"/>
    <mergeCell ref="IOP110:IPK110"/>
    <mergeCell ref="IPL110:IQG110"/>
    <mergeCell ref="IQH110:IRC110"/>
    <mergeCell ref="IRD110:IRY110"/>
    <mergeCell ref="IRZ110:ISU110"/>
    <mergeCell ref="ISV110:ITQ110"/>
    <mergeCell ref="ITR110:IUM110"/>
    <mergeCell ref="IUN110:IVI110"/>
    <mergeCell ref="IVJ110:IWE110"/>
    <mergeCell ref="IWF110:IXA110"/>
    <mergeCell ref="IXB110:IXW110"/>
    <mergeCell ref="HVD110:HVY110"/>
    <mergeCell ref="HVZ110:HWU110"/>
    <mergeCell ref="HWV110:HXQ110"/>
    <mergeCell ref="HXR110:HYM110"/>
    <mergeCell ref="HYN110:HZI110"/>
    <mergeCell ref="HZJ110:IAE110"/>
    <mergeCell ref="IAF110:IBA110"/>
    <mergeCell ref="IBB110:IBW110"/>
    <mergeCell ref="IBX110:ICS110"/>
    <mergeCell ref="ICT110:IDO110"/>
    <mergeCell ref="IDP110:IEK110"/>
    <mergeCell ref="IEL110:IFG110"/>
    <mergeCell ref="IFH110:IGC110"/>
    <mergeCell ref="IGD110:IGY110"/>
    <mergeCell ref="IGZ110:IHU110"/>
    <mergeCell ref="IHV110:IIQ110"/>
    <mergeCell ref="IIR110:IJM110"/>
    <mergeCell ref="HGT110:HHO110"/>
    <mergeCell ref="HHP110:HIK110"/>
    <mergeCell ref="HIL110:HJG110"/>
    <mergeCell ref="HJH110:HKC110"/>
    <mergeCell ref="HKD110:HKY110"/>
    <mergeCell ref="HKZ110:HLU110"/>
    <mergeCell ref="HLV110:HMQ110"/>
    <mergeCell ref="HMR110:HNM110"/>
    <mergeCell ref="HNN110:HOI110"/>
    <mergeCell ref="HOJ110:HPE110"/>
    <mergeCell ref="HPF110:HQA110"/>
    <mergeCell ref="HQB110:HQW110"/>
    <mergeCell ref="HQX110:HRS110"/>
    <mergeCell ref="HRT110:HSO110"/>
    <mergeCell ref="HSP110:HTK110"/>
    <mergeCell ref="HTL110:HUG110"/>
    <mergeCell ref="HUH110:HVC110"/>
    <mergeCell ref="GSJ110:GTE110"/>
    <mergeCell ref="GTF110:GUA110"/>
    <mergeCell ref="GUB110:GUW110"/>
    <mergeCell ref="GUX110:GVS110"/>
    <mergeCell ref="GVT110:GWO110"/>
    <mergeCell ref="GWP110:GXK110"/>
    <mergeCell ref="GXL110:GYG110"/>
    <mergeCell ref="GYH110:GZC110"/>
    <mergeCell ref="GZD110:GZY110"/>
    <mergeCell ref="GZZ110:HAU110"/>
    <mergeCell ref="HAV110:HBQ110"/>
    <mergeCell ref="HBR110:HCM110"/>
    <mergeCell ref="HCN110:HDI110"/>
    <mergeCell ref="HDJ110:HEE110"/>
    <mergeCell ref="HEF110:HFA110"/>
    <mergeCell ref="HFB110:HFW110"/>
    <mergeCell ref="HFX110:HGS110"/>
    <mergeCell ref="GDZ110:GEU110"/>
    <mergeCell ref="GEV110:GFQ110"/>
    <mergeCell ref="GFR110:GGM110"/>
    <mergeCell ref="GGN110:GHI110"/>
    <mergeCell ref="GHJ110:GIE110"/>
    <mergeCell ref="GIF110:GJA110"/>
    <mergeCell ref="GJB110:GJW110"/>
    <mergeCell ref="GJX110:GKS110"/>
    <mergeCell ref="GKT110:GLO110"/>
    <mergeCell ref="GLP110:GMK110"/>
    <mergeCell ref="GML110:GNG110"/>
    <mergeCell ref="GNH110:GOC110"/>
    <mergeCell ref="GOD110:GOY110"/>
    <mergeCell ref="GOZ110:GPU110"/>
    <mergeCell ref="GPV110:GQQ110"/>
    <mergeCell ref="GQR110:GRM110"/>
    <mergeCell ref="GRN110:GSI110"/>
    <mergeCell ref="FPP110:FQK110"/>
    <mergeCell ref="FQL110:FRG110"/>
    <mergeCell ref="FRH110:FSC110"/>
    <mergeCell ref="FSD110:FSY110"/>
    <mergeCell ref="FSZ110:FTU110"/>
    <mergeCell ref="FTV110:FUQ110"/>
    <mergeCell ref="FUR110:FVM110"/>
    <mergeCell ref="FVN110:FWI110"/>
    <mergeCell ref="FWJ110:FXE110"/>
    <mergeCell ref="FXF110:FYA110"/>
    <mergeCell ref="FYB110:FYW110"/>
    <mergeCell ref="FYX110:FZS110"/>
    <mergeCell ref="FZT110:GAO110"/>
    <mergeCell ref="GAP110:GBK110"/>
    <mergeCell ref="GBL110:GCG110"/>
    <mergeCell ref="GCH110:GDC110"/>
    <mergeCell ref="GDD110:GDY110"/>
    <mergeCell ref="FBF110:FCA110"/>
    <mergeCell ref="FCB110:FCW110"/>
    <mergeCell ref="FCX110:FDS110"/>
    <mergeCell ref="FDT110:FEO110"/>
    <mergeCell ref="FEP110:FFK110"/>
    <mergeCell ref="FFL110:FGG110"/>
    <mergeCell ref="FGH110:FHC110"/>
    <mergeCell ref="FHD110:FHY110"/>
    <mergeCell ref="FHZ110:FIU110"/>
    <mergeCell ref="FIV110:FJQ110"/>
    <mergeCell ref="FJR110:FKM110"/>
    <mergeCell ref="FKN110:FLI110"/>
    <mergeCell ref="FLJ110:FME110"/>
    <mergeCell ref="FMF110:FNA110"/>
    <mergeCell ref="FNB110:FNW110"/>
    <mergeCell ref="FNX110:FOS110"/>
    <mergeCell ref="FOT110:FPO110"/>
    <mergeCell ref="EMV110:ENQ110"/>
    <mergeCell ref="ENR110:EOM110"/>
    <mergeCell ref="EON110:EPI110"/>
    <mergeCell ref="EPJ110:EQE110"/>
    <mergeCell ref="EQF110:ERA110"/>
    <mergeCell ref="ERB110:ERW110"/>
    <mergeCell ref="ERX110:ESS110"/>
    <mergeCell ref="EST110:ETO110"/>
    <mergeCell ref="ETP110:EUK110"/>
    <mergeCell ref="EUL110:EVG110"/>
    <mergeCell ref="EVH110:EWC110"/>
    <mergeCell ref="EWD110:EWY110"/>
    <mergeCell ref="EWZ110:EXU110"/>
    <mergeCell ref="EXV110:EYQ110"/>
    <mergeCell ref="EYR110:EZM110"/>
    <mergeCell ref="EZN110:FAI110"/>
    <mergeCell ref="FAJ110:FBE110"/>
    <mergeCell ref="DYL110:DZG110"/>
    <mergeCell ref="DZH110:EAC110"/>
    <mergeCell ref="EAD110:EAY110"/>
    <mergeCell ref="EAZ110:EBU110"/>
    <mergeCell ref="EBV110:ECQ110"/>
    <mergeCell ref="ECR110:EDM110"/>
    <mergeCell ref="EDN110:EEI110"/>
    <mergeCell ref="EEJ110:EFE110"/>
    <mergeCell ref="EFF110:EGA110"/>
    <mergeCell ref="EGB110:EGW110"/>
    <mergeCell ref="EGX110:EHS110"/>
    <mergeCell ref="EHT110:EIO110"/>
    <mergeCell ref="EIP110:EJK110"/>
    <mergeCell ref="EJL110:EKG110"/>
    <mergeCell ref="EKH110:ELC110"/>
    <mergeCell ref="ELD110:ELY110"/>
    <mergeCell ref="ELZ110:EMU110"/>
    <mergeCell ref="DKB110:DKW110"/>
    <mergeCell ref="DKX110:DLS110"/>
    <mergeCell ref="DLT110:DMO110"/>
    <mergeCell ref="DMP110:DNK110"/>
    <mergeCell ref="DNL110:DOG110"/>
    <mergeCell ref="DOH110:DPC110"/>
    <mergeCell ref="DPD110:DPY110"/>
    <mergeCell ref="DPZ110:DQU110"/>
    <mergeCell ref="DQV110:DRQ110"/>
    <mergeCell ref="DRR110:DSM110"/>
    <mergeCell ref="DSN110:DTI110"/>
    <mergeCell ref="DTJ110:DUE110"/>
    <mergeCell ref="DUF110:DVA110"/>
    <mergeCell ref="DVB110:DVW110"/>
    <mergeCell ref="DVX110:DWS110"/>
    <mergeCell ref="DWT110:DXO110"/>
    <mergeCell ref="DXP110:DYK110"/>
    <mergeCell ref="CVR110:CWM110"/>
    <mergeCell ref="CWN110:CXI110"/>
    <mergeCell ref="CXJ110:CYE110"/>
    <mergeCell ref="CYF110:CZA110"/>
    <mergeCell ref="CZB110:CZW110"/>
    <mergeCell ref="CZX110:DAS110"/>
    <mergeCell ref="DAT110:DBO110"/>
    <mergeCell ref="DBP110:DCK110"/>
    <mergeCell ref="DCL110:DDG110"/>
    <mergeCell ref="DDH110:DEC110"/>
    <mergeCell ref="DED110:DEY110"/>
    <mergeCell ref="DEZ110:DFU110"/>
    <mergeCell ref="DFV110:DGQ110"/>
    <mergeCell ref="DGR110:DHM110"/>
    <mergeCell ref="DHN110:DII110"/>
    <mergeCell ref="DIJ110:DJE110"/>
    <mergeCell ref="DJF110:DKA110"/>
    <mergeCell ref="CHH110:CIC110"/>
    <mergeCell ref="CID110:CIY110"/>
    <mergeCell ref="CIZ110:CJU110"/>
    <mergeCell ref="CJV110:CKQ110"/>
    <mergeCell ref="CKR110:CLM110"/>
    <mergeCell ref="CLN110:CMI110"/>
    <mergeCell ref="CMJ110:CNE110"/>
    <mergeCell ref="CNF110:COA110"/>
    <mergeCell ref="COB110:COW110"/>
    <mergeCell ref="COX110:CPS110"/>
    <mergeCell ref="CPT110:CQO110"/>
    <mergeCell ref="CQP110:CRK110"/>
    <mergeCell ref="CRL110:CSG110"/>
    <mergeCell ref="CSH110:CTC110"/>
    <mergeCell ref="CTD110:CTY110"/>
    <mergeCell ref="CTZ110:CUU110"/>
    <mergeCell ref="CUV110:CVQ110"/>
    <mergeCell ref="BSX110:BTS110"/>
    <mergeCell ref="BTT110:BUO110"/>
    <mergeCell ref="BUP110:BVK110"/>
    <mergeCell ref="BVL110:BWG110"/>
    <mergeCell ref="BWH110:BXC110"/>
    <mergeCell ref="BXD110:BXY110"/>
    <mergeCell ref="BXZ110:BYU110"/>
    <mergeCell ref="BYV110:BZQ110"/>
    <mergeCell ref="BZR110:CAM110"/>
    <mergeCell ref="CAN110:CBI110"/>
    <mergeCell ref="CBJ110:CCE110"/>
    <mergeCell ref="CCF110:CDA110"/>
    <mergeCell ref="CDB110:CDW110"/>
    <mergeCell ref="CDX110:CES110"/>
    <mergeCell ref="CET110:CFO110"/>
    <mergeCell ref="CFP110:CGK110"/>
    <mergeCell ref="CGL110:CHG110"/>
    <mergeCell ref="BEN110:BFI110"/>
    <mergeCell ref="BFJ110:BGE110"/>
    <mergeCell ref="BGF110:BHA110"/>
    <mergeCell ref="BHB110:BHW110"/>
    <mergeCell ref="BHX110:BIS110"/>
    <mergeCell ref="BIT110:BJO110"/>
    <mergeCell ref="BJP110:BKK110"/>
    <mergeCell ref="BKL110:BLG110"/>
    <mergeCell ref="BLH110:BMC110"/>
    <mergeCell ref="BMD110:BMY110"/>
    <mergeCell ref="BMZ110:BNU110"/>
    <mergeCell ref="BNV110:BOQ110"/>
    <mergeCell ref="BOR110:BPM110"/>
    <mergeCell ref="BPN110:BQI110"/>
    <mergeCell ref="BQJ110:BRE110"/>
    <mergeCell ref="BRF110:BSA110"/>
    <mergeCell ref="BSB110:BSW110"/>
    <mergeCell ref="AYP110:AZK110"/>
    <mergeCell ref="AZL110:BAG110"/>
    <mergeCell ref="APH110:AQC110"/>
    <mergeCell ref="AQD110:AQY110"/>
    <mergeCell ref="AQZ110:ARU110"/>
    <mergeCell ref="ARV110:ASQ110"/>
    <mergeCell ref="ASR110:ATM110"/>
    <mergeCell ref="ATN110:AUI110"/>
    <mergeCell ref="AKF110:ALA110"/>
    <mergeCell ref="ALB110:ALW110"/>
    <mergeCell ref="BAH110:BBC110"/>
    <mergeCell ref="BBD110:BBY110"/>
    <mergeCell ref="BBZ110:BCU110"/>
    <mergeCell ref="BCV110:BDQ110"/>
    <mergeCell ref="BDR110:BEM110"/>
    <mergeCell ref="AUJ110:AVE110"/>
    <mergeCell ref="AVF110:AWA110"/>
    <mergeCell ref="AWB110:AWW110"/>
    <mergeCell ref="AWX110:AXS110"/>
    <mergeCell ref="AXT110:AYO110"/>
    <mergeCell ref="YJ110:ZE110"/>
    <mergeCell ref="ZF110:AAA110"/>
    <mergeCell ref="PX110:QS110"/>
    <mergeCell ref="QT110:RO110"/>
    <mergeCell ref="RP110:SK110"/>
    <mergeCell ref="SL110:TG110"/>
    <mergeCell ref="TH110:UC110"/>
    <mergeCell ref="UD110:UY110"/>
    <mergeCell ref="WR110:XM110"/>
    <mergeCell ref="ALX110:AMS110"/>
    <mergeCell ref="AMT110:ANO110"/>
    <mergeCell ref="ANP110:AOK110"/>
    <mergeCell ref="AOL110:APG110"/>
    <mergeCell ref="AFD110:AFY110"/>
    <mergeCell ref="AFZ110:AGU110"/>
    <mergeCell ref="AGV110:AHQ110"/>
    <mergeCell ref="AHR110:AIM110"/>
    <mergeCell ref="AIN110:AJI110"/>
    <mergeCell ref="AJJ110:AKE110"/>
    <mergeCell ref="AAB110:AAW110"/>
    <mergeCell ref="AAX110:ABS110"/>
    <mergeCell ref="ABT110:ACO110"/>
    <mergeCell ref="ACP110:ADK110"/>
    <mergeCell ref="ADL110:AEG110"/>
    <mergeCell ref="AEH110:AFC110"/>
    <mergeCell ref="S129:AJ129"/>
    <mergeCell ref="AK129:BB129"/>
    <mergeCell ref="IH110:JC110"/>
    <mergeCell ref="BC129:BT129"/>
    <mergeCell ref="BU129:CL129"/>
    <mergeCell ref="CM129:DD129"/>
    <mergeCell ref="DE129:DV129"/>
    <mergeCell ref="DW129:EN129"/>
    <mergeCell ref="EO129:FF129"/>
    <mergeCell ref="JD110:JY110"/>
    <mergeCell ref="JZ110:KU110"/>
    <mergeCell ref="AR110:BM110"/>
    <mergeCell ref="BN110:CI110"/>
    <mergeCell ref="CJ110:DE110"/>
    <mergeCell ref="DF110:EA110"/>
    <mergeCell ref="EB110:EW110"/>
    <mergeCell ref="EX110:FS110"/>
    <mergeCell ref="FG129:FX129"/>
    <mergeCell ref="FY129:GP129"/>
    <mergeCell ref="GQ129:HH129"/>
    <mergeCell ref="HI129:HZ129"/>
    <mergeCell ref="IA129:IR129"/>
    <mergeCell ref="IS129:JJ129"/>
    <mergeCell ref="JK129:KB129"/>
    <mergeCell ref="KC129:KT129"/>
    <mergeCell ref="KU129:LL129"/>
    <mergeCell ref="LM129:MD129"/>
    <mergeCell ref="ME129:MV129"/>
    <mergeCell ref="MW129:NN129"/>
    <mergeCell ref="NO129:OF129"/>
    <mergeCell ref="KV110:LQ110"/>
    <mergeCell ref="LR110:MM110"/>
    <mergeCell ref="MN110:NI110"/>
    <mergeCell ref="NJ110:OE110"/>
    <mergeCell ref="OF110:PA110"/>
    <mergeCell ref="PB110:PW110"/>
    <mergeCell ref="XN110:YI110"/>
    <mergeCell ref="A109:U109"/>
    <mergeCell ref="A110:U110"/>
    <mergeCell ref="V110:AQ110"/>
    <mergeCell ref="UZ110:VU110"/>
    <mergeCell ref="VV110:WQ110"/>
    <mergeCell ref="A102:J102"/>
    <mergeCell ref="FT110:GO110"/>
    <mergeCell ref="GP110:HK110"/>
    <mergeCell ref="HL110:IG110"/>
    <mergeCell ref="UD111:UY111"/>
    <mergeCell ref="UZ111:VU111"/>
    <mergeCell ref="VV111:WQ111"/>
    <mergeCell ref="OF111:PA111"/>
    <mergeCell ref="PB111:PW111"/>
    <mergeCell ref="PX111:QS111"/>
    <mergeCell ref="QT111:RO111"/>
    <mergeCell ref="RP111:SK111"/>
    <mergeCell ref="SL111:TG111"/>
    <mergeCell ref="TH111:UC111"/>
    <mergeCell ref="A112:N112"/>
    <mergeCell ref="A129:R129"/>
  </mergeCells>
  <conditionalFormatting sqref="C132:C14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16:G11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25:R12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0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Hui</dc:creator>
  <cp:keywords/>
  <dc:description/>
  <cp:lastModifiedBy/>
  <cp:revision/>
  <dcterms:created xsi:type="dcterms:W3CDTF">2022-10-26T03:24:04Z</dcterms:created>
  <dcterms:modified xsi:type="dcterms:W3CDTF">2025-04-30T22:03:32Z</dcterms:modified>
  <cp:category/>
  <cp:contentStatus/>
</cp:coreProperties>
</file>